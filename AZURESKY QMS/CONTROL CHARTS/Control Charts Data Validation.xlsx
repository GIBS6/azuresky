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14.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1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16.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7.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8.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19.xml" ContentType="application/vnd.openxmlformats-officedocument.drawing+xml"/>
  <Override PartName="/xl/embeddings/oleObject1.bin" ContentType="application/vnd.openxmlformats-officedocument.oleObject"/>
  <Override PartName="/xl/drawings/drawing20.xml" ContentType="application/vnd.openxmlformats-officedocument.drawing+xml"/>
  <Override PartName="/xl/charts/chart13.xml" ContentType="application/vnd.openxmlformats-officedocument.drawingml.chart+xml"/>
  <Override PartName="/xl/drawings/drawing21.xml" ContentType="application/vnd.openxmlformats-officedocument.drawingml.chartshapes+xml"/>
  <Override PartName="/xl/charts/chart14.xml" ContentType="application/vnd.openxmlformats-officedocument.drawingml.chart+xml"/>
  <Override PartName="/xl/drawings/drawing22.xml" ContentType="application/vnd.openxmlformats-officedocument.drawingml.chartshapes+xml"/>
  <Override PartName="/xl/charts/chart15.xml" ContentType="application/vnd.openxmlformats-officedocument.drawingml.chart+xml"/>
  <Override PartName="/xl/drawings/drawing23.xml" ContentType="application/vnd.openxmlformats-officedocument.drawingml.chartshapes+xml"/>
  <Override PartName="/xl/charts/chart16.xml" ContentType="application/vnd.openxmlformats-officedocument.drawingml.chart+xml"/>
  <Override PartName="/xl/drawings/drawing24.xml" ContentType="application/vnd.openxmlformats-officedocument.drawingml.chartshapes+xml"/>
  <Override PartName="/xl/charts/chart17.xml" ContentType="application/vnd.openxmlformats-officedocument.drawingml.chart+xml"/>
  <Override PartName="/xl/drawings/drawing25.xml" ContentType="application/vnd.openxmlformats-officedocument.drawingml.chartshapes+xml"/>
  <Override PartName="/xl/charts/chart18.xml" ContentType="application/vnd.openxmlformats-officedocument.drawingml.chart+xml"/>
  <Override PartName="/xl/drawings/drawing26.xml" ContentType="application/vnd.openxmlformats-officedocument.drawingml.chartshapes+xml"/>
  <Override PartName="/xl/charts/chart19.xml" ContentType="application/vnd.openxmlformats-officedocument.drawingml.chart+xml"/>
  <Override PartName="/xl/drawings/drawing27.xml" ContentType="application/vnd.openxmlformats-officedocument.drawingml.chartshapes+xml"/>
  <Override PartName="/xl/charts/chart20.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harts/chart21.xml" ContentType="application/vnd.openxmlformats-officedocument.drawingml.chart+xml"/>
  <Override PartName="/xl/drawings/drawing30.xml" ContentType="application/vnd.openxmlformats-officedocument.drawingml.chartshapes+xml"/>
  <Override PartName="/xl/charts/chart22.xml" ContentType="application/vnd.openxmlformats-officedocument.drawingml.chart+xml"/>
  <Override PartName="/xl/drawings/drawing31.xml" ContentType="application/vnd.openxmlformats-officedocument.drawingml.chartshapes+xml"/>
  <Override PartName="/xl/charts/chart23.xml" ContentType="application/vnd.openxmlformats-officedocument.drawingml.chart+xml"/>
  <Override PartName="/xl/drawings/drawing32.xml" ContentType="application/vnd.openxmlformats-officedocument.drawingml.chartshapes+xml"/>
  <Override PartName="/xl/charts/chart24.xml" ContentType="application/vnd.openxmlformats-officedocument.drawingml.chart+xml"/>
  <Override PartName="/xl/drawings/drawing33.xml" ContentType="application/vnd.openxmlformats-officedocument.drawingml.chartshapes+xml"/>
  <Override PartName="/xl/charts/chart25.xml" ContentType="application/vnd.openxmlformats-officedocument.drawingml.chart+xml"/>
  <Override PartName="/xl/drawings/drawing34.xml" ContentType="application/vnd.openxmlformats-officedocument.drawingml.chartshapes+xml"/>
  <Override PartName="/xl/charts/chart26.xml" ContentType="application/vnd.openxmlformats-officedocument.drawingml.chart+xml"/>
  <Override PartName="/xl/drawings/drawing35.xml" ContentType="application/vnd.openxmlformats-officedocument.drawingml.chartshapes+xml"/>
  <Override PartName="/xl/charts/chart27.xml" ContentType="application/vnd.openxmlformats-officedocument.drawingml.chart+xml"/>
  <Override PartName="/xl/drawings/drawing36.xml" ContentType="application/vnd.openxmlformats-officedocument.drawingml.chartshapes+xml"/>
  <Override PartName="/xl/charts/chart28.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charts/chart29.xml" ContentType="application/vnd.openxmlformats-officedocument.drawingml.chart+xml"/>
  <Override PartName="/xl/drawings/drawing39.xml" ContentType="application/vnd.openxmlformats-officedocument.drawingml.chartshapes+xml"/>
  <Override PartName="/xl/charts/chart30.xml" ContentType="application/vnd.openxmlformats-officedocument.drawingml.chart+xml"/>
  <Override PartName="/xl/drawings/drawing40.xml" ContentType="application/vnd.openxmlformats-officedocument.drawingml.chartshapes+xml"/>
  <Override PartName="/xl/charts/chart31.xml" ContentType="application/vnd.openxmlformats-officedocument.drawingml.chart+xml"/>
  <Override PartName="/xl/drawings/drawing41.xml" ContentType="application/vnd.openxmlformats-officedocument.drawingml.chartshapes+xml"/>
  <Override PartName="/xl/charts/chart32.xml" ContentType="application/vnd.openxmlformats-officedocument.drawingml.chart+xml"/>
  <Override PartName="/xl/drawings/drawing42.xml" ContentType="application/vnd.openxmlformats-officedocument.drawingml.chartshapes+xml"/>
  <Override PartName="/xl/charts/chart33.xml" ContentType="application/vnd.openxmlformats-officedocument.drawingml.chart+xml"/>
  <Override PartName="/xl/drawings/drawing43.xml" ContentType="application/vnd.openxmlformats-officedocument.drawingml.chartshapes+xml"/>
  <Override PartName="/xl/charts/chart34.xml" ContentType="application/vnd.openxmlformats-officedocument.drawingml.chart+xml"/>
  <Override PartName="/xl/drawings/drawing44.xml" ContentType="application/vnd.openxmlformats-officedocument.drawingml.chartshapes+xml"/>
  <Override PartName="/xl/charts/chart35.xml" ContentType="application/vnd.openxmlformats-officedocument.drawingml.chart+xml"/>
  <Override PartName="/xl/drawings/drawing45.xml" ContentType="application/vnd.openxmlformats-officedocument.drawingml.chartshapes+xml"/>
  <Override PartName="/xl/charts/chart36.xml" ContentType="application/vnd.openxmlformats-officedocument.drawingml.chart+xml"/>
  <Override PartName="/xl/drawings/drawing46.xml" ContentType="application/vnd.openxmlformats-officedocument.drawingml.chartshapes+xml"/>
  <Override PartName="/xl/drawings/drawing47.xml" ContentType="application/vnd.openxmlformats-officedocument.drawing+xml"/>
  <Override PartName="/xl/charts/chart37.xml" ContentType="application/vnd.openxmlformats-officedocument.drawingml.chart+xml"/>
  <Override PartName="/xl/drawings/drawing48.xml" ContentType="application/vnd.openxmlformats-officedocument.drawingml.chartshapes+xml"/>
  <Override PartName="/xl/charts/chart38.xml" ContentType="application/vnd.openxmlformats-officedocument.drawingml.chart+xml"/>
  <Override PartName="/xl/drawings/drawing49.xml" ContentType="application/vnd.openxmlformats-officedocument.drawingml.chartshapes+xml"/>
  <Override PartName="/xl/charts/chart39.xml" ContentType="application/vnd.openxmlformats-officedocument.drawingml.chart+xml"/>
  <Override PartName="/xl/drawings/drawing50.xml" ContentType="application/vnd.openxmlformats-officedocument.drawingml.chartshapes+xml"/>
  <Override PartName="/xl/charts/chart40.xml" ContentType="application/vnd.openxmlformats-officedocument.drawingml.chart+xml"/>
  <Override PartName="/xl/drawings/drawing51.xml" ContentType="application/vnd.openxmlformats-officedocument.drawingml.chartshapes+xml"/>
  <Override PartName="/xl/charts/chart41.xml" ContentType="application/vnd.openxmlformats-officedocument.drawingml.chart+xml"/>
  <Override PartName="/xl/drawings/drawing52.xml" ContentType="application/vnd.openxmlformats-officedocument.drawingml.chartshapes+xml"/>
  <Override PartName="/xl/charts/chart42.xml" ContentType="application/vnd.openxmlformats-officedocument.drawingml.chart+xml"/>
  <Override PartName="/xl/drawings/drawing53.xml" ContentType="application/vnd.openxmlformats-officedocument.drawingml.chartshapes+xml"/>
  <Override PartName="/xl/charts/chart43.xml" ContentType="application/vnd.openxmlformats-officedocument.drawingml.chart+xml"/>
  <Override PartName="/xl/drawings/drawing54.xml" ContentType="application/vnd.openxmlformats-officedocument.drawingml.chartshapes+xml"/>
  <Override PartName="/xl/charts/chart44.xml" ContentType="application/vnd.openxmlformats-officedocument.drawingml.chart+xml"/>
  <Override PartName="/xl/drawings/drawing55.xml" ContentType="application/vnd.openxmlformats-officedocument.drawingml.chartshapes+xml"/>
  <Override PartName="/xl/drawings/drawing56.xml" ContentType="application/vnd.openxmlformats-officedocument.drawing+xml"/>
  <Override PartName="/xl/charts/chart45.xml" ContentType="application/vnd.openxmlformats-officedocument.drawingml.chart+xml"/>
  <Override PartName="/xl/drawings/drawing57.xml" ContentType="application/vnd.openxmlformats-officedocument.drawingml.chartshapes+xml"/>
  <Override PartName="/xl/charts/chart46.xml" ContentType="application/vnd.openxmlformats-officedocument.drawingml.chart+xml"/>
  <Override PartName="/xl/drawings/drawing58.xml" ContentType="application/vnd.openxmlformats-officedocument.drawingml.chartshapes+xml"/>
  <Override PartName="/xl/charts/chart47.xml" ContentType="application/vnd.openxmlformats-officedocument.drawingml.chart+xml"/>
  <Override PartName="/xl/drawings/drawing59.xml" ContentType="application/vnd.openxmlformats-officedocument.drawingml.chartshapes+xml"/>
  <Override PartName="/xl/charts/chart48.xml" ContentType="application/vnd.openxmlformats-officedocument.drawingml.chart+xml"/>
  <Override PartName="/xl/drawings/drawing60.xml" ContentType="application/vnd.openxmlformats-officedocument.drawingml.chartshapes+xml"/>
  <Override PartName="/xl/drawings/drawing61.xml" ContentType="application/vnd.openxmlformats-officedocument.drawing+xml"/>
  <Override PartName="/xl/charts/chart49.xml" ContentType="application/vnd.openxmlformats-officedocument.drawingml.chart+xml"/>
  <Override PartName="/xl/drawings/drawing62.xml" ContentType="application/vnd.openxmlformats-officedocument.drawingml.chartshapes+xml"/>
  <Override PartName="/xl/charts/chart50.xml" ContentType="application/vnd.openxmlformats-officedocument.drawingml.chart+xml"/>
  <Override PartName="/xl/drawings/drawing63.xml" ContentType="application/vnd.openxmlformats-officedocument.drawingml.chartshapes+xml"/>
  <Override PartName="/xl/charts/chart51.xml" ContentType="application/vnd.openxmlformats-officedocument.drawingml.chart+xml"/>
  <Override PartName="/xl/drawings/drawing64.xml" ContentType="application/vnd.openxmlformats-officedocument.drawingml.chartshapes+xml"/>
  <Override PartName="/xl/charts/chart52.xml" ContentType="application/vnd.openxmlformats-officedocument.drawingml.chart+xml"/>
  <Override PartName="/xl/drawings/drawing65.xml" ContentType="application/vnd.openxmlformats-officedocument.drawingml.chartshapes+xml"/>
  <Override PartName="/xl/charts/chart53.xml" ContentType="application/vnd.openxmlformats-officedocument.drawingml.chart+xml"/>
  <Override PartName="/xl/drawings/drawing66.xml" ContentType="application/vnd.openxmlformats-officedocument.drawingml.chartshapes+xml"/>
  <Override PartName="/xl/charts/chart54.xml" ContentType="application/vnd.openxmlformats-officedocument.drawingml.chart+xml"/>
  <Override PartName="/xl/drawings/drawing67.xml" ContentType="application/vnd.openxmlformats-officedocument.drawingml.chartshapes+xml"/>
  <Override PartName="/xl/charts/chart55.xml" ContentType="application/vnd.openxmlformats-officedocument.drawingml.chart+xml"/>
  <Override PartName="/xl/drawings/drawing68.xml" ContentType="application/vnd.openxmlformats-officedocument.drawingml.chartshapes+xml"/>
  <Override PartName="/xl/charts/chart56.xml" ContentType="application/vnd.openxmlformats-officedocument.drawingml.chart+xml"/>
  <Override PartName="/xl/drawings/drawing69.xml" ContentType="application/vnd.openxmlformats-officedocument.drawingml.chartshapes+xml"/>
  <Override PartName="/xl/drawings/drawing70.xml" ContentType="application/vnd.openxmlformats-officedocument.drawing+xml"/>
  <Override PartName="/xl/charts/chart57.xml" ContentType="application/vnd.openxmlformats-officedocument.drawingml.chart+xml"/>
  <Override PartName="/xl/drawings/drawing71.xml" ContentType="application/vnd.openxmlformats-officedocument.drawingml.chartshapes+xml"/>
  <Override PartName="/xl/charts/chart58.xml" ContentType="application/vnd.openxmlformats-officedocument.drawingml.chart+xml"/>
  <Override PartName="/xl/drawings/drawing72.xml" ContentType="application/vnd.openxmlformats-officedocument.drawingml.chartshapes+xml"/>
  <Override PartName="/xl/charts/chart59.xml" ContentType="application/vnd.openxmlformats-officedocument.drawingml.chart+xml"/>
  <Override PartName="/xl/drawings/drawing73.xml" ContentType="application/vnd.openxmlformats-officedocument.drawingml.chartshapes+xml"/>
  <Override PartName="/xl/charts/chart60.xml" ContentType="application/vnd.openxmlformats-officedocument.drawingml.chart+xml"/>
  <Override PartName="/xl/drawings/drawing74.xml" ContentType="application/vnd.openxmlformats-officedocument.drawingml.chartshapes+xml"/>
  <Override PartName="/xl/drawings/drawing75.xml" ContentType="application/vnd.openxmlformats-officedocument.drawing+xml"/>
  <Override PartName="/xl/charts/chart61.xml" ContentType="application/vnd.openxmlformats-officedocument.drawingml.chart+xml"/>
  <Override PartName="/xl/drawings/drawing76.xml" ContentType="application/vnd.openxmlformats-officedocument.drawingml.chartshapes+xml"/>
  <Override PartName="/xl/charts/chart62.xml" ContentType="application/vnd.openxmlformats-officedocument.drawingml.chart+xml"/>
  <Override PartName="/xl/drawings/drawing77.xml" ContentType="application/vnd.openxmlformats-officedocument.drawingml.chartshapes+xml"/>
  <Override PartName="/xl/charts/chart63.xml" ContentType="application/vnd.openxmlformats-officedocument.drawingml.chart+xml"/>
  <Override PartName="/xl/drawings/drawing78.xml" ContentType="application/vnd.openxmlformats-officedocument.drawingml.chartshapes+xml"/>
  <Override PartName="/xl/charts/chart64.xml" ContentType="application/vnd.openxmlformats-officedocument.drawingml.chart+xml"/>
  <Override PartName="/xl/drawings/drawing79.xml" ContentType="application/vnd.openxmlformats-officedocument.drawingml.chartshapes+xml"/>
  <Override PartName="/xl/drawings/drawing80.xml" ContentType="application/vnd.openxmlformats-officedocument.drawing+xml"/>
  <Override PartName="/xl/charts/chart65.xml" ContentType="application/vnd.openxmlformats-officedocument.drawingml.chart+xml"/>
  <Override PartName="/xl/charts/chart6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24226"/>
  <mc:AlternateContent xmlns:mc="http://schemas.openxmlformats.org/markup-compatibility/2006">
    <mc:Choice Requires="x15">
      <x15ac:absPath xmlns:x15ac="http://schemas.microsoft.com/office/spreadsheetml/2010/11/ac" url="C:\QMWARELIMS12\AZURESKY SYSTEM\AZURESKY QMS\CONTROL CHARTS\"/>
    </mc:Choice>
  </mc:AlternateContent>
  <xr:revisionPtr revIDLastSave="0" documentId="13_ncr:1_{58AE211D-F080-4BF9-8C27-38F1EC8E23BB}" xr6:coauthVersionLast="47" xr6:coauthVersionMax="47" xr10:uidLastSave="{00000000-0000-0000-0000-000000000000}"/>
  <bookViews>
    <workbookView xWindow="-108" yWindow="-108" windowWidth="23256" windowHeight="12456" firstSheet="5" activeTab="9" xr2:uid="{00000000-000D-0000-FFFF-FFFF00000000}"/>
  </bookViews>
  <sheets>
    <sheet name="Instructions" sheetId="21" state="hidden" r:id="rId1"/>
    <sheet name="Data Input" sheetId="6" r:id="rId2"/>
    <sheet name="CV Chart - Low" sheetId="57" r:id="rId3"/>
    <sheet name="Plot Data" sheetId="2" r:id="rId4"/>
    <sheet name="CV Chart" sheetId="20" r:id="rId5"/>
    <sheet name="CV Chart - Benzoic" sheetId="56" r:id="rId6"/>
    <sheet name="TS Chart Low" sheetId="18" r:id="rId7"/>
    <sheet name="TS Chart High" sheetId="52" r:id="rId8"/>
    <sheet name="MIAS Chart" sheetId="19" r:id="rId9"/>
    <sheet name="VM Chart" sheetId="17" r:id="rId10"/>
    <sheet name="ISO Ash Chart" sheetId="1" r:id="rId11"/>
    <sheet name="Quick Ash Chart" sheetId="7" r:id="rId12"/>
    <sheet name="ACTION SHEET CONTROL CHARTS" sheetId="58" state="hidden" r:id="rId13"/>
    <sheet name="AFT Cu Chart" sheetId="53" state="hidden" r:id="rId14"/>
    <sheet name="AFT Ni Chart" sheetId="54" state="hidden" r:id="rId15"/>
    <sheet name="AFT QC" sheetId="55" state="hidden" r:id="rId16"/>
    <sheet name="CV 1" sheetId="29" state="hidden" r:id="rId17"/>
    <sheet name="Sulphur 1" sheetId="34" state="hidden" r:id="rId18"/>
    <sheet name="MIAS 1" sheetId="35" state="hidden" r:id="rId19"/>
    <sheet name="VM 1" sheetId="36" state="hidden" r:id="rId20"/>
    <sheet name="ISO Ash 1" sheetId="37" state="hidden" r:id="rId21"/>
    <sheet name="Q Ash 1" sheetId="38" state="hidden" r:id="rId22"/>
    <sheet name="Rules" sheetId="8" state="hidden" r:id="rId23"/>
    <sheet name="Control Chart Flow Diagram" sheetId="9" state="hidden" r:id="rId24"/>
    <sheet name="Rule 1 Fail Examples" sheetId="10" state="hidden" r:id="rId25"/>
    <sheet name="Rule 2 Fail Examples" sheetId="44" state="hidden" r:id="rId26"/>
    <sheet name="Rule 3 Fail Examples" sheetId="45" state="hidden" r:id="rId27"/>
    <sheet name="Rule 4 Fail Examples" sheetId="46" state="hidden" r:id="rId28"/>
    <sheet name="CV Training Rule 1" sheetId="39" state="hidden" r:id="rId29"/>
    <sheet name="CV Training Rule 2" sheetId="49" state="hidden" r:id="rId30"/>
    <sheet name="CV Training Rule 3" sheetId="50" state="hidden" r:id="rId31"/>
    <sheet name="CV Training Rule 4" sheetId="51" state="hidden" r:id="rId32"/>
    <sheet name="CV Training Range" sheetId="43" state="hidden" r:id="rId33"/>
  </sheets>
  <externalReferences>
    <externalReference r:id="rId34"/>
    <externalReference r:id="rId35"/>
  </externalReferences>
  <definedNames>
    <definedName name="_xlnm.Print_Area" localSheetId="13">'AFT Cu Chart'!$B$1:$AT$86</definedName>
    <definedName name="_xlnm.Print_Area" localSheetId="14">'AFT Ni Chart'!$B$1:$AT$86</definedName>
    <definedName name="_xlnm.Print_Area" localSheetId="15">'AFT QC'!$B$1:$AT$174</definedName>
    <definedName name="_xlnm.Print_Area" localSheetId="4">'CV Chart'!$B$2:$AT$86</definedName>
    <definedName name="_xlnm.Print_Area" localSheetId="5">'CV Chart - Benzoic'!$B$1:$AT$86</definedName>
    <definedName name="_xlnm.Print_Area" localSheetId="2">'CV Chart - Low'!$B$1:$AT$86</definedName>
    <definedName name="_xlnm.Print_Area" localSheetId="1">'Data Input'!$B$1:$AV$97</definedName>
    <definedName name="_xlnm.Print_Area" localSheetId="10">'ISO Ash Chart'!$B$2:$AT$86</definedName>
    <definedName name="_xlnm.Print_Area" localSheetId="8">'MIAS Chart'!$B$1:$AT$86</definedName>
    <definedName name="_xlnm.Print_Area" localSheetId="11">'Quick Ash Chart'!$B$2:$AT$86</definedName>
    <definedName name="_xlnm.Print_Area" localSheetId="24">'Rule 1 Fail Examples'!$B$30:$M$81</definedName>
    <definedName name="_xlnm.Print_Area" localSheetId="25">'Rule 2 Fail Examples'!$B$28:$M$79</definedName>
    <definedName name="_xlnm.Print_Area" localSheetId="26">'Rule 3 Fail Examples'!$B$28:$M$79</definedName>
    <definedName name="_xlnm.Print_Area" localSheetId="27">'Rule 4 Fail Examples'!$B$28:$M$79</definedName>
    <definedName name="_xlnm.Print_Area" localSheetId="22">Rules!$A$3:$C$16</definedName>
    <definedName name="_xlnm.Print_Area" localSheetId="7">'TS Chart High'!$B$1:$AT$86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0" i="2" l="1"/>
  <c r="F58" i="2"/>
  <c r="F55" i="2"/>
  <c r="F56" i="2"/>
  <c r="F57" i="2"/>
  <c r="F59" i="2"/>
  <c r="C58" i="2"/>
  <c r="F65" i="2" l="1"/>
  <c r="F68" i="2"/>
  <c r="F64" i="2"/>
  <c r="F67" i="2"/>
  <c r="F62" i="2"/>
  <c r="F66" i="2"/>
  <c r="F63" i="2"/>
  <c r="F61" i="2"/>
  <c r="C21" i="57"/>
  <c r="E58" i="2"/>
  <c r="S9" i="2"/>
  <c r="S10" i="2"/>
  <c r="S11" i="2"/>
  <c r="S12" i="2"/>
  <c r="S13" i="2"/>
  <c r="S14" i="2"/>
  <c r="S15" i="2"/>
  <c r="S16" i="2"/>
  <c r="S17" i="2"/>
  <c r="S18" i="2"/>
  <c r="S19" i="2"/>
  <c r="S20" i="2"/>
  <c r="S21" i="2"/>
  <c r="S22" i="2"/>
  <c r="S23" i="2"/>
  <c r="S24" i="2"/>
  <c r="S25" i="2"/>
  <c r="S26" i="2"/>
  <c r="S27" i="2"/>
  <c r="S28" i="2"/>
  <c r="S29" i="2"/>
  <c r="S30" i="2"/>
  <c r="S31" i="2"/>
  <c r="S32" i="2"/>
  <c r="S33" i="2"/>
  <c r="S8" i="2"/>
  <c r="W63" i="6" l="1"/>
  <c r="X88" i="6"/>
  <c r="X89" i="6"/>
  <c r="X90" i="6"/>
  <c r="X91" i="6"/>
  <c r="X92" i="6"/>
  <c r="X93" i="6" l="1"/>
  <c r="AV88" i="6"/>
  <c r="AV89" i="6"/>
  <c r="AV90" i="6"/>
  <c r="AV91" i="6"/>
  <c r="AV92" i="6"/>
  <c r="H88" i="6"/>
  <c r="AV93" i="6" l="1"/>
  <c r="H89" i="6"/>
  <c r="H90" i="6"/>
  <c r="H91" i="6"/>
  <c r="H92" i="6"/>
  <c r="AM40" i="6"/>
  <c r="AM41" i="6"/>
  <c r="AM42" i="6"/>
  <c r="AM43" i="6"/>
  <c r="AM44" i="6"/>
  <c r="AM45" i="6"/>
  <c r="AM46" i="6"/>
  <c r="AM47" i="6"/>
  <c r="AM48" i="6"/>
  <c r="AM49" i="6"/>
  <c r="AM50" i="6"/>
  <c r="AM51" i="6"/>
  <c r="AM52" i="6"/>
  <c r="AM53" i="6"/>
  <c r="AM54" i="6"/>
  <c r="AM55" i="6"/>
  <c r="AM56" i="6"/>
  <c r="AM57" i="6"/>
  <c r="AM58" i="6"/>
  <c r="AM59" i="6"/>
  <c r="AM60" i="6"/>
  <c r="AM61" i="6"/>
  <c r="H93" i="6" l="1"/>
  <c r="H60" i="2"/>
  <c r="H59" i="2" l="1"/>
  <c r="H58" i="2"/>
  <c r="H68" i="2" s="1"/>
  <c r="G48" i="6"/>
  <c r="O48" i="6"/>
  <c r="W48" i="6"/>
  <c r="AE48" i="6"/>
  <c r="AU48" i="6"/>
  <c r="BD48" i="6"/>
  <c r="BC48" i="6" s="1"/>
  <c r="C60" i="2" l="1"/>
  <c r="C59" i="2"/>
  <c r="AK2" i="18"/>
  <c r="G8" i="6" l="1"/>
  <c r="R62" i="2" l="1"/>
  <c r="C55" i="57" l="1"/>
  <c r="C69" i="57" s="1"/>
  <c r="C77" i="57" s="1"/>
  <c r="C81" i="57" s="1"/>
  <c r="L2" i="57"/>
  <c r="P60" i="2"/>
  <c r="P57" i="2"/>
  <c r="P56" i="2"/>
  <c r="P55" i="2"/>
  <c r="P54" i="2"/>
  <c r="P53" i="2"/>
  <c r="P52" i="2"/>
  <c r="P51" i="2"/>
  <c r="P50" i="2"/>
  <c r="P49" i="2"/>
  <c r="P48" i="2"/>
  <c r="P47" i="2"/>
  <c r="P46" i="2"/>
  <c r="P45" i="2"/>
  <c r="P44" i="2"/>
  <c r="P43" i="2"/>
  <c r="P42" i="2"/>
  <c r="P41" i="2"/>
  <c r="P40" i="2"/>
  <c r="P39" i="2"/>
  <c r="P38" i="2"/>
  <c r="P37" i="2"/>
  <c r="P36" i="2"/>
  <c r="AK2" i="56"/>
  <c r="BE92" i="6"/>
  <c r="BE91" i="6"/>
  <c r="BE90" i="6"/>
  <c r="BE89" i="6"/>
  <c r="BD36" i="6" s="1"/>
  <c r="BE88" i="6"/>
  <c r="BC30" i="6" s="1"/>
  <c r="BD87" i="6"/>
  <c r="BC87" i="6" s="1"/>
  <c r="BD86" i="6"/>
  <c r="BC86" i="6" s="1"/>
  <c r="BD85" i="6"/>
  <c r="BC85" i="6" s="1"/>
  <c r="BD84" i="6"/>
  <c r="BC84" i="6" s="1"/>
  <c r="BD83" i="6"/>
  <c r="BC83" i="6" s="1"/>
  <c r="BD82" i="6"/>
  <c r="BC82" i="6" s="1"/>
  <c r="BD81" i="6"/>
  <c r="BC81" i="6" s="1"/>
  <c r="BD80" i="6"/>
  <c r="BC80" i="6" s="1"/>
  <c r="BD79" i="6"/>
  <c r="BC79" i="6" s="1"/>
  <c r="BD78" i="6"/>
  <c r="BC78" i="6" s="1"/>
  <c r="BD77" i="6"/>
  <c r="BC77" i="6" s="1"/>
  <c r="BD76" i="6"/>
  <c r="BC76" i="6" s="1"/>
  <c r="BD75" i="6"/>
  <c r="BC75" i="6" s="1"/>
  <c r="BD74" i="6"/>
  <c r="BC74" i="6" s="1"/>
  <c r="BD73" i="6"/>
  <c r="BC73" i="6" s="1"/>
  <c r="BD72" i="6"/>
  <c r="BC72" i="6" s="1"/>
  <c r="BD71" i="6"/>
  <c r="BC71" i="6" s="1"/>
  <c r="BD70" i="6"/>
  <c r="BC70" i="6" s="1"/>
  <c r="BD69" i="6"/>
  <c r="BC69" i="6" s="1"/>
  <c r="BD68" i="6"/>
  <c r="BC68" i="6" s="1"/>
  <c r="BD67" i="6"/>
  <c r="BC67" i="6" s="1"/>
  <c r="BD66" i="6"/>
  <c r="BC66" i="6" s="1"/>
  <c r="BD65" i="6"/>
  <c r="BC65" i="6" s="1"/>
  <c r="BD64" i="6"/>
  <c r="BC64" i="6" s="1"/>
  <c r="BD63" i="6"/>
  <c r="BC63" i="6" s="1"/>
  <c r="BD62" i="6"/>
  <c r="BC62" i="6" s="1"/>
  <c r="BD61" i="6"/>
  <c r="BC61" i="6" s="1"/>
  <c r="BD60" i="6"/>
  <c r="BC60" i="6" s="1"/>
  <c r="BD59" i="6"/>
  <c r="BC59" i="6" s="1"/>
  <c r="BD58" i="6"/>
  <c r="BC58" i="6" s="1"/>
  <c r="BD57" i="6"/>
  <c r="BC57" i="6" s="1"/>
  <c r="BD56" i="6"/>
  <c r="BC56" i="6" s="1"/>
  <c r="BD55" i="6"/>
  <c r="BC55" i="6" s="1"/>
  <c r="BD54" i="6"/>
  <c r="BC54" i="6" s="1"/>
  <c r="BD53" i="6"/>
  <c r="BC53" i="6" s="1"/>
  <c r="BD52" i="6"/>
  <c r="BC52" i="6" s="1"/>
  <c r="BD51" i="6"/>
  <c r="BC51" i="6" s="1"/>
  <c r="BD50" i="6"/>
  <c r="BC50" i="6" s="1"/>
  <c r="BC20" i="6"/>
  <c r="BC19" i="6"/>
  <c r="C55" i="56"/>
  <c r="C69" i="56" s="1"/>
  <c r="C77" i="56" s="1"/>
  <c r="C81" i="56" s="1"/>
  <c r="L2" i="56"/>
  <c r="BE93" i="6" l="1"/>
  <c r="BC23" i="6"/>
  <c r="BC24" i="6" s="1"/>
  <c r="C63" i="57"/>
  <c r="C59" i="57" s="1"/>
  <c r="BC34" i="6"/>
  <c r="BC35" i="6"/>
  <c r="C63" i="56"/>
  <c r="C59" i="56" s="1"/>
  <c r="L2" i="55"/>
  <c r="O59" i="2" l="1"/>
  <c r="O58" i="2"/>
  <c r="C151" i="55" s="1"/>
  <c r="N59" i="2"/>
  <c r="N58" i="2"/>
  <c r="C111" i="55" s="1"/>
  <c r="M59" i="2"/>
  <c r="M58" i="2"/>
  <c r="L59" i="2"/>
  <c r="L58" i="2"/>
  <c r="L2" i="54"/>
  <c r="K60" i="2"/>
  <c r="K59" i="2"/>
  <c r="K58" i="2"/>
  <c r="C55" i="54" s="1"/>
  <c r="C69" i="54" s="1"/>
  <c r="C55" i="53"/>
  <c r="L2" i="53"/>
  <c r="C69" i="53"/>
  <c r="C77" i="53" s="1"/>
  <c r="C81" i="53" s="1"/>
  <c r="C63" i="53" l="1"/>
  <c r="C59" i="53" s="1"/>
  <c r="K61" i="2"/>
  <c r="C71" i="55"/>
  <c r="C31" i="55"/>
  <c r="O61" i="2"/>
  <c r="M61" i="2"/>
  <c r="N65" i="2"/>
  <c r="C123" i="55" s="1"/>
  <c r="M62" i="2"/>
  <c r="C59" i="55" s="1"/>
  <c r="O65" i="2"/>
  <c r="C163" i="55" s="1"/>
  <c r="M65" i="2"/>
  <c r="C83" i="55" s="1"/>
  <c r="N63" i="2"/>
  <c r="C105" i="55" s="1"/>
  <c r="N66" i="2"/>
  <c r="C117" i="55" s="1"/>
  <c r="C113" i="55" s="1"/>
  <c r="N67" i="2"/>
  <c r="C129" i="55" s="1"/>
  <c r="L65" i="2"/>
  <c r="C43" i="55" s="1"/>
  <c r="L61" i="2"/>
  <c r="O62" i="2"/>
  <c r="C139" i="55" s="1"/>
  <c r="O66" i="2"/>
  <c r="C157" i="55" s="1"/>
  <c r="C153" i="55" s="1"/>
  <c r="O63" i="2"/>
  <c r="C145" i="55" s="1"/>
  <c r="C147" i="55" s="1"/>
  <c r="O67" i="2"/>
  <c r="C169" i="55" s="1"/>
  <c r="C165" i="55" s="1"/>
  <c r="O64" i="2"/>
  <c r="C133" i="55" s="1"/>
  <c r="N64" i="2"/>
  <c r="C93" i="55" s="1"/>
  <c r="N61" i="2"/>
  <c r="N62" i="2"/>
  <c r="C99" i="55" s="1"/>
  <c r="M66" i="2"/>
  <c r="C77" i="55" s="1"/>
  <c r="M63" i="2"/>
  <c r="C65" i="55" s="1"/>
  <c r="M67" i="2"/>
  <c r="C89" i="55" s="1"/>
  <c r="M64" i="2"/>
  <c r="C53" i="55" s="1"/>
  <c r="L62" i="2"/>
  <c r="C19" i="55" s="1"/>
  <c r="L66" i="2"/>
  <c r="C37" i="55" s="1"/>
  <c r="L63" i="2"/>
  <c r="C25" i="55" s="1"/>
  <c r="L67" i="2"/>
  <c r="C49" i="55" s="1"/>
  <c r="L64" i="2"/>
  <c r="C13" i="55" s="1"/>
  <c r="K65" i="2"/>
  <c r="C43" i="54" s="1"/>
  <c r="C31" i="54"/>
  <c r="K62" i="2"/>
  <c r="C19" i="54" s="1"/>
  <c r="K66" i="2"/>
  <c r="C37" i="54" s="1"/>
  <c r="K63" i="2"/>
  <c r="C25" i="54" s="1"/>
  <c r="K67" i="2"/>
  <c r="C49" i="54" s="1"/>
  <c r="K64" i="2"/>
  <c r="C13" i="54" s="1"/>
  <c r="C77" i="54"/>
  <c r="C81" i="54" s="1"/>
  <c r="C63" i="54"/>
  <c r="C59" i="54" s="1"/>
  <c r="J59" i="2"/>
  <c r="J58" i="2"/>
  <c r="C31" i="53" s="1"/>
  <c r="AK2" i="52"/>
  <c r="L2" i="52"/>
  <c r="I38" i="2"/>
  <c r="C95" i="55" l="1"/>
  <c r="C119" i="55"/>
  <c r="C125" i="55"/>
  <c r="C135" i="55"/>
  <c r="C159" i="55"/>
  <c r="C141" i="55"/>
  <c r="C101" i="55"/>
  <c r="C107" i="55"/>
  <c r="C85" i="55"/>
  <c r="C61" i="55"/>
  <c r="C45" i="55"/>
  <c r="C67" i="55"/>
  <c r="C73" i="55"/>
  <c r="C79" i="55"/>
  <c r="C55" i="55"/>
  <c r="C33" i="54"/>
  <c r="C21" i="54"/>
  <c r="C39" i="54"/>
  <c r="C45" i="54"/>
  <c r="C21" i="55"/>
  <c r="C33" i="55"/>
  <c r="C27" i="55"/>
  <c r="C15" i="55"/>
  <c r="C39" i="55"/>
  <c r="C15" i="54"/>
  <c r="C27" i="54"/>
  <c r="J64" i="2"/>
  <c r="C13" i="53" s="1"/>
  <c r="J66" i="2"/>
  <c r="C37" i="53" s="1"/>
  <c r="C33" i="53" s="1"/>
  <c r="J62" i="2"/>
  <c r="C19" i="53" s="1"/>
  <c r="J65" i="2"/>
  <c r="C43" i="53" s="1"/>
  <c r="J67" i="2"/>
  <c r="C49" i="53" s="1"/>
  <c r="J63" i="2"/>
  <c r="C25" i="53" s="1"/>
  <c r="J61" i="2"/>
  <c r="C45" i="53" l="1"/>
  <c r="C21" i="53"/>
  <c r="C39" i="53"/>
  <c r="C15" i="53"/>
  <c r="C27" i="53"/>
  <c r="BF17" i="51" l="1"/>
  <c r="BE17" i="51"/>
  <c r="AX17" i="51"/>
  <c r="AW17" i="51"/>
  <c r="BF16" i="51"/>
  <c r="BE16" i="51"/>
  <c r="AX16" i="51"/>
  <c r="AW16" i="51"/>
  <c r="BF15" i="51"/>
  <c r="BE15" i="51"/>
  <c r="AX15" i="51"/>
  <c r="AW15" i="51"/>
  <c r="BF14" i="51"/>
  <c r="BE14" i="51"/>
  <c r="AX14" i="51"/>
  <c r="AW14" i="51"/>
  <c r="BF13" i="51"/>
  <c r="BE13" i="51"/>
  <c r="AX13" i="51"/>
  <c r="AW13" i="51"/>
  <c r="BF12" i="51"/>
  <c r="BE12" i="51"/>
  <c r="AX12" i="51"/>
  <c r="AW12" i="51"/>
  <c r="BF11" i="51"/>
  <c r="BE11" i="51"/>
  <c r="AX11" i="51"/>
  <c r="AW11" i="51"/>
  <c r="N42" i="51"/>
  <c r="M42" i="51"/>
  <c r="L42" i="51"/>
  <c r="K42" i="51"/>
  <c r="J42" i="51"/>
  <c r="I42" i="51"/>
  <c r="H42" i="51"/>
  <c r="S42" i="51" s="1"/>
  <c r="G42" i="51"/>
  <c r="N41" i="51"/>
  <c r="M41" i="51"/>
  <c r="L41" i="51"/>
  <c r="K41" i="51"/>
  <c r="J41" i="51"/>
  <c r="I41" i="51"/>
  <c r="H41" i="51"/>
  <c r="S41" i="51" s="1"/>
  <c r="G41" i="51"/>
  <c r="N40" i="51"/>
  <c r="M40" i="51"/>
  <c r="L40" i="51"/>
  <c r="K40" i="51"/>
  <c r="J40" i="51"/>
  <c r="I40" i="51"/>
  <c r="H40" i="51"/>
  <c r="S40" i="51" s="1"/>
  <c r="G40" i="51"/>
  <c r="N39" i="51"/>
  <c r="M39" i="51"/>
  <c r="L39" i="51"/>
  <c r="K39" i="51"/>
  <c r="J39" i="51"/>
  <c r="I39" i="51"/>
  <c r="H39" i="51"/>
  <c r="S39" i="51" s="1"/>
  <c r="G39" i="51"/>
  <c r="N38" i="51"/>
  <c r="M38" i="51"/>
  <c r="L38" i="51"/>
  <c r="K38" i="51"/>
  <c r="J38" i="51"/>
  <c r="I38" i="51"/>
  <c r="H38" i="51"/>
  <c r="S38" i="51" s="1"/>
  <c r="G38" i="51"/>
  <c r="N37" i="51"/>
  <c r="M37" i="51"/>
  <c r="L37" i="51"/>
  <c r="K37" i="51"/>
  <c r="J37" i="51"/>
  <c r="I37" i="51"/>
  <c r="H37" i="51"/>
  <c r="S37" i="51" s="1"/>
  <c r="G37" i="51"/>
  <c r="N36" i="51"/>
  <c r="M36" i="51"/>
  <c r="L36" i="51"/>
  <c r="K36" i="51"/>
  <c r="J36" i="51"/>
  <c r="I36" i="51"/>
  <c r="H36" i="51"/>
  <c r="S36" i="51" s="1"/>
  <c r="G36" i="51"/>
  <c r="N35" i="51"/>
  <c r="M35" i="51"/>
  <c r="L35" i="51"/>
  <c r="K35" i="51"/>
  <c r="J35" i="51"/>
  <c r="I35" i="51"/>
  <c r="H35" i="51"/>
  <c r="S35" i="51" s="1"/>
  <c r="G35" i="51"/>
  <c r="N34" i="51"/>
  <c r="M34" i="51"/>
  <c r="L34" i="51"/>
  <c r="K34" i="51"/>
  <c r="J34" i="51"/>
  <c r="I34" i="51"/>
  <c r="H34" i="51"/>
  <c r="S34" i="51" s="1"/>
  <c r="G34" i="51"/>
  <c r="N33" i="51"/>
  <c r="M33" i="51"/>
  <c r="L33" i="51"/>
  <c r="K33" i="51"/>
  <c r="J33" i="51"/>
  <c r="I33" i="51"/>
  <c r="H33" i="51"/>
  <c r="S33" i="51" s="1"/>
  <c r="G33" i="51"/>
  <c r="N32" i="51"/>
  <c r="M32" i="51"/>
  <c r="L32" i="51"/>
  <c r="K32" i="51"/>
  <c r="J32" i="51"/>
  <c r="I32" i="51"/>
  <c r="H32" i="51"/>
  <c r="S32" i="51" s="1"/>
  <c r="G32" i="51"/>
  <c r="N31" i="51"/>
  <c r="M31" i="51"/>
  <c r="L31" i="51"/>
  <c r="K31" i="51"/>
  <c r="J31" i="51"/>
  <c r="I31" i="51"/>
  <c r="H31" i="51"/>
  <c r="S31" i="51" s="1"/>
  <c r="G31" i="51"/>
  <c r="N30" i="51"/>
  <c r="M30" i="51"/>
  <c r="L30" i="51"/>
  <c r="K30" i="51"/>
  <c r="J30" i="51"/>
  <c r="I30" i="51"/>
  <c r="H30" i="51"/>
  <c r="S30" i="51" s="1"/>
  <c r="G30" i="51"/>
  <c r="N29" i="51"/>
  <c r="M29" i="51"/>
  <c r="L29" i="51"/>
  <c r="K29" i="51"/>
  <c r="J29" i="51"/>
  <c r="I29" i="51"/>
  <c r="H29" i="51"/>
  <c r="S29" i="51" s="1"/>
  <c r="G29" i="51"/>
  <c r="N28" i="51"/>
  <c r="M28" i="51"/>
  <c r="L28" i="51"/>
  <c r="K28" i="51"/>
  <c r="J28" i="51"/>
  <c r="I28" i="51"/>
  <c r="H28" i="51"/>
  <c r="S28" i="51" s="1"/>
  <c r="G28" i="51"/>
  <c r="N27" i="51"/>
  <c r="M27" i="51"/>
  <c r="L27" i="51"/>
  <c r="K27" i="51"/>
  <c r="J27" i="51"/>
  <c r="I27" i="51"/>
  <c r="H27" i="51"/>
  <c r="S27" i="51" s="1"/>
  <c r="G27" i="51"/>
  <c r="N26" i="51"/>
  <c r="M26" i="51"/>
  <c r="L26" i="51"/>
  <c r="K26" i="51"/>
  <c r="J26" i="51"/>
  <c r="I26" i="51"/>
  <c r="H26" i="51"/>
  <c r="S26" i="51" s="1"/>
  <c r="G26" i="51"/>
  <c r="N25" i="51"/>
  <c r="M25" i="51"/>
  <c r="L25" i="51"/>
  <c r="K25" i="51"/>
  <c r="J25" i="51"/>
  <c r="I25" i="51"/>
  <c r="H25" i="51"/>
  <c r="S25" i="51" s="1"/>
  <c r="G25" i="51"/>
  <c r="N24" i="51"/>
  <c r="M24" i="51"/>
  <c r="L24" i="51"/>
  <c r="K24" i="51"/>
  <c r="J24" i="51"/>
  <c r="I24" i="51"/>
  <c r="H24" i="51"/>
  <c r="S24" i="51" s="1"/>
  <c r="G24" i="51"/>
  <c r="N23" i="51"/>
  <c r="M23" i="51"/>
  <c r="L23" i="51"/>
  <c r="K23" i="51"/>
  <c r="J23" i="51"/>
  <c r="I23" i="51"/>
  <c r="H23" i="51"/>
  <c r="S23" i="51" s="1"/>
  <c r="G23" i="51"/>
  <c r="N22" i="51"/>
  <c r="M22" i="51"/>
  <c r="L22" i="51"/>
  <c r="K22" i="51"/>
  <c r="J22" i="51"/>
  <c r="I22" i="51"/>
  <c r="H22" i="51"/>
  <c r="S22" i="51" s="1"/>
  <c r="G22" i="51"/>
  <c r="AL17" i="51"/>
  <c r="AK17" i="51"/>
  <c r="AD17" i="51"/>
  <c r="AC17" i="51"/>
  <c r="AL16" i="51"/>
  <c r="AK16" i="51"/>
  <c r="AD16" i="51"/>
  <c r="AC16" i="51"/>
  <c r="AL15" i="51"/>
  <c r="AK15" i="51"/>
  <c r="AD15" i="51"/>
  <c r="AC15" i="51"/>
  <c r="AL14" i="51"/>
  <c r="AK14" i="51"/>
  <c r="AD14" i="51"/>
  <c r="AC14" i="51"/>
  <c r="AL13" i="51"/>
  <c r="AK13" i="51"/>
  <c r="AD13" i="51"/>
  <c r="AC13" i="51"/>
  <c r="AL12" i="51"/>
  <c r="AK12" i="51"/>
  <c r="AD12" i="51"/>
  <c r="AC12" i="51"/>
  <c r="AL11" i="51"/>
  <c r="AK11" i="51"/>
  <c r="AD11" i="51"/>
  <c r="AC11" i="51"/>
  <c r="BE19" i="50"/>
  <c r="BD19" i="50"/>
  <c r="BE18" i="50"/>
  <c r="BD18" i="50"/>
  <c r="AW19" i="50"/>
  <c r="AV19" i="50"/>
  <c r="AW18" i="50"/>
  <c r="AV18" i="50"/>
  <c r="AK19" i="50"/>
  <c r="AJ19" i="50"/>
  <c r="AK18" i="50"/>
  <c r="AJ18" i="50"/>
  <c r="AC19" i="50"/>
  <c r="AB19" i="50"/>
  <c r="AC18" i="50"/>
  <c r="AB18" i="50"/>
  <c r="N42" i="50"/>
  <c r="M42" i="50"/>
  <c r="L42" i="50"/>
  <c r="K42" i="50"/>
  <c r="J42" i="50"/>
  <c r="I42" i="50"/>
  <c r="H42" i="50"/>
  <c r="S42" i="50" s="1"/>
  <c r="G42" i="50"/>
  <c r="N41" i="50"/>
  <c r="M41" i="50"/>
  <c r="L41" i="50"/>
  <c r="K41" i="50"/>
  <c r="J41" i="50"/>
  <c r="I41" i="50"/>
  <c r="H41" i="50"/>
  <c r="S41" i="50" s="1"/>
  <c r="G41" i="50"/>
  <c r="N40" i="50"/>
  <c r="M40" i="50"/>
  <c r="L40" i="50"/>
  <c r="K40" i="50"/>
  <c r="J40" i="50"/>
  <c r="I40" i="50"/>
  <c r="H40" i="50"/>
  <c r="S40" i="50" s="1"/>
  <c r="G40" i="50"/>
  <c r="N39" i="50"/>
  <c r="M39" i="50"/>
  <c r="L39" i="50"/>
  <c r="K39" i="50"/>
  <c r="J39" i="50"/>
  <c r="I39" i="50"/>
  <c r="H39" i="50"/>
  <c r="S39" i="50" s="1"/>
  <c r="G39" i="50"/>
  <c r="N38" i="50"/>
  <c r="M38" i="50"/>
  <c r="L38" i="50"/>
  <c r="K38" i="50"/>
  <c r="J38" i="50"/>
  <c r="I38" i="50"/>
  <c r="H38" i="50"/>
  <c r="S38" i="50" s="1"/>
  <c r="G38" i="50"/>
  <c r="N37" i="50"/>
  <c r="M37" i="50"/>
  <c r="L37" i="50"/>
  <c r="K37" i="50"/>
  <c r="J37" i="50"/>
  <c r="I37" i="50"/>
  <c r="H37" i="50"/>
  <c r="S37" i="50" s="1"/>
  <c r="G37" i="50"/>
  <c r="N36" i="50"/>
  <c r="M36" i="50"/>
  <c r="L36" i="50"/>
  <c r="K36" i="50"/>
  <c r="J36" i="50"/>
  <c r="I36" i="50"/>
  <c r="H36" i="50"/>
  <c r="S36" i="50" s="1"/>
  <c r="G36" i="50"/>
  <c r="N35" i="50"/>
  <c r="M35" i="50"/>
  <c r="L35" i="50"/>
  <c r="K35" i="50"/>
  <c r="J35" i="50"/>
  <c r="I35" i="50"/>
  <c r="H35" i="50"/>
  <c r="S35" i="50" s="1"/>
  <c r="G35" i="50"/>
  <c r="N34" i="50"/>
  <c r="M34" i="50"/>
  <c r="L34" i="50"/>
  <c r="K34" i="50"/>
  <c r="J34" i="50"/>
  <c r="I34" i="50"/>
  <c r="H34" i="50"/>
  <c r="S34" i="50" s="1"/>
  <c r="G34" i="50"/>
  <c r="N33" i="50"/>
  <c r="M33" i="50"/>
  <c r="L33" i="50"/>
  <c r="K33" i="50"/>
  <c r="J33" i="50"/>
  <c r="I33" i="50"/>
  <c r="H33" i="50"/>
  <c r="S33" i="50" s="1"/>
  <c r="G33" i="50"/>
  <c r="N32" i="50"/>
  <c r="M32" i="50"/>
  <c r="L32" i="50"/>
  <c r="K32" i="50"/>
  <c r="J32" i="50"/>
  <c r="I32" i="50"/>
  <c r="H32" i="50"/>
  <c r="S32" i="50" s="1"/>
  <c r="G32" i="50"/>
  <c r="N31" i="50"/>
  <c r="M31" i="50"/>
  <c r="L31" i="50"/>
  <c r="K31" i="50"/>
  <c r="J31" i="50"/>
  <c r="I31" i="50"/>
  <c r="H31" i="50"/>
  <c r="S31" i="50" s="1"/>
  <c r="G31" i="50"/>
  <c r="N30" i="50"/>
  <c r="M30" i="50"/>
  <c r="L30" i="50"/>
  <c r="K30" i="50"/>
  <c r="J30" i="50"/>
  <c r="I30" i="50"/>
  <c r="H30" i="50"/>
  <c r="S30" i="50" s="1"/>
  <c r="G30" i="50"/>
  <c r="N29" i="50"/>
  <c r="M29" i="50"/>
  <c r="L29" i="50"/>
  <c r="K29" i="50"/>
  <c r="J29" i="50"/>
  <c r="I29" i="50"/>
  <c r="H29" i="50"/>
  <c r="S29" i="50" s="1"/>
  <c r="G29" i="50"/>
  <c r="N28" i="50"/>
  <c r="M28" i="50"/>
  <c r="L28" i="50"/>
  <c r="K28" i="50"/>
  <c r="J28" i="50"/>
  <c r="I28" i="50"/>
  <c r="H28" i="50"/>
  <c r="S28" i="50" s="1"/>
  <c r="G28" i="50"/>
  <c r="N27" i="50"/>
  <c r="M27" i="50"/>
  <c r="L27" i="50"/>
  <c r="K27" i="50"/>
  <c r="J27" i="50"/>
  <c r="I27" i="50"/>
  <c r="H27" i="50"/>
  <c r="S27" i="50" s="1"/>
  <c r="G27" i="50"/>
  <c r="N26" i="50"/>
  <c r="M26" i="50"/>
  <c r="L26" i="50"/>
  <c r="K26" i="50"/>
  <c r="J26" i="50"/>
  <c r="I26" i="50"/>
  <c r="H26" i="50"/>
  <c r="S26" i="50" s="1"/>
  <c r="G26" i="50"/>
  <c r="N25" i="50"/>
  <c r="M25" i="50"/>
  <c r="L25" i="50"/>
  <c r="K25" i="50"/>
  <c r="J25" i="50"/>
  <c r="I25" i="50"/>
  <c r="H25" i="50"/>
  <c r="S25" i="50" s="1"/>
  <c r="G25" i="50"/>
  <c r="N24" i="50"/>
  <c r="M24" i="50"/>
  <c r="L24" i="50"/>
  <c r="K24" i="50"/>
  <c r="J24" i="50"/>
  <c r="I24" i="50"/>
  <c r="H24" i="50"/>
  <c r="S24" i="50" s="1"/>
  <c r="G24" i="50"/>
  <c r="N23" i="50"/>
  <c r="M23" i="50"/>
  <c r="L23" i="50"/>
  <c r="K23" i="50"/>
  <c r="J23" i="50"/>
  <c r="I23" i="50"/>
  <c r="H23" i="50"/>
  <c r="S23" i="50" s="1"/>
  <c r="G23" i="50"/>
  <c r="N22" i="50"/>
  <c r="M22" i="50"/>
  <c r="L22" i="50"/>
  <c r="K22" i="50"/>
  <c r="J22" i="50"/>
  <c r="I22" i="50"/>
  <c r="H22" i="50"/>
  <c r="S22" i="50" s="1"/>
  <c r="G22" i="50"/>
  <c r="BE17" i="50"/>
  <c r="BD17" i="50"/>
  <c r="AW17" i="50"/>
  <c r="AV17" i="50"/>
  <c r="AK17" i="50"/>
  <c r="AJ17" i="50"/>
  <c r="AC17" i="50"/>
  <c r="AB17" i="50"/>
  <c r="BE16" i="50"/>
  <c r="BD16" i="50"/>
  <c r="AW16" i="50"/>
  <c r="AV16" i="50"/>
  <c r="AK16" i="50"/>
  <c r="AJ16" i="50"/>
  <c r="AC16" i="50"/>
  <c r="AB16" i="50"/>
  <c r="BE15" i="50"/>
  <c r="BD15" i="50"/>
  <c r="AW15" i="50"/>
  <c r="AV15" i="50"/>
  <c r="AK15" i="50"/>
  <c r="AJ15" i="50"/>
  <c r="AC15" i="50"/>
  <c r="AB15" i="50"/>
  <c r="BE14" i="50"/>
  <c r="BD14" i="50"/>
  <c r="AW14" i="50"/>
  <c r="AV14" i="50"/>
  <c r="AK14" i="50"/>
  <c r="AJ14" i="50"/>
  <c r="AC14" i="50"/>
  <c r="AB14" i="50"/>
  <c r="BE13" i="50"/>
  <c r="BD13" i="50"/>
  <c r="AW13" i="50"/>
  <c r="AV13" i="50"/>
  <c r="AK13" i="50"/>
  <c r="AJ13" i="50"/>
  <c r="AC13" i="50"/>
  <c r="AB13" i="50"/>
  <c r="BE12" i="50"/>
  <c r="BD12" i="50"/>
  <c r="AW12" i="50"/>
  <c r="AV12" i="50"/>
  <c r="AK12" i="50"/>
  <c r="AJ12" i="50"/>
  <c r="AC12" i="50"/>
  <c r="AB12" i="50"/>
  <c r="BE11" i="50"/>
  <c r="BD11" i="50"/>
  <c r="AW11" i="50"/>
  <c r="AV11" i="50"/>
  <c r="AK11" i="50"/>
  <c r="AJ11" i="50"/>
  <c r="AC11" i="50"/>
  <c r="AB11" i="50"/>
  <c r="BY17" i="49"/>
  <c r="BX17" i="49"/>
  <c r="BQ17" i="49"/>
  <c r="BP17" i="49"/>
  <c r="BY16" i="49"/>
  <c r="BX16" i="49"/>
  <c r="BQ16" i="49"/>
  <c r="BP16" i="49"/>
  <c r="BY15" i="49"/>
  <c r="BX15" i="49"/>
  <c r="BQ15" i="49"/>
  <c r="BP15" i="49"/>
  <c r="BY14" i="49"/>
  <c r="BX14" i="49"/>
  <c r="BQ14" i="49"/>
  <c r="BP14" i="49"/>
  <c r="BY13" i="49"/>
  <c r="BX13" i="49"/>
  <c r="BQ13" i="49"/>
  <c r="BP13" i="49"/>
  <c r="BY12" i="49"/>
  <c r="BX12" i="49"/>
  <c r="BQ12" i="49"/>
  <c r="BP12" i="49"/>
  <c r="BY11" i="49"/>
  <c r="BX11" i="49"/>
  <c r="BQ11" i="49"/>
  <c r="BP11" i="49"/>
  <c r="CS17" i="49"/>
  <c r="CR17" i="49"/>
  <c r="CK17" i="49"/>
  <c r="CJ17" i="49"/>
  <c r="CS16" i="49"/>
  <c r="CR16" i="49"/>
  <c r="CK16" i="49"/>
  <c r="CJ16" i="49"/>
  <c r="CS15" i="49"/>
  <c r="CR15" i="49"/>
  <c r="CK15" i="49"/>
  <c r="CJ15" i="49"/>
  <c r="CS14" i="49"/>
  <c r="CR14" i="49"/>
  <c r="CK14" i="49"/>
  <c r="CJ14" i="49"/>
  <c r="CS13" i="49"/>
  <c r="CR13" i="49"/>
  <c r="CK13" i="49"/>
  <c r="CJ13" i="49"/>
  <c r="CS12" i="49"/>
  <c r="CR12" i="49"/>
  <c r="CK12" i="49"/>
  <c r="CJ12" i="49"/>
  <c r="CS11" i="49"/>
  <c r="CR11" i="49"/>
  <c r="CK11" i="49"/>
  <c r="CJ11" i="49"/>
  <c r="BE17" i="49"/>
  <c r="BD17" i="49"/>
  <c r="BE16" i="49"/>
  <c r="BD16" i="49"/>
  <c r="BE15" i="49"/>
  <c r="BD15" i="49"/>
  <c r="BE14" i="49"/>
  <c r="BD14" i="49"/>
  <c r="BE13" i="49"/>
  <c r="BD13" i="49"/>
  <c r="BE12" i="49"/>
  <c r="BD12" i="49"/>
  <c r="BE11" i="49"/>
  <c r="BD11" i="49"/>
  <c r="BE17" i="39"/>
  <c r="BD17" i="39"/>
  <c r="BE16" i="39"/>
  <c r="BD16" i="39"/>
  <c r="BE15" i="39"/>
  <c r="BD15" i="39"/>
  <c r="BE14" i="39"/>
  <c r="BD14" i="39"/>
  <c r="BE13" i="39"/>
  <c r="BD13" i="39"/>
  <c r="BE12" i="39"/>
  <c r="BD12" i="39"/>
  <c r="BE11" i="39"/>
  <c r="BD11" i="39"/>
  <c r="N42" i="49"/>
  <c r="M42" i="49"/>
  <c r="L42" i="49"/>
  <c r="K42" i="49"/>
  <c r="J42" i="49"/>
  <c r="I42" i="49"/>
  <c r="H42" i="49"/>
  <c r="S42" i="49" s="1"/>
  <c r="G42" i="49"/>
  <c r="N41" i="49"/>
  <c r="M41" i="49"/>
  <c r="L41" i="49"/>
  <c r="K41" i="49"/>
  <c r="J41" i="49"/>
  <c r="I41" i="49"/>
  <c r="H41" i="49"/>
  <c r="S41" i="49" s="1"/>
  <c r="G41" i="49"/>
  <c r="N40" i="49"/>
  <c r="M40" i="49"/>
  <c r="L40" i="49"/>
  <c r="K40" i="49"/>
  <c r="J40" i="49"/>
  <c r="I40" i="49"/>
  <c r="H40" i="49"/>
  <c r="S40" i="49" s="1"/>
  <c r="G40" i="49"/>
  <c r="N39" i="49"/>
  <c r="M39" i="49"/>
  <c r="L39" i="49"/>
  <c r="K39" i="49"/>
  <c r="J39" i="49"/>
  <c r="I39" i="49"/>
  <c r="H39" i="49"/>
  <c r="S39" i="49" s="1"/>
  <c r="G39" i="49"/>
  <c r="N38" i="49"/>
  <c r="M38" i="49"/>
  <c r="L38" i="49"/>
  <c r="K38" i="49"/>
  <c r="J38" i="49"/>
  <c r="I38" i="49"/>
  <c r="H38" i="49"/>
  <c r="S38" i="49" s="1"/>
  <c r="G38" i="49"/>
  <c r="N37" i="49"/>
  <c r="M37" i="49"/>
  <c r="L37" i="49"/>
  <c r="K37" i="49"/>
  <c r="J37" i="49"/>
  <c r="I37" i="49"/>
  <c r="H37" i="49"/>
  <c r="S37" i="49" s="1"/>
  <c r="G37" i="49"/>
  <c r="N36" i="49"/>
  <c r="M36" i="49"/>
  <c r="L36" i="49"/>
  <c r="K36" i="49"/>
  <c r="J36" i="49"/>
  <c r="I36" i="49"/>
  <c r="H36" i="49"/>
  <c r="S36" i="49" s="1"/>
  <c r="G36" i="49"/>
  <c r="N35" i="49"/>
  <c r="M35" i="49"/>
  <c r="L35" i="49"/>
  <c r="K35" i="49"/>
  <c r="J35" i="49"/>
  <c r="I35" i="49"/>
  <c r="H35" i="49"/>
  <c r="S35" i="49" s="1"/>
  <c r="G35" i="49"/>
  <c r="N34" i="49"/>
  <c r="M34" i="49"/>
  <c r="L34" i="49"/>
  <c r="K34" i="49"/>
  <c r="J34" i="49"/>
  <c r="I34" i="49"/>
  <c r="H34" i="49"/>
  <c r="S34" i="49" s="1"/>
  <c r="G34" i="49"/>
  <c r="N33" i="49"/>
  <c r="M33" i="49"/>
  <c r="L33" i="49"/>
  <c r="K33" i="49"/>
  <c r="J33" i="49"/>
  <c r="I33" i="49"/>
  <c r="H33" i="49"/>
  <c r="S33" i="49" s="1"/>
  <c r="G33" i="49"/>
  <c r="N32" i="49"/>
  <c r="M32" i="49"/>
  <c r="L32" i="49"/>
  <c r="K32" i="49"/>
  <c r="J32" i="49"/>
  <c r="I32" i="49"/>
  <c r="H32" i="49"/>
  <c r="S32" i="49" s="1"/>
  <c r="G32" i="49"/>
  <c r="N31" i="49"/>
  <c r="M31" i="49"/>
  <c r="L31" i="49"/>
  <c r="K31" i="49"/>
  <c r="J31" i="49"/>
  <c r="I31" i="49"/>
  <c r="H31" i="49"/>
  <c r="S31" i="49" s="1"/>
  <c r="G31" i="49"/>
  <c r="N30" i="49"/>
  <c r="M30" i="49"/>
  <c r="L30" i="49"/>
  <c r="K30" i="49"/>
  <c r="J30" i="49"/>
  <c r="I30" i="49"/>
  <c r="H30" i="49"/>
  <c r="S30" i="49" s="1"/>
  <c r="G30" i="49"/>
  <c r="N29" i="49"/>
  <c r="M29" i="49"/>
  <c r="L29" i="49"/>
  <c r="K29" i="49"/>
  <c r="J29" i="49"/>
  <c r="I29" i="49"/>
  <c r="H29" i="49"/>
  <c r="S29" i="49" s="1"/>
  <c r="G29" i="49"/>
  <c r="N28" i="49"/>
  <c r="M28" i="49"/>
  <c r="L28" i="49"/>
  <c r="K28" i="49"/>
  <c r="J28" i="49"/>
  <c r="I28" i="49"/>
  <c r="H28" i="49"/>
  <c r="S28" i="49" s="1"/>
  <c r="G28" i="49"/>
  <c r="N27" i="49"/>
  <c r="M27" i="49"/>
  <c r="L27" i="49"/>
  <c r="K27" i="49"/>
  <c r="J27" i="49"/>
  <c r="I27" i="49"/>
  <c r="H27" i="49"/>
  <c r="S27" i="49" s="1"/>
  <c r="G27" i="49"/>
  <c r="N26" i="49"/>
  <c r="M26" i="49"/>
  <c r="L26" i="49"/>
  <c r="K26" i="49"/>
  <c r="J26" i="49"/>
  <c r="I26" i="49"/>
  <c r="H26" i="49"/>
  <c r="S26" i="49" s="1"/>
  <c r="G26" i="49"/>
  <c r="N25" i="49"/>
  <c r="M25" i="49"/>
  <c r="L25" i="49"/>
  <c r="K25" i="49"/>
  <c r="J25" i="49"/>
  <c r="I25" i="49"/>
  <c r="H25" i="49"/>
  <c r="S25" i="49" s="1"/>
  <c r="G25" i="49"/>
  <c r="N24" i="49"/>
  <c r="M24" i="49"/>
  <c r="L24" i="49"/>
  <c r="K24" i="49"/>
  <c r="J24" i="49"/>
  <c r="I24" i="49"/>
  <c r="H24" i="49"/>
  <c r="S24" i="49" s="1"/>
  <c r="G24" i="49"/>
  <c r="N23" i="49"/>
  <c r="M23" i="49"/>
  <c r="L23" i="49"/>
  <c r="K23" i="49"/>
  <c r="J23" i="49"/>
  <c r="I23" i="49"/>
  <c r="H23" i="49"/>
  <c r="S23" i="49" s="1"/>
  <c r="G23" i="49"/>
  <c r="N22" i="49"/>
  <c r="M22" i="49"/>
  <c r="L22" i="49"/>
  <c r="K22" i="49"/>
  <c r="J22" i="49"/>
  <c r="I22" i="49"/>
  <c r="H22" i="49"/>
  <c r="S22" i="49" s="1"/>
  <c r="G22" i="49"/>
  <c r="AW17" i="49"/>
  <c r="AV17" i="49"/>
  <c r="AK17" i="49"/>
  <c r="AJ17" i="49"/>
  <c r="AC17" i="49"/>
  <c r="AB17" i="49"/>
  <c r="AW16" i="49"/>
  <c r="AV16" i="49"/>
  <c r="AK16" i="49"/>
  <c r="AJ16" i="49"/>
  <c r="AC16" i="49"/>
  <c r="AB16" i="49"/>
  <c r="AW15" i="49"/>
  <c r="AV15" i="49"/>
  <c r="AK15" i="49"/>
  <c r="AJ15" i="49"/>
  <c r="AC15" i="49"/>
  <c r="AB15" i="49"/>
  <c r="AW14" i="49"/>
  <c r="AV14" i="49"/>
  <c r="AK14" i="49"/>
  <c r="AJ14" i="49"/>
  <c r="AC14" i="49"/>
  <c r="AB14" i="49"/>
  <c r="AW13" i="49"/>
  <c r="AV13" i="49"/>
  <c r="AK13" i="49"/>
  <c r="AJ13" i="49"/>
  <c r="AC13" i="49"/>
  <c r="AB13" i="49"/>
  <c r="AW12" i="49"/>
  <c r="AV12" i="49"/>
  <c r="AK12" i="49"/>
  <c r="AJ12" i="49"/>
  <c r="AC12" i="49"/>
  <c r="AB12" i="49"/>
  <c r="AW11" i="49"/>
  <c r="AV11" i="49"/>
  <c r="AK11" i="49"/>
  <c r="AJ11" i="49"/>
  <c r="AC11" i="49"/>
  <c r="AB11" i="49"/>
  <c r="AK17" i="39"/>
  <c r="AJ17" i="39"/>
  <c r="AK16" i="39"/>
  <c r="AJ16" i="39"/>
  <c r="AK15" i="39"/>
  <c r="AJ15" i="39"/>
  <c r="AK14" i="39"/>
  <c r="AJ14" i="39"/>
  <c r="AK13" i="39"/>
  <c r="AJ13" i="39"/>
  <c r="AK12" i="39"/>
  <c r="AJ12" i="39"/>
  <c r="AK11" i="39"/>
  <c r="AJ11" i="39"/>
  <c r="AW17" i="39"/>
  <c r="AV17" i="39"/>
  <c r="AW16" i="39"/>
  <c r="AV16" i="39"/>
  <c r="AW15" i="39"/>
  <c r="AV15" i="39"/>
  <c r="AW14" i="39"/>
  <c r="AV14" i="39"/>
  <c r="AW13" i="39"/>
  <c r="AV13" i="39"/>
  <c r="AW12" i="39"/>
  <c r="AV12" i="39"/>
  <c r="AW11" i="39"/>
  <c r="AV11" i="39"/>
  <c r="AC17" i="39"/>
  <c r="AB17" i="39"/>
  <c r="AC16" i="39"/>
  <c r="AB16" i="39"/>
  <c r="AC15" i="39"/>
  <c r="AB15" i="39"/>
  <c r="AC14" i="39"/>
  <c r="AB14" i="39"/>
  <c r="AC13" i="39"/>
  <c r="AB13" i="39"/>
  <c r="AC12" i="39"/>
  <c r="AB12" i="39"/>
  <c r="AB11" i="39"/>
  <c r="AC11" i="39"/>
  <c r="R27" i="50" l="1"/>
  <c r="R28" i="50"/>
  <c r="O35" i="50"/>
  <c r="P38" i="50"/>
  <c r="O39" i="50"/>
  <c r="R40" i="50"/>
  <c r="P26" i="49"/>
  <c r="R27" i="49"/>
  <c r="P30" i="49"/>
  <c r="O34" i="49"/>
  <c r="O35" i="49"/>
  <c r="R36" i="49"/>
  <c r="Q37" i="49"/>
  <c r="P31" i="50"/>
  <c r="P32" i="50"/>
  <c r="P34" i="50"/>
  <c r="R36" i="50"/>
  <c r="Q37" i="50"/>
  <c r="Q41" i="49"/>
  <c r="Q41" i="50"/>
  <c r="Q29" i="49"/>
  <c r="P38" i="49"/>
  <c r="O22" i="50"/>
  <c r="O23" i="50"/>
  <c r="O24" i="50"/>
  <c r="O25" i="50"/>
  <c r="Q29" i="50"/>
  <c r="P39" i="50"/>
  <c r="P40" i="50"/>
  <c r="P42" i="50"/>
  <c r="R27" i="51"/>
  <c r="R28" i="49"/>
  <c r="R40" i="49"/>
  <c r="P35" i="50"/>
  <c r="P36" i="50"/>
  <c r="O26" i="49"/>
  <c r="O30" i="49"/>
  <c r="O31" i="49"/>
  <c r="R32" i="49"/>
  <c r="Q33" i="49"/>
  <c r="P42" i="49"/>
  <c r="P24" i="50"/>
  <c r="P25" i="50"/>
  <c r="P26" i="50"/>
  <c r="P30" i="50"/>
  <c r="O31" i="50"/>
  <c r="R32" i="50"/>
  <c r="Q33" i="50"/>
  <c r="O31" i="51"/>
  <c r="P34" i="51"/>
  <c r="O35" i="51"/>
  <c r="P31" i="51"/>
  <c r="P32" i="51"/>
  <c r="Q37" i="51"/>
  <c r="P24" i="51"/>
  <c r="P26" i="51"/>
  <c r="P30" i="51"/>
  <c r="R32" i="51"/>
  <c r="Q33" i="51"/>
  <c r="R28" i="51"/>
  <c r="P35" i="51"/>
  <c r="P36" i="51"/>
  <c r="P38" i="51"/>
  <c r="O39" i="51"/>
  <c r="R40" i="51"/>
  <c r="Q41" i="51"/>
  <c r="R36" i="51"/>
  <c r="P25" i="51"/>
  <c r="O22" i="51"/>
  <c r="O23" i="51"/>
  <c r="O24" i="51"/>
  <c r="O25" i="51"/>
  <c r="Q29" i="51"/>
  <c r="P39" i="51"/>
  <c r="P40" i="51"/>
  <c r="P42" i="51"/>
  <c r="Q30" i="51"/>
  <c r="O32" i="51"/>
  <c r="Q34" i="51"/>
  <c r="O36" i="51"/>
  <c r="R37" i="51"/>
  <c r="Q42" i="51"/>
  <c r="P23" i="51"/>
  <c r="O26" i="51"/>
  <c r="P27" i="51"/>
  <c r="P28" i="51"/>
  <c r="P29" i="51"/>
  <c r="O30" i="51"/>
  <c r="R31" i="51"/>
  <c r="Q32" i="51"/>
  <c r="P33" i="51"/>
  <c r="O34" i="51"/>
  <c r="R35" i="51"/>
  <c r="Q36" i="51"/>
  <c r="P37" i="51"/>
  <c r="O38" i="51"/>
  <c r="R39" i="51"/>
  <c r="Q40" i="51"/>
  <c r="P41" i="51"/>
  <c r="O42" i="51"/>
  <c r="O27" i="51"/>
  <c r="O28" i="51"/>
  <c r="O29" i="51"/>
  <c r="R30" i="51"/>
  <c r="Q31" i="51"/>
  <c r="O33" i="51"/>
  <c r="R34" i="51"/>
  <c r="Q35" i="51"/>
  <c r="O37" i="51"/>
  <c r="R38" i="51"/>
  <c r="Q39" i="51"/>
  <c r="O41" i="51"/>
  <c r="R42" i="51"/>
  <c r="R29" i="51"/>
  <c r="R33" i="51"/>
  <c r="Q38" i="51"/>
  <c r="O40" i="51"/>
  <c r="R41" i="51"/>
  <c r="O27" i="50"/>
  <c r="O28" i="50"/>
  <c r="O29" i="50"/>
  <c r="R30" i="50"/>
  <c r="Q35" i="50"/>
  <c r="R38" i="50"/>
  <c r="O41" i="50"/>
  <c r="R29" i="50"/>
  <c r="Q30" i="50"/>
  <c r="Q34" i="50"/>
  <c r="Q38" i="50"/>
  <c r="R41" i="50"/>
  <c r="P23" i="50"/>
  <c r="O26" i="50"/>
  <c r="P27" i="50"/>
  <c r="P28" i="50"/>
  <c r="P29" i="50"/>
  <c r="O30" i="50"/>
  <c r="R31" i="50"/>
  <c r="Q32" i="50"/>
  <c r="P33" i="50"/>
  <c r="O34" i="50"/>
  <c r="R35" i="50"/>
  <c r="Q36" i="50"/>
  <c r="P37" i="50"/>
  <c r="O38" i="50"/>
  <c r="R39" i="50"/>
  <c r="Q40" i="50"/>
  <c r="P41" i="50"/>
  <c r="O42" i="50"/>
  <c r="Q31" i="50"/>
  <c r="O33" i="50"/>
  <c r="R34" i="50"/>
  <c r="O37" i="50"/>
  <c r="Q39" i="50"/>
  <c r="R42" i="50"/>
  <c r="O32" i="50"/>
  <c r="R33" i="50"/>
  <c r="O36" i="50"/>
  <c r="R37" i="50"/>
  <c r="O40" i="50"/>
  <c r="Q42" i="50"/>
  <c r="P31" i="49"/>
  <c r="P32" i="49"/>
  <c r="O22" i="49"/>
  <c r="P23" i="49"/>
  <c r="P34" i="49"/>
  <c r="P35" i="49"/>
  <c r="P36" i="49"/>
  <c r="O38" i="49"/>
  <c r="O39" i="49"/>
  <c r="P24" i="49"/>
  <c r="P25" i="49"/>
  <c r="O25" i="49"/>
  <c r="P39" i="49"/>
  <c r="P40" i="49"/>
  <c r="O42" i="49"/>
  <c r="O23" i="49"/>
  <c r="O28" i="49"/>
  <c r="O33" i="49"/>
  <c r="Q35" i="49"/>
  <c r="R38" i="49"/>
  <c r="Q39" i="49"/>
  <c r="O24" i="49"/>
  <c r="O32" i="49"/>
  <c r="R33" i="49"/>
  <c r="Q38" i="49"/>
  <c r="Q42" i="49"/>
  <c r="P27" i="49"/>
  <c r="P28" i="49"/>
  <c r="P29" i="49"/>
  <c r="R31" i="49"/>
  <c r="Q32" i="49"/>
  <c r="P33" i="49"/>
  <c r="R35" i="49"/>
  <c r="Q36" i="49"/>
  <c r="P37" i="49"/>
  <c r="R39" i="49"/>
  <c r="Q40" i="49"/>
  <c r="P41" i="49"/>
  <c r="O27" i="49"/>
  <c r="O29" i="49"/>
  <c r="R30" i="49"/>
  <c r="Q31" i="49"/>
  <c r="R34" i="49"/>
  <c r="O37" i="49"/>
  <c r="O41" i="49"/>
  <c r="R42" i="49"/>
  <c r="R29" i="49"/>
  <c r="Q30" i="49"/>
  <c r="Q34" i="49"/>
  <c r="O36" i="49"/>
  <c r="R37" i="49"/>
  <c r="O40" i="49"/>
  <c r="R41" i="49"/>
  <c r="N42" i="43"/>
  <c r="M42" i="43"/>
  <c r="L42" i="43"/>
  <c r="K42" i="43"/>
  <c r="J42" i="43"/>
  <c r="I42" i="43"/>
  <c r="H42" i="43"/>
  <c r="S42" i="43" s="1"/>
  <c r="G42" i="43"/>
  <c r="N41" i="43"/>
  <c r="M41" i="43"/>
  <c r="L41" i="43"/>
  <c r="K41" i="43"/>
  <c r="J41" i="43"/>
  <c r="I41" i="43"/>
  <c r="H41" i="43"/>
  <c r="S41" i="43" s="1"/>
  <c r="G41" i="43"/>
  <c r="N40" i="43"/>
  <c r="M40" i="43"/>
  <c r="L40" i="43"/>
  <c r="K40" i="43"/>
  <c r="J40" i="43"/>
  <c r="I40" i="43"/>
  <c r="H40" i="43"/>
  <c r="S40" i="43" s="1"/>
  <c r="G40" i="43"/>
  <c r="N39" i="43"/>
  <c r="M39" i="43"/>
  <c r="L39" i="43"/>
  <c r="K39" i="43"/>
  <c r="J39" i="43"/>
  <c r="I39" i="43"/>
  <c r="H39" i="43"/>
  <c r="S39" i="43" s="1"/>
  <c r="G39" i="43"/>
  <c r="N38" i="43"/>
  <c r="M38" i="43"/>
  <c r="L38" i="43"/>
  <c r="K38" i="43"/>
  <c r="J38" i="43"/>
  <c r="I38" i="43"/>
  <c r="H38" i="43"/>
  <c r="S38" i="43" s="1"/>
  <c r="G38" i="43"/>
  <c r="N37" i="43"/>
  <c r="M37" i="43"/>
  <c r="L37" i="43"/>
  <c r="K37" i="43"/>
  <c r="J37" i="43"/>
  <c r="I37" i="43"/>
  <c r="H37" i="43"/>
  <c r="S37" i="43" s="1"/>
  <c r="G37" i="43"/>
  <c r="N36" i="43"/>
  <c r="M36" i="43"/>
  <c r="L36" i="43"/>
  <c r="K36" i="43"/>
  <c r="J36" i="43"/>
  <c r="I36" i="43"/>
  <c r="H36" i="43"/>
  <c r="S36" i="43" s="1"/>
  <c r="G36" i="43"/>
  <c r="N35" i="43"/>
  <c r="M35" i="43"/>
  <c r="L35" i="43"/>
  <c r="K35" i="43"/>
  <c r="J35" i="43"/>
  <c r="I35" i="43"/>
  <c r="H35" i="43"/>
  <c r="S35" i="43" s="1"/>
  <c r="G35" i="43"/>
  <c r="N34" i="43"/>
  <c r="M34" i="43"/>
  <c r="L34" i="43"/>
  <c r="K34" i="43"/>
  <c r="J34" i="43"/>
  <c r="I34" i="43"/>
  <c r="H34" i="43"/>
  <c r="S34" i="43" s="1"/>
  <c r="G34" i="43"/>
  <c r="N33" i="43"/>
  <c r="M33" i="43"/>
  <c r="L33" i="43"/>
  <c r="K33" i="43"/>
  <c r="J33" i="43"/>
  <c r="I33" i="43"/>
  <c r="H33" i="43"/>
  <c r="S33" i="43" s="1"/>
  <c r="G33" i="43"/>
  <c r="N32" i="43"/>
  <c r="M32" i="43"/>
  <c r="L32" i="43"/>
  <c r="K32" i="43"/>
  <c r="J32" i="43"/>
  <c r="I32" i="43"/>
  <c r="H32" i="43"/>
  <c r="S32" i="43" s="1"/>
  <c r="G32" i="43"/>
  <c r="N31" i="43"/>
  <c r="M31" i="43"/>
  <c r="L31" i="43"/>
  <c r="K31" i="43"/>
  <c r="J31" i="43"/>
  <c r="I31" i="43"/>
  <c r="H31" i="43"/>
  <c r="S31" i="43" s="1"/>
  <c r="G31" i="43"/>
  <c r="N30" i="43"/>
  <c r="M30" i="43"/>
  <c r="L30" i="43"/>
  <c r="K30" i="43"/>
  <c r="J30" i="43"/>
  <c r="I30" i="43"/>
  <c r="H30" i="43"/>
  <c r="S30" i="43" s="1"/>
  <c r="G30" i="43"/>
  <c r="N29" i="43"/>
  <c r="M29" i="43"/>
  <c r="L29" i="43"/>
  <c r="K29" i="43"/>
  <c r="J29" i="43"/>
  <c r="I29" i="43"/>
  <c r="H29" i="43"/>
  <c r="S29" i="43" s="1"/>
  <c r="G29" i="43"/>
  <c r="N28" i="43"/>
  <c r="M28" i="43"/>
  <c r="L28" i="43"/>
  <c r="K28" i="43"/>
  <c r="J28" i="43"/>
  <c r="I28" i="43"/>
  <c r="H28" i="43"/>
  <c r="S28" i="43" s="1"/>
  <c r="G28" i="43"/>
  <c r="N27" i="43"/>
  <c r="M27" i="43"/>
  <c r="L27" i="43"/>
  <c r="K27" i="43"/>
  <c r="J27" i="43"/>
  <c r="I27" i="43"/>
  <c r="H27" i="43"/>
  <c r="S27" i="43" s="1"/>
  <c r="G27" i="43"/>
  <c r="N26" i="43"/>
  <c r="M26" i="43"/>
  <c r="L26" i="43"/>
  <c r="K26" i="43"/>
  <c r="J26" i="43"/>
  <c r="I26" i="43"/>
  <c r="H26" i="43"/>
  <c r="S26" i="43" s="1"/>
  <c r="G26" i="43"/>
  <c r="N25" i="43"/>
  <c r="M25" i="43"/>
  <c r="L25" i="43"/>
  <c r="K25" i="43"/>
  <c r="J25" i="43"/>
  <c r="I25" i="43"/>
  <c r="H25" i="43"/>
  <c r="S25" i="43" s="1"/>
  <c r="G25" i="43"/>
  <c r="N24" i="43"/>
  <c r="M24" i="43"/>
  <c r="L24" i="43"/>
  <c r="K24" i="43"/>
  <c r="J24" i="43"/>
  <c r="I24" i="43"/>
  <c r="H24" i="43"/>
  <c r="S24" i="43" s="1"/>
  <c r="G24" i="43"/>
  <c r="N23" i="43"/>
  <c r="M23" i="43"/>
  <c r="L23" i="43"/>
  <c r="K23" i="43"/>
  <c r="J23" i="43"/>
  <c r="I23" i="43"/>
  <c r="H23" i="43"/>
  <c r="S23" i="43" s="1"/>
  <c r="G23" i="43"/>
  <c r="N22" i="43"/>
  <c r="M22" i="43"/>
  <c r="L22" i="43"/>
  <c r="K22" i="43"/>
  <c r="J22" i="43"/>
  <c r="I22" i="43"/>
  <c r="H22" i="43"/>
  <c r="S22" i="43" s="1"/>
  <c r="G22" i="43"/>
  <c r="AB16" i="43"/>
  <c r="AA16" i="43"/>
  <c r="AB15" i="43"/>
  <c r="AA15" i="43"/>
  <c r="AB14" i="43"/>
  <c r="AA14" i="43"/>
  <c r="AB13" i="43"/>
  <c r="AA13" i="43"/>
  <c r="AB12" i="43"/>
  <c r="AA12" i="43"/>
  <c r="AB11" i="43"/>
  <c r="AA11" i="43"/>
  <c r="AB10" i="43"/>
  <c r="AA10" i="43"/>
  <c r="N42" i="39"/>
  <c r="M42" i="39"/>
  <c r="L42" i="39"/>
  <c r="K42" i="39"/>
  <c r="J42" i="39"/>
  <c r="I42" i="39"/>
  <c r="H42" i="39"/>
  <c r="S42" i="39" s="1"/>
  <c r="G42" i="39"/>
  <c r="N41" i="39"/>
  <c r="M41" i="39"/>
  <c r="L41" i="39"/>
  <c r="K41" i="39"/>
  <c r="J41" i="39"/>
  <c r="I41" i="39"/>
  <c r="H41" i="39"/>
  <c r="S41" i="39" s="1"/>
  <c r="G41" i="39"/>
  <c r="N40" i="39"/>
  <c r="M40" i="39"/>
  <c r="L40" i="39"/>
  <c r="K40" i="39"/>
  <c r="J40" i="39"/>
  <c r="I40" i="39"/>
  <c r="H40" i="39"/>
  <c r="S40" i="39" s="1"/>
  <c r="G40" i="39"/>
  <c r="N39" i="39"/>
  <c r="M39" i="39"/>
  <c r="L39" i="39"/>
  <c r="K39" i="39"/>
  <c r="J39" i="39"/>
  <c r="I39" i="39"/>
  <c r="H39" i="39"/>
  <c r="S39" i="39" s="1"/>
  <c r="G39" i="39"/>
  <c r="N38" i="39"/>
  <c r="M38" i="39"/>
  <c r="L38" i="39"/>
  <c r="K38" i="39"/>
  <c r="J38" i="39"/>
  <c r="I38" i="39"/>
  <c r="H38" i="39"/>
  <c r="S38" i="39" s="1"/>
  <c r="G38" i="39"/>
  <c r="N37" i="39"/>
  <c r="M37" i="39"/>
  <c r="L37" i="39"/>
  <c r="K37" i="39"/>
  <c r="J37" i="39"/>
  <c r="I37" i="39"/>
  <c r="H37" i="39"/>
  <c r="S37" i="39" s="1"/>
  <c r="G37" i="39"/>
  <c r="N36" i="39"/>
  <c r="M36" i="39"/>
  <c r="L36" i="39"/>
  <c r="K36" i="39"/>
  <c r="J36" i="39"/>
  <c r="I36" i="39"/>
  <c r="H36" i="39"/>
  <c r="S36" i="39" s="1"/>
  <c r="G36" i="39"/>
  <c r="N35" i="39"/>
  <c r="M35" i="39"/>
  <c r="L35" i="39"/>
  <c r="K35" i="39"/>
  <c r="J35" i="39"/>
  <c r="I35" i="39"/>
  <c r="H35" i="39"/>
  <c r="S35" i="39" s="1"/>
  <c r="G35" i="39"/>
  <c r="N34" i="39"/>
  <c r="M34" i="39"/>
  <c r="L34" i="39"/>
  <c r="K34" i="39"/>
  <c r="J34" i="39"/>
  <c r="I34" i="39"/>
  <c r="H34" i="39"/>
  <c r="S34" i="39" s="1"/>
  <c r="G34" i="39"/>
  <c r="N33" i="39"/>
  <c r="M33" i="39"/>
  <c r="L33" i="39"/>
  <c r="K33" i="39"/>
  <c r="J33" i="39"/>
  <c r="I33" i="39"/>
  <c r="H33" i="39"/>
  <c r="S33" i="39" s="1"/>
  <c r="G33" i="39"/>
  <c r="N32" i="39"/>
  <c r="M32" i="39"/>
  <c r="L32" i="39"/>
  <c r="K32" i="39"/>
  <c r="J32" i="39"/>
  <c r="I32" i="39"/>
  <c r="H32" i="39"/>
  <c r="S32" i="39" s="1"/>
  <c r="G32" i="39"/>
  <c r="N31" i="39"/>
  <c r="M31" i="39"/>
  <c r="L31" i="39"/>
  <c r="K31" i="39"/>
  <c r="J31" i="39"/>
  <c r="I31" i="39"/>
  <c r="H31" i="39"/>
  <c r="S31" i="39" s="1"/>
  <c r="G31" i="39"/>
  <c r="N30" i="39"/>
  <c r="M30" i="39"/>
  <c r="L30" i="39"/>
  <c r="K30" i="39"/>
  <c r="J30" i="39"/>
  <c r="I30" i="39"/>
  <c r="H30" i="39"/>
  <c r="S30" i="39" s="1"/>
  <c r="G30" i="39"/>
  <c r="N29" i="39"/>
  <c r="M29" i="39"/>
  <c r="L29" i="39"/>
  <c r="K29" i="39"/>
  <c r="J29" i="39"/>
  <c r="I29" i="39"/>
  <c r="H29" i="39"/>
  <c r="S29" i="39" s="1"/>
  <c r="G29" i="39"/>
  <c r="N28" i="39"/>
  <c r="M28" i="39"/>
  <c r="L28" i="39"/>
  <c r="K28" i="39"/>
  <c r="J28" i="39"/>
  <c r="I28" i="39"/>
  <c r="H28" i="39"/>
  <c r="S28" i="39" s="1"/>
  <c r="G28" i="39"/>
  <c r="N27" i="39"/>
  <c r="M27" i="39"/>
  <c r="L27" i="39"/>
  <c r="K27" i="39"/>
  <c r="J27" i="39"/>
  <c r="I27" i="39"/>
  <c r="H27" i="39"/>
  <c r="S27" i="39" s="1"/>
  <c r="G27" i="39"/>
  <c r="N26" i="39"/>
  <c r="M26" i="39"/>
  <c r="L26" i="39"/>
  <c r="K26" i="39"/>
  <c r="J26" i="39"/>
  <c r="I26" i="39"/>
  <c r="H26" i="39"/>
  <c r="S26" i="39" s="1"/>
  <c r="G26" i="39"/>
  <c r="N25" i="39"/>
  <c r="M25" i="39"/>
  <c r="L25" i="39"/>
  <c r="K25" i="39"/>
  <c r="J25" i="39"/>
  <c r="I25" i="39"/>
  <c r="H25" i="39"/>
  <c r="S25" i="39" s="1"/>
  <c r="G25" i="39"/>
  <c r="N24" i="39"/>
  <c r="M24" i="39"/>
  <c r="L24" i="39"/>
  <c r="K24" i="39"/>
  <c r="J24" i="39"/>
  <c r="I24" i="39"/>
  <c r="H24" i="39"/>
  <c r="S24" i="39" s="1"/>
  <c r="G24" i="39"/>
  <c r="N23" i="39"/>
  <c r="M23" i="39"/>
  <c r="L23" i="39"/>
  <c r="K23" i="39"/>
  <c r="J23" i="39"/>
  <c r="I23" i="39"/>
  <c r="H23" i="39"/>
  <c r="S23" i="39" s="1"/>
  <c r="G23" i="39"/>
  <c r="N22" i="39"/>
  <c r="M22" i="39"/>
  <c r="L22" i="39"/>
  <c r="K22" i="39"/>
  <c r="J22" i="39"/>
  <c r="I22" i="39"/>
  <c r="H22" i="39"/>
  <c r="S22" i="39" s="1"/>
  <c r="G22" i="39"/>
  <c r="S55" i="38"/>
  <c r="H55" i="38"/>
  <c r="AD55" i="38" s="1"/>
  <c r="G55" i="38"/>
  <c r="S54" i="38"/>
  <c r="H54" i="38"/>
  <c r="AD54" i="38" s="1"/>
  <c r="G54" i="38"/>
  <c r="S53" i="38"/>
  <c r="H53" i="38"/>
  <c r="AD53" i="38" s="1"/>
  <c r="G53" i="38"/>
  <c r="S52" i="38"/>
  <c r="H52" i="38"/>
  <c r="AD52" i="38" s="1"/>
  <c r="G52" i="38"/>
  <c r="S51" i="38"/>
  <c r="H51" i="38"/>
  <c r="AD51" i="38" s="1"/>
  <c r="G51" i="38"/>
  <c r="S50" i="38"/>
  <c r="H50" i="38"/>
  <c r="AD50" i="38" s="1"/>
  <c r="G50" i="38"/>
  <c r="AA55" i="38" s="1"/>
  <c r="S49" i="38"/>
  <c r="H49" i="38"/>
  <c r="AD49" i="38" s="1"/>
  <c r="G49" i="38"/>
  <c r="AA54" i="38" s="1"/>
  <c r="S48" i="38"/>
  <c r="H48" i="38"/>
  <c r="AD48" i="38" s="1"/>
  <c r="G48" i="38"/>
  <c r="AA53" i="38" s="1"/>
  <c r="S47" i="38"/>
  <c r="H47" i="38"/>
  <c r="AD47" i="38" s="1"/>
  <c r="G47" i="38"/>
  <c r="S46" i="38"/>
  <c r="H46" i="38"/>
  <c r="AD46" i="38" s="1"/>
  <c r="G46" i="38"/>
  <c r="AA51" i="38" s="1"/>
  <c r="S45" i="38"/>
  <c r="H45" i="38"/>
  <c r="AD45" i="38" s="1"/>
  <c r="G45" i="38"/>
  <c r="AA50" i="38" s="1"/>
  <c r="S44" i="38"/>
  <c r="H44" i="38"/>
  <c r="AD44" i="38" s="1"/>
  <c r="G44" i="38"/>
  <c r="AA49" i="38" s="1"/>
  <c r="S43" i="38"/>
  <c r="H43" i="38"/>
  <c r="AD43" i="38" s="1"/>
  <c r="G43" i="38"/>
  <c r="S42" i="38"/>
  <c r="H42" i="38"/>
  <c r="AD42" i="38" s="1"/>
  <c r="G42" i="38"/>
  <c r="AA47" i="38" s="1"/>
  <c r="S41" i="38"/>
  <c r="H41" i="38"/>
  <c r="AD41" i="38" s="1"/>
  <c r="G41" i="38"/>
  <c r="AA46" i="38" s="1"/>
  <c r="S40" i="38"/>
  <c r="H40" i="38"/>
  <c r="AD40" i="38" s="1"/>
  <c r="G40" i="38"/>
  <c r="AA45" i="38" s="1"/>
  <c r="S39" i="38"/>
  <c r="H39" i="38"/>
  <c r="AD39" i="38" s="1"/>
  <c r="G39" i="38"/>
  <c r="S38" i="38"/>
  <c r="H38" i="38"/>
  <c r="AD38" i="38" s="1"/>
  <c r="G38" i="38"/>
  <c r="AA43" i="38" s="1"/>
  <c r="S37" i="38"/>
  <c r="H37" i="38"/>
  <c r="AD37" i="38" s="1"/>
  <c r="G37" i="38"/>
  <c r="AA42" i="38" s="1"/>
  <c r="S36" i="38"/>
  <c r="H36" i="38"/>
  <c r="AD36" i="38" s="1"/>
  <c r="G36" i="38"/>
  <c r="AA41" i="38" s="1"/>
  <c r="S35" i="38"/>
  <c r="H35" i="38"/>
  <c r="AD35" i="38" s="1"/>
  <c r="G35" i="38"/>
  <c r="S34" i="38"/>
  <c r="H34" i="38"/>
  <c r="AD34" i="38" s="1"/>
  <c r="G34" i="38"/>
  <c r="AA39" i="38" s="1"/>
  <c r="S33" i="38"/>
  <c r="H33" i="38"/>
  <c r="AD33" i="38" s="1"/>
  <c r="G33" i="38"/>
  <c r="S32" i="38"/>
  <c r="H32" i="38"/>
  <c r="AD32" i="38" s="1"/>
  <c r="G32" i="38"/>
  <c r="AA37" i="38" s="1"/>
  <c r="S31" i="38"/>
  <c r="H31" i="38"/>
  <c r="AD31" i="38" s="1"/>
  <c r="G31" i="38"/>
  <c r="S30" i="38"/>
  <c r="H30" i="38"/>
  <c r="AD30" i="38" s="1"/>
  <c r="G30" i="38"/>
  <c r="S29" i="38"/>
  <c r="H29" i="38"/>
  <c r="AD29" i="38" s="1"/>
  <c r="G29" i="38"/>
  <c r="S28" i="38"/>
  <c r="H28" i="38"/>
  <c r="AD28" i="38" s="1"/>
  <c r="G28" i="38"/>
  <c r="AA33" i="38" s="1"/>
  <c r="S27" i="38"/>
  <c r="H27" i="38"/>
  <c r="AD27" i="38" s="1"/>
  <c r="G27" i="38"/>
  <c r="AA32" i="38" s="1"/>
  <c r="S26" i="38"/>
  <c r="H26" i="38"/>
  <c r="AD26" i="38" s="1"/>
  <c r="G26" i="38"/>
  <c r="S25" i="38"/>
  <c r="H25" i="38"/>
  <c r="AD25" i="38" s="1"/>
  <c r="G25" i="38"/>
  <c r="AA30" i="38" s="1"/>
  <c r="S24" i="38"/>
  <c r="H24" i="38"/>
  <c r="AD24" i="38" s="1"/>
  <c r="G24" i="38"/>
  <c r="AA29" i="38" s="1"/>
  <c r="S23" i="38"/>
  <c r="H23" i="38"/>
  <c r="AD23" i="38" s="1"/>
  <c r="G23" i="38"/>
  <c r="AA28" i="38" s="1"/>
  <c r="H22" i="38"/>
  <c r="G22" i="38"/>
  <c r="H21" i="38"/>
  <c r="G21" i="38"/>
  <c r="H20" i="38"/>
  <c r="G20" i="38"/>
  <c r="H19" i="38"/>
  <c r="G19" i="38"/>
  <c r="H18" i="38"/>
  <c r="G18" i="38"/>
  <c r="H17" i="38"/>
  <c r="G17" i="38"/>
  <c r="H16" i="38"/>
  <c r="G16" i="38"/>
  <c r="H15" i="38"/>
  <c r="G15" i="38"/>
  <c r="H14" i="38"/>
  <c r="G14" i="38"/>
  <c r="H13" i="38"/>
  <c r="G13" i="38"/>
  <c r="H12" i="38"/>
  <c r="G12" i="38"/>
  <c r="H11" i="38"/>
  <c r="G11" i="38"/>
  <c r="H10" i="38"/>
  <c r="G10" i="38"/>
  <c r="H9" i="38"/>
  <c r="G9" i="38"/>
  <c r="H8" i="38"/>
  <c r="G8" i="38"/>
  <c r="H7" i="38"/>
  <c r="G7" i="38"/>
  <c r="AH6" i="38"/>
  <c r="AH35" i="38" s="1"/>
  <c r="H6" i="38"/>
  <c r="G6" i="38"/>
  <c r="AN5" i="38"/>
  <c r="AN33" i="38" s="1"/>
  <c r="AH5" i="38"/>
  <c r="AH33" i="38" s="1"/>
  <c r="K3" i="38"/>
  <c r="AP6" i="38" s="1"/>
  <c r="AP35" i="38" s="1"/>
  <c r="I3" i="38"/>
  <c r="AN6" i="38" s="1"/>
  <c r="AN35" i="38" s="1"/>
  <c r="S55" i="37"/>
  <c r="H55" i="37"/>
  <c r="AD55" i="37" s="1"/>
  <c r="G55" i="37"/>
  <c r="S54" i="37"/>
  <c r="H54" i="37"/>
  <c r="AD54" i="37" s="1"/>
  <c r="G54" i="37"/>
  <c r="S53" i="37"/>
  <c r="H53" i="37"/>
  <c r="AD53" i="37" s="1"/>
  <c r="G53" i="37"/>
  <c r="S52" i="37"/>
  <c r="H52" i="37"/>
  <c r="AD52" i="37" s="1"/>
  <c r="G52" i="37"/>
  <c r="S51" i="37"/>
  <c r="H51" i="37"/>
  <c r="AD51" i="37" s="1"/>
  <c r="G51" i="37"/>
  <c r="S50" i="37"/>
  <c r="H50" i="37"/>
  <c r="AD50" i="37" s="1"/>
  <c r="G50" i="37"/>
  <c r="AA55" i="37" s="1"/>
  <c r="S49" i="37"/>
  <c r="H49" i="37"/>
  <c r="AD49" i="37" s="1"/>
  <c r="G49" i="37"/>
  <c r="AA54" i="37" s="1"/>
  <c r="S48" i="37"/>
  <c r="H48" i="37"/>
  <c r="AD48" i="37" s="1"/>
  <c r="G48" i="37"/>
  <c r="AA53" i="37" s="1"/>
  <c r="S47" i="37"/>
  <c r="H47" i="37"/>
  <c r="AD47" i="37" s="1"/>
  <c r="G47" i="37"/>
  <c r="S46" i="37"/>
  <c r="H46" i="37"/>
  <c r="AD46" i="37" s="1"/>
  <c r="G46" i="37"/>
  <c r="AA51" i="37" s="1"/>
  <c r="S45" i="37"/>
  <c r="H45" i="37"/>
  <c r="AD45" i="37" s="1"/>
  <c r="G45" i="37"/>
  <c r="AA50" i="37" s="1"/>
  <c r="S44" i="37"/>
  <c r="H44" i="37"/>
  <c r="AD44" i="37" s="1"/>
  <c r="G44" i="37"/>
  <c r="AA49" i="37" s="1"/>
  <c r="S43" i="37"/>
  <c r="H43" i="37"/>
  <c r="AD43" i="37" s="1"/>
  <c r="G43" i="37"/>
  <c r="S42" i="37"/>
  <c r="H42" i="37"/>
  <c r="AD42" i="37" s="1"/>
  <c r="G42" i="37"/>
  <c r="AA47" i="37" s="1"/>
  <c r="S41" i="37"/>
  <c r="H41" i="37"/>
  <c r="AD41" i="37" s="1"/>
  <c r="G41" i="37"/>
  <c r="AA46" i="37" s="1"/>
  <c r="S40" i="37"/>
  <c r="H40" i="37"/>
  <c r="AD40" i="37" s="1"/>
  <c r="G40" i="37"/>
  <c r="AA45" i="37" s="1"/>
  <c r="S39" i="37"/>
  <c r="H39" i="37"/>
  <c r="AD39" i="37" s="1"/>
  <c r="G39" i="37"/>
  <c r="S38" i="37"/>
  <c r="H38" i="37"/>
  <c r="AD38" i="37" s="1"/>
  <c r="G38" i="37"/>
  <c r="AA43" i="37" s="1"/>
  <c r="S37" i="37"/>
  <c r="H37" i="37"/>
  <c r="AD37" i="37" s="1"/>
  <c r="G37" i="37"/>
  <c r="AA42" i="37" s="1"/>
  <c r="S36" i="37"/>
  <c r="H36" i="37"/>
  <c r="AD36" i="37" s="1"/>
  <c r="G36" i="37"/>
  <c r="AA41" i="37" s="1"/>
  <c r="S35" i="37"/>
  <c r="H35" i="37"/>
  <c r="AD35" i="37" s="1"/>
  <c r="G35" i="37"/>
  <c r="S34" i="37"/>
  <c r="H34" i="37"/>
  <c r="AD34" i="37" s="1"/>
  <c r="G34" i="37"/>
  <c r="AA39" i="37" s="1"/>
  <c r="S33" i="37"/>
  <c r="H33" i="37"/>
  <c r="AD33" i="37" s="1"/>
  <c r="G33" i="37"/>
  <c r="S32" i="37"/>
  <c r="H32" i="37"/>
  <c r="AD32" i="37" s="1"/>
  <c r="G32" i="37"/>
  <c r="AA37" i="37" s="1"/>
  <c r="S31" i="37"/>
  <c r="H31" i="37"/>
  <c r="AD31" i="37" s="1"/>
  <c r="G31" i="37"/>
  <c r="S30" i="37"/>
  <c r="H30" i="37"/>
  <c r="AD30" i="37" s="1"/>
  <c r="G30" i="37"/>
  <c r="S29" i="37"/>
  <c r="H29" i="37"/>
  <c r="AD29" i="37" s="1"/>
  <c r="G29" i="37"/>
  <c r="S28" i="37"/>
  <c r="H28" i="37"/>
  <c r="AD28" i="37" s="1"/>
  <c r="G28" i="37"/>
  <c r="AA33" i="37" s="1"/>
  <c r="S27" i="37"/>
  <c r="H27" i="37"/>
  <c r="AD27" i="37" s="1"/>
  <c r="G27" i="37"/>
  <c r="AA32" i="37" s="1"/>
  <c r="S26" i="37"/>
  <c r="H26" i="37"/>
  <c r="AD26" i="37" s="1"/>
  <c r="G26" i="37"/>
  <c r="S25" i="37"/>
  <c r="H25" i="37"/>
  <c r="AD25" i="37" s="1"/>
  <c r="G25" i="37"/>
  <c r="AA30" i="37" s="1"/>
  <c r="S24" i="37"/>
  <c r="H24" i="37"/>
  <c r="AD24" i="37" s="1"/>
  <c r="G24" i="37"/>
  <c r="AA29" i="37" s="1"/>
  <c r="S23" i="37"/>
  <c r="H23" i="37"/>
  <c r="AD23" i="37" s="1"/>
  <c r="G23" i="37"/>
  <c r="AA28" i="37" s="1"/>
  <c r="S22" i="37"/>
  <c r="H22" i="37"/>
  <c r="AD22" i="37" s="1"/>
  <c r="G22" i="37"/>
  <c r="S21" i="37"/>
  <c r="H21" i="37"/>
  <c r="AD21" i="37" s="1"/>
  <c r="G21" i="37"/>
  <c r="AA26" i="37" s="1"/>
  <c r="S20" i="37"/>
  <c r="H20" i="37"/>
  <c r="AD20" i="37" s="1"/>
  <c r="G20" i="37"/>
  <c r="AA25" i="37" s="1"/>
  <c r="S19" i="37"/>
  <c r="H19" i="37"/>
  <c r="AD19" i="37" s="1"/>
  <c r="G19" i="37"/>
  <c r="AA24" i="37" s="1"/>
  <c r="S18" i="37"/>
  <c r="H18" i="37"/>
  <c r="AD18" i="37" s="1"/>
  <c r="G18" i="37"/>
  <c r="H17" i="37"/>
  <c r="G17" i="37"/>
  <c r="H16" i="37"/>
  <c r="G16" i="37"/>
  <c r="H15" i="37"/>
  <c r="G15" i="37"/>
  <c r="H14" i="37"/>
  <c r="G14" i="37"/>
  <c r="H13" i="37"/>
  <c r="G13" i="37"/>
  <c r="H12" i="37"/>
  <c r="G12" i="37"/>
  <c r="H11" i="37"/>
  <c r="G11" i="37"/>
  <c r="H10" i="37"/>
  <c r="G10" i="37"/>
  <c r="H9" i="37"/>
  <c r="G9" i="37"/>
  <c r="H8" i="37"/>
  <c r="G8" i="37"/>
  <c r="H7" i="37"/>
  <c r="G7" i="37"/>
  <c r="AH6" i="37"/>
  <c r="AH35" i="37" s="1"/>
  <c r="H6" i="37"/>
  <c r="G6" i="37"/>
  <c r="AN5" i="37"/>
  <c r="AN33" i="37" s="1"/>
  <c r="AH5" i="37"/>
  <c r="AH33" i="37" s="1"/>
  <c r="K3" i="37"/>
  <c r="AP6" i="37" s="1"/>
  <c r="AP35" i="37" s="1"/>
  <c r="I3" i="37"/>
  <c r="AN6" i="37" s="1"/>
  <c r="AN35" i="37" s="1"/>
  <c r="S55" i="36"/>
  <c r="H55" i="36"/>
  <c r="AD55" i="36" s="1"/>
  <c r="G55" i="36"/>
  <c r="S54" i="36"/>
  <c r="H54" i="36"/>
  <c r="AD54" i="36" s="1"/>
  <c r="G54" i="36"/>
  <c r="S53" i="36"/>
  <c r="H53" i="36"/>
  <c r="AD53" i="36" s="1"/>
  <c r="G53" i="36"/>
  <c r="S52" i="36"/>
  <c r="H52" i="36"/>
  <c r="AD52" i="36" s="1"/>
  <c r="G52" i="36"/>
  <c r="S51" i="36"/>
  <c r="H51" i="36"/>
  <c r="AD51" i="36" s="1"/>
  <c r="G51" i="36"/>
  <c r="S50" i="36"/>
  <c r="H50" i="36"/>
  <c r="AD50" i="36" s="1"/>
  <c r="G50" i="36"/>
  <c r="AA55" i="36" s="1"/>
  <c r="S49" i="36"/>
  <c r="H49" i="36"/>
  <c r="AD49" i="36" s="1"/>
  <c r="G49" i="36"/>
  <c r="AA54" i="36" s="1"/>
  <c r="S48" i="36"/>
  <c r="H48" i="36"/>
  <c r="AD48" i="36" s="1"/>
  <c r="G48" i="36"/>
  <c r="AA53" i="36" s="1"/>
  <c r="S47" i="36"/>
  <c r="H47" i="36"/>
  <c r="AD47" i="36" s="1"/>
  <c r="G47" i="36"/>
  <c r="S46" i="36"/>
  <c r="H46" i="36"/>
  <c r="AD46" i="36" s="1"/>
  <c r="G46" i="36"/>
  <c r="AA51" i="36" s="1"/>
  <c r="S45" i="36"/>
  <c r="H45" i="36"/>
  <c r="AD45" i="36" s="1"/>
  <c r="G45" i="36"/>
  <c r="AA50" i="36" s="1"/>
  <c r="S44" i="36"/>
  <c r="H44" i="36"/>
  <c r="AD44" i="36" s="1"/>
  <c r="G44" i="36"/>
  <c r="AA49" i="36" s="1"/>
  <c r="S43" i="36"/>
  <c r="H43" i="36"/>
  <c r="AD43" i="36" s="1"/>
  <c r="G43" i="36"/>
  <c r="S42" i="36"/>
  <c r="H42" i="36"/>
  <c r="AD42" i="36" s="1"/>
  <c r="G42" i="36"/>
  <c r="AA47" i="36" s="1"/>
  <c r="S41" i="36"/>
  <c r="H41" i="36"/>
  <c r="AD41" i="36" s="1"/>
  <c r="G41" i="36"/>
  <c r="AA46" i="36" s="1"/>
  <c r="S40" i="36"/>
  <c r="H40" i="36"/>
  <c r="AD40" i="36" s="1"/>
  <c r="G40" i="36"/>
  <c r="AA45" i="36" s="1"/>
  <c r="S39" i="36"/>
  <c r="H39" i="36"/>
  <c r="AD39" i="36" s="1"/>
  <c r="G39" i="36"/>
  <c r="S38" i="36"/>
  <c r="H38" i="36"/>
  <c r="AD38" i="36" s="1"/>
  <c r="G38" i="36"/>
  <c r="AA43" i="36" s="1"/>
  <c r="S37" i="36"/>
  <c r="H37" i="36"/>
  <c r="AD37" i="36" s="1"/>
  <c r="G37" i="36"/>
  <c r="AA42" i="36" s="1"/>
  <c r="S36" i="36"/>
  <c r="H36" i="36"/>
  <c r="AD36" i="36" s="1"/>
  <c r="G36" i="36"/>
  <c r="AA41" i="36" s="1"/>
  <c r="S35" i="36"/>
  <c r="H35" i="36"/>
  <c r="AD35" i="36" s="1"/>
  <c r="G35" i="36"/>
  <c r="S34" i="36"/>
  <c r="H34" i="36"/>
  <c r="AD34" i="36" s="1"/>
  <c r="G34" i="36"/>
  <c r="AA39" i="36" s="1"/>
  <c r="S33" i="36"/>
  <c r="H33" i="36"/>
  <c r="AD33" i="36" s="1"/>
  <c r="G33" i="36"/>
  <c r="S32" i="36"/>
  <c r="H32" i="36"/>
  <c r="AD32" i="36" s="1"/>
  <c r="G32" i="36"/>
  <c r="AA37" i="36" s="1"/>
  <c r="S31" i="36"/>
  <c r="H31" i="36"/>
  <c r="AD31" i="36" s="1"/>
  <c r="G31" i="36"/>
  <c r="S30" i="36"/>
  <c r="H30" i="36"/>
  <c r="AD30" i="36" s="1"/>
  <c r="G30" i="36"/>
  <c r="S29" i="36"/>
  <c r="H29" i="36"/>
  <c r="AD29" i="36" s="1"/>
  <c r="G29" i="36"/>
  <c r="S28" i="36"/>
  <c r="H28" i="36"/>
  <c r="AD28" i="36" s="1"/>
  <c r="G28" i="36"/>
  <c r="AA33" i="36" s="1"/>
  <c r="S27" i="36"/>
  <c r="H27" i="36"/>
  <c r="AD27" i="36" s="1"/>
  <c r="G27" i="36"/>
  <c r="AA32" i="36" s="1"/>
  <c r="S26" i="36"/>
  <c r="H26" i="36"/>
  <c r="AD26" i="36" s="1"/>
  <c r="G26" i="36"/>
  <c r="S25" i="36"/>
  <c r="H25" i="36"/>
  <c r="AD25" i="36" s="1"/>
  <c r="G25" i="36"/>
  <c r="AA30" i="36" s="1"/>
  <c r="S24" i="36"/>
  <c r="H24" i="36"/>
  <c r="AD24" i="36" s="1"/>
  <c r="G24" i="36"/>
  <c r="AA29" i="36" s="1"/>
  <c r="S23" i="36"/>
  <c r="H23" i="36"/>
  <c r="AD23" i="36" s="1"/>
  <c r="G23" i="36"/>
  <c r="AA28" i="36" s="1"/>
  <c r="S22" i="36"/>
  <c r="H22" i="36"/>
  <c r="AD22" i="36" s="1"/>
  <c r="G22" i="36"/>
  <c r="S21" i="36"/>
  <c r="H21" i="36"/>
  <c r="AD21" i="36" s="1"/>
  <c r="G21" i="36"/>
  <c r="AA26" i="36" s="1"/>
  <c r="S20" i="36"/>
  <c r="H20" i="36"/>
  <c r="AD20" i="36" s="1"/>
  <c r="G20" i="36"/>
  <c r="AA25" i="36" s="1"/>
  <c r="S19" i="36"/>
  <c r="H19" i="36"/>
  <c r="AD19" i="36" s="1"/>
  <c r="G19" i="36"/>
  <c r="AA24" i="36" s="1"/>
  <c r="S18" i="36"/>
  <c r="H18" i="36"/>
  <c r="AD18" i="36" s="1"/>
  <c r="G18" i="36"/>
  <c r="S17" i="36"/>
  <c r="H17" i="36"/>
  <c r="AD17" i="36" s="1"/>
  <c r="G17" i="36"/>
  <c r="AA22" i="36" s="1"/>
  <c r="S16" i="36"/>
  <c r="H16" i="36"/>
  <c r="AD16" i="36" s="1"/>
  <c r="G16" i="36"/>
  <c r="AA21" i="36" s="1"/>
  <c r="H15" i="36"/>
  <c r="G15" i="36"/>
  <c r="X17" i="36" s="1"/>
  <c r="H14" i="36"/>
  <c r="G14" i="36"/>
  <c r="H13" i="36"/>
  <c r="G13" i="36"/>
  <c r="H12" i="36"/>
  <c r="G12" i="36"/>
  <c r="H11" i="36"/>
  <c r="G11" i="36"/>
  <c r="H10" i="36"/>
  <c r="G10" i="36"/>
  <c r="H9" i="36"/>
  <c r="G9" i="36"/>
  <c r="H8" i="36"/>
  <c r="G8" i="36"/>
  <c r="H7" i="36"/>
  <c r="G7" i="36"/>
  <c r="AH6" i="36"/>
  <c r="AH35" i="36" s="1"/>
  <c r="H6" i="36"/>
  <c r="G6" i="36"/>
  <c r="AN5" i="36"/>
  <c r="AN33" i="36" s="1"/>
  <c r="AH5" i="36"/>
  <c r="AH33" i="36" s="1"/>
  <c r="K3" i="36"/>
  <c r="AP6" i="36" s="1"/>
  <c r="AP35" i="36" s="1"/>
  <c r="I3" i="36"/>
  <c r="AN6" i="36" s="1"/>
  <c r="AN35" i="36" s="1"/>
  <c r="S55" i="35"/>
  <c r="H55" i="35"/>
  <c r="AD55" i="35" s="1"/>
  <c r="G55" i="35"/>
  <c r="S54" i="35"/>
  <c r="H54" i="35"/>
  <c r="AD54" i="35" s="1"/>
  <c r="G54" i="35"/>
  <c r="S53" i="35"/>
  <c r="H53" i="35"/>
  <c r="AD53" i="35" s="1"/>
  <c r="G53" i="35"/>
  <c r="S52" i="35"/>
  <c r="H52" i="35"/>
  <c r="AD52" i="35" s="1"/>
  <c r="G52" i="35"/>
  <c r="S51" i="35"/>
  <c r="H51" i="35"/>
  <c r="AD51" i="35" s="1"/>
  <c r="G51" i="35"/>
  <c r="S50" i="35"/>
  <c r="H50" i="35"/>
  <c r="AD50" i="35" s="1"/>
  <c r="G50" i="35"/>
  <c r="AA55" i="35" s="1"/>
  <c r="S49" i="35"/>
  <c r="H49" i="35"/>
  <c r="AD49" i="35" s="1"/>
  <c r="G49" i="35"/>
  <c r="S48" i="35"/>
  <c r="H48" i="35"/>
  <c r="AD48" i="35" s="1"/>
  <c r="G48" i="35"/>
  <c r="S47" i="35"/>
  <c r="H47" i="35"/>
  <c r="AD47" i="35" s="1"/>
  <c r="G47" i="35"/>
  <c r="S46" i="35"/>
  <c r="H46" i="35"/>
  <c r="AD46" i="35" s="1"/>
  <c r="G46" i="35"/>
  <c r="AA51" i="35" s="1"/>
  <c r="S45" i="35"/>
  <c r="H45" i="35"/>
  <c r="AD45" i="35" s="1"/>
  <c r="G45" i="35"/>
  <c r="S44" i="35"/>
  <c r="H44" i="35"/>
  <c r="AD44" i="35" s="1"/>
  <c r="G44" i="35"/>
  <c r="AA49" i="35" s="1"/>
  <c r="S43" i="35"/>
  <c r="H43" i="35"/>
  <c r="AD43" i="35" s="1"/>
  <c r="G43" i="35"/>
  <c r="H42" i="35"/>
  <c r="AD42" i="35" s="1"/>
  <c r="G42" i="35"/>
  <c r="AA47" i="35" s="1"/>
  <c r="H41" i="35"/>
  <c r="AD41" i="35" s="1"/>
  <c r="G41" i="35"/>
  <c r="H40" i="35"/>
  <c r="AD40" i="35" s="1"/>
  <c r="G40" i="35"/>
  <c r="S39" i="35"/>
  <c r="H39" i="35"/>
  <c r="AD39" i="35" s="1"/>
  <c r="G39" i="35"/>
  <c r="H38" i="35"/>
  <c r="AD38" i="35" s="1"/>
  <c r="G38" i="35"/>
  <c r="AA43" i="35" s="1"/>
  <c r="H37" i="35"/>
  <c r="AD37" i="35" s="1"/>
  <c r="G37" i="35"/>
  <c r="S36" i="35"/>
  <c r="H36" i="35"/>
  <c r="AD36" i="35" s="1"/>
  <c r="G36" i="35"/>
  <c r="H35" i="35"/>
  <c r="AD35" i="35" s="1"/>
  <c r="G35" i="35"/>
  <c r="S34" i="35"/>
  <c r="H34" i="35"/>
  <c r="AD34" i="35" s="1"/>
  <c r="G34" i="35"/>
  <c r="AA39" i="35" s="1"/>
  <c r="H33" i="35"/>
  <c r="AD33" i="35" s="1"/>
  <c r="G33" i="35"/>
  <c r="S32" i="35"/>
  <c r="H32" i="35"/>
  <c r="AD32" i="35" s="1"/>
  <c r="G32" i="35"/>
  <c r="H31" i="35"/>
  <c r="AD31" i="35" s="1"/>
  <c r="G31" i="35"/>
  <c r="S31" i="35" s="1"/>
  <c r="H30" i="35"/>
  <c r="AD30" i="35" s="1"/>
  <c r="G30" i="35"/>
  <c r="H29" i="35"/>
  <c r="AD29" i="35" s="1"/>
  <c r="G29" i="35"/>
  <c r="AA34" i="35" s="1"/>
  <c r="S28" i="35"/>
  <c r="H28" i="35"/>
  <c r="AD28" i="35" s="1"/>
  <c r="G28" i="35"/>
  <c r="H27" i="35"/>
  <c r="AD27" i="35" s="1"/>
  <c r="G27" i="35"/>
  <c r="AA32" i="35" s="1"/>
  <c r="H26" i="35"/>
  <c r="AD26" i="35" s="1"/>
  <c r="G26" i="35"/>
  <c r="H25" i="35"/>
  <c r="AD25" i="35" s="1"/>
  <c r="G25" i="35"/>
  <c r="S24" i="35"/>
  <c r="H24" i="35"/>
  <c r="AD24" i="35" s="1"/>
  <c r="G24" i="35"/>
  <c r="H23" i="35"/>
  <c r="AD23" i="35" s="1"/>
  <c r="G23" i="35"/>
  <c r="AA28" i="35" s="1"/>
  <c r="H22" i="35"/>
  <c r="AD22" i="35" s="1"/>
  <c r="G22" i="35"/>
  <c r="H21" i="35"/>
  <c r="AD21" i="35" s="1"/>
  <c r="G21" i="35"/>
  <c r="S20" i="35"/>
  <c r="H20" i="35"/>
  <c r="AD20" i="35" s="1"/>
  <c r="G20" i="35"/>
  <c r="H19" i="35"/>
  <c r="AD19" i="35" s="1"/>
  <c r="G19" i="35"/>
  <c r="AA24" i="35" s="1"/>
  <c r="H18" i="35"/>
  <c r="AD18" i="35" s="1"/>
  <c r="G18" i="35"/>
  <c r="S17" i="35"/>
  <c r="H17" i="35"/>
  <c r="AD17" i="35" s="1"/>
  <c r="G17" i="35"/>
  <c r="S16" i="35"/>
  <c r="H16" i="35"/>
  <c r="AD16" i="35" s="1"/>
  <c r="G16" i="35"/>
  <c r="H15" i="35"/>
  <c r="AD15" i="35" s="1"/>
  <c r="G15" i="35"/>
  <c r="AA20" i="35" s="1"/>
  <c r="H14" i="35"/>
  <c r="G14" i="35"/>
  <c r="H13" i="35"/>
  <c r="G13" i="35"/>
  <c r="H12" i="35"/>
  <c r="G12" i="35"/>
  <c r="H11" i="35"/>
  <c r="G11" i="35"/>
  <c r="H10" i="35"/>
  <c r="G10" i="35"/>
  <c r="H9" i="35"/>
  <c r="G9" i="35"/>
  <c r="H8" i="35"/>
  <c r="G8" i="35"/>
  <c r="H7" i="35"/>
  <c r="G7" i="35"/>
  <c r="AH6" i="35"/>
  <c r="AH35" i="35" s="1"/>
  <c r="H6" i="35"/>
  <c r="G6" i="35"/>
  <c r="AN5" i="35"/>
  <c r="AN33" i="35" s="1"/>
  <c r="AH5" i="35"/>
  <c r="AH33" i="35" s="1"/>
  <c r="K3" i="35"/>
  <c r="AP6" i="35" s="1"/>
  <c r="AP35" i="35" s="1"/>
  <c r="I3" i="35"/>
  <c r="AN6" i="35" s="1"/>
  <c r="AN35" i="35" s="1"/>
  <c r="S55" i="34"/>
  <c r="H55" i="34"/>
  <c r="AD55" i="34" s="1"/>
  <c r="G55" i="34"/>
  <c r="S54" i="34"/>
  <c r="H54" i="34"/>
  <c r="AD54" i="34" s="1"/>
  <c r="G54" i="34"/>
  <c r="S53" i="34"/>
  <c r="H53" i="34"/>
  <c r="AD53" i="34" s="1"/>
  <c r="G53" i="34"/>
  <c r="S52" i="34"/>
  <c r="H52" i="34"/>
  <c r="AD52" i="34" s="1"/>
  <c r="G52" i="34"/>
  <c r="S51" i="34"/>
  <c r="H51" i="34"/>
  <c r="AD51" i="34" s="1"/>
  <c r="G51" i="34"/>
  <c r="S50" i="34"/>
  <c r="H50" i="34"/>
  <c r="AD50" i="34" s="1"/>
  <c r="G50" i="34"/>
  <c r="AA55" i="34" s="1"/>
  <c r="S49" i="34"/>
  <c r="H49" i="34"/>
  <c r="AD49" i="34" s="1"/>
  <c r="G49" i="34"/>
  <c r="AA54" i="34" s="1"/>
  <c r="S48" i="34"/>
  <c r="H48" i="34"/>
  <c r="AD48" i="34" s="1"/>
  <c r="G48" i="34"/>
  <c r="AA53" i="34" s="1"/>
  <c r="S47" i="34"/>
  <c r="H47" i="34"/>
  <c r="AD47" i="34" s="1"/>
  <c r="G47" i="34"/>
  <c r="S46" i="34"/>
  <c r="H46" i="34"/>
  <c r="AD46" i="34" s="1"/>
  <c r="G46" i="34"/>
  <c r="AA51" i="34" s="1"/>
  <c r="S45" i="34"/>
  <c r="H45" i="34"/>
  <c r="AD45" i="34" s="1"/>
  <c r="G45" i="34"/>
  <c r="AA50" i="34" s="1"/>
  <c r="S44" i="34"/>
  <c r="H44" i="34"/>
  <c r="AD44" i="34" s="1"/>
  <c r="G44" i="34"/>
  <c r="AA49" i="34" s="1"/>
  <c r="H43" i="34"/>
  <c r="G43" i="34"/>
  <c r="H42" i="34"/>
  <c r="G42" i="34"/>
  <c r="H41" i="34"/>
  <c r="G41" i="34"/>
  <c r="H40" i="34"/>
  <c r="G40" i="34"/>
  <c r="H39" i="34"/>
  <c r="G39" i="34"/>
  <c r="H38" i="34"/>
  <c r="G38" i="34"/>
  <c r="H37" i="34"/>
  <c r="G37" i="34"/>
  <c r="H36" i="34"/>
  <c r="G36" i="34"/>
  <c r="H35" i="34"/>
  <c r="G35" i="34"/>
  <c r="H34" i="34"/>
  <c r="G34" i="34"/>
  <c r="H33" i="34"/>
  <c r="G33" i="34"/>
  <c r="H32" i="34"/>
  <c r="G32" i="34"/>
  <c r="H31" i="34"/>
  <c r="G31" i="34"/>
  <c r="H30" i="34"/>
  <c r="G30" i="34"/>
  <c r="H29" i="34"/>
  <c r="G29" i="34"/>
  <c r="H28" i="34"/>
  <c r="G28" i="34"/>
  <c r="H27" i="34"/>
  <c r="G27" i="34"/>
  <c r="H26" i="34"/>
  <c r="G26" i="34"/>
  <c r="H25" i="34"/>
  <c r="G25" i="34"/>
  <c r="H24" i="34"/>
  <c r="G24" i="34"/>
  <c r="H23" i="34"/>
  <c r="G23" i="34"/>
  <c r="H22" i="34"/>
  <c r="G22" i="34"/>
  <c r="H21" i="34"/>
  <c r="G21" i="34"/>
  <c r="H20" i="34"/>
  <c r="G20" i="34"/>
  <c r="H19" i="34"/>
  <c r="G19" i="34"/>
  <c r="H18" i="34"/>
  <c r="G18" i="34"/>
  <c r="H17" i="34"/>
  <c r="G17" i="34"/>
  <c r="H16" i="34"/>
  <c r="G16" i="34"/>
  <c r="H15" i="34"/>
  <c r="G15" i="34"/>
  <c r="H14" i="34"/>
  <c r="G14" i="34"/>
  <c r="H13" i="34"/>
  <c r="G13" i="34"/>
  <c r="H12" i="34"/>
  <c r="G12" i="34"/>
  <c r="H11" i="34"/>
  <c r="G11" i="34"/>
  <c r="H10" i="34"/>
  <c r="G10" i="34"/>
  <c r="H9" i="34"/>
  <c r="G9" i="34"/>
  <c r="H8" i="34"/>
  <c r="G8" i="34"/>
  <c r="H7" i="34"/>
  <c r="G7" i="34"/>
  <c r="AH6" i="34"/>
  <c r="AH35" i="34" s="1"/>
  <c r="H6" i="34"/>
  <c r="G6" i="34"/>
  <c r="AN5" i="34"/>
  <c r="AN33" i="34" s="1"/>
  <c r="AH5" i="34"/>
  <c r="AH33" i="34" s="1"/>
  <c r="K3" i="34"/>
  <c r="AP6" i="34" s="1"/>
  <c r="AP35" i="34" s="1"/>
  <c r="I3" i="34"/>
  <c r="AN6" i="34" s="1"/>
  <c r="AN35" i="34" s="1"/>
  <c r="I3" i="29"/>
  <c r="K3" i="29"/>
  <c r="N6" i="29"/>
  <c r="N7" i="29"/>
  <c r="N8" i="29"/>
  <c r="N9" i="29"/>
  <c r="N10" i="29"/>
  <c r="N11" i="29"/>
  <c r="N12" i="29"/>
  <c r="N13" i="29"/>
  <c r="N14" i="29"/>
  <c r="N15" i="29"/>
  <c r="N16" i="29"/>
  <c r="N17" i="29"/>
  <c r="N18" i="29"/>
  <c r="N19" i="29"/>
  <c r="N20" i="29"/>
  <c r="N21" i="29"/>
  <c r="N22" i="29"/>
  <c r="N23" i="29"/>
  <c r="N24" i="29"/>
  <c r="N25" i="29"/>
  <c r="N26" i="29"/>
  <c r="N27" i="29"/>
  <c r="N28" i="29"/>
  <c r="N29" i="29"/>
  <c r="N30" i="29"/>
  <c r="N31" i="29"/>
  <c r="N32" i="29"/>
  <c r="N33" i="29"/>
  <c r="N34" i="29"/>
  <c r="N35" i="29"/>
  <c r="N36" i="29"/>
  <c r="N37" i="29"/>
  <c r="N38" i="29"/>
  <c r="N39" i="29"/>
  <c r="N40" i="29"/>
  <c r="N41" i="29"/>
  <c r="N42" i="29"/>
  <c r="N43" i="29"/>
  <c r="N44" i="29"/>
  <c r="N45" i="29"/>
  <c r="N46" i="29"/>
  <c r="N47" i="29"/>
  <c r="N48" i="29"/>
  <c r="N49" i="29"/>
  <c r="N50" i="29"/>
  <c r="N51" i="29"/>
  <c r="N52" i="29"/>
  <c r="N53" i="29"/>
  <c r="N54" i="29"/>
  <c r="N55" i="29"/>
  <c r="Y14" i="38" l="1"/>
  <c r="Y12" i="38"/>
  <c r="Z11" i="38"/>
  <c r="Y13" i="38"/>
  <c r="S22" i="38"/>
  <c r="S11" i="34"/>
  <c r="S12" i="34"/>
  <c r="R51" i="37"/>
  <c r="S12" i="38"/>
  <c r="S23" i="34"/>
  <c r="S11" i="36"/>
  <c r="X8" i="38"/>
  <c r="Q29" i="39"/>
  <c r="S31" i="34"/>
  <c r="S12" i="35"/>
  <c r="X16" i="35"/>
  <c r="AA18" i="37"/>
  <c r="X17" i="37"/>
  <c r="AA22" i="37"/>
  <c r="X17" i="38"/>
  <c r="S18" i="38"/>
  <c r="S19" i="38"/>
  <c r="Q33" i="43"/>
  <c r="Z11" i="34"/>
  <c r="Y12" i="34"/>
  <c r="AA39" i="34"/>
  <c r="AA43" i="34"/>
  <c r="S40" i="34"/>
  <c r="R51" i="35"/>
  <c r="R55" i="35"/>
  <c r="Z11" i="36"/>
  <c r="Y12" i="36"/>
  <c r="R22" i="36"/>
  <c r="R26" i="36"/>
  <c r="R30" i="36"/>
  <c r="R30" i="37"/>
  <c r="R43" i="37"/>
  <c r="Z16" i="38"/>
  <c r="R51" i="38"/>
  <c r="R55" i="38"/>
  <c r="R27" i="43"/>
  <c r="R28" i="43"/>
  <c r="Q29" i="43"/>
  <c r="Q37" i="43"/>
  <c r="R39" i="38"/>
  <c r="R55" i="34"/>
  <c r="AA36" i="35"/>
  <c r="R47" i="37"/>
  <c r="X13" i="38"/>
  <c r="R29" i="39"/>
  <c r="R37" i="39"/>
  <c r="R32" i="43"/>
  <c r="R40" i="43"/>
  <c r="R43" i="38"/>
  <c r="R51" i="34"/>
  <c r="R39" i="36"/>
  <c r="R43" i="36"/>
  <c r="R47" i="36"/>
  <c r="R51" i="36"/>
  <c r="R55" i="36"/>
  <c r="S17" i="37"/>
  <c r="R26" i="37"/>
  <c r="R39" i="37"/>
  <c r="R55" i="37"/>
  <c r="AA13" i="38"/>
  <c r="S11" i="38"/>
  <c r="AA18" i="38"/>
  <c r="R18" i="38"/>
  <c r="AA26" i="38"/>
  <c r="R30" i="38"/>
  <c r="R47" i="38"/>
  <c r="R33" i="39"/>
  <c r="R41" i="39"/>
  <c r="R36" i="43"/>
  <c r="P32" i="39"/>
  <c r="P40" i="39"/>
  <c r="Q33" i="39"/>
  <c r="Q41" i="39"/>
  <c r="O27" i="39"/>
  <c r="O28" i="39"/>
  <c r="O36" i="39"/>
  <c r="P38" i="43"/>
  <c r="P36" i="39"/>
  <c r="O22" i="43"/>
  <c r="O23" i="43"/>
  <c r="O24" i="43"/>
  <c r="O32" i="43"/>
  <c r="O40" i="43"/>
  <c r="P30" i="43"/>
  <c r="O25" i="43"/>
  <c r="P32" i="43"/>
  <c r="P40" i="43"/>
  <c r="P23" i="43"/>
  <c r="P24" i="43"/>
  <c r="P33" i="43"/>
  <c r="P34" i="43"/>
  <c r="P27" i="43"/>
  <c r="P28" i="43"/>
  <c r="P29" i="43"/>
  <c r="P36" i="43"/>
  <c r="P37" i="43"/>
  <c r="P41" i="43"/>
  <c r="Q41" i="43"/>
  <c r="P42" i="43"/>
  <c r="P26" i="43"/>
  <c r="O36" i="43"/>
  <c r="P27" i="39"/>
  <c r="P37" i="39"/>
  <c r="P30" i="39"/>
  <c r="P38" i="39"/>
  <c r="O22" i="39"/>
  <c r="O23" i="39"/>
  <c r="O24" i="39"/>
  <c r="O32" i="39"/>
  <c r="P34" i="39"/>
  <c r="O40" i="39"/>
  <c r="P42" i="39"/>
  <c r="P28" i="39"/>
  <c r="P29" i="39"/>
  <c r="P23" i="39"/>
  <c r="P24" i="39"/>
  <c r="O25" i="39"/>
  <c r="P33" i="39"/>
  <c r="Q37" i="39"/>
  <c r="P41" i="39"/>
  <c r="AA24" i="38"/>
  <c r="S21" i="38"/>
  <c r="R26" i="38"/>
  <c r="AA22" i="38"/>
  <c r="AA20" i="38"/>
  <c r="AA25" i="38"/>
  <c r="S20" i="38"/>
  <c r="R22" i="38"/>
  <c r="O26" i="43"/>
  <c r="R31" i="43"/>
  <c r="O34" i="43"/>
  <c r="Q40" i="43"/>
  <c r="O27" i="43"/>
  <c r="O28" i="43"/>
  <c r="Q31" i="43"/>
  <c r="Q35" i="43"/>
  <c r="O37" i="43"/>
  <c r="R38" i="43"/>
  <c r="O41" i="43"/>
  <c r="R42" i="43"/>
  <c r="P25" i="43"/>
  <c r="R29" i="43"/>
  <c r="Q30" i="43"/>
  <c r="P31" i="43"/>
  <c r="R33" i="43"/>
  <c r="Q34" i="43"/>
  <c r="P35" i="43"/>
  <c r="R37" i="43"/>
  <c r="Q38" i="43"/>
  <c r="P39" i="43"/>
  <c r="R41" i="43"/>
  <c r="Q42" i="43"/>
  <c r="O30" i="43"/>
  <c r="Q32" i="43"/>
  <c r="R35" i="43"/>
  <c r="Q36" i="43"/>
  <c r="O38" i="43"/>
  <c r="R39" i="43"/>
  <c r="O42" i="43"/>
  <c r="O29" i="43"/>
  <c r="R30" i="43"/>
  <c r="O33" i="43"/>
  <c r="R34" i="43"/>
  <c r="Q39" i="43"/>
  <c r="O31" i="43"/>
  <c r="O35" i="43"/>
  <c r="O39" i="43"/>
  <c r="O26" i="39"/>
  <c r="O30" i="39"/>
  <c r="R31" i="39"/>
  <c r="Q32" i="39"/>
  <c r="O34" i="39"/>
  <c r="R35" i="39"/>
  <c r="Q36" i="39"/>
  <c r="O38" i="39"/>
  <c r="R39" i="39"/>
  <c r="Q40" i="39"/>
  <c r="O42" i="39"/>
  <c r="O29" i="39"/>
  <c r="R30" i="39"/>
  <c r="Q31" i="39"/>
  <c r="O33" i="39"/>
  <c r="R34" i="39"/>
  <c r="Q35" i="39"/>
  <c r="O37" i="39"/>
  <c r="R38" i="39"/>
  <c r="Q39" i="39"/>
  <c r="O41" i="39"/>
  <c r="R42" i="39"/>
  <c r="P25" i="39"/>
  <c r="Q30" i="39"/>
  <c r="P31" i="39"/>
  <c r="Q34" i="39"/>
  <c r="P35" i="39"/>
  <c r="Q38" i="39"/>
  <c r="P39" i="39"/>
  <c r="Q42" i="39"/>
  <c r="P26" i="39"/>
  <c r="R27" i="39"/>
  <c r="R28" i="39"/>
  <c r="O31" i="39"/>
  <c r="R32" i="39"/>
  <c r="O35" i="39"/>
  <c r="R36" i="39"/>
  <c r="O39" i="39"/>
  <c r="R40" i="39"/>
  <c r="X11" i="38"/>
  <c r="AA12" i="38"/>
  <c r="S14" i="38"/>
  <c r="Z15" i="38"/>
  <c r="R20" i="38"/>
  <c r="R32" i="38"/>
  <c r="R34" i="38"/>
  <c r="AA34" i="38"/>
  <c r="R41" i="38"/>
  <c r="X9" i="38"/>
  <c r="AA11" i="38"/>
  <c r="R14" i="38"/>
  <c r="Y15" i="38"/>
  <c r="AA16" i="38"/>
  <c r="AA17" i="38"/>
  <c r="R21" i="38"/>
  <c r="R29" i="38"/>
  <c r="R33" i="38"/>
  <c r="R35" i="38"/>
  <c r="R42" i="38"/>
  <c r="R54" i="38"/>
  <c r="S7" i="38"/>
  <c r="S8" i="38"/>
  <c r="X10" i="38"/>
  <c r="Y11" i="38"/>
  <c r="X12" i="38"/>
  <c r="R13" i="38"/>
  <c r="Z13" i="38"/>
  <c r="X14" i="38"/>
  <c r="R15" i="38"/>
  <c r="V15" i="38"/>
  <c r="AA15" i="38"/>
  <c r="S16" i="38"/>
  <c r="Y16" i="38"/>
  <c r="R19" i="38"/>
  <c r="AA19" i="38"/>
  <c r="R23" i="38"/>
  <c r="AA23" i="38"/>
  <c r="R27" i="38"/>
  <c r="AA27" i="38"/>
  <c r="R31" i="38"/>
  <c r="AA31" i="38"/>
  <c r="R36" i="38"/>
  <c r="AA36" i="38"/>
  <c r="R40" i="38"/>
  <c r="AA40" i="38"/>
  <c r="R44" i="38"/>
  <c r="AA44" i="38"/>
  <c r="AB47" i="38" s="1"/>
  <c r="R48" i="38"/>
  <c r="AA48" i="38"/>
  <c r="AB49" i="38" s="1"/>
  <c r="R52" i="38"/>
  <c r="AA52" i="38"/>
  <c r="AB53" i="38" s="1"/>
  <c r="Y9" i="38"/>
  <c r="S10" i="38"/>
  <c r="AA14" i="38"/>
  <c r="R16" i="38"/>
  <c r="X16" i="38"/>
  <c r="R24" i="38"/>
  <c r="R28" i="38"/>
  <c r="R37" i="38"/>
  <c r="R45" i="38"/>
  <c r="R49" i="38"/>
  <c r="R53" i="38"/>
  <c r="Z10" i="38"/>
  <c r="R12" i="38"/>
  <c r="Z12" i="38"/>
  <c r="Z14" i="38"/>
  <c r="S17" i="38"/>
  <c r="AA21" i="38"/>
  <c r="R25" i="38"/>
  <c r="AA35" i="38"/>
  <c r="R38" i="38"/>
  <c r="AA38" i="38"/>
  <c r="R46" i="38"/>
  <c r="R50" i="38"/>
  <c r="S9" i="38"/>
  <c r="Y10" i="38"/>
  <c r="S13" i="38"/>
  <c r="S15" i="38"/>
  <c r="X15" i="38"/>
  <c r="R17" i="38"/>
  <c r="AA20" i="37"/>
  <c r="Z16" i="37"/>
  <c r="R22" i="37"/>
  <c r="S16" i="37"/>
  <c r="AA21" i="37"/>
  <c r="R18" i="37"/>
  <c r="Y14" i="37"/>
  <c r="Y12" i="37"/>
  <c r="S11" i="37"/>
  <c r="Y13" i="37"/>
  <c r="S12" i="37"/>
  <c r="X13" i="37"/>
  <c r="AA13" i="37"/>
  <c r="Z11" i="37"/>
  <c r="X8" i="37"/>
  <c r="Y9" i="37"/>
  <c r="S10" i="37"/>
  <c r="S14" i="37"/>
  <c r="R16" i="37"/>
  <c r="R24" i="37"/>
  <c r="R28" i="37"/>
  <c r="R32" i="37"/>
  <c r="AA34" i="37"/>
  <c r="R37" i="37"/>
  <c r="R41" i="37"/>
  <c r="Z10" i="37"/>
  <c r="AA11" i="37"/>
  <c r="R21" i="37"/>
  <c r="AA35" i="37"/>
  <c r="R42" i="37"/>
  <c r="R50" i="37"/>
  <c r="S7" i="37"/>
  <c r="S8" i="37"/>
  <c r="X10" i="37"/>
  <c r="Y11" i="37"/>
  <c r="X12" i="37"/>
  <c r="R13" i="37"/>
  <c r="Z13" i="37"/>
  <c r="X14" i="37"/>
  <c r="R15" i="37"/>
  <c r="V15" i="37"/>
  <c r="AA15" i="37"/>
  <c r="Y16" i="37"/>
  <c r="R19" i="37"/>
  <c r="AA19" i="37"/>
  <c r="R23" i="37"/>
  <c r="AA23" i="37"/>
  <c r="R27" i="37"/>
  <c r="AA27" i="37"/>
  <c r="AB30" i="37" s="1"/>
  <c r="R31" i="37"/>
  <c r="AA31" i="37"/>
  <c r="R36" i="37"/>
  <c r="AA36" i="37"/>
  <c r="R40" i="37"/>
  <c r="AA40" i="37"/>
  <c r="R44" i="37"/>
  <c r="AA44" i="37"/>
  <c r="R48" i="37"/>
  <c r="AA48" i="37"/>
  <c r="AB51" i="37" s="1"/>
  <c r="R52" i="37"/>
  <c r="AA52" i="37"/>
  <c r="X11" i="37"/>
  <c r="AA12" i="37"/>
  <c r="AA14" i="37"/>
  <c r="Z15" i="37"/>
  <c r="X16" i="37"/>
  <c r="R20" i="37"/>
  <c r="R34" i="37"/>
  <c r="R45" i="37"/>
  <c r="R49" i="37"/>
  <c r="R53" i="37"/>
  <c r="X9" i="37"/>
  <c r="R12" i="37"/>
  <c r="Z12" i="37"/>
  <c r="R14" i="37"/>
  <c r="Z14" i="37"/>
  <c r="Y15" i="37"/>
  <c r="AA16" i="37"/>
  <c r="AA17" i="37"/>
  <c r="R25" i="37"/>
  <c r="R29" i="37"/>
  <c r="R33" i="37"/>
  <c r="R35" i="37"/>
  <c r="R38" i="37"/>
  <c r="AA38" i="37"/>
  <c r="AB39" i="37" s="1"/>
  <c r="R46" i="37"/>
  <c r="R54" i="37"/>
  <c r="S9" i="37"/>
  <c r="Y10" i="37"/>
  <c r="S13" i="37"/>
  <c r="S15" i="37"/>
  <c r="X15" i="37"/>
  <c r="R17" i="37"/>
  <c r="AA20" i="36"/>
  <c r="Z16" i="36"/>
  <c r="S15" i="36"/>
  <c r="X13" i="36"/>
  <c r="AA18" i="36"/>
  <c r="AA13" i="36"/>
  <c r="S12" i="36"/>
  <c r="Y13" i="36"/>
  <c r="Y14" i="36"/>
  <c r="R18" i="36"/>
  <c r="X8" i="36"/>
  <c r="X11" i="36"/>
  <c r="AA12" i="36"/>
  <c r="AA14" i="36"/>
  <c r="Z15" i="36"/>
  <c r="R16" i="36"/>
  <c r="R28" i="36"/>
  <c r="R32" i="36"/>
  <c r="R37" i="36"/>
  <c r="R45" i="36"/>
  <c r="Z10" i="36"/>
  <c r="R12" i="36"/>
  <c r="Z12" i="36"/>
  <c r="R14" i="36"/>
  <c r="R21" i="36"/>
  <c r="R25" i="36"/>
  <c r="R33" i="36"/>
  <c r="R35" i="36"/>
  <c r="R42" i="36"/>
  <c r="R46" i="36"/>
  <c r="R50" i="36"/>
  <c r="R54" i="36"/>
  <c r="S7" i="36"/>
  <c r="S8" i="36"/>
  <c r="X10" i="36"/>
  <c r="Y11" i="36"/>
  <c r="X12" i="36"/>
  <c r="R13" i="36"/>
  <c r="Z13" i="36"/>
  <c r="X14" i="36"/>
  <c r="R15" i="36"/>
  <c r="V15" i="36"/>
  <c r="AA15" i="36"/>
  <c r="Y16" i="36"/>
  <c r="R19" i="36"/>
  <c r="AA19" i="36"/>
  <c r="R23" i="36"/>
  <c r="AA23" i="36"/>
  <c r="R27" i="36"/>
  <c r="AA27" i="36"/>
  <c r="AB28" i="36" s="1"/>
  <c r="R31" i="36"/>
  <c r="AA31" i="36"/>
  <c r="AB32" i="36" s="1"/>
  <c r="R36" i="36"/>
  <c r="AA36" i="36"/>
  <c r="R40" i="36"/>
  <c r="AA40" i="36"/>
  <c r="AB43" i="36" s="1"/>
  <c r="R44" i="36"/>
  <c r="AA44" i="36"/>
  <c r="R48" i="36"/>
  <c r="AA48" i="36"/>
  <c r="AB49" i="36" s="1"/>
  <c r="R52" i="36"/>
  <c r="AA52" i="36"/>
  <c r="Y9" i="36"/>
  <c r="S10" i="36"/>
  <c r="S14" i="36"/>
  <c r="X16" i="36"/>
  <c r="R20" i="36"/>
  <c r="R24" i="36"/>
  <c r="R34" i="36"/>
  <c r="AA34" i="36"/>
  <c r="R41" i="36"/>
  <c r="R49" i="36"/>
  <c r="R53" i="36"/>
  <c r="X9" i="36"/>
  <c r="AA11" i="36"/>
  <c r="Z14" i="36"/>
  <c r="Y15" i="36"/>
  <c r="AA16" i="36"/>
  <c r="AA17" i="36"/>
  <c r="R29" i="36"/>
  <c r="AA35" i="36"/>
  <c r="R38" i="36"/>
  <c r="AA38" i="36"/>
  <c r="S9" i="36"/>
  <c r="Y10" i="36"/>
  <c r="S13" i="36"/>
  <c r="X15" i="36"/>
  <c r="R17" i="36"/>
  <c r="X15" i="35"/>
  <c r="X14" i="35"/>
  <c r="Y15" i="35"/>
  <c r="AA14" i="35"/>
  <c r="S10" i="35"/>
  <c r="Y9" i="35"/>
  <c r="AA13" i="35"/>
  <c r="AA12" i="35"/>
  <c r="R17" i="35"/>
  <c r="AA17" i="35"/>
  <c r="R24" i="35"/>
  <c r="R28" i="35"/>
  <c r="R39" i="35"/>
  <c r="R16" i="35"/>
  <c r="Y16" i="35"/>
  <c r="R20" i="35"/>
  <c r="R32" i="35"/>
  <c r="R43" i="35"/>
  <c r="R47" i="35"/>
  <c r="S8" i="35"/>
  <c r="X10" i="35"/>
  <c r="AA11" i="35"/>
  <c r="X12" i="35"/>
  <c r="X13" i="35"/>
  <c r="S7" i="35"/>
  <c r="Z10" i="35"/>
  <c r="Y11" i="35"/>
  <c r="R12" i="35"/>
  <c r="Z12" i="35"/>
  <c r="R13" i="35"/>
  <c r="Z13" i="35"/>
  <c r="R14" i="35"/>
  <c r="Z14" i="35"/>
  <c r="R15" i="35"/>
  <c r="V15" i="35"/>
  <c r="AA15" i="35"/>
  <c r="AA16" i="35"/>
  <c r="S18" i="35"/>
  <c r="R19" i="35"/>
  <c r="AA19" i="35"/>
  <c r="S22" i="35"/>
  <c r="R23" i="35"/>
  <c r="AA23" i="35"/>
  <c r="S26" i="35"/>
  <c r="R27" i="35"/>
  <c r="AA27" i="35"/>
  <c r="S30" i="35"/>
  <c r="R31" i="35"/>
  <c r="AA31" i="35"/>
  <c r="S37" i="35"/>
  <c r="R38" i="35"/>
  <c r="AA38" i="35"/>
  <c r="S41" i="35"/>
  <c r="R42" i="35"/>
  <c r="AA42" i="35"/>
  <c r="R46" i="35"/>
  <c r="AA46" i="35"/>
  <c r="R50" i="35"/>
  <c r="AA50" i="35"/>
  <c r="R54" i="35"/>
  <c r="AA54" i="35"/>
  <c r="X8" i="35"/>
  <c r="Y10" i="35"/>
  <c r="X11" i="35"/>
  <c r="Y12" i="35"/>
  <c r="Y13" i="35"/>
  <c r="Y14" i="35"/>
  <c r="Z15" i="35"/>
  <c r="Z16" i="35"/>
  <c r="R18" i="35"/>
  <c r="AA18" i="35"/>
  <c r="S21" i="35"/>
  <c r="R22" i="35"/>
  <c r="AA22" i="35"/>
  <c r="S25" i="35"/>
  <c r="R26" i="35"/>
  <c r="AA26" i="35"/>
  <c r="S29" i="35"/>
  <c r="R30" i="35"/>
  <c r="AA30" i="35"/>
  <c r="S33" i="35"/>
  <c r="S35" i="35"/>
  <c r="R37" i="35"/>
  <c r="AA37" i="35"/>
  <c r="S40" i="35"/>
  <c r="R41" i="35"/>
  <c r="AA41" i="35"/>
  <c r="R45" i="35"/>
  <c r="AA45" i="35"/>
  <c r="R49" i="35"/>
  <c r="R53" i="35"/>
  <c r="AA53" i="35"/>
  <c r="X9" i="35"/>
  <c r="S11" i="35"/>
  <c r="R21" i="35"/>
  <c r="AA21" i="35"/>
  <c r="R25" i="35"/>
  <c r="AA25" i="35"/>
  <c r="R29" i="35"/>
  <c r="AA29" i="35"/>
  <c r="R33" i="35"/>
  <c r="AA33" i="35"/>
  <c r="R35" i="35"/>
  <c r="AA35" i="35"/>
  <c r="R36" i="35"/>
  <c r="R40" i="35"/>
  <c r="AA40" i="35"/>
  <c r="R44" i="35"/>
  <c r="AA44" i="35"/>
  <c r="R48" i="35"/>
  <c r="AA48" i="35"/>
  <c r="R52" i="35"/>
  <c r="AA52" i="35"/>
  <c r="S9" i="35"/>
  <c r="Z11" i="35"/>
  <c r="S13" i="35"/>
  <c r="S14" i="35"/>
  <c r="S15" i="35"/>
  <c r="X17" i="35"/>
  <c r="S19" i="35"/>
  <c r="S23" i="35"/>
  <c r="S27" i="35"/>
  <c r="R34" i="35"/>
  <c r="S38" i="35"/>
  <c r="S42" i="35"/>
  <c r="AA18" i="34"/>
  <c r="AA22" i="34"/>
  <c r="S19" i="34"/>
  <c r="Y13" i="34"/>
  <c r="X13" i="34"/>
  <c r="R43" i="34"/>
  <c r="AA13" i="34"/>
  <c r="R18" i="34"/>
  <c r="AA30" i="34"/>
  <c r="S27" i="34"/>
  <c r="R30" i="34"/>
  <c r="R26" i="34"/>
  <c r="X17" i="34"/>
  <c r="AA26" i="34"/>
  <c r="X8" i="34"/>
  <c r="Y14" i="34"/>
  <c r="Z16" i="34"/>
  <c r="AA20" i="34"/>
  <c r="R22" i="34"/>
  <c r="S36" i="34"/>
  <c r="R39" i="34"/>
  <c r="AA47" i="34"/>
  <c r="R47" i="34"/>
  <c r="Y9" i="34"/>
  <c r="AA12" i="34"/>
  <c r="S14" i="34"/>
  <c r="Z15" i="34"/>
  <c r="R16" i="34"/>
  <c r="X16" i="34"/>
  <c r="S25" i="34"/>
  <c r="S29" i="34"/>
  <c r="R32" i="34"/>
  <c r="S33" i="34"/>
  <c r="R34" i="34"/>
  <c r="AA34" i="34"/>
  <c r="R37" i="34"/>
  <c r="AA37" i="34"/>
  <c r="S38" i="34"/>
  <c r="R49" i="34"/>
  <c r="X9" i="34"/>
  <c r="AA11" i="34"/>
  <c r="R12" i="34"/>
  <c r="Z12" i="34"/>
  <c r="AA16" i="34"/>
  <c r="S18" i="34"/>
  <c r="R21" i="34"/>
  <c r="AA21" i="34"/>
  <c r="R25" i="34"/>
  <c r="AA25" i="34"/>
  <c r="R33" i="34"/>
  <c r="R35" i="34"/>
  <c r="S39" i="34"/>
  <c r="R42" i="34"/>
  <c r="AA42" i="34"/>
  <c r="R46" i="34"/>
  <c r="AA46" i="34"/>
  <c r="R50" i="34"/>
  <c r="R54" i="34"/>
  <c r="S7" i="34"/>
  <c r="S8" i="34"/>
  <c r="X10" i="34"/>
  <c r="Y11" i="34"/>
  <c r="X12" i="34"/>
  <c r="R13" i="34"/>
  <c r="Z13" i="34"/>
  <c r="X14" i="34"/>
  <c r="R15" i="34"/>
  <c r="V15" i="34"/>
  <c r="AA15" i="34"/>
  <c r="S16" i="34"/>
  <c r="Y16" i="34"/>
  <c r="R19" i="34"/>
  <c r="AA19" i="34"/>
  <c r="S20" i="34"/>
  <c r="R23" i="34"/>
  <c r="AA23" i="34"/>
  <c r="S24" i="34"/>
  <c r="R27" i="34"/>
  <c r="AA27" i="34"/>
  <c r="S28" i="34"/>
  <c r="R31" i="34"/>
  <c r="AA31" i="34"/>
  <c r="S32" i="34"/>
  <c r="S34" i="34"/>
  <c r="R36" i="34"/>
  <c r="AA36" i="34"/>
  <c r="S37" i="34"/>
  <c r="R40" i="34"/>
  <c r="AA40" i="34"/>
  <c r="S41" i="34"/>
  <c r="R44" i="34"/>
  <c r="AA44" i="34"/>
  <c r="R48" i="34"/>
  <c r="AA48" i="34"/>
  <c r="R52" i="34"/>
  <c r="AA52" i="34"/>
  <c r="AB53" i="34" s="1"/>
  <c r="S10" i="34"/>
  <c r="X11" i="34"/>
  <c r="AA14" i="34"/>
  <c r="R20" i="34"/>
  <c r="S21" i="34"/>
  <c r="R24" i="34"/>
  <c r="AA24" i="34"/>
  <c r="R28" i="34"/>
  <c r="AA28" i="34"/>
  <c r="AA32" i="34"/>
  <c r="S35" i="34"/>
  <c r="R41" i="34"/>
  <c r="AA41" i="34"/>
  <c r="S42" i="34"/>
  <c r="R45" i="34"/>
  <c r="AA45" i="34"/>
  <c r="R53" i="34"/>
  <c r="Z10" i="34"/>
  <c r="R14" i="34"/>
  <c r="Z14" i="34"/>
  <c r="Y15" i="34"/>
  <c r="S17" i="34"/>
  <c r="AA17" i="34"/>
  <c r="S22" i="34"/>
  <c r="S26" i="34"/>
  <c r="R29" i="34"/>
  <c r="AA29" i="34"/>
  <c r="S30" i="34"/>
  <c r="AA33" i="34"/>
  <c r="AA35" i="34"/>
  <c r="R38" i="34"/>
  <c r="AA38" i="34"/>
  <c r="S43" i="34"/>
  <c r="S9" i="34"/>
  <c r="Y10" i="34"/>
  <c r="S13" i="34"/>
  <c r="S15" i="34"/>
  <c r="X15" i="34"/>
  <c r="R17" i="34"/>
  <c r="S55" i="29"/>
  <c r="H55" i="29"/>
  <c r="AD55" i="29" s="1"/>
  <c r="G55" i="29"/>
  <c r="S54" i="29"/>
  <c r="H54" i="29"/>
  <c r="AD54" i="29" s="1"/>
  <c r="G54" i="29"/>
  <c r="S53" i="29"/>
  <c r="H53" i="29"/>
  <c r="AD53" i="29" s="1"/>
  <c r="G53" i="29"/>
  <c r="S52" i="29"/>
  <c r="H52" i="29"/>
  <c r="AD52" i="29" s="1"/>
  <c r="G52" i="29"/>
  <c r="S51" i="29"/>
  <c r="H51" i="29"/>
  <c r="AD51" i="29" s="1"/>
  <c r="G51" i="29"/>
  <c r="H50" i="29"/>
  <c r="AD50" i="29" s="1"/>
  <c r="G50" i="29"/>
  <c r="H49" i="29"/>
  <c r="AD49" i="29" s="1"/>
  <c r="G49" i="29"/>
  <c r="H48" i="29"/>
  <c r="AD48" i="29" s="1"/>
  <c r="G48" i="29"/>
  <c r="H47" i="29"/>
  <c r="AD47" i="29" s="1"/>
  <c r="G47" i="29"/>
  <c r="H46" i="29"/>
  <c r="AD46" i="29" s="1"/>
  <c r="G46" i="29"/>
  <c r="H45" i="29"/>
  <c r="AD45" i="29" s="1"/>
  <c r="G45" i="29"/>
  <c r="H44" i="29"/>
  <c r="AD44" i="29" s="1"/>
  <c r="G44" i="29"/>
  <c r="H43" i="29"/>
  <c r="AD43" i="29" s="1"/>
  <c r="G43" i="29"/>
  <c r="H42" i="29"/>
  <c r="AD42" i="29" s="1"/>
  <c r="G42" i="29"/>
  <c r="H41" i="29"/>
  <c r="AD41" i="29" s="1"/>
  <c r="G41" i="29"/>
  <c r="H40" i="29"/>
  <c r="AD40" i="29" s="1"/>
  <c r="G40" i="29"/>
  <c r="H39" i="29"/>
  <c r="AD39" i="29" s="1"/>
  <c r="G39" i="29"/>
  <c r="H38" i="29"/>
  <c r="AD38" i="29" s="1"/>
  <c r="G38" i="29"/>
  <c r="H37" i="29"/>
  <c r="AD37" i="29" s="1"/>
  <c r="G37" i="29"/>
  <c r="H36" i="29"/>
  <c r="AD36" i="29" s="1"/>
  <c r="G36" i="29"/>
  <c r="H35" i="29"/>
  <c r="AD35" i="29" s="1"/>
  <c r="G35" i="29"/>
  <c r="H34" i="29"/>
  <c r="AD34" i="29" s="1"/>
  <c r="G34" i="29"/>
  <c r="H33" i="29"/>
  <c r="AD33" i="29" s="1"/>
  <c r="G33" i="29"/>
  <c r="H32" i="29"/>
  <c r="AD32" i="29" s="1"/>
  <c r="G32" i="29"/>
  <c r="H31" i="29"/>
  <c r="AD31" i="29" s="1"/>
  <c r="G31" i="29"/>
  <c r="H30" i="29"/>
  <c r="AD30" i="29" s="1"/>
  <c r="G30" i="29"/>
  <c r="H29" i="29"/>
  <c r="AD29" i="29" s="1"/>
  <c r="G29" i="29"/>
  <c r="H28" i="29"/>
  <c r="AD28" i="29" s="1"/>
  <c r="G28" i="29"/>
  <c r="H27" i="29"/>
  <c r="AD27" i="29" s="1"/>
  <c r="G27" i="29"/>
  <c r="H26" i="29"/>
  <c r="AD26" i="29" s="1"/>
  <c r="G26" i="29"/>
  <c r="H25" i="29"/>
  <c r="AD25" i="29" s="1"/>
  <c r="G25" i="29"/>
  <c r="H24" i="29"/>
  <c r="AD24" i="29" s="1"/>
  <c r="G24" i="29"/>
  <c r="H23" i="29"/>
  <c r="AD23" i="29" s="1"/>
  <c r="G23" i="29"/>
  <c r="H22" i="29"/>
  <c r="AD22" i="29" s="1"/>
  <c r="G22" i="29"/>
  <c r="H21" i="29"/>
  <c r="AD21" i="29" s="1"/>
  <c r="G21" i="29"/>
  <c r="H20" i="29"/>
  <c r="AD20" i="29" s="1"/>
  <c r="G20" i="29"/>
  <c r="H19" i="29"/>
  <c r="AD19" i="29" s="1"/>
  <c r="G19" i="29"/>
  <c r="H18" i="29"/>
  <c r="AD18" i="29" s="1"/>
  <c r="G18" i="29"/>
  <c r="H17" i="29"/>
  <c r="AD17" i="29" s="1"/>
  <c r="G17" i="29"/>
  <c r="H16" i="29"/>
  <c r="AD16" i="29" s="1"/>
  <c r="G16" i="29"/>
  <c r="H15" i="29"/>
  <c r="AD15" i="29" s="1"/>
  <c r="G15" i="29"/>
  <c r="H14" i="29"/>
  <c r="AD14" i="29" s="1"/>
  <c r="G14" i="29"/>
  <c r="H13" i="29"/>
  <c r="AD13" i="29" s="1"/>
  <c r="G13" i="29"/>
  <c r="H12" i="29"/>
  <c r="AD12" i="29" s="1"/>
  <c r="G12" i="29"/>
  <c r="H11" i="29"/>
  <c r="AD11" i="29" s="1"/>
  <c r="G11" i="29"/>
  <c r="H10" i="29"/>
  <c r="AD10" i="29" s="1"/>
  <c r="G10" i="29"/>
  <c r="H9" i="29"/>
  <c r="AD9" i="29" s="1"/>
  <c r="G9" i="29"/>
  <c r="H8" i="29"/>
  <c r="AD8" i="29" s="1"/>
  <c r="G8" i="29"/>
  <c r="H7" i="29"/>
  <c r="AD7" i="29" s="1"/>
  <c r="G7" i="29"/>
  <c r="H6" i="29"/>
  <c r="AD6" i="29" s="1"/>
  <c r="G6" i="29"/>
  <c r="AH6" i="29"/>
  <c r="AH35" i="29" s="1"/>
  <c r="AP6" i="29"/>
  <c r="AP35" i="29" s="1"/>
  <c r="AN6" i="29"/>
  <c r="AN35" i="29" s="1"/>
  <c r="AN5" i="29"/>
  <c r="AN33" i="29" s="1"/>
  <c r="AH5" i="29"/>
  <c r="AH33" i="29" s="1"/>
  <c r="AB25" i="35" l="1"/>
  <c r="AB34" i="36"/>
  <c r="AB44" i="36"/>
  <c r="AB40" i="37"/>
  <c r="AB31" i="37"/>
  <c r="AB28" i="37"/>
  <c r="AB38" i="38"/>
  <c r="AB21" i="38"/>
  <c r="AB31" i="38"/>
  <c r="AB42" i="38"/>
  <c r="AB37" i="36"/>
  <c r="AB50" i="36"/>
  <c r="AB39" i="36"/>
  <c r="U48" i="36"/>
  <c r="AB36" i="37"/>
  <c r="AB37" i="38"/>
  <c r="T35" i="36"/>
  <c r="AC35" i="36" s="1"/>
  <c r="AB45" i="36"/>
  <c r="AB43" i="38"/>
  <c r="AB44" i="34"/>
  <c r="AB52" i="35"/>
  <c r="T48" i="35"/>
  <c r="AC48" i="35" s="1"/>
  <c r="U52" i="36"/>
  <c r="T31" i="36"/>
  <c r="AC31" i="36" s="1"/>
  <c r="AB33" i="36"/>
  <c r="AB34" i="37"/>
  <c r="AB50" i="38"/>
  <c r="T39" i="38"/>
  <c r="AC39" i="38" s="1"/>
  <c r="AB51" i="38"/>
  <c r="AA20" i="29"/>
  <c r="AA24" i="29"/>
  <c r="AA36" i="29"/>
  <c r="AA38" i="29"/>
  <c r="T52" i="35"/>
  <c r="AC52" i="35" s="1"/>
  <c r="AB36" i="35"/>
  <c r="AB41" i="36"/>
  <c r="AB52" i="37"/>
  <c r="AB44" i="37"/>
  <c r="AB50" i="37"/>
  <c r="AB54" i="37"/>
  <c r="AB52" i="38"/>
  <c r="AB44" i="38"/>
  <c r="AB19" i="38"/>
  <c r="T39" i="36"/>
  <c r="AC39" i="36" s="1"/>
  <c r="U39" i="37"/>
  <c r="AB29" i="37"/>
  <c r="AB55" i="37"/>
  <c r="AB22" i="37"/>
  <c r="AB55" i="38"/>
  <c r="AB27" i="38"/>
  <c r="AA48" i="29"/>
  <c r="T37" i="38"/>
  <c r="AC37" i="38" s="1"/>
  <c r="U37" i="38"/>
  <c r="T53" i="38"/>
  <c r="AC53" i="38" s="1"/>
  <c r="U53" i="38"/>
  <c r="T28" i="38"/>
  <c r="AC28" i="38" s="1"/>
  <c r="U28" i="38"/>
  <c r="T24" i="38"/>
  <c r="AC24" i="38" s="1"/>
  <c r="U24" i="38"/>
  <c r="T44" i="38"/>
  <c r="AC44" i="38" s="1"/>
  <c r="U44" i="38"/>
  <c r="U55" i="38"/>
  <c r="T55" i="38"/>
  <c r="AC55" i="38" s="1"/>
  <c r="T20" i="38"/>
  <c r="T16" i="38"/>
  <c r="AC16" i="38" s="1"/>
  <c r="T19" i="38"/>
  <c r="T15" i="38"/>
  <c r="T18" i="38"/>
  <c r="AC18" i="38" s="1"/>
  <c r="T17" i="38"/>
  <c r="T21" i="38"/>
  <c r="U54" i="38"/>
  <c r="T54" i="38"/>
  <c r="AC54" i="38" s="1"/>
  <c r="U46" i="38"/>
  <c r="T46" i="38"/>
  <c r="AC46" i="38" s="1"/>
  <c r="T45" i="38"/>
  <c r="AC45" i="38" s="1"/>
  <c r="U45" i="38"/>
  <c r="T32" i="38"/>
  <c r="AC32" i="38" s="1"/>
  <c r="U32" i="38"/>
  <c r="T23" i="38"/>
  <c r="AC23" i="38" s="1"/>
  <c r="U23" i="38"/>
  <c r="U50" i="38"/>
  <c r="T50" i="38"/>
  <c r="AC50" i="38" s="1"/>
  <c r="U26" i="38"/>
  <c r="T26" i="38"/>
  <c r="AC26" i="38" s="1"/>
  <c r="T34" i="38"/>
  <c r="AC34" i="38" s="1"/>
  <c r="U34" i="38"/>
  <c r="U33" i="38"/>
  <c r="T33" i="38"/>
  <c r="AC33" i="38" s="1"/>
  <c r="U25" i="38"/>
  <c r="T25" i="38"/>
  <c r="AC25" i="38" s="1"/>
  <c r="T49" i="38"/>
  <c r="AC49" i="38" s="1"/>
  <c r="U49" i="38"/>
  <c r="T36" i="38"/>
  <c r="AC36" i="38" s="1"/>
  <c r="U36" i="38"/>
  <c r="U51" i="38"/>
  <c r="T51" i="38"/>
  <c r="AC51" i="38" s="1"/>
  <c r="T30" i="38"/>
  <c r="AC30" i="38" s="1"/>
  <c r="U30" i="38"/>
  <c r="T43" i="38"/>
  <c r="AC43" i="38" s="1"/>
  <c r="U43" i="38"/>
  <c r="T52" i="38"/>
  <c r="AC52" i="38" s="1"/>
  <c r="AB41" i="38"/>
  <c r="AB17" i="38"/>
  <c r="AB33" i="38"/>
  <c r="AB25" i="38"/>
  <c r="AB22" i="38"/>
  <c r="AB46" i="38"/>
  <c r="U52" i="38"/>
  <c r="T35" i="38"/>
  <c r="AC35" i="38" s="1"/>
  <c r="AB35" i="38"/>
  <c r="AB36" i="38"/>
  <c r="AB23" i="38"/>
  <c r="AB15" i="38"/>
  <c r="AB20" i="38"/>
  <c r="U27" i="38"/>
  <c r="U31" i="38"/>
  <c r="AB18" i="38"/>
  <c r="AB54" i="38"/>
  <c r="AB28" i="38"/>
  <c r="U48" i="38"/>
  <c r="U47" i="38"/>
  <c r="T47" i="38"/>
  <c r="AC47" i="38" s="1"/>
  <c r="T22" i="38"/>
  <c r="U38" i="38"/>
  <c r="T38" i="38"/>
  <c r="AC38" i="38" s="1"/>
  <c r="T41" i="38"/>
  <c r="AC41" i="38" s="1"/>
  <c r="U41" i="38"/>
  <c r="T40" i="38"/>
  <c r="AC40" i="38" s="1"/>
  <c r="U40" i="38"/>
  <c r="U42" i="38"/>
  <c r="T42" i="38"/>
  <c r="AC42" i="38" s="1"/>
  <c r="U29" i="38"/>
  <c r="T29" i="38"/>
  <c r="AC29" i="38" s="1"/>
  <c r="AB24" i="38"/>
  <c r="U35" i="38"/>
  <c r="U39" i="38"/>
  <c r="AB48" i="38"/>
  <c r="AB45" i="38"/>
  <c r="AB40" i="38"/>
  <c r="AB16" i="38"/>
  <c r="AB34" i="38"/>
  <c r="AB29" i="38"/>
  <c r="AB39" i="38"/>
  <c r="T27" i="38"/>
  <c r="AC27" i="38" s="1"/>
  <c r="T31" i="38"/>
  <c r="AC31" i="38" s="1"/>
  <c r="AB30" i="38"/>
  <c r="AB26" i="38"/>
  <c r="AB32" i="38"/>
  <c r="T48" i="38"/>
  <c r="AC48" i="38" s="1"/>
  <c r="AB23" i="37"/>
  <c r="T27" i="37"/>
  <c r="AC27" i="37" s="1"/>
  <c r="AB17" i="37"/>
  <c r="U21" i="37"/>
  <c r="T20" i="37"/>
  <c r="AC20" i="37" s="1"/>
  <c r="T16" i="37"/>
  <c r="AC16" i="37" s="1"/>
  <c r="T21" i="37"/>
  <c r="AC21" i="37" s="1"/>
  <c r="U18" i="37"/>
  <c r="U20" i="37"/>
  <c r="T19" i="37"/>
  <c r="AC19" i="37" s="1"/>
  <c r="T15" i="37"/>
  <c r="U19" i="37"/>
  <c r="T18" i="37"/>
  <c r="AC18" i="37" s="1"/>
  <c r="T17" i="37"/>
  <c r="T51" i="37"/>
  <c r="AC51" i="37" s="1"/>
  <c r="U51" i="37"/>
  <c r="U55" i="37"/>
  <c r="T55" i="37"/>
  <c r="AC55" i="37" s="1"/>
  <c r="U42" i="37"/>
  <c r="T42" i="37"/>
  <c r="AC42" i="37" s="1"/>
  <c r="T40" i="37"/>
  <c r="AC40" i="37" s="1"/>
  <c r="U40" i="37"/>
  <c r="U38" i="37"/>
  <c r="T38" i="37"/>
  <c r="AC38" i="37" s="1"/>
  <c r="U54" i="37"/>
  <c r="T54" i="37"/>
  <c r="AC54" i="37" s="1"/>
  <c r="T53" i="37"/>
  <c r="AC53" i="37" s="1"/>
  <c r="U53" i="37"/>
  <c r="T49" i="37"/>
  <c r="AC49" i="37" s="1"/>
  <c r="U49" i="37"/>
  <c r="T45" i="37"/>
  <c r="AC45" i="37" s="1"/>
  <c r="U45" i="37"/>
  <c r="T32" i="37"/>
  <c r="AC32" i="37" s="1"/>
  <c r="U32" i="37"/>
  <c r="T24" i="37"/>
  <c r="AC24" i="37" s="1"/>
  <c r="U24" i="37"/>
  <c r="U22" i="37"/>
  <c r="T22" i="37"/>
  <c r="AC22" i="37" s="1"/>
  <c r="T30" i="37"/>
  <c r="AC30" i="37" s="1"/>
  <c r="U30" i="37"/>
  <c r="U50" i="37"/>
  <c r="T50" i="37"/>
  <c r="AC50" i="37" s="1"/>
  <c r="T37" i="37"/>
  <c r="AC37" i="37" s="1"/>
  <c r="U37" i="37"/>
  <c r="AB42" i="37"/>
  <c r="AB21" i="37"/>
  <c r="AB18" i="37"/>
  <c r="AB45" i="37"/>
  <c r="AB20" i="37"/>
  <c r="AB26" i="37"/>
  <c r="AB32" i="37"/>
  <c r="AB19" i="37"/>
  <c r="AB35" i="37"/>
  <c r="U31" i="37"/>
  <c r="AB41" i="37"/>
  <c r="AB49" i="37"/>
  <c r="T48" i="37"/>
  <c r="AC48" i="37" s="1"/>
  <c r="T39" i="37"/>
  <c r="AC39" i="37" s="1"/>
  <c r="T26" i="37"/>
  <c r="AC26" i="37" s="1"/>
  <c r="U26" i="37"/>
  <c r="U47" i="37"/>
  <c r="T47" i="37"/>
  <c r="AC47" i="37" s="1"/>
  <c r="T34" i="37"/>
  <c r="AC34" i="37" s="1"/>
  <c r="U34" i="37"/>
  <c r="T36" i="37"/>
  <c r="AC36" i="37" s="1"/>
  <c r="U36" i="37"/>
  <c r="U46" i="37"/>
  <c r="T46" i="37"/>
  <c r="AC46" i="37" s="1"/>
  <c r="U33" i="37"/>
  <c r="T33" i="37"/>
  <c r="AC33" i="37" s="1"/>
  <c r="U44" i="37"/>
  <c r="T44" i="37"/>
  <c r="AC44" i="37" s="1"/>
  <c r="T23" i="37"/>
  <c r="AC23" i="37" s="1"/>
  <c r="U23" i="37"/>
  <c r="T43" i="37"/>
  <c r="AC43" i="37" s="1"/>
  <c r="U43" i="37"/>
  <c r="U29" i="37"/>
  <c r="T29" i="37"/>
  <c r="AC29" i="37" s="1"/>
  <c r="T28" i="37"/>
  <c r="AC28" i="37" s="1"/>
  <c r="U28" i="37"/>
  <c r="T41" i="37"/>
  <c r="AC41" i="37" s="1"/>
  <c r="U41" i="37"/>
  <c r="U25" i="37"/>
  <c r="T25" i="37"/>
  <c r="AC25" i="37" s="1"/>
  <c r="AB46" i="37"/>
  <c r="T31" i="37"/>
  <c r="AC31" i="37" s="1"/>
  <c r="U48" i="37"/>
  <c r="AB38" i="37"/>
  <c r="AB48" i="37"/>
  <c r="AB15" i="37"/>
  <c r="T52" i="37"/>
  <c r="AC52" i="37" s="1"/>
  <c r="AB43" i="37"/>
  <c r="U35" i="37"/>
  <c r="AB16" i="37"/>
  <c r="AB53" i="37"/>
  <c r="AB27" i="37"/>
  <c r="AB24" i="37"/>
  <c r="AB25" i="37"/>
  <c r="U52" i="37"/>
  <c r="U27" i="37"/>
  <c r="AB37" i="37"/>
  <c r="AB47" i="37"/>
  <c r="AB33" i="37"/>
  <c r="T35" i="37"/>
  <c r="AC35" i="37" s="1"/>
  <c r="AB18" i="36"/>
  <c r="AB19" i="36"/>
  <c r="T24" i="36"/>
  <c r="AC24" i="36" s="1"/>
  <c r="U24" i="36"/>
  <c r="T51" i="36"/>
  <c r="AC51" i="36" s="1"/>
  <c r="U51" i="36"/>
  <c r="U54" i="36"/>
  <c r="T54" i="36"/>
  <c r="AC54" i="36" s="1"/>
  <c r="T26" i="36"/>
  <c r="AC26" i="36" s="1"/>
  <c r="U26" i="36"/>
  <c r="U38" i="36"/>
  <c r="T38" i="36"/>
  <c r="AC38" i="36" s="1"/>
  <c r="U50" i="36"/>
  <c r="T50" i="36"/>
  <c r="AC50" i="36" s="1"/>
  <c r="T45" i="36"/>
  <c r="AC45" i="36" s="1"/>
  <c r="U45" i="36"/>
  <c r="T36" i="36"/>
  <c r="AC36" i="36" s="1"/>
  <c r="U36" i="36"/>
  <c r="U42" i="36"/>
  <c r="T42" i="36"/>
  <c r="AC42" i="36" s="1"/>
  <c r="T34" i="36"/>
  <c r="AC34" i="36" s="1"/>
  <c r="U34" i="36"/>
  <c r="U46" i="36"/>
  <c r="T46" i="36"/>
  <c r="AC46" i="36" s="1"/>
  <c r="U33" i="36"/>
  <c r="T33" i="36"/>
  <c r="AC33" i="36" s="1"/>
  <c r="T28" i="36"/>
  <c r="AC28" i="36" s="1"/>
  <c r="U28" i="36"/>
  <c r="U25" i="36"/>
  <c r="T25" i="36"/>
  <c r="AC25" i="36" s="1"/>
  <c r="T48" i="36"/>
  <c r="AC48" i="36" s="1"/>
  <c r="AB23" i="36"/>
  <c r="AB26" i="36"/>
  <c r="AB47" i="36"/>
  <c r="AB20" i="36"/>
  <c r="AB35" i="36"/>
  <c r="AB16" i="36"/>
  <c r="AB52" i="36"/>
  <c r="AB40" i="36"/>
  <c r="AB31" i="36"/>
  <c r="AB25" i="36"/>
  <c r="AB22" i="36"/>
  <c r="AB42" i="36"/>
  <c r="AB55" i="36"/>
  <c r="U35" i="36"/>
  <c r="T27" i="36"/>
  <c r="AC27" i="36" s="1"/>
  <c r="T43" i="36"/>
  <c r="AC43" i="36" s="1"/>
  <c r="U43" i="36"/>
  <c r="T53" i="36"/>
  <c r="AC53" i="36" s="1"/>
  <c r="U53" i="36"/>
  <c r="T32" i="36"/>
  <c r="AC32" i="36" s="1"/>
  <c r="U32" i="36"/>
  <c r="U22" i="36"/>
  <c r="T22" i="36"/>
  <c r="AC22" i="36" s="1"/>
  <c r="U23" i="36"/>
  <c r="T23" i="36"/>
  <c r="AC23" i="36" s="1"/>
  <c r="T41" i="36"/>
  <c r="AC41" i="36" s="1"/>
  <c r="U41" i="36"/>
  <c r="T37" i="36"/>
  <c r="AC37" i="36" s="1"/>
  <c r="U37" i="36"/>
  <c r="U47" i="36"/>
  <c r="T47" i="36"/>
  <c r="AC47" i="36" s="1"/>
  <c r="U29" i="36"/>
  <c r="T29" i="36"/>
  <c r="AC29" i="36" s="1"/>
  <c r="T49" i="36"/>
  <c r="AC49" i="36" s="1"/>
  <c r="U49" i="36"/>
  <c r="T40" i="36"/>
  <c r="AC40" i="36" s="1"/>
  <c r="U40" i="36"/>
  <c r="T55" i="36"/>
  <c r="AC55" i="36" s="1"/>
  <c r="U55" i="36"/>
  <c r="T44" i="36"/>
  <c r="AC44" i="36" s="1"/>
  <c r="U44" i="36"/>
  <c r="T30" i="36"/>
  <c r="AC30" i="36" s="1"/>
  <c r="U30" i="36"/>
  <c r="U21" i="36"/>
  <c r="T20" i="36"/>
  <c r="AC20" i="36" s="1"/>
  <c r="T16" i="36"/>
  <c r="AC16" i="36" s="1"/>
  <c r="U16" i="36"/>
  <c r="U19" i="36"/>
  <c r="T17" i="36"/>
  <c r="AC17" i="36" s="1"/>
  <c r="T21" i="36"/>
  <c r="AC21" i="36" s="1"/>
  <c r="U18" i="36"/>
  <c r="U17" i="36"/>
  <c r="U20" i="36"/>
  <c r="T19" i="36"/>
  <c r="AC19" i="36" s="1"/>
  <c r="T15" i="36"/>
  <c r="U15" i="36" s="1"/>
  <c r="T18" i="36"/>
  <c r="AC18" i="36" s="1"/>
  <c r="U27" i="36"/>
  <c r="AB17" i="36"/>
  <c r="AB38" i="36"/>
  <c r="AB48" i="36"/>
  <c r="AB36" i="36"/>
  <c r="AB27" i="36"/>
  <c r="AB15" i="36"/>
  <c r="AB54" i="36"/>
  <c r="AB46" i="36"/>
  <c r="AB29" i="36"/>
  <c r="AB21" i="36"/>
  <c r="AB53" i="36"/>
  <c r="AB30" i="36"/>
  <c r="AB51" i="36"/>
  <c r="AB24" i="36"/>
  <c r="T52" i="36"/>
  <c r="AC52" i="36" s="1"/>
  <c r="U39" i="36"/>
  <c r="U31" i="36"/>
  <c r="AB21" i="35"/>
  <c r="AB15" i="35"/>
  <c r="T37" i="35"/>
  <c r="AB33" i="35"/>
  <c r="AB29" i="35"/>
  <c r="AB45" i="35"/>
  <c r="AB41" i="35"/>
  <c r="T26" i="35"/>
  <c r="AB19" i="35"/>
  <c r="AB18" i="35"/>
  <c r="AB38" i="35"/>
  <c r="U52" i="35"/>
  <c r="U48" i="35"/>
  <c r="AB47" i="35"/>
  <c r="T32" i="35"/>
  <c r="T31" i="35"/>
  <c r="T51" i="35"/>
  <c r="AC51" i="35" s="1"/>
  <c r="U51" i="35"/>
  <c r="T23" i="35"/>
  <c r="AB48" i="35"/>
  <c r="AB49" i="35"/>
  <c r="T45" i="35"/>
  <c r="AC45" i="35" s="1"/>
  <c r="U45" i="35"/>
  <c r="T42" i="35"/>
  <c r="T38" i="35"/>
  <c r="T34" i="35"/>
  <c r="T30" i="35"/>
  <c r="T54" i="35"/>
  <c r="AC54" i="35" s="1"/>
  <c r="U54" i="35"/>
  <c r="T50" i="35"/>
  <c r="AC50" i="35" s="1"/>
  <c r="U50" i="35"/>
  <c r="T39" i="35"/>
  <c r="T28" i="35"/>
  <c r="U28" i="35"/>
  <c r="T24" i="35"/>
  <c r="T22" i="35"/>
  <c r="AB30" i="35"/>
  <c r="AB32" i="35"/>
  <c r="AB39" i="35"/>
  <c r="AB34" i="35"/>
  <c r="AB20" i="35"/>
  <c r="AB17" i="35"/>
  <c r="AB44" i="35"/>
  <c r="AB40" i="35"/>
  <c r="AB53" i="35"/>
  <c r="AB37" i="35"/>
  <c r="AB26" i="35"/>
  <c r="AB31" i="35"/>
  <c r="AB16" i="35"/>
  <c r="T41" i="35"/>
  <c r="T43" i="35"/>
  <c r="T27" i="35"/>
  <c r="T47" i="35"/>
  <c r="AC47" i="35" s="1"/>
  <c r="U47" i="35"/>
  <c r="U44" i="35"/>
  <c r="T44" i="35"/>
  <c r="AC44" i="35" s="1"/>
  <c r="T55" i="35"/>
  <c r="AC55" i="35" s="1"/>
  <c r="U55" i="35"/>
  <c r="T36" i="35"/>
  <c r="T18" i="35"/>
  <c r="T19" i="35"/>
  <c r="T15" i="35"/>
  <c r="T20" i="35"/>
  <c r="T17" i="35"/>
  <c r="T16" i="35"/>
  <c r="U25" i="35" s="1"/>
  <c r="T21" i="35"/>
  <c r="U17" i="35"/>
  <c r="T53" i="35"/>
  <c r="AC53" i="35" s="1"/>
  <c r="U53" i="35"/>
  <c r="T49" i="35"/>
  <c r="AC49" i="35" s="1"/>
  <c r="U49" i="35"/>
  <c r="T46" i="35"/>
  <c r="AC46" i="35" s="1"/>
  <c r="U46" i="35"/>
  <c r="T35" i="35"/>
  <c r="U43" i="35" s="1"/>
  <c r="T40" i="35"/>
  <c r="T25" i="35"/>
  <c r="AB43" i="35"/>
  <c r="AB23" i="35"/>
  <c r="AB35" i="35"/>
  <c r="AB22" i="35"/>
  <c r="AB54" i="35"/>
  <c r="AB50" i="35"/>
  <c r="AB46" i="35"/>
  <c r="AB42" i="35"/>
  <c r="AB27" i="35"/>
  <c r="AB55" i="35"/>
  <c r="AB28" i="35"/>
  <c r="T29" i="35"/>
  <c r="AB51" i="35"/>
  <c r="AB24" i="35"/>
  <c r="T33" i="35"/>
  <c r="AB20" i="34"/>
  <c r="AB23" i="34"/>
  <c r="T52" i="34"/>
  <c r="AC52" i="34" s="1"/>
  <c r="AB47" i="34"/>
  <c r="AB35" i="34"/>
  <c r="AB29" i="34"/>
  <c r="AB24" i="34"/>
  <c r="T27" i="34"/>
  <c r="AB18" i="34"/>
  <c r="T39" i="34"/>
  <c r="AB22" i="34"/>
  <c r="AB42" i="34"/>
  <c r="T51" i="34"/>
  <c r="AC51" i="34" s="1"/>
  <c r="U51" i="34"/>
  <c r="T42" i="34"/>
  <c r="T47" i="34"/>
  <c r="AC47" i="34" s="1"/>
  <c r="U47" i="34"/>
  <c r="U54" i="34"/>
  <c r="T54" i="34"/>
  <c r="AC54" i="34" s="1"/>
  <c r="T37" i="34"/>
  <c r="T49" i="34"/>
  <c r="AC49" i="34" s="1"/>
  <c r="U49" i="34"/>
  <c r="T36" i="34"/>
  <c r="T28" i="34"/>
  <c r="T24" i="34"/>
  <c r="T22" i="34"/>
  <c r="T44" i="34"/>
  <c r="AC44" i="34" s="1"/>
  <c r="U44" i="34"/>
  <c r="T41" i="34"/>
  <c r="T25" i="34"/>
  <c r="T30" i="34"/>
  <c r="AB32" i="34"/>
  <c r="AB36" i="34"/>
  <c r="AB31" i="34"/>
  <c r="AB48" i="34"/>
  <c r="AB25" i="34"/>
  <c r="AB34" i="34"/>
  <c r="U48" i="34"/>
  <c r="AB51" i="34"/>
  <c r="U52" i="34"/>
  <c r="AB38" i="34"/>
  <c r="AB33" i="34"/>
  <c r="AB45" i="34"/>
  <c r="AB41" i="34"/>
  <c r="AB28" i="34"/>
  <c r="AB40" i="34"/>
  <c r="AB27" i="34"/>
  <c r="AB19" i="34"/>
  <c r="AB16" i="34"/>
  <c r="AB30" i="34"/>
  <c r="AB50" i="34"/>
  <c r="AB39" i="34"/>
  <c r="T29" i="34"/>
  <c r="T34" i="34"/>
  <c r="T43" i="34"/>
  <c r="T26" i="34"/>
  <c r="U50" i="34"/>
  <c r="T50" i="34"/>
  <c r="AC50" i="34" s="1"/>
  <c r="T38" i="34"/>
  <c r="T23" i="34"/>
  <c r="T33" i="34"/>
  <c r="T53" i="34"/>
  <c r="AC53" i="34" s="1"/>
  <c r="U53" i="34"/>
  <c r="T45" i="34"/>
  <c r="AC45" i="34" s="1"/>
  <c r="U45" i="34"/>
  <c r="T40" i="34"/>
  <c r="T32" i="34"/>
  <c r="U55" i="34"/>
  <c r="T55" i="34"/>
  <c r="AC55" i="34" s="1"/>
  <c r="T20" i="34"/>
  <c r="T16" i="34"/>
  <c r="T21" i="34"/>
  <c r="T19" i="34"/>
  <c r="T15" i="34"/>
  <c r="U15" i="34" s="1"/>
  <c r="T18" i="34"/>
  <c r="T17" i="34"/>
  <c r="U46" i="34"/>
  <c r="T46" i="34"/>
  <c r="AC46" i="34" s="1"/>
  <c r="AB46" i="34"/>
  <c r="AB37" i="34"/>
  <c r="T48" i="34"/>
  <c r="AC48" i="34" s="1"/>
  <c r="T31" i="34"/>
  <c r="AB17" i="34"/>
  <c r="AB52" i="34"/>
  <c r="AB49" i="34"/>
  <c r="AB15" i="34"/>
  <c r="AB21" i="34"/>
  <c r="AB43" i="34"/>
  <c r="AB26" i="34"/>
  <c r="T35" i="34"/>
  <c r="AB55" i="34"/>
  <c r="AB54" i="34"/>
  <c r="AA44" i="29"/>
  <c r="AA40" i="29"/>
  <c r="AA42" i="29"/>
  <c r="AA43" i="29"/>
  <c r="AA34" i="29"/>
  <c r="AA37" i="29"/>
  <c r="AA41" i="29"/>
  <c r="AA33" i="29"/>
  <c r="AA32" i="29"/>
  <c r="AA30" i="29"/>
  <c r="AA31" i="29"/>
  <c r="AA14" i="29"/>
  <c r="X11" i="29"/>
  <c r="Z13" i="29"/>
  <c r="Y12" i="29"/>
  <c r="X17" i="29"/>
  <c r="AA22" i="29"/>
  <c r="S23" i="29"/>
  <c r="AA28" i="29"/>
  <c r="Z11" i="29"/>
  <c r="Y10" i="29"/>
  <c r="AA12" i="29"/>
  <c r="X9" i="29"/>
  <c r="Z15" i="29"/>
  <c r="Y14" i="29"/>
  <c r="AA16" i="29"/>
  <c r="X13" i="29"/>
  <c r="AA18" i="29"/>
  <c r="X15" i="29"/>
  <c r="Y16" i="29"/>
  <c r="S21" i="29"/>
  <c r="AA26" i="29"/>
  <c r="S41" i="29"/>
  <c r="AA46" i="29"/>
  <c r="S45" i="29"/>
  <c r="AA50" i="29"/>
  <c r="S47" i="29"/>
  <c r="AA52" i="29"/>
  <c r="S49" i="29"/>
  <c r="AA54" i="29"/>
  <c r="AA11" i="29"/>
  <c r="X8" i="29"/>
  <c r="Z10" i="29"/>
  <c r="Y9" i="29"/>
  <c r="AA13" i="29"/>
  <c r="X10" i="29"/>
  <c r="Z12" i="29"/>
  <c r="Y11" i="29"/>
  <c r="AA15" i="29"/>
  <c r="X12" i="29"/>
  <c r="Z14" i="29"/>
  <c r="Y13" i="29"/>
  <c r="AA17" i="29"/>
  <c r="X14" i="29"/>
  <c r="Z16" i="29"/>
  <c r="Y15" i="29"/>
  <c r="S14" i="29"/>
  <c r="AA19" i="29"/>
  <c r="X16" i="29"/>
  <c r="S30" i="29"/>
  <c r="AA35" i="29"/>
  <c r="S34" i="29"/>
  <c r="AA39" i="29"/>
  <c r="S40" i="29"/>
  <c r="AA45" i="29"/>
  <c r="S42" i="29"/>
  <c r="AA47" i="29"/>
  <c r="S44" i="29"/>
  <c r="AA49" i="29"/>
  <c r="S46" i="29"/>
  <c r="AA51" i="29"/>
  <c r="S48" i="29"/>
  <c r="AA53" i="29"/>
  <c r="S50" i="29"/>
  <c r="AA55" i="29"/>
  <c r="AA21" i="29"/>
  <c r="AA23" i="29"/>
  <c r="AA25" i="29"/>
  <c r="AA27" i="29"/>
  <c r="AA29" i="29"/>
  <c r="V15" i="29"/>
  <c r="S43" i="29"/>
  <c r="S17" i="29"/>
  <c r="R47" i="29"/>
  <c r="S12" i="29"/>
  <c r="R51" i="29"/>
  <c r="R24" i="29"/>
  <c r="R36" i="29"/>
  <c r="R55" i="29"/>
  <c r="S31" i="29"/>
  <c r="R32" i="29"/>
  <c r="R25" i="29"/>
  <c r="R34" i="29"/>
  <c r="R42" i="29"/>
  <c r="R21" i="29"/>
  <c r="R30" i="29"/>
  <c r="S15" i="29"/>
  <c r="R22" i="29"/>
  <c r="S13" i="29"/>
  <c r="R18" i="29"/>
  <c r="S19" i="29"/>
  <c r="R20" i="29"/>
  <c r="S25" i="29"/>
  <c r="R26" i="29"/>
  <c r="S27" i="29"/>
  <c r="R28" i="29"/>
  <c r="S35" i="29"/>
  <c r="R35" i="29"/>
  <c r="R43" i="29"/>
  <c r="R14" i="29"/>
  <c r="R17" i="29"/>
  <c r="R38" i="29"/>
  <c r="S8" i="29"/>
  <c r="S10" i="29"/>
  <c r="R12" i="29"/>
  <c r="R46" i="29"/>
  <c r="R50" i="29"/>
  <c r="R54" i="29"/>
  <c r="S7" i="29"/>
  <c r="S9" i="29"/>
  <c r="S11" i="29"/>
  <c r="R16" i="29"/>
  <c r="R13" i="29"/>
  <c r="S18" i="29"/>
  <c r="R19" i="29"/>
  <c r="S26" i="29"/>
  <c r="R27" i="29"/>
  <c r="S39" i="29"/>
  <c r="R39" i="29"/>
  <c r="R15" i="29"/>
  <c r="S22" i="29"/>
  <c r="R23" i="29"/>
  <c r="R31" i="29"/>
  <c r="S38" i="29"/>
  <c r="R40" i="29"/>
  <c r="R44" i="29"/>
  <c r="R48" i="29"/>
  <c r="R52" i="29"/>
  <c r="S29" i="29"/>
  <c r="S33" i="29"/>
  <c r="S37" i="29"/>
  <c r="S16" i="29"/>
  <c r="S20" i="29"/>
  <c r="S24" i="29"/>
  <c r="S28" i="29"/>
  <c r="R29" i="29"/>
  <c r="S32" i="29"/>
  <c r="R33" i="29"/>
  <c r="S36" i="29"/>
  <c r="R37" i="29"/>
  <c r="R41" i="29"/>
  <c r="R45" i="29"/>
  <c r="R49" i="29"/>
  <c r="R53" i="29"/>
  <c r="U16" i="37" l="1"/>
  <c r="U17" i="38"/>
  <c r="AC17" i="38" s="1"/>
  <c r="AB20" i="29"/>
  <c r="U43" i="34"/>
  <c r="AC43" i="34" s="1"/>
  <c r="U20" i="38"/>
  <c r="AC20" i="38" s="1"/>
  <c r="AB51" i="29"/>
  <c r="U16" i="38"/>
  <c r="AB38" i="29"/>
  <c r="U22" i="38"/>
  <c r="AC22" i="38" s="1"/>
  <c r="U21" i="38"/>
  <c r="AC21" i="38" s="1"/>
  <c r="U19" i="38"/>
  <c r="AC19" i="38" s="1"/>
  <c r="U18" i="38"/>
  <c r="U15" i="38"/>
  <c r="AC15" i="38" s="1"/>
  <c r="U17" i="37"/>
  <c r="AC17" i="37" s="1"/>
  <c r="U15" i="37"/>
  <c r="AC15" i="37" s="1"/>
  <c r="AC15" i="36"/>
  <c r="U35" i="35"/>
  <c r="U30" i="35"/>
  <c r="U23" i="35"/>
  <c r="AC25" i="35"/>
  <c r="U15" i="35"/>
  <c r="AC15" i="35" s="1"/>
  <c r="U26" i="35"/>
  <c r="AC26" i="35" s="1"/>
  <c r="U20" i="35"/>
  <c r="AC17" i="35"/>
  <c r="U18" i="35"/>
  <c r="AC18" i="35" s="1"/>
  <c r="U27" i="35"/>
  <c r="AC22" i="35"/>
  <c r="AC28" i="35"/>
  <c r="AC30" i="35"/>
  <c r="AC23" i="35"/>
  <c r="U41" i="35"/>
  <c r="AC16" i="35"/>
  <c r="U21" i="35"/>
  <c r="AC43" i="35"/>
  <c r="U22" i="35"/>
  <c r="U38" i="35"/>
  <c r="AC38" i="35" s="1"/>
  <c r="U31" i="35"/>
  <c r="AC31" i="35" s="1"/>
  <c r="U37" i="35"/>
  <c r="AC37" i="35" s="1"/>
  <c r="U29" i="35"/>
  <c r="AC29" i="35" s="1"/>
  <c r="AC35" i="35"/>
  <c r="U16" i="35"/>
  <c r="AC20" i="35"/>
  <c r="AC42" i="35"/>
  <c r="AC32" i="35"/>
  <c r="U33" i="35"/>
  <c r="AC33" i="35" s="1"/>
  <c r="U40" i="35"/>
  <c r="AC40" i="35" s="1"/>
  <c r="AC21" i="35"/>
  <c r="U19" i="35"/>
  <c r="AC19" i="35" s="1"/>
  <c r="U36" i="35"/>
  <c r="AC36" i="35" s="1"/>
  <c r="AC27" i="35"/>
  <c r="AC41" i="35"/>
  <c r="U24" i="35"/>
  <c r="AC24" i="35" s="1"/>
  <c r="U39" i="35"/>
  <c r="AC39" i="35" s="1"/>
  <c r="U34" i="35"/>
  <c r="AC34" i="35" s="1"/>
  <c r="U42" i="35"/>
  <c r="U32" i="35"/>
  <c r="U32" i="34"/>
  <c r="AC32" i="34" s="1"/>
  <c r="U35" i="34"/>
  <c r="AC35" i="34" s="1"/>
  <c r="U38" i="34"/>
  <c r="U42" i="34"/>
  <c r="AC42" i="34" s="1"/>
  <c r="U19" i="34"/>
  <c r="AC19" i="34" s="1"/>
  <c r="U24" i="34"/>
  <c r="AC24" i="34" s="1"/>
  <c r="AC38" i="34"/>
  <c r="U34" i="34"/>
  <c r="AC34" i="34" s="1"/>
  <c r="U39" i="34"/>
  <c r="AC39" i="34" s="1"/>
  <c r="U30" i="34"/>
  <c r="AC30" i="34" s="1"/>
  <c r="U17" i="34"/>
  <c r="AC17" i="34" s="1"/>
  <c r="U16" i="34"/>
  <c r="AC16" i="34" s="1"/>
  <c r="U21" i="34"/>
  <c r="AC21" i="34" s="1"/>
  <c r="U33" i="34"/>
  <c r="AC33" i="34" s="1"/>
  <c r="U26" i="34"/>
  <c r="AC26" i="34" s="1"/>
  <c r="U37" i="34"/>
  <c r="AC37" i="34" s="1"/>
  <c r="U31" i="34"/>
  <c r="AC31" i="34" s="1"/>
  <c r="U22" i="34"/>
  <c r="AC22" i="34" s="1"/>
  <c r="AC15" i="34"/>
  <c r="U40" i="34"/>
  <c r="AC40" i="34" s="1"/>
  <c r="U29" i="34"/>
  <c r="AC29" i="34" s="1"/>
  <c r="U27" i="34"/>
  <c r="AC27" i="34" s="1"/>
  <c r="U41" i="34"/>
  <c r="AC41" i="34" s="1"/>
  <c r="U28" i="34"/>
  <c r="AC28" i="34" s="1"/>
  <c r="U18" i="34"/>
  <c r="AC18" i="34" s="1"/>
  <c r="U20" i="34"/>
  <c r="AC20" i="34" s="1"/>
  <c r="U23" i="34"/>
  <c r="AC23" i="34" s="1"/>
  <c r="U25" i="34"/>
  <c r="AC25" i="34" s="1"/>
  <c r="U36" i="34"/>
  <c r="AC36" i="34" s="1"/>
  <c r="AB44" i="29"/>
  <c r="AB43" i="29"/>
  <c r="AB46" i="29"/>
  <c r="AB45" i="29"/>
  <c r="AB37" i="29"/>
  <c r="AB39" i="29"/>
  <c r="AB34" i="29"/>
  <c r="AB35" i="29"/>
  <c r="AB31" i="29"/>
  <c r="AB55" i="29"/>
  <c r="AB23" i="29"/>
  <c r="AB30" i="29"/>
  <c r="AB47" i="29"/>
  <c r="AB32" i="29"/>
  <c r="AB33" i="29"/>
  <c r="AB25" i="29"/>
  <c r="AB42" i="29"/>
  <c r="AB24" i="29"/>
  <c r="AB54" i="29"/>
  <c r="AB50" i="29"/>
  <c r="AB26" i="29"/>
  <c r="AB18" i="29"/>
  <c r="AB22" i="29"/>
  <c r="AB27" i="29"/>
  <c r="AB53" i="29"/>
  <c r="AB49" i="29"/>
  <c r="AB17" i="29"/>
  <c r="AB15" i="29"/>
  <c r="AB36" i="29"/>
  <c r="AB48" i="29"/>
  <c r="AB41" i="29"/>
  <c r="AB29" i="29"/>
  <c r="AB21" i="29"/>
  <c r="AB19" i="29"/>
  <c r="AB52" i="29"/>
  <c r="AB16" i="29"/>
  <c r="AB40" i="29"/>
  <c r="AB28" i="29"/>
  <c r="T24" i="29"/>
  <c r="T50" i="29"/>
  <c r="AC50" i="29" s="1"/>
  <c r="T38" i="29"/>
  <c r="T53" i="29"/>
  <c r="AC53" i="29" s="1"/>
  <c r="U53" i="29"/>
  <c r="T48" i="29"/>
  <c r="T47" i="29"/>
  <c r="AC47" i="29" s="1"/>
  <c r="U47" i="29"/>
  <c r="U51" i="29"/>
  <c r="T51" i="29"/>
  <c r="AC51" i="29" s="1"/>
  <c r="T34" i="29"/>
  <c r="T45" i="29"/>
  <c r="AC45" i="29" s="1"/>
  <c r="U45" i="29"/>
  <c r="U54" i="29"/>
  <c r="T54" i="29"/>
  <c r="AC54" i="29" s="1"/>
  <c r="U46" i="29"/>
  <c r="T46" i="29"/>
  <c r="AC46" i="29" s="1"/>
  <c r="T49" i="29"/>
  <c r="U49" i="29" s="1"/>
  <c r="T40" i="29"/>
  <c r="T33" i="29"/>
  <c r="T32" i="29"/>
  <c r="T25" i="29"/>
  <c r="T31" i="29"/>
  <c r="T36" i="29"/>
  <c r="T22" i="29"/>
  <c r="T35" i="29"/>
  <c r="U55" i="29"/>
  <c r="T55" i="29"/>
  <c r="AC55" i="29" s="1"/>
  <c r="U52" i="29"/>
  <c r="T52" i="29"/>
  <c r="AC52" i="29" s="1"/>
  <c r="U43" i="29"/>
  <c r="T43" i="29"/>
  <c r="AC43" i="29" s="1"/>
  <c r="T41" i="29"/>
  <c r="T42" i="29"/>
  <c r="T20" i="29"/>
  <c r="T16" i="29"/>
  <c r="T17" i="29"/>
  <c r="T18" i="29"/>
  <c r="T19" i="29"/>
  <c r="T21" i="29"/>
  <c r="U44" i="29"/>
  <c r="T44" i="29"/>
  <c r="AC44" i="29" s="1"/>
  <c r="T37" i="29"/>
  <c r="T39" i="29"/>
  <c r="T26" i="29"/>
  <c r="T29" i="29"/>
  <c r="T28" i="29"/>
  <c r="T23" i="29"/>
  <c r="T27" i="29"/>
  <c r="T30" i="29"/>
  <c r="T15" i="29"/>
  <c r="U42" i="29" l="1"/>
  <c r="AC42" i="29" s="1"/>
  <c r="U38" i="29"/>
  <c r="U40" i="29"/>
  <c r="AC40" i="29" s="1"/>
  <c r="U41" i="29"/>
  <c r="AC41" i="29" s="1"/>
  <c r="U37" i="29"/>
  <c r="AC37" i="29" s="1"/>
  <c r="U39" i="29"/>
  <c r="AC39" i="29" s="1"/>
  <c r="AC38" i="29"/>
  <c r="U18" i="29"/>
  <c r="AC18" i="29" s="1"/>
  <c r="U17" i="29"/>
  <c r="AC17" i="29" s="1"/>
  <c r="U21" i="29"/>
  <c r="AC21" i="29" s="1"/>
  <c r="U15" i="29"/>
  <c r="AC15" i="29" s="1"/>
  <c r="U22" i="29"/>
  <c r="AC22" i="29" s="1"/>
  <c r="U19" i="29"/>
  <c r="AC19" i="29" s="1"/>
  <c r="U20" i="29"/>
  <c r="AC20" i="29" s="1"/>
  <c r="U16" i="29"/>
  <c r="AC16" i="29" s="1"/>
  <c r="U26" i="29"/>
  <c r="AC26" i="29" s="1"/>
  <c r="U50" i="29"/>
  <c r="AC49" i="29"/>
  <c r="U48" i="29"/>
  <c r="AC48" i="29" s="1"/>
  <c r="U25" i="29"/>
  <c r="AC25" i="29" s="1"/>
  <c r="U30" i="29"/>
  <c r="AC30" i="29" s="1"/>
  <c r="U29" i="29"/>
  <c r="AC29" i="29" s="1"/>
  <c r="U23" i="29"/>
  <c r="AC23" i="29" s="1"/>
  <c r="U28" i="29"/>
  <c r="AC28" i="29" s="1"/>
  <c r="U24" i="29"/>
  <c r="AC24" i="29" s="1"/>
  <c r="U35" i="29"/>
  <c r="AC35" i="29" s="1"/>
  <c r="U27" i="29"/>
  <c r="AC27" i="29" s="1"/>
  <c r="U33" i="29"/>
  <c r="AC33" i="29" s="1"/>
  <c r="U31" i="29"/>
  <c r="AC31" i="29" s="1"/>
  <c r="U32" i="29"/>
  <c r="AC32" i="29" s="1"/>
  <c r="U36" i="29"/>
  <c r="AC36" i="29" s="1"/>
  <c r="U34" i="29"/>
  <c r="AC34" i="29" s="1"/>
  <c r="G57" i="2" l="1"/>
  <c r="G56" i="2"/>
  <c r="G55" i="2"/>
  <c r="G54" i="2"/>
  <c r="G53" i="2"/>
  <c r="G52" i="2"/>
  <c r="G51" i="2"/>
  <c r="D57" i="2"/>
  <c r="D56" i="2"/>
  <c r="D55" i="2"/>
  <c r="D54" i="2"/>
  <c r="D53" i="2"/>
  <c r="D52" i="2"/>
  <c r="AT20" i="6"/>
  <c r="AT19" i="6"/>
  <c r="AL20" i="6"/>
  <c r="AL19" i="6"/>
  <c r="AD20" i="6"/>
  <c r="AD19" i="6"/>
  <c r="N20" i="6"/>
  <c r="N19" i="6"/>
  <c r="F20" i="6"/>
  <c r="F19" i="6"/>
  <c r="AK2" i="7"/>
  <c r="AK2" i="1"/>
  <c r="AK2" i="17"/>
  <c r="AK2" i="19"/>
  <c r="AK2" i="20"/>
  <c r="AU86" i="6"/>
  <c r="AU85" i="6"/>
  <c r="AU84" i="6"/>
  <c r="AU83" i="6"/>
  <c r="AU82" i="6"/>
  <c r="AU81" i="6"/>
  <c r="AU80" i="6"/>
  <c r="AU79" i="6"/>
  <c r="AU78" i="6"/>
  <c r="AU77" i="6"/>
  <c r="AU76" i="6"/>
  <c r="AU75" i="6"/>
  <c r="AU74" i="6"/>
  <c r="AU73" i="6"/>
  <c r="AU72" i="6"/>
  <c r="AU71" i="6"/>
  <c r="AU70" i="6"/>
  <c r="AU69" i="6"/>
  <c r="AU68" i="6"/>
  <c r="AU67" i="6"/>
  <c r="AU66" i="6"/>
  <c r="AU65" i="6"/>
  <c r="AU64" i="6"/>
  <c r="AU63" i="6"/>
  <c r="AU62" i="6"/>
  <c r="AU61" i="6"/>
  <c r="AU60" i="6"/>
  <c r="AU59" i="6"/>
  <c r="AU58" i="6"/>
  <c r="AU57" i="6"/>
  <c r="AU56" i="6"/>
  <c r="AU55" i="6"/>
  <c r="AU54" i="6"/>
  <c r="AU53" i="6"/>
  <c r="AU52" i="6"/>
  <c r="AU51" i="6"/>
  <c r="AU50" i="6"/>
  <c r="AU49" i="6"/>
  <c r="AU47" i="6"/>
  <c r="AU46" i="6"/>
  <c r="AU45" i="6"/>
  <c r="AU44" i="6"/>
  <c r="AU43" i="6"/>
  <c r="AU42" i="6"/>
  <c r="AU41" i="6"/>
  <c r="AU40" i="6"/>
  <c r="AM87" i="6"/>
  <c r="AL87" i="6" s="1"/>
  <c r="AM86" i="6"/>
  <c r="AL86" i="6" s="1"/>
  <c r="AM85" i="6"/>
  <c r="AL85" i="6" s="1"/>
  <c r="AM84" i="6"/>
  <c r="AL84" i="6" s="1"/>
  <c r="AM83" i="6"/>
  <c r="AL83" i="6" s="1"/>
  <c r="AM82" i="6"/>
  <c r="AL82" i="6" s="1"/>
  <c r="AM81" i="6"/>
  <c r="AL81" i="6" s="1"/>
  <c r="AM80" i="6"/>
  <c r="AL80" i="6" s="1"/>
  <c r="AM79" i="6"/>
  <c r="AM78" i="6"/>
  <c r="AM77" i="6"/>
  <c r="AM76" i="6"/>
  <c r="AM75" i="6"/>
  <c r="AM74" i="6"/>
  <c r="AM73" i="6"/>
  <c r="AM72" i="6"/>
  <c r="AM71" i="6"/>
  <c r="AM70" i="6"/>
  <c r="AM69" i="6"/>
  <c r="AM68" i="6"/>
  <c r="AM67" i="6"/>
  <c r="AM66" i="6"/>
  <c r="AM65" i="6"/>
  <c r="AM64" i="6"/>
  <c r="AM63" i="6"/>
  <c r="AM62" i="6"/>
  <c r="AE87" i="6"/>
  <c r="AD87" i="6" s="1"/>
  <c r="AE86" i="6"/>
  <c r="AD86" i="6" s="1"/>
  <c r="AE85" i="6"/>
  <c r="AD85" i="6" s="1"/>
  <c r="AE84" i="6"/>
  <c r="AD84" i="6" s="1"/>
  <c r="AE83" i="6"/>
  <c r="AD83" i="6" s="1"/>
  <c r="AE82" i="6"/>
  <c r="AD82" i="6" s="1"/>
  <c r="AE81" i="6"/>
  <c r="AD81" i="6" s="1"/>
  <c r="AE80" i="6"/>
  <c r="AD80" i="6" s="1"/>
  <c r="AE79" i="6"/>
  <c r="AE78" i="6"/>
  <c r="AE77" i="6"/>
  <c r="AE76" i="6"/>
  <c r="AE75" i="6"/>
  <c r="AE74" i="6"/>
  <c r="AE73" i="6"/>
  <c r="AE72" i="6"/>
  <c r="AE71" i="6"/>
  <c r="AE70" i="6"/>
  <c r="AE69" i="6"/>
  <c r="AE68" i="6"/>
  <c r="AE67" i="6"/>
  <c r="AE66" i="6"/>
  <c r="AE65" i="6"/>
  <c r="AE64" i="6"/>
  <c r="AE63" i="6"/>
  <c r="AE62" i="6"/>
  <c r="AE61" i="6"/>
  <c r="AE60" i="6"/>
  <c r="AE59" i="6"/>
  <c r="AE58" i="6"/>
  <c r="AE57" i="6"/>
  <c r="AE56" i="6"/>
  <c r="AE55" i="6"/>
  <c r="AE54" i="6"/>
  <c r="AE53" i="6"/>
  <c r="AE52" i="6"/>
  <c r="AE51" i="6"/>
  <c r="AE50" i="6"/>
  <c r="AE49" i="6"/>
  <c r="AE47" i="6"/>
  <c r="AE46" i="6"/>
  <c r="AE45" i="6"/>
  <c r="AE44" i="6"/>
  <c r="AE43" i="6"/>
  <c r="AE42" i="6"/>
  <c r="AE41" i="6"/>
  <c r="AE40" i="6"/>
  <c r="W79" i="6"/>
  <c r="W78" i="6"/>
  <c r="W77" i="6"/>
  <c r="W76" i="6"/>
  <c r="W75" i="6"/>
  <c r="W74" i="6"/>
  <c r="W73" i="6"/>
  <c r="W72" i="6"/>
  <c r="W71" i="6"/>
  <c r="W70" i="6"/>
  <c r="W69" i="6"/>
  <c r="W68" i="6"/>
  <c r="W67" i="6"/>
  <c r="W66" i="6"/>
  <c r="W65" i="6"/>
  <c r="W64" i="6"/>
  <c r="W62" i="6"/>
  <c r="W61" i="6"/>
  <c r="W60" i="6"/>
  <c r="W59" i="6"/>
  <c r="W58" i="6"/>
  <c r="W57" i="6"/>
  <c r="W56" i="6"/>
  <c r="W55" i="6"/>
  <c r="W54" i="6"/>
  <c r="W53" i="6"/>
  <c r="W52" i="6"/>
  <c r="W51" i="6"/>
  <c r="W50" i="6"/>
  <c r="W49" i="6"/>
  <c r="W47" i="6"/>
  <c r="W46" i="6"/>
  <c r="W45" i="6"/>
  <c r="W44" i="6"/>
  <c r="W43" i="6"/>
  <c r="W42" i="6"/>
  <c r="W41" i="6"/>
  <c r="W40" i="6"/>
  <c r="O72" i="6"/>
  <c r="O71" i="6"/>
  <c r="O70" i="6"/>
  <c r="O69" i="6"/>
  <c r="O68" i="6"/>
  <c r="O67" i="6"/>
  <c r="O66" i="6"/>
  <c r="O65" i="6"/>
  <c r="O64" i="6"/>
  <c r="O63" i="6"/>
  <c r="O62" i="6"/>
  <c r="O61" i="6"/>
  <c r="O60" i="6"/>
  <c r="O59" i="6"/>
  <c r="O58" i="6"/>
  <c r="O57" i="6"/>
  <c r="O56" i="6"/>
  <c r="O55" i="6"/>
  <c r="O54" i="6"/>
  <c r="O53" i="6"/>
  <c r="O52" i="6"/>
  <c r="O51" i="6"/>
  <c r="O50" i="6"/>
  <c r="O49" i="6"/>
  <c r="O47" i="6"/>
  <c r="O46" i="6"/>
  <c r="O45" i="6"/>
  <c r="O44" i="6"/>
  <c r="O43" i="6"/>
  <c r="O42" i="6"/>
  <c r="O41" i="6"/>
  <c r="O40" i="6"/>
  <c r="G67" i="6"/>
  <c r="G66" i="6"/>
  <c r="G65" i="6"/>
  <c r="G64" i="6"/>
  <c r="G63" i="6"/>
  <c r="G62" i="6"/>
  <c r="G61" i="6"/>
  <c r="G60" i="6"/>
  <c r="G59" i="6"/>
  <c r="G58" i="6"/>
  <c r="G57" i="6"/>
  <c r="G56" i="6"/>
  <c r="G55" i="6"/>
  <c r="G54" i="6"/>
  <c r="G53" i="6"/>
  <c r="G52" i="6"/>
  <c r="G51" i="6"/>
  <c r="G50" i="6"/>
  <c r="G49" i="6"/>
  <c r="G47" i="6"/>
  <c r="G46" i="6"/>
  <c r="G45" i="6"/>
  <c r="G44" i="6"/>
  <c r="G43" i="6"/>
  <c r="G42" i="6"/>
  <c r="G41" i="6"/>
  <c r="G40" i="6"/>
  <c r="AD77" i="6" l="1"/>
  <c r="AD75" i="6"/>
  <c r="AT85" i="6"/>
  <c r="AT86" i="6"/>
  <c r="AT83" i="6"/>
  <c r="AT84" i="6"/>
  <c r="AT80" i="6"/>
  <c r="AT81" i="6"/>
  <c r="AT82" i="6"/>
  <c r="AD73" i="6"/>
  <c r="AD74" i="6"/>
  <c r="AD76" i="6"/>
  <c r="AD78" i="6"/>
  <c r="AD79" i="6"/>
  <c r="AT78" i="6"/>
  <c r="AT79" i="6"/>
  <c r="AL78" i="6"/>
  <c r="AL79" i="6"/>
  <c r="AT48" i="6"/>
  <c r="AL48" i="6"/>
  <c r="AD48" i="6"/>
  <c r="AD72" i="6"/>
  <c r="AD70" i="6"/>
  <c r="AD71" i="6"/>
  <c r="AD69" i="6"/>
  <c r="AD68" i="6"/>
  <c r="AD67" i="6"/>
  <c r="AD65" i="6"/>
  <c r="AD66" i="6"/>
  <c r="AD64" i="6"/>
  <c r="AT77" i="6"/>
  <c r="AT60" i="6"/>
  <c r="AT61" i="6"/>
  <c r="AT67" i="6"/>
  <c r="AT73" i="6"/>
  <c r="AT71" i="6"/>
  <c r="AT66" i="6"/>
  <c r="AT62" i="6"/>
  <c r="AT68" i="6"/>
  <c r="AT74" i="6"/>
  <c r="AT63" i="6"/>
  <c r="AT69" i="6"/>
  <c r="AT75" i="6"/>
  <c r="AT65" i="6"/>
  <c r="AT72" i="6"/>
  <c r="AT64" i="6"/>
  <c r="AT70" i="6"/>
  <c r="AT76" i="6"/>
  <c r="AL76" i="6"/>
  <c r="AL77" i="6"/>
  <c r="AL74" i="6"/>
  <c r="AL75" i="6"/>
  <c r="AL73" i="6"/>
  <c r="AL72" i="6"/>
  <c r="AL71" i="6"/>
  <c r="AL70" i="6"/>
  <c r="AL68" i="6"/>
  <c r="AL69" i="6"/>
  <c r="AL66" i="6"/>
  <c r="AL67" i="6"/>
  <c r="AL65" i="6"/>
  <c r="AL64" i="6"/>
  <c r="AL63" i="6"/>
  <c r="AL61" i="6"/>
  <c r="AL62" i="6"/>
  <c r="AL60" i="6"/>
  <c r="AD63" i="6"/>
  <c r="AD61" i="6"/>
  <c r="AD62" i="6"/>
  <c r="AD59" i="6"/>
  <c r="AD60" i="6"/>
  <c r="AD58" i="6"/>
  <c r="AT58" i="6"/>
  <c r="AT59" i="6"/>
  <c r="AL59" i="6"/>
  <c r="AL58" i="6"/>
  <c r="AT57" i="6"/>
  <c r="AT55" i="6"/>
  <c r="AT56" i="6"/>
  <c r="AT54" i="6"/>
  <c r="AL57" i="6"/>
  <c r="AL56" i="6"/>
  <c r="AL55" i="6"/>
  <c r="AD57" i="6"/>
  <c r="AT52" i="6"/>
  <c r="AD52" i="6"/>
  <c r="AD56" i="6"/>
  <c r="AD55" i="6"/>
  <c r="AD53" i="6"/>
  <c r="AD49" i="6"/>
  <c r="AD51" i="6"/>
  <c r="AD50" i="6"/>
  <c r="AD47" i="6"/>
  <c r="AD46" i="6"/>
  <c r="AD45" i="6"/>
  <c r="AD44" i="6"/>
  <c r="AL52" i="6"/>
  <c r="AL54" i="6"/>
  <c r="AL53" i="6"/>
  <c r="AL51" i="6"/>
  <c r="AL50" i="6"/>
  <c r="AL49" i="6"/>
  <c r="AL47" i="6"/>
  <c r="AT53" i="6"/>
  <c r="AT51" i="6"/>
  <c r="AT50" i="6"/>
  <c r="AT49" i="6"/>
  <c r="AT47" i="6"/>
  <c r="AT46" i="6"/>
  <c r="AT45" i="6"/>
  <c r="AT44" i="6"/>
  <c r="AT43" i="6"/>
  <c r="AT42" i="6"/>
  <c r="AT41" i="6"/>
  <c r="AT40" i="6"/>
  <c r="AL46" i="6"/>
  <c r="AL45" i="6"/>
  <c r="AL44" i="6"/>
  <c r="AL43" i="6"/>
  <c r="AL42" i="6"/>
  <c r="AL41" i="6"/>
  <c r="AL40" i="6"/>
  <c r="AD54" i="6"/>
  <c r="AD43" i="6"/>
  <c r="AD42" i="6"/>
  <c r="AD41" i="6"/>
  <c r="AD40" i="6"/>
  <c r="AV95" i="6" l="1"/>
  <c r="AV94" i="6"/>
  <c r="L2" i="7"/>
  <c r="L2" i="17"/>
  <c r="L2" i="19"/>
  <c r="L2" i="18"/>
  <c r="C55" i="20"/>
  <c r="C69" i="20" s="1"/>
  <c r="L2" i="20"/>
  <c r="C63" i="20" l="1"/>
  <c r="C59" i="20" s="1"/>
  <c r="C77" i="20"/>
  <c r="C81" i="20" s="1"/>
  <c r="L2" i="1" l="1"/>
  <c r="AF89" i="6"/>
  <c r="AT30" i="6" l="1"/>
  <c r="AN92" i="6"/>
  <c r="AN91" i="6"/>
  <c r="AN90" i="6"/>
  <c r="AN89" i="6"/>
  <c r="AN88" i="6"/>
  <c r="AL30" i="6" s="1"/>
  <c r="AF92" i="6"/>
  <c r="AF91" i="6"/>
  <c r="AF90" i="6"/>
  <c r="AF88" i="6"/>
  <c r="AD30" i="6" s="1"/>
  <c r="W87" i="6"/>
  <c r="V87" i="6" s="1"/>
  <c r="W86" i="6"/>
  <c r="W85" i="6"/>
  <c r="W84" i="6"/>
  <c r="W83" i="6"/>
  <c r="W82" i="6"/>
  <c r="W81" i="6"/>
  <c r="W80" i="6"/>
  <c r="V23" i="6"/>
  <c r="V30" i="6"/>
  <c r="O87" i="6"/>
  <c r="N87" i="6" s="1"/>
  <c r="O86" i="6"/>
  <c r="N86" i="6" s="1"/>
  <c r="O85" i="6"/>
  <c r="N85" i="6" s="1"/>
  <c r="O84" i="6"/>
  <c r="N84" i="6" s="1"/>
  <c r="O83" i="6"/>
  <c r="N83" i="6" s="1"/>
  <c r="O82" i="6"/>
  <c r="N82" i="6" s="1"/>
  <c r="O81" i="6"/>
  <c r="N81" i="6" s="1"/>
  <c r="O80" i="6"/>
  <c r="O79" i="6"/>
  <c r="O78" i="6"/>
  <c r="O77" i="6"/>
  <c r="O76" i="6"/>
  <c r="O75" i="6"/>
  <c r="O74" i="6"/>
  <c r="O73" i="6"/>
  <c r="P92" i="6"/>
  <c r="P91" i="6"/>
  <c r="P90" i="6"/>
  <c r="P89" i="6"/>
  <c r="O36" i="6" s="1"/>
  <c r="P88" i="6"/>
  <c r="N30" i="6" s="1"/>
  <c r="G87" i="6"/>
  <c r="G86" i="6"/>
  <c r="G85" i="6"/>
  <c r="G84" i="6"/>
  <c r="G83" i="6"/>
  <c r="G82" i="6"/>
  <c r="G81" i="6"/>
  <c r="G80" i="6"/>
  <c r="G79" i="6"/>
  <c r="G78" i="6"/>
  <c r="G77" i="6"/>
  <c r="G76" i="6"/>
  <c r="G75" i="6"/>
  <c r="G74" i="6"/>
  <c r="G73" i="6"/>
  <c r="G72" i="6"/>
  <c r="G71" i="6"/>
  <c r="G70" i="6"/>
  <c r="G69" i="6"/>
  <c r="G68" i="6"/>
  <c r="V63" i="6" l="1"/>
  <c r="N79" i="6"/>
  <c r="V86" i="6"/>
  <c r="V81" i="6"/>
  <c r="V82" i="6"/>
  <c r="V83" i="6"/>
  <c r="V84" i="6"/>
  <c r="V85" i="6"/>
  <c r="N80" i="6"/>
  <c r="V48" i="6"/>
  <c r="V79" i="6"/>
  <c r="V78" i="6"/>
  <c r="N76" i="6"/>
  <c r="N77" i="6"/>
  <c r="N78" i="6"/>
  <c r="F48" i="6"/>
  <c r="N48" i="6"/>
  <c r="V77" i="6"/>
  <c r="V76" i="6"/>
  <c r="V75" i="6"/>
  <c r="V73" i="6"/>
  <c r="V74" i="6"/>
  <c r="V72" i="6"/>
  <c r="V70" i="6"/>
  <c r="V71" i="6"/>
  <c r="V69" i="6"/>
  <c r="V68" i="6"/>
  <c r="V67" i="6"/>
  <c r="V66" i="6"/>
  <c r="N75" i="6"/>
  <c r="N74" i="6"/>
  <c r="N72" i="6"/>
  <c r="N70" i="6"/>
  <c r="N71" i="6"/>
  <c r="N68" i="6"/>
  <c r="N69" i="6"/>
  <c r="N66" i="6"/>
  <c r="N67" i="6"/>
  <c r="N64" i="6"/>
  <c r="N65" i="6"/>
  <c r="N62" i="6"/>
  <c r="N63" i="6"/>
  <c r="N60" i="6"/>
  <c r="N61" i="6"/>
  <c r="N58" i="6"/>
  <c r="N59" i="6"/>
  <c r="V65" i="6"/>
  <c r="V64" i="6"/>
  <c r="V62" i="6"/>
  <c r="V60" i="6"/>
  <c r="V61" i="6"/>
  <c r="V59" i="6"/>
  <c r="BC25" i="6"/>
  <c r="BC26" i="6" s="1"/>
  <c r="N57" i="6"/>
  <c r="N55" i="6"/>
  <c r="N56" i="6"/>
  <c r="N53" i="6"/>
  <c r="N54" i="6"/>
  <c r="N52" i="6"/>
  <c r="N51" i="6"/>
  <c r="N49" i="6"/>
  <c r="N50" i="6"/>
  <c r="N47" i="6"/>
  <c r="V57" i="6"/>
  <c r="V58" i="6"/>
  <c r="V49" i="6"/>
  <c r="V53" i="6"/>
  <c r="V52" i="6"/>
  <c r="V56" i="6"/>
  <c r="V47" i="6"/>
  <c r="V51" i="6"/>
  <c r="V55" i="6"/>
  <c r="V46" i="6"/>
  <c r="V50" i="6"/>
  <c r="V54" i="6"/>
  <c r="V45" i="6"/>
  <c r="N46" i="6"/>
  <c r="N45" i="6"/>
  <c r="N44" i="6"/>
  <c r="F67" i="6"/>
  <c r="F66" i="6"/>
  <c r="F65" i="6"/>
  <c r="F64" i="6"/>
  <c r="F63" i="6"/>
  <c r="F61" i="6"/>
  <c r="F62" i="6"/>
  <c r="F60" i="6"/>
  <c r="F59" i="6"/>
  <c r="F58" i="6"/>
  <c r="V44" i="6"/>
  <c r="AT36" i="6"/>
  <c r="AT23" i="6"/>
  <c r="AT24" i="6" s="1"/>
  <c r="AL36" i="6"/>
  <c r="AL23" i="6"/>
  <c r="AL24" i="6" s="1"/>
  <c r="V43" i="6"/>
  <c r="AD23" i="6"/>
  <c r="AD24" i="6" s="1"/>
  <c r="N23" i="6"/>
  <c r="N24" i="6" s="1"/>
  <c r="V41" i="6"/>
  <c r="V42" i="6"/>
  <c r="V80" i="6"/>
  <c r="V40" i="6"/>
  <c r="N43" i="6"/>
  <c r="N42" i="6"/>
  <c r="N41" i="6"/>
  <c r="N73" i="6"/>
  <c r="N40" i="6"/>
  <c r="P93" i="6"/>
  <c r="N34" i="6" s="1"/>
  <c r="F52" i="6"/>
  <c r="F45" i="6"/>
  <c r="F43" i="6"/>
  <c r="F44" i="6"/>
  <c r="F57" i="6"/>
  <c r="F40" i="6"/>
  <c r="F54" i="6"/>
  <c r="F42" i="6"/>
  <c r="F51" i="6"/>
  <c r="F49" i="6"/>
  <c r="F50" i="6"/>
  <c r="F55" i="6"/>
  <c r="F56" i="6"/>
  <c r="F53" i="6"/>
  <c r="F47" i="6"/>
  <c r="F46" i="6"/>
  <c r="F41" i="6"/>
  <c r="V34" i="6"/>
  <c r="AF93" i="6"/>
  <c r="AD34" i="6" s="1"/>
  <c r="AD36" i="6"/>
  <c r="AN93" i="6"/>
  <c r="F85" i="6"/>
  <c r="F72" i="6"/>
  <c r="F84" i="6"/>
  <c r="F71" i="6"/>
  <c r="F75" i="6"/>
  <c r="F79" i="6"/>
  <c r="F83" i="6"/>
  <c r="F87" i="6"/>
  <c r="F70" i="6"/>
  <c r="F74" i="6"/>
  <c r="F78" i="6"/>
  <c r="F82" i="6"/>
  <c r="F86" i="6"/>
  <c r="F68" i="6"/>
  <c r="F76" i="6"/>
  <c r="F80" i="6"/>
  <c r="F69" i="6"/>
  <c r="F73" i="6"/>
  <c r="F77" i="6"/>
  <c r="F81" i="6"/>
  <c r="X94" i="6" l="1"/>
  <c r="X95" i="6"/>
  <c r="H94" i="6"/>
  <c r="H95" i="6"/>
  <c r="AL25" i="6"/>
  <c r="AL26" i="6" s="1"/>
  <c r="AT25" i="6"/>
  <c r="AT26" i="6" s="1"/>
  <c r="AD25" i="6"/>
  <c r="AD26" i="6" s="1"/>
  <c r="N25" i="6"/>
  <c r="N26" i="6" s="1"/>
  <c r="AT35" i="6"/>
  <c r="AT34" i="6"/>
  <c r="AL35" i="6"/>
  <c r="AL34" i="6"/>
  <c r="N35" i="6"/>
  <c r="AD35" i="6"/>
  <c r="F23" i="6" l="1"/>
  <c r="F24" i="6" s="1"/>
  <c r="F35" i="6"/>
  <c r="F34" i="6"/>
  <c r="H96" i="6"/>
  <c r="H97" i="6"/>
  <c r="F30" i="6"/>
  <c r="F25" i="6" l="1"/>
  <c r="F26" i="6" s="1"/>
  <c r="Q57" i="2"/>
  <c r="Q55" i="2"/>
  <c r="Q52" i="2"/>
  <c r="Q54" i="2"/>
  <c r="Q53" i="2"/>
  <c r="Q56" i="2"/>
  <c r="Q51" i="2"/>
  <c r="F33" i="6"/>
  <c r="F32" i="6"/>
  <c r="F29" i="6"/>
  <c r="F31" i="6" s="1"/>
  <c r="Q46" i="2" s="1"/>
  <c r="Q33" i="2" l="1"/>
  <c r="Q48" i="2"/>
  <c r="Q49" i="2"/>
  <c r="Q50" i="2"/>
  <c r="Q45" i="2"/>
  <c r="Q28" i="2"/>
  <c r="Q37" i="2"/>
  <c r="Q43" i="2"/>
  <c r="Q36" i="2"/>
  <c r="Q39" i="2"/>
  <c r="Q32" i="2"/>
  <c r="Q38" i="2"/>
  <c r="Q44" i="2"/>
  <c r="Q31" i="2"/>
  <c r="Q42" i="2"/>
  <c r="Q30" i="2"/>
  <c r="Q35" i="2"/>
  <c r="Q41" i="2"/>
  <c r="Q47" i="2"/>
  <c r="Q29" i="2"/>
  <c r="Q34" i="2"/>
  <c r="Q40" i="2"/>
  <c r="P30" i="2"/>
  <c r="P31" i="2"/>
  <c r="P32" i="2"/>
  <c r="P28" i="2"/>
  <c r="P34" i="2"/>
  <c r="P33" i="2"/>
  <c r="P29" i="2"/>
  <c r="P35" i="2"/>
  <c r="Q59" i="2" l="1"/>
  <c r="Q58" i="2"/>
  <c r="Q62" i="2" s="1"/>
  <c r="C19" i="57" s="1"/>
  <c r="P59" i="2"/>
  <c r="P58" i="2"/>
  <c r="P62" i="2" s="1"/>
  <c r="C19" i="56" s="1"/>
  <c r="P94" i="6"/>
  <c r="P96" i="6" s="1"/>
  <c r="P95" i="6"/>
  <c r="P97" i="6" s="1"/>
  <c r="N33" i="6" s="1"/>
  <c r="X97" i="6"/>
  <c r="V33" i="6" s="1"/>
  <c r="Q63" i="2" l="1"/>
  <c r="C25" i="57" s="1"/>
  <c r="Q67" i="2"/>
  <c r="C49" i="57" s="1"/>
  <c r="Q64" i="2"/>
  <c r="C13" i="57" s="1"/>
  <c r="C15" i="57" s="1"/>
  <c r="Q66" i="2"/>
  <c r="C37" i="57" s="1"/>
  <c r="Q65" i="2"/>
  <c r="C43" i="57" s="1"/>
  <c r="C45" i="57" s="1"/>
  <c r="Q61" i="2"/>
  <c r="C31" i="57"/>
  <c r="C27" i="57" s="1"/>
  <c r="C61" i="2"/>
  <c r="P61" i="2"/>
  <c r="P66" i="2"/>
  <c r="C37" i="56" s="1"/>
  <c r="C31" i="56"/>
  <c r="P64" i="2"/>
  <c r="C13" i="56" s="1"/>
  <c r="C15" i="56" s="1"/>
  <c r="P63" i="2"/>
  <c r="C25" i="56" s="1"/>
  <c r="C21" i="56" s="1"/>
  <c r="P67" i="2"/>
  <c r="C49" i="56" s="1"/>
  <c r="P65" i="2"/>
  <c r="C43" i="56" s="1"/>
  <c r="K6" i="29"/>
  <c r="K8" i="29"/>
  <c r="K10" i="29"/>
  <c r="K12" i="29"/>
  <c r="K14" i="29"/>
  <c r="Q14" i="29" s="1"/>
  <c r="K16" i="29"/>
  <c r="Q16" i="29" s="1"/>
  <c r="K18" i="29"/>
  <c r="Q18" i="29" s="1"/>
  <c r="K20" i="29"/>
  <c r="Q20" i="29" s="1"/>
  <c r="K22" i="29"/>
  <c r="Q22" i="29" s="1"/>
  <c r="K24" i="29"/>
  <c r="Q24" i="29" s="1"/>
  <c r="K26" i="29"/>
  <c r="Q26" i="29" s="1"/>
  <c r="K28" i="29"/>
  <c r="Q28" i="29" s="1"/>
  <c r="K30" i="29"/>
  <c r="Q30" i="29" s="1"/>
  <c r="K32" i="29"/>
  <c r="Q32" i="29" s="1"/>
  <c r="K34" i="29"/>
  <c r="Q34" i="29" s="1"/>
  <c r="K36" i="29"/>
  <c r="Q36" i="29" s="1"/>
  <c r="K38" i="29"/>
  <c r="Q38" i="29" s="1"/>
  <c r="K40" i="29"/>
  <c r="Q40" i="29" s="1"/>
  <c r="K42" i="29"/>
  <c r="Q42" i="29" s="1"/>
  <c r="K44" i="29"/>
  <c r="Q44" i="29" s="1"/>
  <c r="K46" i="29"/>
  <c r="Q46" i="29" s="1"/>
  <c r="K48" i="29"/>
  <c r="Q48" i="29" s="1"/>
  <c r="K50" i="29"/>
  <c r="Q50" i="29" s="1"/>
  <c r="K52" i="29"/>
  <c r="Q52" i="29" s="1"/>
  <c r="K54" i="29"/>
  <c r="Q54" i="29" s="1"/>
  <c r="K51" i="29"/>
  <c r="Q51" i="29" s="1"/>
  <c r="K7" i="29"/>
  <c r="K9" i="29"/>
  <c r="K11" i="29"/>
  <c r="K13" i="29"/>
  <c r="Q13" i="29" s="1"/>
  <c r="K15" i="29"/>
  <c r="Q15" i="29" s="1"/>
  <c r="K17" i="29"/>
  <c r="Q17" i="29" s="1"/>
  <c r="K19" i="29"/>
  <c r="Q19" i="29" s="1"/>
  <c r="K21" i="29"/>
  <c r="Q21" i="29" s="1"/>
  <c r="K23" i="29"/>
  <c r="Q23" i="29" s="1"/>
  <c r="K25" i="29"/>
  <c r="Q25" i="29" s="1"/>
  <c r="K27" i="29"/>
  <c r="Q27" i="29" s="1"/>
  <c r="K29" i="29"/>
  <c r="Q29" i="29" s="1"/>
  <c r="K31" i="29"/>
  <c r="Q31" i="29" s="1"/>
  <c r="K33" i="29"/>
  <c r="Q33" i="29" s="1"/>
  <c r="K35" i="29"/>
  <c r="Q35" i="29" s="1"/>
  <c r="K37" i="29"/>
  <c r="Q37" i="29" s="1"/>
  <c r="K39" i="29"/>
  <c r="Q39" i="29" s="1"/>
  <c r="K41" i="29"/>
  <c r="Q41" i="29" s="1"/>
  <c r="K43" i="29"/>
  <c r="Q43" i="29" s="1"/>
  <c r="K45" i="29"/>
  <c r="Q45" i="29" s="1"/>
  <c r="K47" i="29"/>
  <c r="Q47" i="29" s="1"/>
  <c r="K49" i="29"/>
  <c r="Q49" i="29" s="1"/>
  <c r="K53" i="29"/>
  <c r="Q53" i="29" s="1"/>
  <c r="K55" i="29"/>
  <c r="Q55" i="29" s="1"/>
  <c r="C31" i="20"/>
  <c r="C66" i="2"/>
  <c r="C62" i="2"/>
  <c r="C67" i="2"/>
  <c r="C64" i="2"/>
  <c r="C63" i="2"/>
  <c r="C65" i="2"/>
  <c r="N29" i="6"/>
  <c r="N31" i="6" s="1"/>
  <c r="N32" i="6"/>
  <c r="X96" i="6"/>
  <c r="AF94" i="6"/>
  <c r="C33" i="57" l="1"/>
  <c r="C39" i="57"/>
  <c r="C27" i="56"/>
  <c r="C45" i="56"/>
  <c r="C37" i="20"/>
  <c r="C33" i="20" s="1"/>
  <c r="C25" i="20"/>
  <c r="C27" i="20" s="1"/>
  <c r="L47" i="29"/>
  <c r="L49" i="29"/>
  <c r="L53" i="29"/>
  <c r="L55" i="29"/>
  <c r="L8" i="29"/>
  <c r="L10" i="29"/>
  <c r="L22" i="29"/>
  <c r="L24" i="29"/>
  <c r="L26" i="29"/>
  <c r="L52" i="29"/>
  <c r="L54" i="29"/>
  <c r="L7" i="29"/>
  <c r="L9" i="29"/>
  <c r="L11" i="29"/>
  <c r="L13" i="29"/>
  <c r="L15" i="29"/>
  <c r="L17" i="29"/>
  <c r="L19" i="29"/>
  <c r="L21" i="29"/>
  <c r="L23" i="29"/>
  <c r="L25" i="29"/>
  <c r="L27" i="29"/>
  <c r="L29" i="29"/>
  <c r="L31" i="29"/>
  <c r="L33" i="29"/>
  <c r="L35" i="29"/>
  <c r="L37" i="29"/>
  <c r="L39" i="29"/>
  <c r="L41" i="29"/>
  <c r="L43" i="29"/>
  <c r="L45" i="29"/>
  <c r="L51" i="29"/>
  <c r="L6" i="29"/>
  <c r="L12" i="29"/>
  <c r="L34" i="29"/>
  <c r="L40" i="29"/>
  <c r="L42" i="29"/>
  <c r="L44" i="29"/>
  <c r="L14" i="29"/>
  <c r="L16" i="29"/>
  <c r="L18" i="29"/>
  <c r="L20" i="29"/>
  <c r="L28" i="29"/>
  <c r="L30" i="29"/>
  <c r="L32" i="29"/>
  <c r="L36" i="29"/>
  <c r="L38" i="29"/>
  <c r="L46" i="29"/>
  <c r="L48" i="29"/>
  <c r="L50" i="29"/>
  <c r="J52" i="29"/>
  <c r="J54" i="29"/>
  <c r="J7" i="29"/>
  <c r="J31" i="29"/>
  <c r="J33" i="29"/>
  <c r="J35" i="29"/>
  <c r="J37" i="29"/>
  <c r="J6" i="29"/>
  <c r="J8" i="29"/>
  <c r="J10" i="29"/>
  <c r="J12" i="29"/>
  <c r="J14" i="29"/>
  <c r="J16" i="29"/>
  <c r="J18" i="29"/>
  <c r="J20" i="29"/>
  <c r="J22" i="29"/>
  <c r="J24" i="29"/>
  <c r="J26" i="29"/>
  <c r="J28" i="29"/>
  <c r="J30" i="29"/>
  <c r="J32" i="29"/>
  <c r="J34" i="29"/>
  <c r="J36" i="29"/>
  <c r="J38" i="29"/>
  <c r="J40" i="29"/>
  <c r="J42" i="29"/>
  <c r="J44" i="29"/>
  <c r="J46" i="29"/>
  <c r="J48" i="29"/>
  <c r="J50" i="29"/>
  <c r="J15" i="29"/>
  <c r="J17" i="29"/>
  <c r="J19" i="29"/>
  <c r="J21" i="29"/>
  <c r="J23" i="29"/>
  <c r="J25" i="29"/>
  <c r="J27" i="29"/>
  <c r="J29" i="29"/>
  <c r="J39" i="29"/>
  <c r="J47" i="29"/>
  <c r="J49" i="29"/>
  <c r="J51" i="29"/>
  <c r="J9" i="29"/>
  <c r="J11" i="29"/>
  <c r="J13" i="29"/>
  <c r="J41" i="29"/>
  <c r="J43" i="29"/>
  <c r="J45" i="29"/>
  <c r="J53" i="29"/>
  <c r="J55" i="29"/>
  <c r="I7" i="29"/>
  <c r="I9" i="29"/>
  <c r="I11" i="29"/>
  <c r="I13" i="29"/>
  <c r="I15" i="29"/>
  <c r="I17" i="29"/>
  <c r="I19" i="29"/>
  <c r="I21" i="29"/>
  <c r="I23" i="29"/>
  <c r="I25" i="29"/>
  <c r="I27" i="29"/>
  <c r="I29" i="29"/>
  <c r="I31" i="29"/>
  <c r="I33" i="29"/>
  <c r="I35" i="29"/>
  <c r="I37" i="29"/>
  <c r="I39" i="29"/>
  <c r="I41" i="29"/>
  <c r="I43" i="29"/>
  <c r="I45" i="29"/>
  <c r="I47" i="29"/>
  <c r="I49" i="29"/>
  <c r="I51" i="29"/>
  <c r="I53" i="29"/>
  <c r="I55" i="29"/>
  <c r="I54" i="29"/>
  <c r="I50" i="29"/>
  <c r="I52" i="29"/>
  <c r="I6" i="29"/>
  <c r="I8" i="29"/>
  <c r="I10" i="29"/>
  <c r="I12" i="29"/>
  <c r="I14" i="29"/>
  <c r="I16" i="29"/>
  <c r="I18" i="29"/>
  <c r="I20" i="29"/>
  <c r="I22" i="29"/>
  <c r="I24" i="29"/>
  <c r="I26" i="29"/>
  <c r="I28" i="29"/>
  <c r="I30" i="29"/>
  <c r="I32" i="29"/>
  <c r="I34" i="29"/>
  <c r="I36" i="29"/>
  <c r="I38" i="29"/>
  <c r="I40" i="29"/>
  <c r="I42" i="29"/>
  <c r="I44" i="29"/>
  <c r="I46" i="29"/>
  <c r="I48" i="29"/>
  <c r="M7" i="29"/>
  <c r="M9" i="29"/>
  <c r="M11" i="29"/>
  <c r="M13" i="29"/>
  <c r="M15" i="29"/>
  <c r="M17" i="29"/>
  <c r="M19" i="29"/>
  <c r="M21" i="29"/>
  <c r="M23" i="29"/>
  <c r="M25" i="29"/>
  <c r="M27" i="29"/>
  <c r="M29" i="29"/>
  <c r="M31" i="29"/>
  <c r="M33" i="29"/>
  <c r="M35" i="29"/>
  <c r="M37" i="29"/>
  <c r="M39" i="29"/>
  <c r="M41" i="29"/>
  <c r="M43" i="29"/>
  <c r="M45" i="29"/>
  <c r="M47" i="29"/>
  <c r="M49" i="29"/>
  <c r="M51" i="29"/>
  <c r="O51" i="29" s="1"/>
  <c r="M53" i="29"/>
  <c r="O53" i="29" s="1"/>
  <c r="M55" i="29"/>
  <c r="O55" i="29" s="1"/>
  <c r="M48" i="29"/>
  <c r="M52" i="29"/>
  <c r="O52" i="29" s="1"/>
  <c r="M54" i="29"/>
  <c r="O54" i="29" s="1"/>
  <c r="M6" i="29"/>
  <c r="M8" i="29"/>
  <c r="M10" i="29"/>
  <c r="M12" i="29"/>
  <c r="M14" i="29"/>
  <c r="M16" i="29"/>
  <c r="M18" i="29"/>
  <c r="M20" i="29"/>
  <c r="M22" i="29"/>
  <c r="M24" i="29"/>
  <c r="M26" i="29"/>
  <c r="M28" i="29"/>
  <c r="M30" i="29"/>
  <c r="M32" i="29"/>
  <c r="M34" i="29"/>
  <c r="M36" i="29"/>
  <c r="M38" i="29"/>
  <c r="M40" i="29"/>
  <c r="M42" i="29"/>
  <c r="M44" i="29"/>
  <c r="M46" i="29"/>
  <c r="M50" i="29"/>
  <c r="C19" i="20"/>
  <c r="C43" i="20"/>
  <c r="C49" i="20"/>
  <c r="C13" i="20"/>
  <c r="AF96" i="6"/>
  <c r="AD32" i="6" s="1"/>
  <c r="V29" i="6"/>
  <c r="V31" i="6" s="1"/>
  <c r="V32" i="6"/>
  <c r="AF95" i="6"/>
  <c r="AF97" i="6" s="1"/>
  <c r="AN94" i="6"/>
  <c r="AN96" i="6" s="1"/>
  <c r="AL32" i="6" s="1"/>
  <c r="E56" i="2" l="1"/>
  <c r="E55" i="2"/>
  <c r="E53" i="2"/>
  <c r="E57" i="2"/>
  <c r="E54" i="2"/>
  <c r="E51" i="2"/>
  <c r="E52" i="2"/>
  <c r="C39" i="20"/>
  <c r="C39" i="56"/>
  <c r="C33" i="56"/>
  <c r="C21" i="20"/>
  <c r="D60" i="2"/>
  <c r="O44" i="29"/>
  <c r="O36" i="29"/>
  <c r="O28" i="29"/>
  <c r="O20" i="29"/>
  <c r="O12" i="29"/>
  <c r="O45" i="29"/>
  <c r="O37" i="29"/>
  <c r="O29" i="29"/>
  <c r="O21" i="29"/>
  <c r="O13" i="29"/>
  <c r="P54" i="29"/>
  <c r="P36" i="29"/>
  <c r="P35" i="29"/>
  <c r="P38" i="29"/>
  <c r="P50" i="29"/>
  <c r="O46" i="29"/>
  <c r="O38" i="29"/>
  <c r="O30" i="29"/>
  <c r="O22" i="29"/>
  <c r="O14" i="29"/>
  <c r="O6" i="29"/>
  <c r="O47" i="29"/>
  <c r="O39" i="29"/>
  <c r="O31" i="29"/>
  <c r="O23" i="29"/>
  <c r="O15" i="29"/>
  <c r="O7" i="29"/>
  <c r="P44" i="29"/>
  <c r="P52" i="29"/>
  <c r="O50" i="29"/>
  <c r="O32" i="29"/>
  <c r="O16" i="29"/>
  <c r="O48" i="29"/>
  <c r="O49" i="29"/>
  <c r="O33" i="29"/>
  <c r="O17" i="29"/>
  <c r="O42" i="29"/>
  <c r="O34" i="29"/>
  <c r="O26" i="29"/>
  <c r="O18" i="29"/>
  <c r="O10" i="29"/>
  <c r="O43" i="29"/>
  <c r="O35" i="29"/>
  <c r="O27" i="29"/>
  <c r="O19" i="29"/>
  <c r="O11" i="29"/>
  <c r="P48" i="29"/>
  <c r="P32" i="29"/>
  <c r="O40" i="29"/>
  <c r="O24" i="29"/>
  <c r="O8" i="29"/>
  <c r="O41" i="29"/>
  <c r="O25" i="29"/>
  <c r="O9" i="29"/>
  <c r="P49" i="29"/>
  <c r="P46" i="29"/>
  <c r="P18" i="29"/>
  <c r="P42" i="29"/>
  <c r="P41" i="29"/>
  <c r="P33" i="29"/>
  <c r="P25" i="29"/>
  <c r="P17" i="29"/>
  <c r="P9" i="29"/>
  <c r="P26" i="29"/>
  <c r="P8" i="29"/>
  <c r="P47" i="29"/>
  <c r="P12" i="29"/>
  <c r="P19" i="29"/>
  <c r="P11" i="29"/>
  <c r="P10" i="29"/>
  <c r="P28" i="29"/>
  <c r="P14" i="29"/>
  <c r="P34" i="29"/>
  <c r="P45" i="29"/>
  <c r="P37" i="29"/>
  <c r="P29" i="29"/>
  <c r="P21" i="29"/>
  <c r="P13" i="29"/>
  <c r="P22" i="29"/>
  <c r="P53" i="29"/>
  <c r="P20" i="29"/>
  <c r="P43" i="29"/>
  <c r="P27" i="29"/>
  <c r="P30" i="29"/>
  <c r="P16" i="29"/>
  <c r="P40" i="29"/>
  <c r="P51" i="29"/>
  <c r="P39" i="29"/>
  <c r="P31" i="29"/>
  <c r="P23" i="29"/>
  <c r="P15" i="29"/>
  <c r="P7" i="29"/>
  <c r="P24" i="29"/>
  <c r="P55" i="29"/>
  <c r="C45" i="20"/>
  <c r="C15" i="20"/>
  <c r="AD29" i="6"/>
  <c r="AD31" i="6" s="1"/>
  <c r="AD33" i="6"/>
  <c r="D59" i="2"/>
  <c r="D58" i="2"/>
  <c r="AN95" i="6"/>
  <c r="AN97" i="6" s="1"/>
  <c r="AV96" i="6"/>
  <c r="K54" i="34" l="1"/>
  <c r="Q54" i="34" s="1"/>
  <c r="K42" i="34"/>
  <c r="Q42" i="34" s="1"/>
  <c r="K30" i="34"/>
  <c r="Q30" i="34" s="1"/>
  <c r="K18" i="34"/>
  <c r="Q18" i="34" s="1"/>
  <c r="K6" i="34"/>
  <c r="K53" i="34"/>
  <c r="Q53" i="34" s="1"/>
  <c r="K49" i="34"/>
  <c r="Q49" i="34" s="1"/>
  <c r="K45" i="34"/>
  <c r="Q45" i="34" s="1"/>
  <c r="K41" i="34"/>
  <c r="Q41" i="34" s="1"/>
  <c r="K37" i="34"/>
  <c r="Q37" i="34" s="1"/>
  <c r="K33" i="34"/>
  <c r="Q33" i="34" s="1"/>
  <c r="K29" i="34"/>
  <c r="Q29" i="34" s="1"/>
  <c r="K25" i="34"/>
  <c r="Q25" i="34" s="1"/>
  <c r="K21" i="34"/>
  <c r="Q21" i="34" s="1"/>
  <c r="K17" i="34"/>
  <c r="Q17" i="34" s="1"/>
  <c r="K13" i="34"/>
  <c r="Q13" i="34" s="1"/>
  <c r="K9" i="34"/>
  <c r="K50" i="34"/>
  <c r="Q50" i="34" s="1"/>
  <c r="K46" i="34"/>
  <c r="Q46" i="34" s="1"/>
  <c r="K38" i="34"/>
  <c r="Q38" i="34" s="1"/>
  <c r="K34" i="34"/>
  <c r="Q34" i="34" s="1"/>
  <c r="K26" i="34"/>
  <c r="Q26" i="34" s="1"/>
  <c r="K22" i="34"/>
  <c r="Q22" i="34" s="1"/>
  <c r="K14" i="34"/>
  <c r="Q14" i="34" s="1"/>
  <c r="K10" i="34"/>
  <c r="K55" i="34"/>
  <c r="Q55" i="34" s="1"/>
  <c r="K47" i="34"/>
  <c r="Q47" i="34" s="1"/>
  <c r="K39" i="34"/>
  <c r="Q39" i="34" s="1"/>
  <c r="K31" i="34"/>
  <c r="Q31" i="34" s="1"/>
  <c r="K23" i="34"/>
  <c r="Q23" i="34" s="1"/>
  <c r="K15" i="34"/>
  <c r="Q15" i="34" s="1"/>
  <c r="K7" i="34"/>
  <c r="K43" i="34"/>
  <c r="Q43" i="34" s="1"/>
  <c r="K35" i="34"/>
  <c r="Q35" i="34" s="1"/>
  <c r="K19" i="34"/>
  <c r="Q19" i="34" s="1"/>
  <c r="K11" i="34"/>
  <c r="K52" i="34"/>
  <c r="Q52" i="34" s="1"/>
  <c r="K44" i="34"/>
  <c r="Q44" i="34" s="1"/>
  <c r="K28" i="34"/>
  <c r="Q28" i="34" s="1"/>
  <c r="K12" i="34"/>
  <c r="K48" i="34"/>
  <c r="Q48" i="34" s="1"/>
  <c r="K40" i="34"/>
  <c r="Q40" i="34" s="1"/>
  <c r="K32" i="34"/>
  <c r="Q32" i="34" s="1"/>
  <c r="K24" i="34"/>
  <c r="Q24" i="34" s="1"/>
  <c r="K16" i="34"/>
  <c r="Q16" i="34" s="1"/>
  <c r="K8" i="34"/>
  <c r="K51" i="34"/>
  <c r="Q51" i="34" s="1"/>
  <c r="K27" i="34"/>
  <c r="Q27" i="34" s="1"/>
  <c r="K36" i="34"/>
  <c r="Q36" i="34" s="1"/>
  <c r="K20" i="34"/>
  <c r="Q20" i="34" s="1"/>
  <c r="D68" i="2"/>
  <c r="C31" i="18"/>
  <c r="E60" i="2"/>
  <c r="E59" i="2"/>
  <c r="D61" i="2"/>
  <c r="D62" i="2"/>
  <c r="D66" i="2"/>
  <c r="C37" i="18" s="1"/>
  <c r="D67" i="2"/>
  <c r="D65" i="2"/>
  <c r="D63" i="2"/>
  <c r="C25" i="18" s="1"/>
  <c r="D64" i="2"/>
  <c r="AL29" i="6"/>
  <c r="AL31" i="6" s="1"/>
  <c r="AL33" i="6"/>
  <c r="AT32" i="6"/>
  <c r="AV97" i="6"/>
  <c r="AT33" i="6" s="1"/>
  <c r="C13" i="18" l="1"/>
  <c r="M55" i="34"/>
  <c r="O55" i="34" s="1"/>
  <c r="M51" i="34"/>
  <c r="O51" i="34" s="1"/>
  <c r="M47" i="34"/>
  <c r="O47" i="34" s="1"/>
  <c r="M43" i="34"/>
  <c r="M39" i="34"/>
  <c r="M35" i="34"/>
  <c r="M50" i="34"/>
  <c r="O50" i="34" s="1"/>
  <c r="M45" i="34"/>
  <c r="O45" i="34" s="1"/>
  <c r="M40" i="34"/>
  <c r="M34" i="34"/>
  <c r="M30" i="34"/>
  <c r="M26" i="34"/>
  <c r="M22" i="34"/>
  <c r="M18" i="34"/>
  <c r="M14" i="34"/>
  <c r="M10" i="34"/>
  <c r="M54" i="34"/>
  <c r="O54" i="34" s="1"/>
  <c r="M49" i="34"/>
  <c r="O49" i="34" s="1"/>
  <c r="M44" i="34"/>
  <c r="O44" i="34" s="1"/>
  <c r="M38" i="34"/>
  <c r="M33" i="34"/>
  <c r="M29" i="34"/>
  <c r="M25" i="34"/>
  <c r="M21" i="34"/>
  <c r="M17" i="34"/>
  <c r="M13" i="34"/>
  <c r="M9" i="34"/>
  <c r="M6" i="34"/>
  <c r="M48" i="34"/>
  <c r="O48" i="34" s="1"/>
  <c r="M37" i="34"/>
  <c r="M28" i="34"/>
  <c r="M20" i="34"/>
  <c r="M12" i="34"/>
  <c r="M53" i="34"/>
  <c r="O53" i="34" s="1"/>
  <c r="M32" i="34"/>
  <c r="M24" i="34"/>
  <c r="M8" i="34"/>
  <c r="M19" i="34"/>
  <c r="M52" i="34"/>
  <c r="O52" i="34" s="1"/>
  <c r="M41" i="34"/>
  <c r="M31" i="34"/>
  <c r="M23" i="34"/>
  <c r="M15" i="34"/>
  <c r="M7" i="34"/>
  <c r="M42" i="34"/>
  <c r="M16" i="34"/>
  <c r="M46" i="34"/>
  <c r="O46" i="34" s="1"/>
  <c r="M36" i="34"/>
  <c r="M27" i="34"/>
  <c r="M11" i="34"/>
  <c r="C55" i="18"/>
  <c r="C69" i="18" s="1"/>
  <c r="C63" i="18" s="1"/>
  <c r="C59" i="18" s="1"/>
  <c r="N55" i="34"/>
  <c r="N51" i="34"/>
  <c r="N47" i="34"/>
  <c r="N43" i="34"/>
  <c r="AD43" i="34" s="1"/>
  <c r="N39" i="34"/>
  <c r="AD39" i="34" s="1"/>
  <c r="N35" i="34"/>
  <c r="AD35" i="34" s="1"/>
  <c r="N31" i="34"/>
  <c r="AD31" i="34" s="1"/>
  <c r="N27" i="34"/>
  <c r="AD27" i="34" s="1"/>
  <c r="N23" i="34"/>
  <c r="AD23" i="34" s="1"/>
  <c r="N19" i="34"/>
  <c r="AD19" i="34" s="1"/>
  <c r="N15" i="34"/>
  <c r="AD15" i="34" s="1"/>
  <c r="N11" i="34"/>
  <c r="AD11" i="34" s="1"/>
  <c r="N7" i="34"/>
  <c r="AD7" i="34" s="1"/>
  <c r="N54" i="34"/>
  <c r="N50" i="34"/>
  <c r="N46" i="34"/>
  <c r="N42" i="34"/>
  <c r="AD42" i="34" s="1"/>
  <c r="N38" i="34"/>
  <c r="AD38" i="34" s="1"/>
  <c r="N34" i="34"/>
  <c r="AD34" i="34" s="1"/>
  <c r="N30" i="34"/>
  <c r="AD30" i="34" s="1"/>
  <c r="N26" i="34"/>
  <c r="AD26" i="34" s="1"/>
  <c r="N22" i="34"/>
  <c r="AD22" i="34" s="1"/>
  <c r="N18" i="34"/>
  <c r="AD18" i="34" s="1"/>
  <c r="N14" i="34"/>
  <c r="AD14" i="34" s="1"/>
  <c r="N10" i="34"/>
  <c r="AD10" i="34" s="1"/>
  <c r="N53" i="34"/>
  <c r="N45" i="34"/>
  <c r="N37" i="34"/>
  <c r="AD37" i="34" s="1"/>
  <c r="N29" i="34"/>
  <c r="AD29" i="34" s="1"/>
  <c r="N21" i="34"/>
  <c r="AD21" i="34" s="1"/>
  <c r="N13" i="34"/>
  <c r="AD13" i="34" s="1"/>
  <c r="N49" i="34"/>
  <c r="N33" i="34"/>
  <c r="AD33" i="34" s="1"/>
  <c r="N25" i="34"/>
  <c r="AD25" i="34" s="1"/>
  <c r="N17" i="34"/>
  <c r="AD17" i="34" s="1"/>
  <c r="N6" i="34"/>
  <c r="AD6" i="34" s="1"/>
  <c r="N44" i="34"/>
  <c r="N20" i="34"/>
  <c r="AD20" i="34" s="1"/>
  <c r="N48" i="34"/>
  <c r="N40" i="34"/>
  <c r="AD40" i="34" s="1"/>
  <c r="N32" i="34"/>
  <c r="AD32" i="34" s="1"/>
  <c r="N24" i="34"/>
  <c r="AD24" i="34" s="1"/>
  <c r="N16" i="34"/>
  <c r="AD16" i="34" s="1"/>
  <c r="N8" i="34"/>
  <c r="AD8" i="34" s="1"/>
  <c r="N41" i="34"/>
  <c r="AD41" i="34" s="1"/>
  <c r="N9" i="34"/>
  <c r="AD9" i="34" s="1"/>
  <c r="N52" i="34"/>
  <c r="N36" i="34"/>
  <c r="AD36" i="34" s="1"/>
  <c r="N28" i="34"/>
  <c r="AD28" i="34" s="1"/>
  <c r="N12" i="34"/>
  <c r="AD12" i="34" s="1"/>
  <c r="C43" i="18"/>
  <c r="C39" i="18" s="1"/>
  <c r="J48" i="34"/>
  <c r="J40" i="34"/>
  <c r="J32" i="34"/>
  <c r="J20" i="34"/>
  <c r="J12" i="34"/>
  <c r="J8" i="34"/>
  <c r="J55" i="34"/>
  <c r="J51" i="34"/>
  <c r="J47" i="34"/>
  <c r="J43" i="34"/>
  <c r="J39" i="34"/>
  <c r="J35" i="34"/>
  <c r="J31" i="34"/>
  <c r="J27" i="34"/>
  <c r="J23" i="34"/>
  <c r="J19" i="34"/>
  <c r="J15" i="34"/>
  <c r="J11" i="34"/>
  <c r="J7" i="34"/>
  <c r="J52" i="34"/>
  <c r="J44" i="34"/>
  <c r="J36" i="34"/>
  <c r="J28" i="34"/>
  <c r="J24" i="34"/>
  <c r="J16" i="34"/>
  <c r="J49" i="34"/>
  <c r="J41" i="34"/>
  <c r="J33" i="34"/>
  <c r="J25" i="34"/>
  <c r="J17" i="34"/>
  <c r="J9" i="34"/>
  <c r="J45" i="34"/>
  <c r="J29" i="34"/>
  <c r="J13" i="34"/>
  <c r="J46" i="34"/>
  <c r="J30" i="34"/>
  <c r="J14" i="34"/>
  <c r="J50" i="34"/>
  <c r="J42" i="34"/>
  <c r="J34" i="34"/>
  <c r="J26" i="34"/>
  <c r="J18" i="34"/>
  <c r="J10" i="34"/>
  <c r="J53" i="34"/>
  <c r="J37" i="34"/>
  <c r="J21" i="34"/>
  <c r="J54" i="34"/>
  <c r="J38" i="34"/>
  <c r="J22" i="34"/>
  <c r="J6" i="34"/>
  <c r="C19" i="18"/>
  <c r="C21" i="18" s="1"/>
  <c r="L48" i="34"/>
  <c r="L28" i="34"/>
  <c r="L16" i="34"/>
  <c r="L55" i="34"/>
  <c r="L51" i="34"/>
  <c r="L47" i="34"/>
  <c r="L43" i="34"/>
  <c r="L39" i="34"/>
  <c r="L35" i="34"/>
  <c r="L31" i="34"/>
  <c r="L27" i="34"/>
  <c r="L23" i="34"/>
  <c r="L19" i="34"/>
  <c r="L15" i="34"/>
  <c r="L11" i="34"/>
  <c r="L7" i="34"/>
  <c r="L52" i="34"/>
  <c r="L44" i="34"/>
  <c r="L40" i="34"/>
  <c r="L36" i="34"/>
  <c r="L32" i="34"/>
  <c r="L24" i="34"/>
  <c r="L20" i="34"/>
  <c r="L12" i="34"/>
  <c r="L8" i="34"/>
  <c r="L53" i="34"/>
  <c r="L45" i="34"/>
  <c r="L37" i="34"/>
  <c r="L29" i="34"/>
  <c r="L21" i="34"/>
  <c r="L13" i="34"/>
  <c r="L41" i="34"/>
  <c r="L33" i="34"/>
  <c r="L17" i="34"/>
  <c r="L9" i="34"/>
  <c r="L50" i="34"/>
  <c r="L34" i="34"/>
  <c r="L18" i="34"/>
  <c r="L54" i="34"/>
  <c r="L46" i="34"/>
  <c r="L38" i="34"/>
  <c r="L30" i="34"/>
  <c r="L22" i="34"/>
  <c r="L14" i="34"/>
  <c r="L6" i="34"/>
  <c r="L49" i="34"/>
  <c r="L25" i="34"/>
  <c r="L42" i="34"/>
  <c r="L26" i="34"/>
  <c r="L10" i="34"/>
  <c r="K50" i="35"/>
  <c r="Q50" i="35" s="1"/>
  <c r="K42" i="35"/>
  <c r="Q42" i="35" s="1"/>
  <c r="K34" i="35"/>
  <c r="Q34" i="35" s="1"/>
  <c r="K26" i="35"/>
  <c r="Q26" i="35" s="1"/>
  <c r="K18" i="35"/>
  <c r="Q18" i="35" s="1"/>
  <c r="K14" i="35"/>
  <c r="Q14" i="35" s="1"/>
  <c r="K6" i="35"/>
  <c r="K53" i="35"/>
  <c r="Q53" i="35" s="1"/>
  <c r="K49" i="35"/>
  <c r="Q49" i="35" s="1"/>
  <c r="K45" i="35"/>
  <c r="Q45" i="35" s="1"/>
  <c r="K41" i="35"/>
  <c r="Q41" i="35" s="1"/>
  <c r="K37" i="35"/>
  <c r="Q37" i="35" s="1"/>
  <c r="K33" i="35"/>
  <c r="Q33" i="35" s="1"/>
  <c r="K29" i="35"/>
  <c r="Q29" i="35" s="1"/>
  <c r="K25" i="35"/>
  <c r="Q25" i="35" s="1"/>
  <c r="K21" i="35"/>
  <c r="Q21" i="35" s="1"/>
  <c r="K17" i="35"/>
  <c r="Q17" i="35" s="1"/>
  <c r="K13" i="35"/>
  <c r="Q13" i="35" s="1"/>
  <c r="K9" i="35"/>
  <c r="K54" i="35"/>
  <c r="Q54" i="35" s="1"/>
  <c r="K46" i="35"/>
  <c r="Q46" i="35" s="1"/>
  <c r="K38" i="35"/>
  <c r="Q38" i="35" s="1"/>
  <c r="K30" i="35"/>
  <c r="Q30" i="35" s="1"/>
  <c r="K22" i="35"/>
  <c r="Q22" i="35" s="1"/>
  <c r="K10" i="35"/>
  <c r="K55" i="35"/>
  <c r="Q55" i="35" s="1"/>
  <c r="K47" i="35"/>
  <c r="Q47" i="35" s="1"/>
  <c r="K39" i="35"/>
  <c r="Q39" i="35" s="1"/>
  <c r="K31" i="35"/>
  <c r="Q31" i="35" s="1"/>
  <c r="K23" i="35"/>
  <c r="Q23" i="35" s="1"/>
  <c r="K15" i="35"/>
  <c r="Q15" i="35" s="1"/>
  <c r="K7" i="35"/>
  <c r="K43" i="35"/>
  <c r="Q43" i="35" s="1"/>
  <c r="K35" i="35"/>
  <c r="Q35" i="35" s="1"/>
  <c r="K11" i="35"/>
  <c r="K52" i="35"/>
  <c r="Q52" i="35" s="1"/>
  <c r="K28" i="35"/>
  <c r="Q28" i="35" s="1"/>
  <c r="K20" i="35"/>
  <c r="Q20" i="35" s="1"/>
  <c r="K48" i="35"/>
  <c r="Q48" i="35" s="1"/>
  <c r="K40" i="35"/>
  <c r="Q40" i="35" s="1"/>
  <c r="K32" i="35"/>
  <c r="Q32" i="35" s="1"/>
  <c r="K24" i="35"/>
  <c r="Q24" i="35" s="1"/>
  <c r="K16" i="35"/>
  <c r="Q16" i="35" s="1"/>
  <c r="K8" i="35"/>
  <c r="K51" i="35"/>
  <c r="Q51" i="35" s="1"/>
  <c r="K27" i="35"/>
  <c r="Q27" i="35" s="1"/>
  <c r="K19" i="35"/>
  <c r="Q19" i="35" s="1"/>
  <c r="K44" i="35"/>
  <c r="Q44" i="35" s="1"/>
  <c r="K36" i="35"/>
  <c r="Q36" i="35" s="1"/>
  <c r="K12" i="35"/>
  <c r="C49" i="18"/>
  <c r="I50" i="34"/>
  <c r="I42" i="34"/>
  <c r="I34" i="34"/>
  <c r="I26" i="34"/>
  <c r="I18" i="34"/>
  <c r="I6" i="34"/>
  <c r="I53" i="34"/>
  <c r="I49" i="34"/>
  <c r="I45" i="34"/>
  <c r="I41" i="34"/>
  <c r="I37" i="34"/>
  <c r="I33" i="34"/>
  <c r="I29" i="34"/>
  <c r="I25" i="34"/>
  <c r="I21" i="34"/>
  <c r="I17" i="34"/>
  <c r="I13" i="34"/>
  <c r="I9" i="34"/>
  <c r="I54" i="34"/>
  <c r="I46" i="34"/>
  <c r="I38" i="34"/>
  <c r="I30" i="34"/>
  <c r="I22" i="34"/>
  <c r="I14" i="34"/>
  <c r="I10" i="34"/>
  <c r="I51" i="34"/>
  <c r="I43" i="34"/>
  <c r="I35" i="34"/>
  <c r="I27" i="34"/>
  <c r="I19" i="34"/>
  <c r="I11" i="34"/>
  <c r="I55" i="34"/>
  <c r="I39" i="34"/>
  <c r="I31" i="34"/>
  <c r="I15" i="34"/>
  <c r="I48" i="34"/>
  <c r="I40" i="34"/>
  <c r="I24" i="34"/>
  <c r="I8" i="34"/>
  <c r="I52" i="34"/>
  <c r="I44" i="34"/>
  <c r="I36" i="34"/>
  <c r="I28" i="34"/>
  <c r="I20" i="34"/>
  <c r="I12" i="34"/>
  <c r="I47" i="34"/>
  <c r="I23" i="34"/>
  <c r="I7" i="34"/>
  <c r="I32" i="34"/>
  <c r="I16" i="34"/>
  <c r="E68" i="2"/>
  <c r="C31" i="19"/>
  <c r="C27" i="18"/>
  <c r="C33" i="18"/>
  <c r="E61" i="2"/>
  <c r="E64" i="2"/>
  <c r="E66" i="2"/>
  <c r="C37" i="19" s="1"/>
  <c r="E65" i="2"/>
  <c r="E67" i="2"/>
  <c r="E63" i="2"/>
  <c r="C25" i="19" s="1"/>
  <c r="E62" i="2"/>
  <c r="AT29" i="6"/>
  <c r="AT31" i="6" s="1"/>
  <c r="H57" i="2" l="1"/>
  <c r="H56" i="2"/>
  <c r="C45" i="18"/>
  <c r="P52" i="34"/>
  <c r="C77" i="18"/>
  <c r="C81" i="18" s="1"/>
  <c r="P50" i="34"/>
  <c r="O17" i="34"/>
  <c r="O33" i="34"/>
  <c r="O7" i="34"/>
  <c r="O20" i="34"/>
  <c r="O21" i="34"/>
  <c r="O38" i="34"/>
  <c r="O10" i="34"/>
  <c r="O26" i="34"/>
  <c r="O43" i="34"/>
  <c r="C15" i="18"/>
  <c r="O27" i="34"/>
  <c r="O12" i="34"/>
  <c r="O40" i="34"/>
  <c r="O39" i="34"/>
  <c r="O36" i="34"/>
  <c r="O41" i="34"/>
  <c r="P42" i="34"/>
  <c r="P46" i="34"/>
  <c r="P41" i="34"/>
  <c r="P12" i="34"/>
  <c r="P7" i="34"/>
  <c r="P23" i="34"/>
  <c r="P55" i="34"/>
  <c r="O31" i="34"/>
  <c r="O22" i="34"/>
  <c r="P26" i="34"/>
  <c r="P34" i="34"/>
  <c r="P33" i="34"/>
  <c r="P29" i="34"/>
  <c r="P32" i="34"/>
  <c r="P19" i="34"/>
  <c r="P48" i="34"/>
  <c r="O11" i="34"/>
  <c r="O16" i="34"/>
  <c r="O23" i="34"/>
  <c r="O19" i="34"/>
  <c r="O37" i="34"/>
  <c r="O13" i="34"/>
  <c r="O29" i="34"/>
  <c r="O18" i="34"/>
  <c r="O34" i="34"/>
  <c r="O35" i="34"/>
  <c r="O24" i="34"/>
  <c r="O6" i="34"/>
  <c r="P14" i="34"/>
  <c r="P37" i="34"/>
  <c r="P36" i="34"/>
  <c r="P39" i="34"/>
  <c r="O42" i="34"/>
  <c r="O8" i="34"/>
  <c r="P10" i="34"/>
  <c r="P18" i="34"/>
  <c r="P17" i="34"/>
  <c r="P21" i="34"/>
  <c r="P44" i="34"/>
  <c r="P28" i="34"/>
  <c r="O15" i="34"/>
  <c r="O32" i="34"/>
  <c r="O28" i="34"/>
  <c r="O9" i="34"/>
  <c r="O25" i="34"/>
  <c r="O14" i="34"/>
  <c r="O30" i="34"/>
  <c r="C31" i="17"/>
  <c r="K55" i="36"/>
  <c r="Q55" i="36" s="1"/>
  <c r="K51" i="36"/>
  <c r="Q51" i="36" s="1"/>
  <c r="K47" i="36"/>
  <c r="Q47" i="36" s="1"/>
  <c r="K43" i="36"/>
  <c r="Q43" i="36" s="1"/>
  <c r="K39" i="36"/>
  <c r="Q39" i="36" s="1"/>
  <c r="K35" i="36"/>
  <c r="Q35" i="36" s="1"/>
  <c r="K31" i="36"/>
  <c r="Q31" i="36" s="1"/>
  <c r="K27" i="36"/>
  <c r="Q27" i="36" s="1"/>
  <c r="K23" i="36"/>
  <c r="Q23" i="36" s="1"/>
  <c r="K19" i="36"/>
  <c r="Q19" i="36" s="1"/>
  <c r="K15" i="36"/>
  <c r="Q15" i="36" s="1"/>
  <c r="K11" i="36"/>
  <c r="K7" i="36"/>
  <c r="K54" i="36"/>
  <c r="Q54" i="36" s="1"/>
  <c r="K50" i="36"/>
  <c r="Q50" i="36" s="1"/>
  <c r="K46" i="36"/>
  <c r="Q46" i="36" s="1"/>
  <c r="K42" i="36"/>
  <c r="Q42" i="36" s="1"/>
  <c r="K38" i="36"/>
  <c r="Q38" i="36" s="1"/>
  <c r="K34" i="36"/>
  <c r="Q34" i="36" s="1"/>
  <c r="K30" i="36"/>
  <c r="Q30" i="36" s="1"/>
  <c r="K26" i="36"/>
  <c r="Q26" i="36" s="1"/>
  <c r="K22" i="36"/>
  <c r="Q22" i="36" s="1"/>
  <c r="K18" i="36"/>
  <c r="Q18" i="36" s="1"/>
  <c r="K14" i="36"/>
  <c r="Q14" i="36" s="1"/>
  <c r="K10" i="36"/>
  <c r="K6" i="36"/>
  <c r="K52" i="36"/>
  <c r="Q52" i="36" s="1"/>
  <c r="K44" i="36"/>
  <c r="Q44" i="36" s="1"/>
  <c r="K36" i="36"/>
  <c r="Q36" i="36" s="1"/>
  <c r="K28" i="36"/>
  <c r="Q28" i="36" s="1"/>
  <c r="K20" i="36"/>
  <c r="Q20" i="36" s="1"/>
  <c r="K12" i="36"/>
  <c r="K49" i="36"/>
  <c r="Q49" i="36" s="1"/>
  <c r="K41" i="36"/>
  <c r="Q41" i="36" s="1"/>
  <c r="K33" i="36"/>
  <c r="Q33" i="36" s="1"/>
  <c r="K25" i="36"/>
  <c r="Q25" i="36" s="1"/>
  <c r="K17" i="36"/>
  <c r="Q17" i="36" s="1"/>
  <c r="K9" i="36"/>
  <c r="K48" i="36"/>
  <c r="Q48" i="36" s="1"/>
  <c r="K32" i="36"/>
  <c r="Q32" i="36" s="1"/>
  <c r="K16" i="36"/>
  <c r="Q16" i="36" s="1"/>
  <c r="K45" i="36"/>
  <c r="Q45" i="36" s="1"/>
  <c r="K13" i="36"/>
  <c r="Q13" i="36" s="1"/>
  <c r="K53" i="36"/>
  <c r="Q53" i="36" s="1"/>
  <c r="K37" i="36"/>
  <c r="Q37" i="36" s="1"/>
  <c r="K21" i="36"/>
  <c r="Q21" i="36" s="1"/>
  <c r="K40" i="36"/>
  <c r="Q40" i="36" s="1"/>
  <c r="K24" i="36"/>
  <c r="Q24" i="36" s="1"/>
  <c r="K8" i="36"/>
  <c r="K29" i="36"/>
  <c r="Q29" i="36" s="1"/>
  <c r="C13" i="19"/>
  <c r="M51" i="35"/>
  <c r="O51" i="35" s="1"/>
  <c r="M39" i="35"/>
  <c r="O39" i="35" s="1"/>
  <c r="M31" i="35"/>
  <c r="O31" i="35" s="1"/>
  <c r="M23" i="35"/>
  <c r="O23" i="35" s="1"/>
  <c r="M15" i="35"/>
  <c r="O15" i="35" s="1"/>
  <c r="M7" i="35"/>
  <c r="M54" i="35"/>
  <c r="O54" i="35" s="1"/>
  <c r="M50" i="35"/>
  <c r="O50" i="35" s="1"/>
  <c r="M46" i="35"/>
  <c r="O46" i="35" s="1"/>
  <c r="M42" i="35"/>
  <c r="O42" i="35" s="1"/>
  <c r="M38" i="35"/>
  <c r="O38" i="35" s="1"/>
  <c r="M34" i="35"/>
  <c r="O34" i="35" s="1"/>
  <c r="M30" i="35"/>
  <c r="O30" i="35" s="1"/>
  <c r="M26" i="35"/>
  <c r="O26" i="35" s="1"/>
  <c r="M22" i="35"/>
  <c r="O22" i="35" s="1"/>
  <c r="M18" i="35"/>
  <c r="O18" i="35" s="1"/>
  <c r="M14" i="35"/>
  <c r="M10" i="35"/>
  <c r="M6" i="35"/>
  <c r="M55" i="35"/>
  <c r="O55" i="35" s="1"/>
  <c r="M47" i="35"/>
  <c r="O47" i="35" s="1"/>
  <c r="M43" i="35"/>
  <c r="O43" i="35" s="1"/>
  <c r="M35" i="35"/>
  <c r="O35" i="35" s="1"/>
  <c r="M27" i="35"/>
  <c r="O27" i="35" s="1"/>
  <c r="M19" i="35"/>
  <c r="O19" i="35" s="1"/>
  <c r="M11" i="35"/>
  <c r="M52" i="35"/>
  <c r="O52" i="35" s="1"/>
  <c r="M44" i="35"/>
  <c r="O44" i="35" s="1"/>
  <c r="M36" i="35"/>
  <c r="O36" i="35" s="1"/>
  <c r="M28" i="35"/>
  <c r="O28" i="35" s="1"/>
  <c r="M20" i="35"/>
  <c r="O20" i="35" s="1"/>
  <c r="M12" i="35"/>
  <c r="M48" i="35"/>
  <c r="O48" i="35" s="1"/>
  <c r="M40" i="35"/>
  <c r="O40" i="35" s="1"/>
  <c r="M32" i="35"/>
  <c r="O32" i="35" s="1"/>
  <c r="M16" i="35"/>
  <c r="O16" i="35" s="1"/>
  <c r="M8" i="35"/>
  <c r="M41" i="35"/>
  <c r="O41" i="35" s="1"/>
  <c r="M25" i="35"/>
  <c r="O25" i="35" s="1"/>
  <c r="M53" i="35"/>
  <c r="O53" i="35" s="1"/>
  <c r="M45" i="35"/>
  <c r="O45" i="35" s="1"/>
  <c r="M37" i="35"/>
  <c r="O37" i="35" s="1"/>
  <c r="M29" i="35"/>
  <c r="O29" i="35" s="1"/>
  <c r="M21" i="35"/>
  <c r="O21" i="35" s="1"/>
  <c r="M13" i="35"/>
  <c r="M24" i="35"/>
  <c r="O24" i="35" s="1"/>
  <c r="M49" i="35"/>
  <c r="O49" i="35" s="1"/>
  <c r="M33" i="35"/>
  <c r="O33" i="35" s="1"/>
  <c r="M17" i="35"/>
  <c r="O17" i="35" s="1"/>
  <c r="M9" i="35"/>
  <c r="C55" i="19"/>
  <c r="N52" i="35"/>
  <c r="N48" i="35"/>
  <c r="N44" i="35"/>
  <c r="N40" i="35"/>
  <c r="N36" i="35"/>
  <c r="N32" i="35"/>
  <c r="N28" i="35"/>
  <c r="N24" i="35"/>
  <c r="N20" i="35"/>
  <c r="N16" i="35"/>
  <c r="N8" i="35"/>
  <c r="AD8" i="35" s="1"/>
  <c r="N55" i="35"/>
  <c r="N51" i="35"/>
  <c r="N47" i="35"/>
  <c r="N43" i="35"/>
  <c r="N39" i="35"/>
  <c r="N35" i="35"/>
  <c r="N31" i="35"/>
  <c r="N27" i="35"/>
  <c r="N23" i="35"/>
  <c r="N19" i="35"/>
  <c r="N15" i="35"/>
  <c r="N11" i="35"/>
  <c r="AD11" i="35" s="1"/>
  <c r="N7" i="35"/>
  <c r="AD7" i="35" s="1"/>
  <c r="N12" i="35"/>
  <c r="AD12" i="35" s="1"/>
  <c r="N53" i="35"/>
  <c r="N45" i="35"/>
  <c r="N37" i="35"/>
  <c r="N29" i="35"/>
  <c r="N21" i="35"/>
  <c r="N13" i="35"/>
  <c r="AD13" i="35" s="1"/>
  <c r="N49" i="35"/>
  <c r="N41" i="35"/>
  <c r="N25" i="35"/>
  <c r="N17" i="35"/>
  <c r="N9" i="35"/>
  <c r="AD9" i="35" s="1"/>
  <c r="N42" i="35"/>
  <c r="N54" i="35"/>
  <c r="N46" i="35"/>
  <c r="N38" i="35"/>
  <c r="N30" i="35"/>
  <c r="N22" i="35"/>
  <c r="N14" i="35"/>
  <c r="AD14" i="35" s="1"/>
  <c r="N6" i="35"/>
  <c r="AD6" i="35" s="1"/>
  <c r="N33" i="35"/>
  <c r="N50" i="35"/>
  <c r="N34" i="35"/>
  <c r="N26" i="35"/>
  <c r="N18" i="35"/>
  <c r="N10" i="35"/>
  <c r="AD10" i="35" s="1"/>
  <c r="C19" i="19"/>
  <c r="L50" i="35"/>
  <c r="L38" i="35"/>
  <c r="L26" i="35"/>
  <c r="L14" i="35"/>
  <c r="L53" i="35"/>
  <c r="L49" i="35"/>
  <c r="L45" i="35"/>
  <c r="L41" i="35"/>
  <c r="L37" i="35"/>
  <c r="L33" i="35"/>
  <c r="L29" i="35"/>
  <c r="L25" i="35"/>
  <c r="L21" i="35"/>
  <c r="L17" i="35"/>
  <c r="L13" i="35"/>
  <c r="L9" i="35"/>
  <c r="L54" i="35"/>
  <c r="L46" i="35"/>
  <c r="L42" i="35"/>
  <c r="L34" i="35"/>
  <c r="L30" i="35"/>
  <c r="L22" i="35"/>
  <c r="L18" i="35"/>
  <c r="L10" i="35"/>
  <c r="L51" i="35"/>
  <c r="L43" i="35"/>
  <c r="L35" i="35"/>
  <c r="L27" i="35"/>
  <c r="L19" i="35"/>
  <c r="L11" i="35"/>
  <c r="L47" i="35"/>
  <c r="L39" i="35"/>
  <c r="L31" i="35"/>
  <c r="L23" i="35"/>
  <c r="L7" i="35"/>
  <c r="L40" i="35"/>
  <c r="L16" i="35"/>
  <c r="L52" i="35"/>
  <c r="L44" i="35"/>
  <c r="L36" i="35"/>
  <c r="L28" i="35"/>
  <c r="L20" i="35"/>
  <c r="L12" i="35"/>
  <c r="L6" i="35"/>
  <c r="L55" i="35"/>
  <c r="L15" i="35"/>
  <c r="L48" i="35"/>
  <c r="L32" i="35"/>
  <c r="L24" i="35"/>
  <c r="L8" i="35"/>
  <c r="P51" i="34"/>
  <c r="P25" i="34"/>
  <c r="P22" i="34"/>
  <c r="P54" i="34"/>
  <c r="P9" i="34"/>
  <c r="P13" i="34"/>
  <c r="P45" i="34"/>
  <c r="P20" i="34"/>
  <c r="P40" i="34"/>
  <c r="P11" i="34"/>
  <c r="P27" i="34"/>
  <c r="P43" i="34"/>
  <c r="P16" i="34"/>
  <c r="C43" i="19"/>
  <c r="J53" i="35"/>
  <c r="J41" i="35"/>
  <c r="J29" i="35"/>
  <c r="J13" i="35"/>
  <c r="J52" i="35"/>
  <c r="J48" i="35"/>
  <c r="J44" i="35"/>
  <c r="J40" i="35"/>
  <c r="J36" i="35"/>
  <c r="J32" i="35"/>
  <c r="J28" i="35"/>
  <c r="J24" i="35"/>
  <c r="J20" i="35"/>
  <c r="J16" i="35"/>
  <c r="J12" i="35"/>
  <c r="J8" i="35"/>
  <c r="J6" i="35"/>
  <c r="J49" i="35"/>
  <c r="J45" i="35"/>
  <c r="J37" i="35"/>
  <c r="J33" i="35"/>
  <c r="J25" i="35"/>
  <c r="J21" i="35"/>
  <c r="J17" i="35"/>
  <c r="J9" i="35"/>
  <c r="J50" i="35"/>
  <c r="J42" i="35"/>
  <c r="J34" i="35"/>
  <c r="J26" i="35"/>
  <c r="J18" i="35"/>
  <c r="J10" i="35"/>
  <c r="J54" i="35"/>
  <c r="J38" i="35"/>
  <c r="J30" i="35"/>
  <c r="J22" i="35"/>
  <c r="J14" i="35"/>
  <c r="J47" i="35"/>
  <c r="J31" i="35"/>
  <c r="J15" i="35"/>
  <c r="J51" i="35"/>
  <c r="J43" i="35"/>
  <c r="J35" i="35"/>
  <c r="J27" i="35"/>
  <c r="J19" i="35"/>
  <c r="J11" i="35"/>
  <c r="J46" i="35"/>
  <c r="J55" i="35"/>
  <c r="J39" i="35"/>
  <c r="J23" i="35"/>
  <c r="J7" i="35"/>
  <c r="C49" i="19"/>
  <c r="I54" i="35"/>
  <c r="I46" i="35"/>
  <c r="I34" i="35"/>
  <c r="I26" i="35"/>
  <c r="I18" i="35"/>
  <c r="I10" i="35"/>
  <c r="I53" i="35"/>
  <c r="I49" i="35"/>
  <c r="I45" i="35"/>
  <c r="I41" i="35"/>
  <c r="I37" i="35"/>
  <c r="I33" i="35"/>
  <c r="I29" i="35"/>
  <c r="I25" i="35"/>
  <c r="I21" i="35"/>
  <c r="I17" i="35"/>
  <c r="I13" i="35"/>
  <c r="I9" i="35"/>
  <c r="I50" i="35"/>
  <c r="I42" i="35"/>
  <c r="I38" i="35"/>
  <c r="I30" i="35"/>
  <c r="I22" i="35"/>
  <c r="I14" i="35"/>
  <c r="I6" i="35"/>
  <c r="I55" i="35"/>
  <c r="I47" i="35"/>
  <c r="I39" i="35"/>
  <c r="I31" i="35"/>
  <c r="I23" i="35"/>
  <c r="I15" i="35"/>
  <c r="I7" i="35"/>
  <c r="I51" i="35"/>
  <c r="I35" i="35"/>
  <c r="I27" i="35"/>
  <c r="I19" i="35"/>
  <c r="I11" i="35"/>
  <c r="I52" i="35"/>
  <c r="I28" i="35"/>
  <c r="I12" i="35"/>
  <c r="I48" i="35"/>
  <c r="I40" i="35"/>
  <c r="I32" i="35"/>
  <c r="I24" i="35"/>
  <c r="I16" i="35"/>
  <c r="I8" i="35"/>
  <c r="I43" i="35"/>
  <c r="I44" i="35"/>
  <c r="I36" i="35"/>
  <c r="I20" i="35"/>
  <c r="P38" i="34"/>
  <c r="P8" i="34"/>
  <c r="P35" i="34"/>
  <c r="P49" i="34"/>
  <c r="P30" i="34"/>
  <c r="P53" i="34"/>
  <c r="P24" i="34"/>
  <c r="P15" i="34"/>
  <c r="P31" i="34"/>
  <c r="P47" i="34"/>
  <c r="G60" i="2"/>
  <c r="G59" i="2"/>
  <c r="G58" i="2"/>
  <c r="C37" i="17"/>
  <c r="C25" i="17"/>
  <c r="P54" i="35" l="1"/>
  <c r="P31" i="35"/>
  <c r="P51" i="35"/>
  <c r="P48" i="35"/>
  <c r="P55" i="35"/>
  <c r="P40" i="35"/>
  <c r="O8" i="35"/>
  <c r="P23" i="35"/>
  <c r="O12" i="35"/>
  <c r="O13" i="35"/>
  <c r="P43" i="35"/>
  <c r="P46" i="35"/>
  <c r="P49" i="35"/>
  <c r="P8" i="35"/>
  <c r="P32" i="35"/>
  <c r="P36" i="35"/>
  <c r="P39" i="35"/>
  <c r="P27" i="35"/>
  <c r="P10" i="35"/>
  <c r="P34" i="35"/>
  <c r="P9" i="35"/>
  <c r="P25" i="35"/>
  <c r="P14" i="35"/>
  <c r="O9" i="35"/>
  <c r="O11" i="35"/>
  <c r="O10" i="35"/>
  <c r="O7" i="35"/>
  <c r="O14" i="35"/>
  <c r="P24" i="35"/>
  <c r="P16" i="35"/>
  <c r="P19" i="35"/>
  <c r="P30" i="35"/>
  <c r="P21" i="35"/>
  <c r="P53" i="35"/>
  <c r="P50" i="35"/>
  <c r="O6" i="35"/>
  <c r="C43" i="17"/>
  <c r="J53" i="36"/>
  <c r="J49" i="36"/>
  <c r="J45" i="36"/>
  <c r="J41" i="36"/>
  <c r="J37" i="36"/>
  <c r="J33" i="36"/>
  <c r="J29" i="36"/>
  <c r="J25" i="36"/>
  <c r="J21" i="36"/>
  <c r="J17" i="36"/>
  <c r="J13" i="36"/>
  <c r="J9" i="36"/>
  <c r="J52" i="36"/>
  <c r="J48" i="36"/>
  <c r="J44" i="36"/>
  <c r="J40" i="36"/>
  <c r="J36" i="36"/>
  <c r="J32" i="36"/>
  <c r="J28" i="36"/>
  <c r="J24" i="36"/>
  <c r="J20" i="36"/>
  <c r="J16" i="36"/>
  <c r="J12" i="36"/>
  <c r="J8" i="36"/>
  <c r="J54" i="36"/>
  <c r="J46" i="36"/>
  <c r="J38" i="36"/>
  <c r="J30" i="36"/>
  <c r="J22" i="36"/>
  <c r="J14" i="36"/>
  <c r="J6" i="36"/>
  <c r="J51" i="36"/>
  <c r="J43" i="36"/>
  <c r="J35" i="36"/>
  <c r="J27" i="36"/>
  <c r="J19" i="36"/>
  <c r="J11" i="36"/>
  <c r="J50" i="36"/>
  <c r="J34" i="36"/>
  <c r="J18" i="36"/>
  <c r="J31" i="36"/>
  <c r="J55" i="36"/>
  <c r="J39" i="36"/>
  <c r="J23" i="36"/>
  <c r="J7" i="36"/>
  <c r="J42" i="36"/>
  <c r="J26" i="36"/>
  <c r="J10" i="36"/>
  <c r="J47" i="36"/>
  <c r="J15" i="36"/>
  <c r="C49" i="17"/>
  <c r="I55" i="36"/>
  <c r="I51" i="36"/>
  <c r="I47" i="36"/>
  <c r="I43" i="36"/>
  <c r="I39" i="36"/>
  <c r="I35" i="36"/>
  <c r="I31" i="36"/>
  <c r="I27" i="36"/>
  <c r="I23" i="36"/>
  <c r="I19" i="36"/>
  <c r="I15" i="36"/>
  <c r="I11" i="36"/>
  <c r="I7" i="36"/>
  <c r="I54" i="36"/>
  <c r="I50" i="36"/>
  <c r="I46" i="36"/>
  <c r="I42" i="36"/>
  <c r="I38" i="36"/>
  <c r="I34" i="36"/>
  <c r="I30" i="36"/>
  <c r="I26" i="36"/>
  <c r="I22" i="36"/>
  <c r="I18" i="36"/>
  <c r="I14" i="36"/>
  <c r="I10" i="36"/>
  <c r="I6" i="36"/>
  <c r="I48" i="36"/>
  <c r="I40" i="36"/>
  <c r="I32" i="36"/>
  <c r="I24" i="36"/>
  <c r="I16" i="36"/>
  <c r="I8" i="36"/>
  <c r="I53" i="36"/>
  <c r="I45" i="36"/>
  <c r="I37" i="36"/>
  <c r="I29" i="36"/>
  <c r="I21" i="36"/>
  <c r="I13" i="36"/>
  <c r="I52" i="36"/>
  <c r="I36" i="36"/>
  <c r="I20" i="36"/>
  <c r="I28" i="36"/>
  <c r="I49" i="36"/>
  <c r="I17" i="36"/>
  <c r="I41" i="36"/>
  <c r="I25" i="36"/>
  <c r="I9" i="36"/>
  <c r="I44" i="36"/>
  <c r="I12" i="36"/>
  <c r="I33" i="36"/>
  <c r="C55" i="17"/>
  <c r="N53" i="36"/>
  <c r="N49" i="36"/>
  <c r="N45" i="36"/>
  <c r="N41" i="36"/>
  <c r="N37" i="36"/>
  <c r="N33" i="36"/>
  <c r="N29" i="36"/>
  <c r="N25" i="36"/>
  <c r="N21" i="36"/>
  <c r="N17" i="36"/>
  <c r="N13" i="36"/>
  <c r="AD13" i="36" s="1"/>
  <c r="N9" i="36"/>
  <c r="AD9" i="36" s="1"/>
  <c r="N52" i="36"/>
  <c r="N48" i="36"/>
  <c r="N44" i="36"/>
  <c r="N40" i="36"/>
  <c r="N36" i="36"/>
  <c r="N32" i="36"/>
  <c r="N28" i="36"/>
  <c r="N24" i="36"/>
  <c r="N20" i="36"/>
  <c r="N16" i="36"/>
  <c r="N12" i="36"/>
  <c r="AD12" i="36" s="1"/>
  <c r="N8" i="36"/>
  <c r="AD8" i="36" s="1"/>
  <c r="N54" i="36"/>
  <c r="N46" i="36"/>
  <c r="N38" i="36"/>
  <c r="N30" i="36"/>
  <c r="N22" i="36"/>
  <c r="N14" i="36"/>
  <c r="AD14" i="36" s="1"/>
  <c r="N6" i="36"/>
  <c r="AD6" i="36" s="1"/>
  <c r="N51" i="36"/>
  <c r="N43" i="36"/>
  <c r="N35" i="36"/>
  <c r="N27" i="36"/>
  <c r="N19" i="36"/>
  <c r="N11" i="36"/>
  <c r="AD11" i="36" s="1"/>
  <c r="N42" i="36"/>
  <c r="N26" i="36"/>
  <c r="N10" i="36"/>
  <c r="AD10" i="36" s="1"/>
  <c r="N39" i="36"/>
  <c r="N7" i="36"/>
  <c r="AD7" i="36" s="1"/>
  <c r="N47" i="36"/>
  <c r="N31" i="36"/>
  <c r="N15" i="36"/>
  <c r="AD15" i="36" s="1"/>
  <c r="N50" i="36"/>
  <c r="N34" i="36"/>
  <c r="N18" i="36"/>
  <c r="N55" i="36"/>
  <c r="N23" i="36"/>
  <c r="C19" i="17"/>
  <c r="L53" i="36"/>
  <c r="L49" i="36"/>
  <c r="L45" i="36"/>
  <c r="L41" i="36"/>
  <c r="L37" i="36"/>
  <c r="L33" i="36"/>
  <c r="L29" i="36"/>
  <c r="L25" i="36"/>
  <c r="L21" i="36"/>
  <c r="L17" i="36"/>
  <c r="L13" i="36"/>
  <c r="L9" i="36"/>
  <c r="L52" i="36"/>
  <c r="L48" i="36"/>
  <c r="L44" i="36"/>
  <c r="L40" i="36"/>
  <c r="L36" i="36"/>
  <c r="L32" i="36"/>
  <c r="L28" i="36"/>
  <c r="L24" i="36"/>
  <c r="L20" i="36"/>
  <c r="L16" i="36"/>
  <c r="L12" i="36"/>
  <c r="L8" i="36"/>
  <c r="L50" i="36"/>
  <c r="L42" i="36"/>
  <c r="L34" i="36"/>
  <c r="L26" i="36"/>
  <c r="L18" i="36"/>
  <c r="L10" i="36"/>
  <c r="L55" i="36"/>
  <c r="L47" i="36"/>
  <c r="L39" i="36"/>
  <c r="L31" i="36"/>
  <c r="L23" i="36"/>
  <c r="L15" i="36"/>
  <c r="L7" i="36"/>
  <c r="L46" i="36"/>
  <c r="L30" i="36"/>
  <c r="L14" i="36"/>
  <c r="L38" i="36"/>
  <c r="L27" i="36"/>
  <c r="L51" i="36"/>
  <c r="L35" i="36"/>
  <c r="L19" i="36"/>
  <c r="L54" i="36"/>
  <c r="L22" i="36"/>
  <c r="L6" i="36"/>
  <c r="L43" i="36"/>
  <c r="L11" i="36"/>
  <c r="K55" i="37"/>
  <c r="Q55" i="37" s="1"/>
  <c r="K53" i="37"/>
  <c r="Q53" i="37" s="1"/>
  <c r="K51" i="37"/>
  <c r="Q51" i="37" s="1"/>
  <c r="K49" i="37"/>
  <c r="Q49" i="37" s="1"/>
  <c r="K47" i="37"/>
  <c r="Q47" i="37" s="1"/>
  <c r="K45" i="37"/>
  <c r="Q45" i="37" s="1"/>
  <c r="K43" i="37"/>
  <c r="Q43" i="37" s="1"/>
  <c r="K41" i="37"/>
  <c r="Q41" i="37" s="1"/>
  <c r="K39" i="37"/>
  <c r="Q39" i="37" s="1"/>
  <c r="K37" i="37"/>
  <c r="Q37" i="37" s="1"/>
  <c r="K35" i="37"/>
  <c r="Q35" i="37" s="1"/>
  <c r="K33" i="37"/>
  <c r="Q33" i="37" s="1"/>
  <c r="K31" i="37"/>
  <c r="Q31" i="37" s="1"/>
  <c r="K29" i="37"/>
  <c r="Q29" i="37" s="1"/>
  <c r="K27" i="37"/>
  <c r="Q27" i="37" s="1"/>
  <c r="K25" i="37"/>
  <c r="Q25" i="37" s="1"/>
  <c r="K23" i="37"/>
  <c r="Q23" i="37" s="1"/>
  <c r="K21" i="37"/>
  <c r="Q21" i="37" s="1"/>
  <c r="K19" i="37"/>
  <c r="Q19" i="37" s="1"/>
  <c r="K17" i="37"/>
  <c r="Q17" i="37" s="1"/>
  <c r="K15" i="37"/>
  <c r="Q15" i="37" s="1"/>
  <c r="K13" i="37"/>
  <c r="Q13" i="37" s="1"/>
  <c r="K11" i="37"/>
  <c r="K9" i="37"/>
  <c r="K7" i="37"/>
  <c r="K52" i="37"/>
  <c r="Q52" i="37" s="1"/>
  <c r="K48" i="37"/>
  <c r="Q48" i="37" s="1"/>
  <c r="K44" i="37"/>
  <c r="Q44" i="37" s="1"/>
  <c r="K40" i="37"/>
  <c r="Q40" i="37" s="1"/>
  <c r="K36" i="37"/>
  <c r="Q36" i="37" s="1"/>
  <c r="K32" i="37"/>
  <c r="Q32" i="37" s="1"/>
  <c r="K28" i="37"/>
  <c r="Q28" i="37" s="1"/>
  <c r="K24" i="37"/>
  <c r="Q24" i="37" s="1"/>
  <c r="K20" i="37"/>
  <c r="Q20" i="37" s="1"/>
  <c r="K16" i="37"/>
  <c r="Q16" i="37" s="1"/>
  <c r="K12" i="37"/>
  <c r="K8" i="37"/>
  <c r="K50" i="37"/>
  <c r="Q50" i="37" s="1"/>
  <c r="K34" i="37"/>
  <c r="Q34" i="37" s="1"/>
  <c r="K18" i="37"/>
  <c r="Q18" i="37" s="1"/>
  <c r="K54" i="37"/>
  <c r="Q54" i="37" s="1"/>
  <c r="K38" i="37"/>
  <c r="Q38" i="37" s="1"/>
  <c r="K22" i="37"/>
  <c r="Q22" i="37" s="1"/>
  <c r="K46" i="37"/>
  <c r="Q46" i="37" s="1"/>
  <c r="K30" i="37"/>
  <c r="Q30" i="37" s="1"/>
  <c r="K14" i="37"/>
  <c r="Q14" i="37" s="1"/>
  <c r="K42" i="37"/>
  <c r="Q42" i="37" s="1"/>
  <c r="K26" i="37"/>
  <c r="Q26" i="37" s="1"/>
  <c r="K10" i="37"/>
  <c r="K6" i="37"/>
  <c r="P41" i="35"/>
  <c r="P37" i="35"/>
  <c r="P15" i="35"/>
  <c r="P20" i="35"/>
  <c r="P33" i="35"/>
  <c r="P12" i="35"/>
  <c r="P44" i="35"/>
  <c r="P7" i="35"/>
  <c r="P47" i="35"/>
  <c r="P35" i="35"/>
  <c r="P18" i="35"/>
  <c r="P42" i="35"/>
  <c r="P13" i="35"/>
  <c r="P29" i="35"/>
  <c r="P45" i="35"/>
  <c r="P26" i="35"/>
  <c r="C13" i="17"/>
  <c r="M55" i="36"/>
  <c r="O55" i="36" s="1"/>
  <c r="M51" i="36"/>
  <c r="O51" i="36" s="1"/>
  <c r="M47" i="36"/>
  <c r="O47" i="36" s="1"/>
  <c r="M43" i="36"/>
  <c r="O43" i="36" s="1"/>
  <c r="M39" i="36"/>
  <c r="O39" i="36" s="1"/>
  <c r="M35" i="36"/>
  <c r="O35" i="36" s="1"/>
  <c r="M31" i="36"/>
  <c r="O31" i="36" s="1"/>
  <c r="M27" i="36"/>
  <c r="O27" i="36" s="1"/>
  <c r="M23" i="36"/>
  <c r="O23" i="36" s="1"/>
  <c r="M19" i="36"/>
  <c r="O19" i="36" s="1"/>
  <c r="M15" i="36"/>
  <c r="M11" i="36"/>
  <c r="M7" i="36"/>
  <c r="M54" i="36"/>
  <c r="O54" i="36" s="1"/>
  <c r="M50" i="36"/>
  <c r="O50" i="36" s="1"/>
  <c r="M46" i="36"/>
  <c r="O46" i="36" s="1"/>
  <c r="M42" i="36"/>
  <c r="O42" i="36" s="1"/>
  <c r="M38" i="36"/>
  <c r="O38" i="36" s="1"/>
  <c r="M34" i="36"/>
  <c r="O34" i="36" s="1"/>
  <c r="M30" i="36"/>
  <c r="O30" i="36" s="1"/>
  <c r="M26" i="36"/>
  <c r="O26" i="36" s="1"/>
  <c r="M22" i="36"/>
  <c r="O22" i="36" s="1"/>
  <c r="M18" i="36"/>
  <c r="O18" i="36" s="1"/>
  <c r="M14" i="36"/>
  <c r="M10" i="36"/>
  <c r="M6" i="36"/>
  <c r="M48" i="36"/>
  <c r="O48" i="36" s="1"/>
  <c r="M40" i="36"/>
  <c r="O40" i="36" s="1"/>
  <c r="M32" i="36"/>
  <c r="O32" i="36" s="1"/>
  <c r="M24" i="36"/>
  <c r="O24" i="36" s="1"/>
  <c r="M16" i="36"/>
  <c r="O16" i="36" s="1"/>
  <c r="M8" i="36"/>
  <c r="M53" i="36"/>
  <c r="O53" i="36" s="1"/>
  <c r="M45" i="36"/>
  <c r="O45" i="36" s="1"/>
  <c r="M37" i="36"/>
  <c r="O37" i="36" s="1"/>
  <c r="M29" i="36"/>
  <c r="O29" i="36" s="1"/>
  <c r="M21" i="36"/>
  <c r="O21" i="36" s="1"/>
  <c r="M13" i="36"/>
  <c r="M44" i="36"/>
  <c r="O44" i="36" s="1"/>
  <c r="M28" i="36"/>
  <c r="O28" i="36" s="1"/>
  <c r="M12" i="36"/>
  <c r="M41" i="36"/>
  <c r="O41" i="36" s="1"/>
  <c r="M9" i="36"/>
  <c r="M49" i="36"/>
  <c r="O49" i="36" s="1"/>
  <c r="M33" i="36"/>
  <c r="O33" i="36" s="1"/>
  <c r="M17" i="36"/>
  <c r="O17" i="36" s="1"/>
  <c r="M52" i="36"/>
  <c r="O52" i="36" s="1"/>
  <c r="M36" i="36"/>
  <c r="O36" i="36" s="1"/>
  <c r="M20" i="36"/>
  <c r="O20" i="36" s="1"/>
  <c r="M25" i="36"/>
  <c r="O25" i="36" s="1"/>
  <c r="P28" i="35"/>
  <c r="P52" i="35"/>
  <c r="P11" i="35"/>
  <c r="P22" i="35"/>
  <c r="P17" i="35"/>
  <c r="P38" i="35"/>
  <c r="G68" i="2"/>
  <c r="C31" i="1"/>
  <c r="G61" i="2"/>
  <c r="G63" i="2"/>
  <c r="G66" i="2"/>
  <c r="G65" i="2"/>
  <c r="G64" i="2"/>
  <c r="G67" i="2"/>
  <c r="G62" i="2"/>
  <c r="P26" i="36" l="1"/>
  <c r="P38" i="36"/>
  <c r="P19" i="36"/>
  <c r="P30" i="36"/>
  <c r="O12" i="36"/>
  <c r="O10" i="36"/>
  <c r="O7" i="36"/>
  <c r="P24" i="36"/>
  <c r="O9" i="36"/>
  <c r="O15" i="36"/>
  <c r="P40" i="36"/>
  <c r="O8" i="36"/>
  <c r="O14" i="36"/>
  <c r="O11" i="36"/>
  <c r="P18" i="36"/>
  <c r="P50" i="36"/>
  <c r="P52" i="36"/>
  <c r="P14" i="36"/>
  <c r="P47" i="36"/>
  <c r="P11" i="36"/>
  <c r="P46" i="36"/>
  <c r="P31" i="36"/>
  <c r="P8" i="36"/>
  <c r="O13" i="36"/>
  <c r="O6" i="36"/>
  <c r="I54" i="37"/>
  <c r="I52" i="37"/>
  <c r="I50" i="37"/>
  <c r="I48" i="37"/>
  <c r="I46" i="37"/>
  <c r="I44" i="37"/>
  <c r="I42" i="37"/>
  <c r="I40" i="37"/>
  <c r="I38" i="37"/>
  <c r="I36" i="37"/>
  <c r="I34" i="37"/>
  <c r="I32" i="37"/>
  <c r="I30" i="37"/>
  <c r="I28" i="37"/>
  <c r="I26" i="37"/>
  <c r="I24" i="37"/>
  <c r="I22" i="37"/>
  <c r="I20" i="37"/>
  <c r="I18" i="37"/>
  <c r="I16" i="37"/>
  <c r="I14" i="37"/>
  <c r="I12" i="37"/>
  <c r="I10" i="37"/>
  <c r="I8" i="37"/>
  <c r="I6" i="37"/>
  <c r="I55" i="37"/>
  <c r="I51" i="37"/>
  <c r="I47" i="37"/>
  <c r="I43" i="37"/>
  <c r="I39" i="37"/>
  <c r="I35" i="37"/>
  <c r="I31" i="37"/>
  <c r="I27" i="37"/>
  <c r="I23" i="37"/>
  <c r="I19" i="37"/>
  <c r="I15" i="37"/>
  <c r="I11" i="37"/>
  <c r="I7" i="37"/>
  <c r="I45" i="37"/>
  <c r="I29" i="37"/>
  <c r="I13" i="37"/>
  <c r="I49" i="37"/>
  <c r="I33" i="37"/>
  <c r="I17" i="37"/>
  <c r="I41" i="37"/>
  <c r="I25" i="37"/>
  <c r="I9" i="37"/>
  <c r="I53" i="37"/>
  <c r="I37" i="37"/>
  <c r="I21" i="37"/>
  <c r="K55" i="38"/>
  <c r="Q55" i="38" s="1"/>
  <c r="K53" i="38"/>
  <c r="Q53" i="38" s="1"/>
  <c r="K51" i="38"/>
  <c r="Q51" i="38" s="1"/>
  <c r="K49" i="38"/>
  <c r="Q49" i="38" s="1"/>
  <c r="K47" i="38"/>
  <c r="Q47" i="38" s="1"/>
  <c r="K45" i="38"/>
  <c r="Q45" i="38" s="1"/>
  <c r="K43" i="38"/>
  <c r="Q43" i="38" s="1"/>
  <c r="K41" i="38"/>
  <c r="Q41" i="38" s="1"/>
  <c r="K39" i="38"/>
  <c r="Q39" i="38" s="1"/>
  <c r="K37" i="38"/>
  <c r="Q37" i="38" s="1"/>
  <c r="K35" i="38"/>
  <c r="Q35" i="38" s="1"/>
  <c r="K33" i="38"/>
  <c r="Q33" i="38" s="1"/>
  <c r="K31" i="38"/>
  <c r="Q31" i="38" s="1"/>
  <c r="K29" i="38"/>
  <c r="Q29" i="38" s="1"/>
  <c r="K27" i="38"/>
  <c r="Q27" i="38" s="1"/>
  <c r="K25" i="38"/>
  <c r="Q25" i="38" s="1"/>
  <c r="K23" i="38"/>
  <c r="Q23" i="38" s="1"/>
  <c r="K21" i="38"/>
  <c r="Q21" i="38" s="1"/>
  <c r="K19" i="38"/>
  <c r="Q19" i="38" s="1"/>
  <c r="K17" i="38"/>
  <c r="Q17" i="38" s="1"/>
  <c r="K15" i="38"/>
  <c r="Q15" i="38" s="1"/>
  <c r="K13" i="38"/>
  <c r="Q13" i="38" s="1"/>
  <c r="K11" i="38"/>
  <c r="K9" i="38"/>
  <c r="K7" i="38"/>
  <c r="K42" i="38"/>
  <c r="Q42" i="38" s="1"/>
  <c r="K34" i="38"/>
  <c r="Q34" i="38" s="1"/>
  <c r="K30" i="38"/>
  <c r="Q30" i="38" s="1"/>
  <c r="K10" i="38"/>
  <c r="K52" i="38"/>
  <c r="Q52" i="38" s="1"/>
  <c r="K48" i="38"/>
  <c r="Q48" i="38" s="1"/>
  <c r="K44" i="38"/>
  <c r="Q44" i="38" s="1"/>
  <c r="K40" i="38"/>
  <c r="Q40" i="38" s="1"/>
  <c r="K36" i="38"/>
  <c r="Q36" i="38" s="1"/>
  <c r="K32" i="38"/>
  <c r="Q32" i="38" s="1"/>
  <c r="K28" i="38"/>
  <c r="Q28" i="38" s="1"/>
  <c r="K24" i="38"/>
  <c r="Q24" i="38" s="1"/>
  <c r="K20" i="38"/>
  <c r="Q20" i="38" s="1"/>
  <c r="K16" i="38"/>
  <c r="Q16" i="38" s="1"/>
  <c r="K12" i="38"/>
  <c r="K8" i="38"/>
  <c r="K54" i="38"/>
  <c r="Q54" i="38" s="1"/>
  <c r="K50" i="38"/>
  <c r="Q50" i="38" s="1"/>
  <c r="K46" i="38"/>
  <c r="Q46" i="38" s="1"/>
  <c r="K38" i="38"/>
  <c r="Q38" i="38" s="1"/>
  <c r="K26" i="38"/>
  <c r="Q26" i="38" s="1"/>
  <c r="K22" i="38"/>
  <c r="Q22" i="38" s="1"/>
  <c r="K18" i="38"/>
  <c r="Q18" i="38" s="1"/>
  <c r="K14" i="38"/>
  <c r="Q14" i="38" s="1"/>
  <c r="K6" i="38"/>
  <c r="N54" i="37"/>
  <c r="N52" i="37"/>
  <c r="N50" i="37"/>
  <c r="N48" i="37"/>
  <c r="N46" i="37"/>
  <c r="N44" i="37"/>
  <c r="N42" i="37"/>
  <c r="N40" i="37"/>
  <c r="N38" i="37"/>
  <c r="N36" i="37"/>
  <c r="N34" i="37"/>
  <c r="N32" i="37"/>
  <c r="N30" i="37"/>
  <c r="N28" i="37"/>
  <c r="N26" i="37"/>
  <c r="N24" i="37"/>
  <c r="N22" i="37"/>
  <c r="N20" i="37"/>
  <c r="N18" i="37"/>
  <c r="N16" i="37"/>
  <c r="AD16" i="37" s="1"/>
  <c r="N14" i="37"/>
  <c r="AD14" i="37" s="1"/>
  <c r="N12" i="37"/>
  <c r="AD12" i="37" s="1"/>
  <c r="N10" i="37"/>
  <c r="AD10" i="37" s="1"/>
  <c r="N8" i="37"/>
  <c r="AD8" i="37" s="1"/>
  <c r="N6" i="37"/>
  <c r="AD6" i="37" s="1"/>
  <c r="N49" i="37"/>
  <c r="N45" i="37"/>
  <c r="N41" i="37"/>
  <c r="N17" i="37"/>
  <c r="AD17" i="37" s="1"/>
  <c r="N13" i="37"/>
  <c r="AD13" i="37" s="1"/>
  <c r="N9" i="37"/>
  <c r="AD9" i="37" s="1"/>
  <c r="N55" i="37"/>
  <c r="N51" i="37"/>
  <c r="N47" i="37"/>
  <c r="N43" i="37"/>
  <c r="N39" i="37"/>
  <c r="N35" i="37"/>
  <c r="N31" i="37"/>
  <c r="N27" i="37"/>
  <c r="N23" i="37"/>
  <c r="N19" i="37"/>
  <c r="N15" i="37"/>
  <c r="AD15" i="37" s="1"/>
  <c r="N11" i="37"/>
  <c r="AD11" i="37" s="1"/>
  <c r="N7" i="37"/>
  <c r="AD7" i="37" s="1"/>
  <c r="N53" i="37"/>
  <c r="N37" i="37"/>
  <c r="N33" i="37"/>
  <c r="N29" i="37"/>
  <c r="N25" i="37"/>
  <c r="N21" i="37"/>
  <c r="M54" i="37"/>
  <c r="O54" i="37" s="1"/>
  <c r="M52" i="37"/>
  <c r="O52" i="37" s="1"/>
  <c r="M50" i="37"/>
  <c r="O50" i="37" s="1"/>
  <c r="M48" i="37"/>
  <c r="O48" i="37" s="1"/>
  <c r="M46" i="37"/>
  <c r="O46" i="37" s="1"/>
  <c r="M44" i="37"/>
  <c r="O44" i="37" s="1"/>
  <c r="M42" i="37"/>
  <c r="O42" i="37" s="1"/>
  <c r="M40" i="37"/>
  <c r="O40" i="37" s="1"/>
  <c r="M38" i="37"/>
  <c r="O38" i="37" s="1"/>
  <c r="M36" i="37"/>
  <c r="O36" i="37" s="1"/>
  <c r="M34" i="37"/>
  <c r="O34" i="37" s="1"/>
  <c r="M32" i="37"/>
  <c r="O32" i="37" s="1"/>
  <c r="M30" i="37"/>
  <c r="O30" i="37" s="1"/>
  <c r="M28" i="37"/>
  <c r="O28" i="37" s="1"/>
  <c r="M26" i="37"/>
  <c r="O26" i="37" s="1"/>
  <c r="M24" i="37"/>
  <c r="O24" i="37" s="1"/>
  <c r="M22" i="37"/>
  <c r="O22" i="37" s="1"/>
  <c r="M20" i="37"/>
  <c r="O20" i="37" s="1"/>
  <c r="M18" i="37"/>
  <c r="O18" i="37" s="1"/>
  <c r="M16" i="37"/>
  <c r="M14" i="37"/>
  <c r="M12" i="37"/>
  <c r="M10" i="37"/>
  <c r="M8" i="37"/>
  <c r="M6" i="37"/>
  <c r="M53" i="37"/>
  <c r="O53" i="37" s="1"/>
  <c r="M49" i="37"/>
  <c r="O49" i="37" s="1"/>
  <c r="M45" i="37"/>
  <c r="O45" i="37" s="1"/>
  <c r="M41" i="37"/>
  <c r="O41" i="37" s="1"/>
  <c r="M37" i="37"/>
  <c r="O37" i="37" s="1"/>
  <c r="M33" i="37"/>
  <c r="O33" i="37" s="1"/>
  <c r="M29" i="37"/>
  <c r="O29" i="37" s="1"/>
  <c r="M25" i="37"/>
  <c r="O25" i="37" s="1"/>
  <c r="M21" i="37"/>
  <c r="O21" i="37" s="1"/>
  <c r="M17" i="37"/>
  <c r="M13" i="37"/>
  <c r="M9" i="37"/>
  <c r="M55" i="37"/>
  <c r="O55" i="37" s="1"/>
  <c r="M39" i="37"/>
  <c r="O39" i="37" s="1"/>
  <c r="M23" i="37"/>
  <c r="O23" i="37" s="1"/>
  <c r="M7" i="37"/>
  <c r="M51" i="37"/>
  <c r="O51" i="37" s="1"/>
  <c r="M35" i="37"/>
  <c r="O35" i="37" s="1"/>
  <c r="M19" i="37"/>
  <c r="O19" i="37" s="1"/>
  <c r="M47" i="37"/>
  <c r="O47" i="37" s="1"/>
  <c r="M31" i="37"/>
  <c r="O31" i="37" s="1"/>
  <c r="M15" i="37"/>
  <c r="M43" i="37"/>
  <c r="O43" i="37" s="1"/>
  <c r="M27" i="37"/>
  <c r="O27" i="37" s="1"/>
  <c r="M11" i="37"/>
  <c r="P15" i="36"/>
  <c r="P9" i="36"/>
  <c r="P7" i="36"/>
  <c r="P39" i="36"/>
  <c r="P37" i="36"/>
  <c r="P22" i="36"/>
  <c r="P51" i="36"/>
  <c r="P23" i="36"/>
  <c r="P55" i="36"/>
  <c r="P34" i="36"/>
  <c r="P12" i="36"/>
  <c r="P28" i="36"/>
  <c r="P13" i="36"/>
  <c r="P29" i="36"/>
  <c r="P45" i="36"/>
  <c r="P36" i="36"/>
  <c r="P35" i="36"/>
  <c r="L55" i="37"/>
  <c r="L53" i="37"/>
  <c r="L51" i="37"/>
  <c r="L49" i="37"/>
  <c r="L47" i="37"/>
  <c r="L45" i="37"/>
  <c r="L43" i="37"/>
  <c r="L41" i="37"/>
  <c r="L39" i="37"/>
  <c r="L37" i="37"/>
  <c r="L35" i="37"/>
  <c r="L33" i="37"/>
  <c r="L31" i="37"/>
  <c r="L29" i="37"/>
  <c r="L27" i="37"/>
  <c r="L25" i="37"/>
  <c r="L23" i="37"/>
  <c r="L21" i="37"/>
  <c r="L19" i="37"/>
  <c r="L17" i="37"/>
  <c r="L15" i="37"/>
  <c r="L13" i="37"/>
  <c r="L11" i="37"/>
  <c r="L9" i="37"/>
  <c r="L7" i="37"/>
  <c r="L6" i="37"/>
  <c r="L52" i="37"/>
  <c r="L32" i="37"/>
  <c r="L28" i="37"/>
  <c r="L24" i="37"/>
  <c r="L20" i="37"/>
  <c r="L54" i="37"/>
  <c r="L50" i="37"/>
  <c r="L46" i="37"/>
  <c r="L42" i="37"/>
  <c r="L38" i="37"/>
  <c r="L34" i="37"/>
  <c r="L30" i="37"/>
  <c r="L26" i="37"/>
  <c r="L22" i="37"/>
  <c r="L18" i="37"/>
  <c r="L14" i="37"/>
  <c r="L10" i="37"/>
  <c r="L48" i="37"/>
  <c r="L44" i="37"/>
  <c r="L40" i="37"/>
  <c r="L36" i="37"/>
  <c r="L16" i="37"/>
  <c r="L12" i="37"/>
  <c r="L8" i="37"/>
  <c r="P44" i="36"/>
  <c r="P43" i="36"/>
  <c r="J54" i="37"/>
  <c r="J52" i="37"/>
  <c r="J50" i="37"/>
  <c r="J48" i="37"/>
  <c r="J46" i="37"/>
  <c r="J44" i="37"/>
  <c r="J42" i="37"/>
  <c r="J40" i="37"/>
  <c r="J38" i="37"/>
  <c r="J36" i="37"/>
  <c r="J34" i="37"/>
  <c r="J32" i="37"/>
  <c r="J30" i="37"/>
  <c r="J28" i="37"/>
  <c r="J26" i="37"/>
  <c r="J24" i="37"/>
  <c r="J22" i="37"/>
  <c r="J20" i="37"/>
  <c r="J18" i="37"/>
  <c r="J16" i="37"/>
  <c r="J14" i="37"/>
  <c r="J12" i="37"/>
  <c r="J10" i="37"/>
  <c r="J8" i="37"/>
  <c r="J55" i="37"/>
  <c r="J47" i="37"/>
  <c r="J43" i="37"/>
  <c r="J39" i="37"/>
  <c r="J35" i="37"/>
  <c r="J27" i="37"/>
  <c r="J23" i="37"/>
  <c r="J53" i="37"/>
  <c r="J49" i="37"/>
  <c r="J45" i="37"/>
  <c r="J41" i="37"/>
  <c r="J37" i="37"/>
  <c r="J33" i="37"/>
  <c r="J29" i="37"/>
  <c r="J25" i="37"/>
  <c r="J21" i="37"/>
  <c r="J17" i="37"/>
  <c r="J13" i="37"/>
  <c r="J9" i="37"/>
  <c r="J6" i="37"/>
  <c r="J51" i="37"/>
  <c r="J31" i="37"/>
  <c r="J19" i="37"/>
  <c r="J15" i="37"/>
  <c r="J11" i="37"/>
  <c r="J7" i="37"/>
  <c r="P25" i="36"/>
  <c r="P41" i="36"/>
  <c r="P20" i="36"/>
  <c r="P21" i="36"/>
  <c r="P53" i="36"/>
  <c r="P54" i="36"/>
  <c r="P27" i="36"/>
  <c r="P10" i="36"/>
  <c r="P42" i="36"/>
  <c r="P16" i="36"/>
  <c r="P32" i="36"/>
  <c r="P48" i="36"/>
  <c r="P17" i="36"/>
  <c r="P33" i="36"/>
  <c r="P49" i="36"/>
  <c r="C31" i="7"/>
  <c r="C13" i="1"/>
  <c r="C49" i="1"/>
  <c r="C25" i="1"/>
  <c r="C27" i="1" s="1"/>
  <c r="C27" i="19"/>
  <c r="C19" i="1"/>
  <c r="C15" i="17"/>
  <c r="C37" i="1"/>
  <c r="C33" i="1" s="1"/>
  <c r="C33" i="17"/>
  <c r="C33" i="19"/>
  <c r="C43" i="1"/>
  <c r="C39" i="17"/>
  <c r="C39" i="19"/>
  <c r="C69" i="19"/>
  <c r="C69" i="17"/>
  <c r="C55" i="1"/>
  <c r="C69" i="1" s="1"/>
  <c r="C63" i="1" s="1"/>
  <c r="C59" i="1" s="1"/>
  <c r="H62" i="2"/>
  <c r="H65" i="2"/>
  <c r="H64" i="2"/>
  <c r="H63" i="2"/>
  <c r="C25" i="7" s="1"/>
  <c r="H66" i="2"/>
  <c r="C37" i="7" s="1"/>
  <c r="H67" i="2"/>
  <c r="H61" i="2"/>
  <c r="O9" i="37" l="1"/>
  <c r="P36" i="37"/>
  <c r="P20" i="37"/>
  <c r="P52" i="37"/>
  <c r="P46" i="37"/>
  <c r="C15" i="1"/>
  <c r="O12" i="37"/>
  <c r="O6" i="37"/>
  <c r="O14" i="37"/>
  <c r="O7" i="37"/>
  <c r="P37" i="37"/>
  <c r="P53" i="37"/>
  <c r="P42" i="37"/>
  <c r="O11" i="37"/>
  <c r="P18" i="37"/>
  <c r="P50" i="37"/>
  <c r="P23" i="37"/>
  <c r="P55" i="37"/>
  <c r="O13" i="37"/>
  <c r="P14" i="37"/>
  <c r="P10" i="37"/>
  <c r="O15" i="37"/>
  <c r="O17" i="37"/>
  <c r="O10" i="37"/>
  <c r="P12" i="37"/>
  <c r="P44" i="37"/>
  <c r="P7" i="37"/>
  <c r="P15" i="37"/>
  <c r="P47" i="37"/>
  <c r="O8" i="37"/>
  <c r="O16" i="37"/>
  <c r="P32" i="37"/>
  <c r="P31" i="37"/>
  <c r="P40" i="37"/>
  <c r="P39" i="37"/>
  <c r="P28" i="37"/>
  <c r="P27" i="37"/>
  <c r="C49" i="7"/>
  <c r="I54" i="38"/>
  <c r="I52" i="38"/>
  <c r="I50" i="38"/>
  <c r="I48" i="38"/>
  <c r="I46" i="38"/>
  <c r="I44" i="38"/>
  <c r="I42" i="38"/>
  <c r="I40" i="38"/>
  <c r="I38" i="38"/>
  <c r="I36" i="38"/>
  <c r="I34" i="38"/>
  <c r="I32" i="38"/>
  <c r="I30" i="38"/>
  <c r="I28" i="38"/>
  <c r="I26" i="38"/>
  <c r="I24" i="38"/>
  <c r="I22" i="38"/>
  <c r="I20" i="38"/>
  <c r="I18" i="38"/>
  <c r="I16" i="38"/>
  <c r="I14" i="38"/>
  <c r="I12" i="38"/>
  <c r="I10" i="38"/>
  <c r="I8" i="38"/>
  <c r="I6" i="38"/>
  <c r="I53" i="38"/>
  <c r="I49" i="38"/>
  <c r="I45" i="38"/>
  <c r="I37" i="38"/>
  <c r="I33" i="38"/>
  <c r="I25" i="38"/>
  <c r="I21" i="38"/>
  <c r="I17" i="38"/>
  <c r="I13" i="38"/>
  <c r="I55" i="38"/>
  <c r="I51" i="38"/>
  <c r="I47" i="38"/>
  <c r="I43" i="38"/>
  <c r="I39" i="38"/>
  <c r="I35" i="38"/>
  <c r="I31" i="38"/>
  <c r="I27" i="38"/>
  <c r="I23" i="38"/>
  <c r="I19" i="38"/>
  <c r="I15" i="38"/>
  <c r="I11" i="38"/>
  <c r="I7" i="38"/>
  <c r="I41" i="38"/>
  <c r="I29" i="38"/>
  <c r="I9" i="38"/>
  <c r="C43" i="7"/>
  <c r="C39" i="7" s="1"/>
  <c r="J54" i="38"/>
  <c r="J52" i="38"/>
  <c r="J50" i="38"/>
  <c r="J48" i="38"/>
  <c r="J46" i="38"/>
  <c r="J44" i="38"/>
  <c r="J42" i="38"/>
  <c r="J40" i="38"/>
  <c r="J38" i="38"/>
  <c r="J36" i="38"/>
  <c r="J34" i="38"/>
  <c r="J32" i="38"/>
  <c r="J30" i="38"/>
  <c r="J28" i="38"/>
  <c r="J26" i="38"/>
  <c r="J24" i="38"/>
  <c r="J22" i="38"/>
  <c r="J20" i="38"/>
  <c r="J18" i="38"/>
  <c r="J16" i="38"/>
  <c r="J14" i="38"/>
  <c r="J12" i="38"/>
  <c r="J10" i="38"/>
  <c r="J8" i="38"/>
  <c r="J6" i="38"/>
  <c r="J55" i="38"/>
  <c r="J51" i="38"/>
  <c r="J47" i="38"/>
  <c r="J43" i="38"/>
  <c r="J39" i="38"/>
  <c r="J35" i="38"/>
  <c r="J31" i="38"/>
  <c r="J27" i="38"/>
  <c r="J23" i="38"/>
  <c r="J19" i="38"/>
  <c r="J15" i="38"/>
  <c r="J11" i="38"/>
  <c r="J7" i="38"/>
  <c r="J53" i="38"/>
  <c r="J37" i="38"/>
  <c r="J21" i="38"/>
  <c r="J41" i="38"/>
  <c r="J49" i="38"/>
  <c r="J33" i="38"/>
  <c r="J17" i="38"/>
  <c r="J45" i="38"/>
  <c r="J29" i="38"/>
  <c r="J13" i="38"/>
  <c r="J25" i="38"/>
  <c r="J9" i="38"/>
  <c r="P26" i="37"/>
  <c r="P25" i="37"/>
  <c r="P34" i="37"/>
  <c r="P33" i="37"/>
  <c r="P13" i="37"/>
  <c r="P19" i="37"/>
  <c r="P35" i="37"/>
  <c r="P43" i="37"/>
  <c r="P16" i="37"/>
  <c r="P48" i="37"/>
  <c r="P38" i="37"/>
  <c r="P54" i="37"/>
  <c r="P9" i="37"/>
  <c r="P17" i="37"/>
  <c r="P41" i="37"/>
  <c r="P49" i="37"/>
  <c r="C13" i="7"/>
  <c r="M54" i="38"/>
  <c r="O54" i="38" s="1"/>
  <c r="M52" i="38"/>
  <c r="O52" i="38" s="1"/>
  <c r="M50" i="38"/>
  <c r="O50" i="38" s="1"/>
  <c r="M48" i="38"/>
  <c r="O48" i="38" s="1"/>
  <c r="M46" i="38"/>
  <c r="O46" i="38" s="1"/>
  <c r="M44" i="38"/>
  <c r="O44" i="38" s="1"/>
  <c r="M42" i="38"/>
  <c r="O42" i="38" s="1"/>
  <c r="M40" i="38"/>
  <c r="O40" i="38" s="1"/>
  <c r="M38" i="38"/>
  <c r="O38" i="38" s="1"/>
  <c r="M36" i="38"/>
  <c r="O36" i="38" s="1"/>
  <c r="M34" i="38"/>
  <c r="O34" i="38" s="1"/>
  <c r="M32" i="38"/>
  <c r="O32" i="38" s="1"/>
  <c r="M30" i="38"/>
  <c r="O30" i="38" s="1"/>
  <c r="M28" i="38"/>
  <c r="O28" i="38" s="1"/>
  <c r="M26" i="38"/>
  <c r="O26" i="38" s="1"/>
  <c r="M24" i="38"/>
  <c r="O24" i="38" s="1"/>
  <c r="M22" i="38"/>
  <c r="M20" i="38"/>
  <c r="M18" i="38"/>
  <c r="M16" i="38"/>
  <c r="M14" i="38"/>
  <c r="M12" i="38"/>
  <c r="M10" i="38"/>
  <c r="M8" i="38"/>
  <c r="M6" i="38"/>
  <c r="M55" i="38"/>
  <c r="O55" i="38" s="1"/>
  <c r="M47" i="38"/>
  <c r="O47" i="38" s="1"/>
  <c r="M39" i="38"/>
  <c r="O39" i="38" s="1"/>
  <c r="M27" i="38"/>
  <c r="O27" i="38" s="1"/>
  <c r="M23" i="38"/>
  <c r="O23" i="38" s="1"/>
  <c r="M19" i="38"/>
  <c r="M15" i="38"/>
  <c r="M7" i="38"/>
  <c r="M53" i="38"/>
  <c r="O53" i="38" s="1"/>
  <c r="M49" i="38"/>
  <c r="O49" i="38" s="1"/>
  <c r="M45" i="38"/>
  <c r="O45" i="38" s="1"/>
  <c r="M41" i="38"/>
  <c r="O41" i="38" s="1"/>
  <c r="M37" i="38"/>
  <c r="O37" i="38" s="1"/>
  <c r="M33" i="38"/>
  <c r="O33" i="38" s="1"/>
  <c r="M29" i="38"/>
  <c r="O29" i="38" s="1"/>
  <c r="M25" i="38"/>
  <c r="O25" i="38" s="1"/>
  <c r="M21" i="38"/>
  <c r="M17" i="38"/>
  <c r="M13" i="38"/>
  <c r="M9" i="38"/>
  <c r="M51" i="38"/>
  <c r="O51" i="38" s="1"/>
  <c r="M43" i="38"/>
  <c r="O43" i="38" s="1"/>
  <c r="M35" i="38"/>
  <c r="O35" i="38" s="1"/>
  <c r="M31" i="38"/>
  <c r="O31" i="38" s="1"/>
  <c r="M11" i="38"/>
  <c r="C55" i="7"/>
  <c r="C69" i="7" s="1"/>
  <c r="C77" i="7" s="1"/>
  <c r="C81" i="7" s="1"/>
  <c r="N54" i="38"/>
  <c r="N52" i="38"/>
  <c r="N50" i="38"/>
  <c r="N48" i="38"/>
  <c r="N46" i="38"/>
  <c r="N44" i="38"/>
  <c r="N42" i="38"/>
  <c r="N40" i="38"/>
  <c r="N38" i="38"/>
  <c r="N36" i="38"/>
  <c r="N34" i="38"/>
  <c r="N32" i="38"/>
  <c r="N30" i="38"/>
  <c r="N28" i="38"/>
  <c r="N26" i="38"/>
  <c r="N24" i="38"/>
  <c r="N22" i="38"/>
  <c r="AD22" i="38" s="1"/>
  <c r="N20" i="38"/>
  <c r="AD20" i="38" s="1"/>
  <c r="N18" i="38"/>
  <c r="AD18" i="38" s="1"/>
  <c r="N16" i="38"/>
  <c r="AD16" i="38" s="1"/>
  <c r="N14" i="38"/>
  <c r="AD14" i="38" s="1"/>
  <c r="N12" i="38"/>
  <c r="AD12" i="38" s="1"/>
  <c r="N10" i="38"/>
  <c r="AD10" i="38" s="1"/>
  <c r="N8" i="38"/>
  <c r="AD8" i="38" s="1"/>
  <c r="N6" i="38"/>
  <c r="AD6" i="38" s="1"/>
  <c r="N53" i="38"/>
  <c r="N49" i="38"/>
  <c r="N45" i="38"/>
  <c r="N41" i="38"/>
  <c r="N37" i="38"/>
  <c r="N33" i="38"/>
  <c r="N29" i="38"/>
  <c r="N25" i="38"/>
  <c r="N21" i="38"/>
  <c r="AD21" i="38" s="1"/>
  <c r="N17" i="38"/>
  <c r="AD17" i="38" s="1"/>
  <c r="N13" i="38"/>
  <c r="AD13" i="38" s="1"/>
  <c r="N9" i="38"/>
  <c r="AD9" i="38" s="1"/>
  <c r="N47" i="38"/>
  <c r="N31" i="38"/>
  <c r="N15" i="38"/>
  <c r="AD15" i="38" s="1"/>
  <c r="N51" i="38"/>
  <c r="N43" i="38"/>
  <c r="N27" i="38"/>
  <c r="N11" i="38"/>
  <c r="AD11" i="38" s="1"/>
  <c r="N55" i="38"/>
  <c r="N39" i="38"/>
  <c r="N23" i="38"/>
  <c r="N7" i="38"/>
  <c r="AD7" i="38" s="1"/>
  <c r="N35" i="38"/>
  <c r="N19" i="38"/>
  <c r="AD19" i="38" s="1"/>
  <c r="P22" i="37"/>
  <c r="P21" i="37"/>
  <c r="P30" i="37"/>
  <c r="P29" i="37"/>
  <c r="C19" i="7"/>
  <c r="C21" i="7" s="1"/>
  <c r="L55" i="38"/>
  <c r="L53" i="38"/>
  <c r="L51" i="38"/>
  <c r="L49" i="38"/>
  <c r="L47" i="38"/>
  <c r="L45" i="38"/>
  <c r="L43" i="38"/>
  <c r="L41" i="38"/>
  <c r="L39" i="38"/>
  <c r="L37" i="38"/>
  <c r="L35" i="38"/>
  <c r="L33" i="38"/>
  <c r="L31" i="38"/>
  <c r="L29" i="38"/>
  <c r="L27" i="38"/>
  <c r="L25" i="38"/>
  <c r="L23" i="38"/>
  <c r="L21" i="38"/>
  <c r="L19" i="38"/>
  <c r="L17" i="38"/>
  <c r="L15" i="38"/>
  <c r="L13" i="38"/>
  <c r="L11" i="38"/>
  <c r="L9" i="38"/>
  <c r="L7" i="38"/>
  <c r="L52" i="38"/>
  <c r="L48" i="38"/>
  <c r="L44" i="38"/>
  <c r="L40" i="38"/>
  <c r="L36" i="38"/>
  <c r="L32" i="38"/>
  <c r="L28" i="38"/>
  <c r="L24" i="38"/>
  <c r="L20" i="38"/>
  <c r="L16" i="38"/>
  <c r="L12" i="38"/>
  <c r="L8" i="38"/>
  <c r="L42" i="38"/>
  <c r="L26" i="38"/>
  <c r="L10" i="38"/>
  <c r="L30" i="38"/>
  <c r="L14" i="38"/>
  <c r="L54" i="38"/>
  <c r="L38" i="38"/>
  <c r="L22" i="38"/>
  <c r="L6" i="38"/>
  <c r="L50" i="38"/>
  <c r="L34" i="38"/>
  <c r="L18" i="38"/>
  <c r="L46" i="38"/>
  <c r="P8" i="37"/>
  <c r="P24" i="37"/>
  <c r="P45" i="37"/>
  <c r="P11" i="37"/>
  <c r="P51" i="37"/>
  <c r="C33" i="7"/>
  <c r="C39" i="1"/>
  <c r="C45" i="1"/>
  <c r="C45" i="19"/>
  <c r="C63" i="17"/>
  <c r="C59" i="17" s="1"/>
  <c r="C77" i="17"/>
  <c r="C81" i="17" s="1"/>
  <c r="C15" i="19"/>
  <c r="C21" i="17"/>
  <c r="C27" i="17"/>
  <c r="C27" i="7"/>
  <c r="C21" i="1"/>
  <c r="C77" i="19"/>
  <c r="C81" i="19" s="1"/>
  <c r="C63" i="19"/>
  <c r="C59" i="19" s="1"/>
  <c r="C21" i="19"/>
  <c r="C45" i="17"/>
  <c r="C77" i="1"/>
  <c r="C81" i="1" s="1"/>
  <c r="O7" i="38" l="1"/>
  <c r="O22" i="38"/>
  <c r="O21" i="38"/>
  <c r="P34" i="38"/>
  <c r="O13" i="38"/>
  <c r="O17" i="38"/>
  <c r="O19" i="38"/>
  <c r="P40" i="38"/>
  <c r="P24" i="38"/>
  <c r="P35" i="38"/>
  <c r="C63" i="7"/>
  <c r="C59" i="7" s="1"/>
  <c r="O18" i="38"/>
  <c r="O20" i="38"/>
  <c r="O15" i="38"/>
  <c r="P32" i="38"/>
  <c r="P19" i="38"/>
  <c r="O14" i="38"/>
  <c r="P48" i="38"/>
  <c r="O6" i="38"/>
  <c r="C15" i="7"/>
  <c r="O8" i="38"/>
  <c r="O16" i="38"/>
  <c r="P11" i="38"/>
  <c r="P38" i="38"/>
  <c r="P10" i="38"/>
  <c r="P9" i="38"/>
  <c r="P25" i="38"/>
  <c r="P41" i="38"/>
  <c r="O11" i="38"/>
  <c r="O12" i="38"/>
  <c r="C45" i="7"/>
  <c r="O9" i="38"/>
  <c r="P8" i="38"/>
  <c r="O10" i="38"/>
  <c r="P51" i="38"/>
  <c r="P50" i="38"/>
  <c r="P27" i="38"/>
  <c r="P26" i="38"/>
  <c r="P17" i="38"/>
  <c r="P16" i="38"/>
  <c r="P23" i="38"/>
  <c r="P22" i="38"/>
  <c r="P47" i="38"/>
  <c r="P46" i="38"/>
  <c r="P15" i="38"/>
  <c r="P14" i="38"/>
  <c r="P43" i="38"/>
  <c r="P42" i="38"/>
  <c r="P12" i="38"/>
  <c r="P39" i="38"/>
  <c r="P20" i="38"/>
  <c r="P36" i="38"/>
  <c r="P52" i="38"/>
  <c r="P13" i="38"/>
  <c r="P21" i="38"/>
  <c r="P29" i="38"/>
  <c r="P37" i="38"/>
  <c r="P45" i="38"/>
  <c r="P53" i="38"/>
  <c r="P55" i="38"/>
  <c r="P54" i="38"/>
  <c r="P31" i="38"/>
  <c r="P30" i="38"/>
  <c r="P28" i="38"/>
  <c r="P44" i="38"/>
  <c r="P33" i="38"/>
  <c r="P49" i="38"/>
  <c r="P18" i="38"/>
  <c r="P7" i="38"/>
  <c r="I9" i="2" l="1"/>
  <c r="I13" i="2"/>
  <c r="I17" i="2"/>
  <c r="I21" i="2"/>
  <c r="I25" i="2"/>
  <c r="I10" i="2"/>
  <c r="I14" i="2"/>
  <c r="I18" i="2"/>
  <c r="I22" i="2"/>
  <c r="I26" i="2"/>
  <c r="I11" i="2"/>
  <c r="I15" i="2"/>
  <c r="I19" i="2"/>
  <c r="I23" i="2"/>
  <c r="I27" i="2"/>
  <c r="I12" i="2"/>
  <c r="I16" i="2"/>
  <c r="I20" i="2"/>
  <c r="I24" i="2"/>
  <c r="I8" i="2"/>
  <c r="I60" i="2" l="1"/>
  <c r="I58" i="2"/>
  <c r="I59" i="2"/>
  <c r="I61" i="2" l="1"/>
  <c r="I68" i="2"/>
  <c r="C55" i="52" s="1"/>
  <c r="C69" i="52" s="1"/>
  <c r="I64" i="2"/>
  <c r="C13" i="52" s="1"/>
  <c r="C31" i="52"/>
  <c r="I62" i="2"/>
  <c r="C19" i="52" s="1"/>
  <c r="I65" i="2"/>
  <c r="C43" i="52" s="1"/>
  <c r="I66" i="2"/>
  <c r="C37" i="52" s="1"/>
  <c r="I63" i="2"/>
  <c r="C25" i="52" s="1"/>
  <c r="I67" i="2"/>
  <c r="C49" i="52" s="1"/>
  <c r="C45" i="52" l="1"/>
  <c r="C15" i="52"/>
  <c r="C21" i="52"/>
  <c r="C27" i="52"/>
  <c r="C33" i="52"/>
  <c r="C39" i="52"/>
  <c r="C63" i="52"/>
  <c r="C59" i="52" s="1"/>
  <c r="C77" i="52"/>
  <c r="C81" i="52" s="1"/>
  <c r="BD45" i="6"/>
  <c r="BC45" i="6" s="1"/>
  <c r="BD41" i="6"/>
  <c r="BC41" i="6" s="1"/>
  <c r="BD49" i="6"/>
  <c r="BC49" i="6" s="1"/>
  <c r="BD47" i="6"/>
  <c r="BC47" i="6" s="1"/>
  <c r="BD46" i="6"/>
  <c r="BC46" i="6" s="1"/>
  <c r="BD43" i="6"/>
  <c r="BC43" i="6" s="1"/>
  <c r="BD44" i="6"/>
  <c r="BC44" i="6" s="1"/>
  <c r="BD42" i="6"/>
  <c r="BC42" i="6" s="1"/>
  <c r="BD40" i="6"/>
  <c r="BC40" i="6" s="1"/>
  <c r="BE95" i="6" l="1"/>
  <c r="BE97" i="6" s="1"/>
  <c r="BC33" i="6" s="1"/>
  <c r="BE94" i="6"/>
  <c r="BE96" i="6" s="1"/>
  <c r="BC32" i="6" l="1"/>
  <c r="BC29" i="6"/>
  <c r="BC31" i="6" s="1"/>
</calcChain>
</file>

<file path=xl/sharedStrings.xml><?xml version="1.0" encoding="utf-8"?>
<sst xmlns="http://schemas.openxmlformats.org/spreadsheetml/2006/main" count="1468" uniqueCount="316">
  <si>
    <t>Date</t>
  </si>
  <si>
    <t>Analyst</t>
  </si>
  <si>
    <t>x1</t>
  </si>
  <si>
    <t>x2</t>
  </si>
  <si>
    <t>(x1+x2)/2=X</t>
  </si>
  <si>
    <t>Ix1-x2I=R</t>
  </si>
  <si>
    <t>X</t>
  </si>
  <si>
    <t>Range</t>
  </si>
  <si>
    <t>KEY:</t>
  </si>
  <si>
    <t>Control Value</t>
  </si>
  <si>
    <t>Warning Limit</t>
  </si>
  <si>
    <t>Action Limit</t>
  </si>
  <si>
    <t>Control Chart Construction</t>
  </si>
  <si>
    <t>Test Number</t>
  </si>
  <si>
    <t>Calorific Value (MJ/kg)</t>
  </si>
  <si>
    <t>When Control Chart is Finished</t>
  </si>
  <si>
    <t>Mean</t>
  </si>
  <si>
    <t>Median</t>
  </si>
  <si>
    <t>RSD</t>
  </si>
  <si>
    <t>Range Limit</t>
  </si>
  <si>
    <t>ENTER RESULTS IN YELLOW FIELD</t>
  </si>
  <si>
    <t>Control ID:</t>
  </si>
  <si>
    <t>Result</t>
  </si>
  <si>
    <t>Std dev.</t>
  </si>
  <si>
    <t>Control Chart Criteria</t>
  </si>
  <si>
    <t>Rule</t>
  </si>
  <si>
    <t>Criteria</t>
  </si>
  <si>
    <t>When Applied</t>
  </si>
  <si>
    <t>Single Point Out &gt;+3s or &lt;-3s</t>
  </si>
  <si>
    <t>Each point</t>
  </si>
  <si>
    <t>At least 2 out of 3 consecutive results on same side of +2s or -2s</t>
  </si>
  <si>
    <t>2-3 points</t>
  </si>
  <si>
    <t>When 8 consectutive results are on the same side of the mean value (x)</t>
  </si>
  <si>
    <t>8 points</t>
  </si>
  <si>
    <t>When 6 consecutive results display either an increasing on decreasing trend</t>
  </si>
  <si>
    <t>6 points</t>
  </si>
  <si>
    <t>When there is an increasing or decreasing trend in small waves after ten results</t>
  </si>
  <si>
    <t>10 points</t>
  </si>
  <si>
    <t>NOTE</t>
  </si>
  <si>
    <t>A duplicate CRM control only passes when the repeatability limit is met and the average of the two results does not fail the above rules</t>
  </si>
  <si>
    <t>Graph 1</t>
  </si>
  <si>
    <t>Graph 2</t>
  </si>
  <si>
    <t>Graph 3</t>
  </si>
  <si>
    <t>Graph 4</t>
  </si>
  <si>
    <t>x</t>
  </si>
  <si>
    <t>-3s</t>
  </si>
  <si>
    <t>-2s</t>
  </si>
  <si>
    <t>+2s</t>
  </si>
  <si>
    <t>+3s</t>
  </si>
  <si>
    <t>Results</t>
  </si>
  <si>
    <t>n</t>
  </si>
  <si>
    <t>Parameter</t>
  </si>
  <si>
    <t>Min</t>
  </si>
  <si>
    <t>Max</t>
  </si>
  <si>
    <t>Qcalc</t>
  </si>
  <si>
    <t>Calorific Value</t>
  </si>
  <si>
    <t>Outliers</t>
  </si>
  <si>
    <t>Volatile Matter</t>
  </si>
  <si>
    <t>ISO Ash</t>
  </si>
  <si>
    <t>Total Sulphur</t>
  </si>
  <si>
    <t>MIAS</t>
  </si>
  <si>
    <t>Rank</t>
  </si>
  <si>
    <t>Highest Rank</t>
  </si>
  <si>
    <t>Lowest Rank</t>
  </si>
  <si>
    <t>Tiebreak Result</t>
  </si>
  <si>
    <r>
      <t>Q</t>
    </r>
    <r>
      <rPr>
        <b/>
        <vertAlign val="subscript"/>
        <sz val="10"/>
        <rFont val="Arial"/>
        <family val="2"/>
      </rPr>
      <t>calc</t>
    </r>
    <r>
      <rPr>
        <b/>
        <sz val="10"/>
        <rFont val="Arial"/>
        <family val="2"/>
      </rPr>
      <t xml:space="preserve"> (Max+1)</t>
    </r>
  </si>
  <si>
    <r>
      <t>Q</t>
    </r>
    <r>
      <rPr>
        <b/>
        <vertAlign val="subscript"/>
        <sz val="10"/>
        <rFont val="Arial"/>
        <family val="2"/>
      </rPr>
      <t>calc</t>
    </r>
    <r>
      <rPr>
        <b/>
        <sz val="10"/>
        <rFont val="Arial"/>
        <family val="2"/>
      </rPr>
      <t xml:space="preserve"> (Min-1)</t>
    </r>
  </si>
  <si>
    <t>Reproducibility Limit</t>
  </si>
  <si>
    <t>Reproducibility</t>
  </si>
  <si>
    <t>Quick Ash</t>
  </si>
  <si>
    <t>No Standard Limits</t>
  </si>
  <si>
    <t>MIAS %</t>
  </si>
  <si>
    <t>ISO Ash (%)</t>
  </si>
  <si>
    <t>Quick Ash (%)</t>
  </si>
  <si>
    <t>Dixon Q Test at 95% Confidence Limit</t>
  </si>
  <si>
    <t>Function</t>
  </si>
  <si>
    <t>Test</t>
  </si>
  <si>
    <t>Qcrit (95% CL)</t>
  </si>
  <si>
    <t>Reproducibility Limit of method</t>
  </si>
  <si>
    <r>
      <t>Q</t>
    </r>
    <r>
      <rPr>
        <vertAlign val="subscript"/>
        <sz val="12"/>
        <rFont val="Arial"/>
        <family val="2"/>
      </rPr>
      <t>calc</t>
    </r>
    <r>
      <rPr>
        <sz val="12"/>
        <rFont val="Arial"/>
        <family val="2"/>
      </rPr>
      <t xml:space="preserve"> &lt; Q</t>
    </r>
    <r>
      <rPr>
        <vertAlign val="subscript"/>
        <sz val="12"/>
        <rFont val="Arial"/>
        <family val="2"/>
      </rPr>
      <t>crit</t>
    </r>
    <r>
      <rPr>
        <sz val="12"/>
        <rFont val="Arial"/>
        <family val="2"/>
      </rPr>
      <t xml:space="preserve"> (95% CL)</t>
    </r>
  </si>
  <si>
    <r>
      <t>r</t>
    </r>
    <r>
      <rPr>
        <vertAlign val="subscript"/>
        <sz val="12"/>
        <rFont val="Arial"/>
        <family val="2"/>
      </rPr>
      <t>actual</t>
    </r>
    <r>
      <rPr>
        <sz val="12"/>
        <rFont val="Arial"/>
        <family val="2"/>
      </rPr>
      <t xml:space="preserve"> &lt; r</t>
    </r>
    <r>
      <rPr>
        <vertAlign val="subscript"/>
        <sz val="12"/>
        <rFont val="Arial"/>
        <family val="2"/>
      </rPr>
      <t>method</t>
    </r>
  </si>
  <si>
    <t>Statistical Evaluation of Results</t>
  </si>
  <si>
    <t>N/A</t>
  </si>
  <si>
    <t>Reproducibility (r)</t>
  </si>
  <si>
    <t>Number</t>
  </si>
  <si>
    <t>CONTROL CHART</t>
  </si>
  <si>
    <t xml:space="preserve"> Furnace No :   </t>
  </si>
  <si>
    <r>
      <t xml:space="preserve">Period           /       /           to          /       /          </t>
    </r>
    <r>
      <rPr>
        <b/>
        <u/>
        <sz val="36"/>
        <rFont val="Arial"/>
        <family val="2"/>
      </rPr>
      <t xml:space="preserve">                            </t>
    </r>
  </si>
  <si>
    <t>Repeatability Range = R</t>
  </si>
  <si>
    <t xml:space="preserve">                                                    </t>
  </si>
  <si>
    <r>
      <rPr>
        <b/>
        <sz val="24"/>
        <color theme="1"/>
        <rFont val="MS Reference Sans Serif"/>
        <family val="2"/>
      </rPr>
      <t></t>
    </r>
    <r>
      <rPr>
        <b/>
        <sz val="24"/>
        <color theme="1"/>
        <rFont val="MS Sans Serif"/>
        <family val="2"/>
      </rPr>
      <t xml:space="preserve"> </t>
    </r>
  </si>
  <si>
    <r>
      <t xml:space="preserve">Assigned Value (Average) = </t>
    </r>
    <r>
      <rPr>
        <sz val="22"/>
        <rFont val="MS Reference Sans Serif"/>
        <family val="2"/>
      </rPr>
      <t></t>
    </r>
  </si>
  <si>
    <t>Control Sample No :</t>
  </si>
  <si>
    <t xml:space="preserve">Instrument No :   </t>
  </si>
  <si>
    <t>Upper warning limit (+2s)</t>
  </si>
  <si>
    <t>(+1s)</t>
  </si>
  <si>
    <t>Upper action limit (+3s)</t>
  </si>
  <si>
    <t>Lower warning limit (-2s)</t>
  </si>
  <si>
    <t>(-1s)</t>
  </si>
  <si>
    <t>Lower action limit (-3s)</t>
  </si>
  <si>
    <t xml:space="preserve">Volatile Matter % </t>
  </si>
  <si>
    <t xml:space="preserve">Oven No :   </t>
  </si>
  <si>
    <t>Ensure to complete the conditioning log book and the CRM control log book</t>
  </si>
  <si>
    <t>Key</t>
  </si>
  <si>
    <t xml:space="preserve">CRM033 </t>
  </si>
  <si>
    <t>Is the batch number</t>
  </si>
  <si>
    <t>Opened</t>
  </si>
  <si>
    <t>(1)</t>
  </si>
  <si>
    <t>Is the date opened</t>
  </si>
  <si>
    <t>Conditioned</t>
  </si>
  <si>
    <t>Is a unique number for the bottle. Each number within the batch will have a different number and be recorded in the CRM control log book</t>
  </si>
  <si>
    <t>Is the date conditioned and shall be the date of opening</t>
  </si>
  <si>
    <t>Expiry</t>
  </si>
  <si>
    <t>Is the date of expiry, which shall be two years from date of opening unless otherwise specified on the certificate</t>
  </si>
  <si>
    <t>PROX</t>
  </si>
  <si>
    <t>Ensure an additional control sample bottle is conditioned for each work area and this is held as a reserve</t>
  </si>
  <si>
    <t>When this reserve bottle is issued a new bottle shall be conditioned and held in reserve</t>
  </si>
  <si>
    <t>Ensure that the control sample is conditioned for a minimum of four hours before re-bottling</t>
  </si>
  <si>
    <t>Is the location that the CRM shall be used (work areas shall be PROX, CV, and Sulphur)</t>
  </si>
  <si>
    <t>Data will be automatically checked for outliers and compliance with Reproducibility limit</t>
  </si>
  <si>
    <t>The plot data will automatically transfer to the corresponding chart eg "ISO Ash Chart" tab</t>
  </si>
  <si>
    <t>The row height and column width is preset to optimise printing</t>
  </si>
  <si>
    <t>The print area, page layout, and margins are set up for a Brother MFC-L2740DW printer</t>
  </si>
  <si>
    <t>Top</t>
  </si>
  <si>
    <t>cm</t>
  </si>
  <si>
    <t>Header</t>
  </si>
  <si>
    <t>Left</t>
  </si>
  <si>
    <t>Right</t>
  </si>
  <si>
    <t>Bottom</t>
  </si>
  <si>
    <t>Footer</t>
  </si>
  <si>
    <t>Check that your paper orientation is Landscape and fit to 1 page wide 1 page tall</t>
  </si>
  <si>
    <t>Conditioning New Control Material</t>
  </si>
  <si>
    <t>Analysing New Control Material</t>
  </si>
  <si>
    <t>C</t>
  </si>
  <si>
    <t>B</t>
  </si>
  <si>
    <t>A</t>
  </si>
  <si>
    <t>D</t>
  </si>
  <si>
    <t>Using your new control chart</t>
  </si>
  <si>
    <t>Printing your new control chart</t>
  </si>
  <si>
    <t>Enter the date, analyst name, dup 1 value and dup 2 value in the table at the top of the sheet</t>
  </si>
  <si>
    <t>Calculate the average x and range and enter in the table at the top of the sheet</t>
  </si>
  <si>
    <t>Write the name/number of the Analyser, Instrument, Oven or Furnace at the top of the sheet</t>
  </si>
  <si>
    <t>Plot the average value in the top graph</t>
  </si>
  <si>
    <t>Plot the range in the bottom graph</t>
  </si>
  <si>
    <t>E</t>
  </si>
  <si>
    <t>Assessing your control value</t>
  </si>
  <si>
    <t>Use the rules from the rule tab to ensure the data you plot is compliant</t>
  </si>
  <si>
    <t>If either the average or the range is out use the control chart flow diagram to decide on a course of action</t>
  </si>
  <si>
    <t>Use the examples in Rule Failure tabs for guidance on how to mark your plotted points</t>
  </si>
  <si>
    <t>F</t>
  </si>
  <si>
    <t>Printer Settings</t>
  </si>
  <si>
    <t>Appendix</t>
  </si>
  <si>
    <t>i)</t>
  </si>
  <si>
    <t>INSTRUCTIONS FOR USING THE CONTROL CHART SPREADSHEET</t>
  </si>
  <si>
    <t>If you have a different printer please change the margins as per appendix below</t>
  </si>
  <si>
    <t>Should row heights or column widths have change please refer to Appendix for setting on key cells</t>
  </si>
  <si>
    <t>ii)</t>
  </si>
  <si>
    <t>Cell and Row Settings</t>
  </si>
  <si>
    <t>The way the control charts print is very sensitive to critical column widths and row heights. Below are the critical settings</t>
  </si>
  <si>
    <t>Column</t>
  </si>
  <si>
    <t>Row</t>
  </si>
  <si>
    <t>Height</t>
  </si>
  <si>
    <t>Width</t>
  </si>
  <si>
    <t>E-AT</t>
  </si>
  <si>
    <t>12-50</t>
  </si>
  <si>
    <t>6-11</t>
  </si>
  <si>
    <t>Enter the results on the data input tab under the correct parameter. For ALL parameters enter results to 2 decimal places. Enter data only in the Yellow Cells</t>
  </si>
  <si>
    <t>Data Range (Actual Reproducibility)</t>
  </si>
  <si>
    <t>Instrument</t>
  </si>
  <si>
    <t>MID10</t>
  </si>
  <si>
    <t xml:space="preserve">Instrument </t>
  </si>
  <si>
    <r>
      <t xml:space="preserve">Outlier value </t>
    </r>
    <r>
      <rPr>
        <b/>
        <vertAlign val="subscript"/>
        <sz val="11"/>
        <rFont val="Arial"/>
        <family val="2"/>
      </rPr>
      <t>MAX</t>
    </r>
  </si>
  <si>
    <r>
      <t xml:space="preserve">Outlier value </t>
    </r>
    <r>
      <rPr>
        <b/>
        <vertAlign val="subscript"/>
        <sz val="11"/>
        <rFont val="Arial"/>
        <family val="2"/>
      </rPr>
      <t>MIN</t>
    </r>
  </si>
  <si>
    <t>Key:</t>
  </si>
  <si>
    <t>max value - not outlier</t>
  </si>
  <si>
    <t>min value - not outlier</t>
  </si>
  <si>
    <t>Outlier - remove</t>
  </si>
  <si>
    <t>The lowest remaning value will flag in blue</t>
  </si>
  <si>
    <t>The highest remaining value will flag in orange</t>
  </si>
  <si>
    <t>Dixon Q Table (95% CL)</t>
  </si>
  <si>
    <t>Certified Values (Air Dry)</t>
  </si>
  <si>
    <t>Minimum</t>
  </si>
  <si>
    <t>Maximum</t>
  </si>
  <si>
    <t>Certified Values (Dry Base)</t>
  </si>
  <si>
    <t>Standard Deviation</t>
  </si>
  <si>
    <t>Laboratory Average (Air Dry)</t>
  </si>
  <si>
    <t>Laboratory Average (Dry Base)</t>
  </si>
  <si>
    <t>Laboratory Average (Air Dry) Pass/Fail</t>
  </si>
  <si>
    <t>Laboratory Average (Dry Base) Pass/Fail</t>
  </si>
  <si>
    <t>Laboratory Average -Moisture Corrected (Air Dry)</t>
  </si>
  <si>
    <t>Laboratory Average- Moisture Corrected (Dry Base)</t>
  </si>
  <si>
    <t>Data is automatically imported from "Data Input" Tab provided that all criteria are met</t>
  </si>
  <si>
    <t>Name</t>
  </si>
  <si>
    <t>Duplicate 1</t>
  </si>
  <si>
    <t>Duplicate 2</t>
  </si>
  <si>
    <t>MJ/kg</t>
  </si>
  <si>
    <t>Rule 1</t>
  </si>
  <si>
    <t>Rule 2</t>
  </si>
  <si>
    <t>Point</t>
  </si>
  <si>
    <t>Range OK?</t>
  </si>
  <si>
    <t></t>
  </si>
  <si>
    <t>Rule 3</t>
  </si>
  <si>
    <t>Rule 4</t>
  </si>
  <si>
    <t>CRM</t>
  </si>
  <si>
    <t>Dates</t>
  </si>
  <si>
    <t>to</t>
  </si>
  <si>
    <t>IMP-CAL-01</t>
  </si>
  <si>
    <t>Control Chart</t>
  </si>
  <si>
    <t>Average Result</t>
  </si>
  <si>
    <t>034</t>
  </si>
  <si>
    <t>Rule 5</t>
  </si>
  <si>
    <t>+ve</t>
  </si>
  <si>
    <t>-ve</t>
  </si>
  <si>
    <t>Range (actual)</t>
  </si>
  <si>
    <t>%</t>
  </si>
  <si>
    <t>Analyser</t>
  </si>
  <si>
    <t>Bomb/Vessel</t>
  </si>
  <si>
    <t>IMP-SULP-01</t>
  </si>
  <si>
    <t>IMP-MOI-01</t>
  </si>
  <si>
    <t>Oven</t>
  </si>
  <si>
    <t>Furnace</t>
  </si>
  <si>
    <t>IMP-VOL-01</t>
  </si>
  <si>
    <t>IMP-ASH-01</t>
  </si>
  <si>
    <t>IMP-QASH-01</t>
  </si>
  <si>
    <t xml:space="preserve">Bomb/Vessel :   </t>
  </si>
  <si>
    <t>Example 1</t>
  </si>
  <si>
    <t>Average</t>
  </si>
  <si>
    <t>Example 5</t>
  </si>
  <si>
    <t>G</t>
  </si>
  <si>
    <t>Training</t>
  </si>
  <si>
    <t>Control Chart Flow Diagram describes the process to follow when the control chart rules or range (repeatability) fail</t>
  </si>
  <si>
    <t>Rule failure tab examples give guidance on how to identify the rule failures on the control chart</t>
  </si>
  <si>
    <t>CV training Rule Tabs are training materials which you can use to train analysts to plot graphs and identify rule failues. You should use a blank CV control charts for this exercise</t>
  </si>
  <si>
    <r>
      <rPr>
        <sz val="11"/>
        <color theme="1"/>
        <rFont val="Arial"/>
        <family val="2"/>
      </rPr>
      <t>C</t>
    </r>
    <r>
      <rPr>
        <sz val="11"/>
        <rFont val="Arial"/>
        <family val="2"/>
      </rPr>
      <t xml:space="preserve">learly mark the bottle with unique Control ID, Example </t>
    </r>
    <r>
      <rPr>
        <b/>
        <sz val="11"/>
        <rFont val="Arial"/>
        <family val="2"/>
      </rPr>
      <t>CRM033 (1) Opened 10/10/17, Conditioned 10/10/17, Expiry 10/10/19, PROX</t>
    </r>
  </si>
  <si>
    <t>Run 20 to 30 controls on different days using different instruments and analysts in order to establish new limits</t>
  </si>
  <si>
    <t xml:space="preserve">Remember to records results on an air dry basis </t>
  </si>
  <si>
    <t>If any failures, results will indicate in RED -- Remove these as they are statistical outlier</t>
  </si>
  <si>
    <t>When outlier test passes, and any outliers removed,  there may still be an issue with reproducibility limit failures. To assist in identifying the following will happen:</t>
  </si>
  <si>
    <t xml:space="preserve">Use these flags to identify and repeat or remove these values until the repeatability limit is satisfied. NOTE, use your judgement carefully. If you are having to remove/repeat more than 3-4 points then it is likely there is an underlying issue that you will need to investigate further. </t>
  </si>
  <si>
    <t>You will need a minimum of 20 data points to validate your new control chart</t>
  </si>
  <si>
    <t xml:space="preserve">On the Data Input tab enter all the information from the CRM certificate : the certified value and limits for on air dry and dry base. Do this for all parameters </t>
  </si>
  <si>
    <t>The spreadsheet will automatically calculate your assigned value and compare it with the certified values for the CRM</t>
  </si>
  <si>
    <t>If your results do not compare to the certificated values they will be highlighted in red. You will need to repeat until results are within the limits</t>
  </si>
  <si>
    <r>
      <t xml:space="preserve">If all criteria is met, the data will automatically transfer to the Plot data tab. </t>
    </r>
    <r>
      <rPr>
        <b/>
        <sz val="11"/>
        <color theme="1"/>
        <rFont val="Arial"/>
        <family val="2"/>
      </rPr>
      <t>NOTE</t>
    </r>
    <r>
      <rPr>
        <sz val="11"/>
        <color theme="1"/>
        <rFont val="Arial"/>
        <family val="2"/>
      </rPr>
      <t xml:space="preserve"> data will not transfer if there is an outlier, reproducibility limit failure or your results do not agree with the certified ranges for both air dry and dry base</t>
    </r>
  </si>
  <si>
    <t>Each control chart is on a green tab</t>
  </si>
  <si>
    <t>Inform the Laboratory Supervisor/Shift Leader</t>
  </si>
  <si>
    <t>The  Laboratory Supervisor/Shift Leader shall print the new control chart.</t>
  </si>
  <si>
    <t>The  Laboratory Supervisor/Shift Leader shall complete the date range for the control chart and ensure it remains with the new chart for reference</t>
  </si>
  <si>
    <t>The  Laboratory Supervisor/Shift Leader will file the previous control chart</t>
  </si>
  <si>
    <t>Certified value</t>
  </si>
  <si>
    <t>H</t>
  </si>
  <si>
    <t>Checking your in-batch CRM control</t>
  </si>
  <si>
    <t>The control chart and the range will automatically plot in columns AF to AP</t>
  </si>
  <si>
    <t>Rules 1 to 4 and Range (Repeatability) Failures will be highlighted in columns</t>
  </si>
  <si>
    <t>You can create new tabs for each of the ovens, furnaces, bombs/vessels or analysers</t>
  </si>
  <si>
    <t xml:space="preserve">To create these, click on the tab you want to copy, e.g. ISO Ash 1, right click and select "Move or Copy". In the dialogue box that appears tick the box at the bottome that says "Create a Copy".  A new tab will appear.  </t>
  </si>
  <si>
    <t>Click on this new tab and right click and rename, eg ISO Ash 2, which will denote the name of you ISO Ash oven.</t>
  </si>
  <si>
    <t>You can rename all of the blue tabs to the specific names of your equipment, e.g. MID-OVEN-002</t>
  </si>
  <si>
    <t>Use these to track your controls and check that failures are being correctly identified on the manual control charts</t>
  </si>
  <si>
    <r>
      <t xml:space="preserve">On the </t>
    </r>
    <r>
      <rPr>
        <b/>
        <sz val="11"/>
        <color rgb="FF0070C0"/>
        <rFont val="Arial"/>
        <family val="2"/>
      </rPr>
      <t>blue</t>
    </r>
    <r>
      <rPr>
        <sz val="11"/>
        <color theme="1"/>
        <rFont val="Arial"/>
        <family val="2"/>
      </rPr>
      <t xml:space="preserve"> tabs you can enter your in-batch quality controls in the </t>
    </r>
    <r>
      <rPr>
        <b/>
        <sz val="11"/>
        <color rgb="FFFFFF00"/>
        <rFont val="Arial"/>
        <family val="2"/>
      </rPr>
      <t>yellow</t>
    </r>
    <r>
      <rPr>
        <sz val="11"/>
        <color theme="1"/>
        <rFont val="Arial"/>
        <family val="2"/>
      </rPr>
      <t xml:space="preserve"> cells. Example : CV 1 tab</t>
    </r>
  </si>
  <si>
    <r>
      <t xml:space="preserve">All training and information tabs are </t>
    </r>
    <r>
      <rPr>
        <b/>
        <sz val="11"/>
        <color rgb="FFFC3E02"/>
        <rFont val="Arial"/>
        <family val="2"/>
      </rPr>
      <t>orange</t>
    </r>
    <r>
      <rPr>
        <sz val="11"/>
        <color theme="1"/>
        <rFont val="Arial"/>
        <family val="2"/>
      </rPr>
      <t xml:space="preserve"> in colour</t>
    </r>
  </si>
  <si>
    <t>The Rules Tab has the control chart rules ; the table is set up for printing</t>
  </si>
  <si>
    <t>Trainer Data</t>
  </si>
  <si>
    <t>Trainee Data</t>
  </si>
  <si>
    <t>&gt; +3s</t>
  </si>
  <si>
    <t>&lt; -3s</t>
  </si>
  <si>
    <t>Control Limits</t>
  </si>
  <si>
    <t>&lt; -2s</t>
  </si>
  <si>
    <t>&gt; +2s</t>
  </si>
  <si>
    <t>Rule 2 Failures</t>
  </si>
  <si>
    <t>Rule 1 Failures</t>
  </si>
  <si>
    <t>Rule 3 Failures</t>
  </si>
  <si>
    <t>-ve bias</t>
  </si>
  <si>
    <t>+ve bias</t>
  </si>
  <si>
    <t>+ve trend</t>
  </si>
  <si>
    <t>-ve trend</t>
  </si>
  <si>
    <t>Rule 1 &gt; +3s</t>
  </si>
  <si>
    <t>Rule 1 &gt;+3s Failure</t>
  </si>
  <si>
    <t>Rule 1 &lt; -3s</t>
  </si>
  <si>
    <t>Rule 1 &lt; -3s Failure</t>
  </si>
  <si>
    <t>Rule 2 &gt; +2s</t>
  </si>
  <si>
    <t>Rule 2 &lt; -2s</t>
  </si>
  <si>
    <t>Rule 2 &lt; -2s Failure  [2 out of 3 consecutive points]</t>
  </si>
  <si>
    <t>Rule 2 &lt; -2s Failure  [2 consecutive points]</t>
  </si>
  <si>
    <t>Rule 2 &gt; +2s Failure  [2  consecutive points]</t>
  </si>
  <si>
    <t>Rule 2 &gt; +2s Failure  [2 out of 3 consecutive points]</t>
  </si>
  <si>
    <t>Rule 3 +ve bias</t>
  </si>
  <si>
    <t>Rule 3 -ve bias</t>
  </si>
  <si>
    <t>Rule 4 Failure -ve trend</t>
  </si>
  <si>
    <t>Rule 4 Failure +ve trend</t>
  </si>
  <si>
    <t>Laboratory Results</t>
  </si>
  <si>
    <t>Outlier and Reproducibility Tests</t>
  </si>
  <si>
    <t>CRM Certified Values</t>
  </si>
  <si>
    <t>Replicate Laboratory Data</t>
  </si>
  <si>
    <t>Repeatability Limit</t>
  </si>
  <si>
    <t xml:space="preserve"> </t>
  </si>
  <si>
    <t>High Total Sulphur (%)</t>
  </si>
  <si>
    <t>Low Total Sulphur (%)</t>
  </si>
  <si>
    <t>Total Sulphur - Low</t>
  </si>
  <si>
    <t>Ni Wire - LECO 501-951</t>
  </si>
  <si>
    <r>
      <t>AFT Ni (</t>
    </r>
    <r>
      <rPr>
        <b/>
        <sz val="10"/>
        <rFont val="Calibri"/>
        <family val="2"/>
      </rPr>
      <t>˚</t>
    </r>
    <r>
      <rPr>
        <b/>
        <sz val="10"/>
        <rFont val="Arial"/>
        <family val="2"/>
      </rPr>
      <t>C)</t>
    </r>
  </si>
  <si>
    <t>DT</t>
  </si>
  <si>
    <t>ST</t>
  </si>
  <si>
    <t>HT</t>
  </si>
  <si>
    <t>FT</t>
  </si>
  <si>
    <r>
      <t>AFT QC  (</t>
    </r>
    <r>
      <rPr>
        <b/>
        <sz val="10"/>
        <rFont val="Calibri"/>
        <family val="2"/>
      </rPr>
      <t>˚</t>
    </r>
    <r>
      <rPr>
        <b/>
        <sz val="10"/>
        <rFont val="Arial"/>
        <family val="2"/>
      </rPr>
      <t>C)</t>
    </r>
  </si>
  <si>
    <t>CV - Benzoic</t>
  </si>
  <si>
    <t>Benzoic Acid</t>
  </si>
  <si>
    <r>
      <t>AFT Cu Wire (</t>
    </r>
    <r>
      <rPr>
        <b/>
        <sz val="10"/>
        <rFont val="Calibri"/>
        <family val="2"/>
      </rPr>
      <t>˚</t>
    </r>
    <r>
      <rPr>
        <b/>
        <sz val="10"/>
        <rFont val="Arial"/>
        <family val="2"/>
      </rPr>
      <t>C)</t>
    </r>
  </si>
  <si>
    <t>Cu Wire</t>
  </si>
  <si>
    <t>CC CRM 020</t>
  </si>
  <si>
    <t>At least 4 out of 5 consecutive results on same side of +2s or -2s</t>
  </si>
  <si>
    <t>4-5 points</t>
  </si>
  <si>
    <t>ACTIONS FOR CONTROL CHART VIOLATIONS</t>
  </si>
  <si>
    <t>Manager/Supervisor Action</t>
  </si>
  <si>
    <t>AS CRM 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</si>
</sst>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
    <numFmt numFmtId="167" formatCode="yy/mm/dd;@"/>
  </numFmts>
  <fonts count="55" x14ac:knownFonts="1">
    <font>
      <sz val="11"/>
      <color theme="1"/>
      <name val="Calibri"/>
      <family val="2"/>
      <scheme val="minor"/>
    </font>
    <font>
      <b/>
      <sz val="11"/>
      <color theme="1"/>
      <name val="Calibri"/>
      <family val="2"/>
      <scheme val="minor"/>
    </font>
    <font>
      <b/>
      <sz val="8"/>
      <name val="Arial"/>
      <family val="2"/>
    </font>
    <font>
      <b/>
      <sz val="10"/>
      <name val="Arial"/>
      <family val="2"/>
    </font>
    <font>
      <sz val="10"/>
      <name val="Arial"/>
      <family val="2"/>
    </font>
    <font>
      <sz val="8"/>
      <name val="Arial"/>
      <family val="2"/>
    </font>
    <font>
      <b/>
      <sz val="12"/>
      <name val="Arial"/>
      <family val="2"/>
    </font>
    <font>
      <b/>
      <sz val="11"/>
      <name val="Arial"/>
      <family val="2"/>
    </font>
    <font>
      <b/>
      <i/>
      <sz val="10"/>
      <name val="Arial"/>
      <family val="2"/>
    </font>
    <font>
      <b/>
      <vertAlign val="subscript"/>
      <sz val="10"/>
      <name val="Arial"/>
      <family val="2"/>
    </font>
    <font>
      <b/>
      <sz val="22"/>
      <color theme="1"/>
      <name val="Calibri"/>
      <family val="2"/>
      <scheme val="minor"/>
    </font>
    <font>
      <b/>
      <sz val="16"/>
      <color theme="1"/>
      <name val="Calibri"/>
      <family val="2"/>
      <scheme val="minor"/>
    </font>
    <font>
      <sz val="16"/>
      <color theme="1"/>
      <name val="Calibri"/>
      <family val="2"/>
      <scheme val="minor"/>
    </font>
    <font>
      <sz val="11"/>
      <name val="Arial"/>
      <family val="2"/>
    </font>
    <font>
      <b/>
      <sz val="11"/>
      <color theme="1"/>
      <name val="Arial"/>
      <family val="2"/>
    </font>
    <font>
      <sz val="11"/>
      <color theme="1"/>
      <name val="Arial"/>
      <family val="2"/>
    </font>
    <font>
      <sz val="12"/>
      <name val="Arial"/>
      <family val="2"/>
    </font>
    <font>
      <vertAlign val="subscript"/>
      <sz val="12"/>
      <name val="Arial"/>
      <family val="2"/>
    </font>
    <font>
      <sz val="20"/>
      <name val="Arial"/>
      <family val="2"/>
    </font>
    <font>
      <b/>
      <sz val="22"/>
      <name val="Arial"/>
      <family val="2"/>
    </font>
    <font>
      <sz val="20"/>
      <color theme="1"/>
      <name val="Calibri"/>
      <family val="2"/>
      <scheme val="minor"/>
    </font>
    <font>
      <sz val="14"/>
      <color theme="1"/>
      <name val="Calibri"/>
      <family val="2"/>
      <scheme val="minor"/>
    </font>
    <font>
      <sz val="20"/>
      <color theme="1"/>
      <name val="Arial"/>
      <family val="2"/>
    </font>
    <font>
      <b/>
      <sz val="26"/>
      <name val="Arial"/>
      <family val="2"/>
    </font>
    <font>
      <sz val="26"/>
      <color theme="1"/>
      <name val="Calibri"/>
      <family val="2"/>
      <scheme val="minor"/>
    </font>
    <font>
      <sz val="22"/>
      <name val="Arial"/>
      <family val="2"/>
    </font>
    <font>
      <b/>
      <sz val="24"/>
      <color theme="1"/>
      <name val="Arial"/>
      <family val="2"/>
    </font>
    <font>
      <b/>
      <sz val="24"/>
      <name val="Arial"/>
      <family val="2"/>
    </font>
    <font>
      <sz val="24"/>
      <color theme="1"/>
      <name val="Calibri"/>
      <family val="2"/>
      <scheme val="minor"/>
    </font>
    <font>
      <sz val="36"/>
      <color theme="1"/>
      <name val="Arial"/>
      <family val="2"/>
    </font>
    <font>
      <sz val="36"/>
      <color theme="1"/>
      <name val="Calibri"/>
      <family val="2"/>
      <scheme val="minor"/>
    </font>
    <font>
      <b/>
      <u/>
      <sz val="36"/>
      <name val="Arial"/>
      <family val="2"/>
    </font>
    <font>
      <b/>
      <sz val="36"/>
      <name val="Arial"/>
      <family val="2"/>
    </font>
    <font>
      <b/>
      <sz val="36"/>
      <color theme="1"/>
      <name val="Arial"/>
      <family val="2"/>
    </font>
    <font>
      <u/>
      <sz val="36"/>
      <name val="Arial"/>
      <family val="2"/>
    </font>
    <font>
      <b/>
      <sz val="24"/>
      <color theme="1"/>
      <name val="MS Reference Sans Serif"/>
      <family val="2"/>
    </font>
    <font>
      <b/>
      <sz val="24"/>
      <color theme="1"/>
      <name val="MS Sans Serif"/>
      <family val="2"/>
    </font>
    <font>
      <sz val="22"/>
      <name val="MS Reference Sans Serif"/>
      <family val="2"/>
    </font>
    <font>
      <b/>
      <sz val="12"/>
      <color theme="1"/>
      <name val="Arial"/>
      <family val="2"/>
    </font>
    <font>
      <sz val="12"/>
      <color theme="1"/>
      <name val="Arial"/>
      <family val="2"/>
    </font>
    <font>
      <b/>
      <vertAlign val="subscript"/>
      <sz val="11"/>
      <name val="Arial"/>
      <family val="2"/>
    </font>
    <font>
      <b/>
      <i/>
      <sz val="11"/>
      <name val="Arial"/>
      <family val="2"/>
    </font>
    <font>
      <b/>
      <sz val="16"/>
      <name val="Arial"/>
      <family val="2"/>
    </font>
    <font>
      <sz val="16"/>
      <name val="Arial"/>
      <family val="2"/>
    </font>
    <font>
      <b/>
      <sz val="12"/>
      <color theme="1"/>
      <name val="Calibri"/>
      <family val="2"/>
      <scheme val="minor"/>
    </font>
    <font>
      <b/>
      <sz val="11"/>
      <color theme="1"/>
      <name val="MS Reference Sans Serif"/>
      <family val="2"/>
    </font>
    <font>
      <b/>
      <sz val="11"/>
      <color rgb="FF0070C0"/>
      <name val="Arial"/>
      <family val="2"/>
    </font>
    <font>
      <b/>
      <sz val="11"/>
      <color rgb="FFFFFF00"/>
      <name val="Arial"/>
      <family val="2"/>
    </font>
    <font>
      <b/>
      <sz val="11"/>
      <color rgb="FFFC3E02"/>
      <name val="Arial"/>
      <family val="2"/>
    </font>
    <font>
      <b/>
      <sz val="14"/>
      <color theme="1"/>
      <name val="Calibri"/>
      <family val="2"/>
      <scheme val="minor"/>
    </font>
    <font>
      <b/>
      <sz val="14"/>
      <color rgb="FFFD4207"/>
      <name val="Arial"/>
      <family val="2"/>
    </font>
    <font>
      <b/>
      <sz val="16"/>
      <color rgb="FFFD4207"/>
      <name val="Arial"/>
      <family val="2"/>
    </font>
    <font>
      <b/>
      <sz val="11"/>
      <color theme="0" tint="-0.14999847407452621"/>
      <name val="Arial"/>
      <family val="2"/>
    </font>
    <font>
      <b/>
      <sz val="10"/>
      <name val="Calibri"/>
      <family val="2"/>
    </font>
    <font>
      <b/>
      <sz val="16"/>
      <color theme="1"/>
      <name val="Arial"/>
      <family val="2"/>
    </font>
  </fonts>
  <fills count="15">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FFC000"/>
        <bgColor indexed="64"/>
      </patternFill>
    </fill>
    <fill>
      <patternFill patternType="solid">
        <fgColor theme="3" tint="0.79998168889431442"/>
        <bgColor indexed="64"/>
      </patternFill>
    </fill>
    <fill>
      <patternFill patternType="solid">
        <fgColor rgb="FFFF0000"/>
        <bgColor indexed="64"/>
      </patternFill>
    </fill>
    <fill>
      <patternFill patternType="solid">
        <fgColor theme="0" tint="-0.249977111117893"/>
        <bgColor indexed="64"/>
      </patternFill>
    </fill>
    <fill>
      <patternFill patternType="solid">
        <fgColor rgb="FFFFFF66"/>
        <bgColor indexed="64"/>
      </patternFill>
    </fill>
    <fill>
      <patternFill patternType="solid">
        <fgColor rgb="FF92D050"/>
        <bgColor indexed="64"/>
      </patternFill>
    </fill>
    <fill>
      <patternFill patternType="solid">
        <fgColor theme="3" tint="0.59999389629810485"/>
        <bgColor indexed="64"/>
      </patternFill>
    </fill>
    <fill>
      <patternFill patternType="solid">
        <fgColor rgb="FFFD9173"/>
        <bgColor indexed="64"/>
      </patternFill>
    </fill>
  </fills>
  <borders count="143">
    <border>
      <left/>
      <right/>
      <top/>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top style="medium">
        <color indexed="64"/>
      </top>
      <bottom style="medium">
        <color indexed="64"/>
      </bottom>
      <diagonal/>
    </border>
    <border>
      <left style="medium">
        <color indexed="64"/>
      </left>
      <right/>
      <top/>
      <bottom/>
      <diagonal/>
    </border>
    <border>
      <left/>
      <right style="medium">
        <color indexed="64"/>
      </right>
      <top style="hair">
        <color indexed="64"/>
      </top>
      <bottom style="hair">
        <color indexed="64"/>
      </bottom>
      <diagonal/>
    </border>
    <border>
      <left style="medium">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bottom style="medium">
        <color indexed="64"/>
      </bottom>
      <diagonal/>
    </border>
    <border>
      <left/>
      <right style="medium">
        <color indexed="64"/>
      </right>
      <top/>
      <bottom style="thick">
        <color indexed="10"/>
      </bottom>
      <diagonal/>
    </border>
    <border>
      <left style="medium">
        <color indexed="64"/>
      </left>
      <right style="hair">
        <color indexed="64"/>
      </right>
      <top style="hair">
        <color indexed="64"/>
      </top>
      <bottom style="thick">
        <color indexed="10"/>
      </bottom>
      <diagonal/>
    </border>
    <border>
      <left style="hair">
        <color indexed="64"/>
      </left>
      <right/>
      <top style="hair">
        <color indexed="64"/>
      </top>
      <bottom style="thick">
        <color indexed="10"/>
      </bottom>
      <diagonal/>
    </border>
    <border>
      <left/>
      <right style="hair">
        <color indexed="64"/>
      </right>
      <top style="hair">
        <color indexed="64"/>
      </top>
      <bottom style="thick">
        <color indexed="10"/>
      </bottom>
      <diagonal/>
    </border>
    <border>
      <left/>
      <right style="medium">
        <color indexed="64"/>
      </right>
      <top style="hair">
        <color indexed="64"/>
      </top>
      <bottom/>
      <diagonal/>
    </border>
    <border>
      <left style="medium">
        <color indexed="64"/>
      </left>
      <right style="hair">
        <color indexed="64"/>
      </right>
      <top style="hair">
        <color indexed="64"/>
      </top>
      <bottom style="hair">
        <color indexed="64"/>
      </bottom>
      <diagonal/>
    </border>
    <border>
      <left/>
      <right style="medium">
        <color indexed="64"/>
      </right>
      <top/>
      <bottom style="mediumDashed">
        <color indexed="12"/>
      </bottom>
      <diagonal/>
    </border>
    <border>
      <left style="medium">
        <color indexed="64"/>
      </left>
      <right style="hair">
        <color indexed="64"/>
      </right>
      <top style="hair">
        <color indexed="64"/>
      </top>
      <bottom style="mediumDashed">
        <color indexed="12"/>
      </bottom>
      <diagonal/>
    </border>
    <border>
      <left style="hair">
        <color indexed="64"/>
      </left>
      <right/>
      <top style="hair">
        <color indexed="64"/>
      </top>
      <bottom style="mediumDashed">
        <color indexed="12"/>
      </bottom>
      <diagonal/>
    </border>
    <border>
      <left/>
      <right style="hair">
        <color indexed="64"/>
      </right>
      <top style="hair">
        <color indexed="64"/>
      </top>
      <bottom style="mediumDashed">
        <color indexed="12"/>
      </bottom>
      <diagonal/>
    </border>
    <border>
      <left/>
      <right style="medium">
        <color indexed="64"/>
      </right>
      <top/>
      <bottom style="hair">
        <color indexed="64"/>
      </bottom>
      <diagonal/>
    </border>
    <border>
      <left/>
      <right style="medium">
        <color indexed="64"/>
      </right>
      <top/>
      <bottom style="mediumDashDotDot">
        <color indexed="17"/>
      </bottom>
      <diagonal/>
    </border>
    <border>
      <left style="medium">
        <color indexed="64"/>
      </left>
      <right style="hair">
        <color indexed="64"/>
      </right>
      <top style="hair">
        <color indexed="64"/>
      </top>
      <bottom style="mediumDashDotDot">
        <color indexed="17"/>
      </bottom>
      <diagonal/>
    </border>
    <border>
      <left style="hair">
        <color indexed="64"/>
      </left>
      <right/>
      <top style="hair">
        <color indexed="64"/>
      </top>
      <bottom style="mediumDashDotDot">
        <color indexed="17"/>
      </bottom>
      <diagonal/>
    </border>
    <border>
      <left/>
      <right style="hair">
        <color indexed="64"/>
      </right>
      <top style="hair">
        <color indexed="64"/>
      </top>
      <bottom style="mediumDashDotDot">
        <color indexed="17"/>
      </bottom>
      <diagonal/>
    </border>
    <border>
      <left/>
      <right style="medium">
        <color indexed="64"/>
      </right>
      <top style="mediumDashDotDot">
        <color indexed="17"/>
      </top>
      <bottom/>
      <diagonal/>
    </border>
    <border>
      <left style="medium">
        <color indexed="64"/>
      </left>
      <right style="hair">
        <color indexed="64"/>
      </right>
      <top style="mediumDashDotDot">
        <color indexed="17"/>
      </top>
      <bottom style="hair">
        <color indexed="64"/>
      </bottom>
      <diagonal/>
    </border>
    <border>
      <left style="hair">
        <color indexed="64"/>
      </left>
      <right/>
      <top style="mediumDashDotDot">
        <color indexed="17"/>
      </top>
      <bottom style="hair">
        <color indexed="64"/>
      </bottom>
      <diagonal/>
    </border>
    <border>
      <left/>
      <right style="hair">
        <color indexed="64"/>
      </right>
      <top style="mediumDashDotDot">
        <color indexed="17"/>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right style="medium">
        <color indexed="64"/>
      </right>
      <top style="thick">
        <color rgb="FFFF0000"/>
      </top>
      <bottom/>
      <diagonal/>
    </border>
    <border>
      <left style="medium">
        <color indexed="64"/>
      </left>
      <right style="hair">
        <color indexed="64"/>
      </right>
      <top style="thick">
        <color rgb="FFFF0000"/>
      </top>
      <bottom style="hair">
        <color indexed="64"/>
      </bottom>
      <diagonal/>
    </border>
    <border>
      <left style="hair">
        <color indexed="64"/>
      </left>
      <right/>
      <top style="thick">
        <color rgb="FFFF0000"/>
      </top>
      <bottom style="hair">
        <color indexed="64"/>
      </bottom>
      <diagonal/>
    </border>
    <border>
      <left/>
      <right style="hair">
        <color indexed="64"/>
      </right>
      <top style="thick">
        <color rgb="FFFF0000"/>
      </top>
      <bottom style="hair">
        <color indexed="64"/>
      </bottom>
      <diagonal/>
    </border>
    <border>
      <left/>
      <right style="medium">
        <color indexed="64"/>
      </right>
      <top style="hair">
        <color theme="1"/>
      </top>
      <bottom style="hair">
        <color indexed="64"/>
      </bottom>
      <diagonal/>
    </border>
    <border>
      <left style="medium">
        <color indexed="64"/>
      </left>
      <right style="hair">
        <color indexed="64"/>
      </right>
      <top style="hair">
        <color theme="1"/>
      </top>
      <bottom style="hair">
        <color indexed="64"/>
      </bottom>
      <diagonal/>
    </border>
    <border>
      <left style="hair">
        <color indexed="64"/>
      </left>
      <right/>
      <top style="hair">
        <color theme="1"/>
      </top>
      <bottom style="hair">
        <color indexed="64"/>
      </bottom>
      <diagonal/>
    </border>
    <border>
      <left/>
      <right style="hair">
        <color indexed="64"/>
      </right>
      <top style="hair">
        <color theme="1"/>
      </top>
      <bottom style="hair">
        <color indexed="64"/>
      </bottom>
      <diagonal/>
    </border>
    <border>
      <left/>
      <right/>
      <top style="medium">
        <color indexed="64"/>
      </top>
      <bottom/>
      <diagonal/>
    </border>
    <border>
      <left/>
      <right/>
      <top/>
      <bottom style="mediumDashDot">
        <color indexed="17"/>
      </bottom>
      <diagonal/>
    </border>
    <border>
      <left/>
      <right/>
      <top/>
      <bottom style="mediumDashed">
        <color indexed="12"/>
      </bottom>
      <diagonal/>
    </border>
    <border>
      <left/>
      <right/>
      <top/>
      <bottom style="thick">
        <color indexed="1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hair">
        <color indexed="64"/>
      </top>
      <bottom style="thick">
        <color rgb="FFFF0000"/>
      </bottom>
      <diagonal/>
    </border>
    <border>
      <left style="medium">
        <color indexed="64"/>
      </left>
      <right style="hair">
        <color indexed="64"/>
      </right>
      <top style="hair">
        <color indexed="64"/>
      </top>
      <bottom style="thick">
        <color rgb="FFFF0000"/>
      </bottom>
      <diagonal/>
    </border>
    <border>
      <left style="hair">
        <color indexed="64"/>
      </left>
      <right/>
      <top style="hair">
        <color indexed="64"/>
      </top>
      <bottom style="thick">
        <color rgb="FFFF0000"/>
      </bottom>
      <diagonal/>
    </border>
    <border>
      <left/>
      <right style="hair">
        <color indexed="64"/>
      </right>
      <top style="hair">
        <color indexed="64"/>
      </top>
      <bottom style="thick">
        <color rgb="FFFF0000"/>
      </bottom>
      <diagonal/>
    </border>
    <border>
      <left style="thick">
        <color indexed="64"/>
      </left>
      <right/>
      <top style="thick">
        <color indexed="64"/>
      </top>
      <bottom/>
      <diagonal/>
    </border>
    <border>
      <left style="medium">
        <color indexed="64"/>
      </left>
      <right/>
      <top style="thick">
        <color indexed="64"/>
      </top>
      <bottom/>
      <diagonal/>
    </border>
    <border>
      <left/>
      <right style="medium">
        <color indexed="64"/>
      </right>
      <top style="thick">
        <color indexed="64"/>
      </top>
      <bottom/>
      <diagonal/>
    </border>
    <border>
      <left style="medium">
        <color indexed="64"/>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right style="hair">
        <color indexed="64"/>
      </right>
      <top style="thick">
        <color indexed="64"/>
      </top>
      <bottom style="hair">
        <color indexed="64"/>
      </bottom>
      <diagonal/>
    </border>
    <border>
      <left style="hair">
        <color indexed="64"/>
      </left>
      <right style="thick">
        <color indexed="64"/>
      </right>
      <top style="thick">
        <color indexed="64"/>
      </top>
      <bottom style="hair">
        <color indexed="64"/>
      </bottom>
      <diagonal/>
    </border>
    <border>
      <left style="thick">
        <color indexed="64"/>
      </left>
      <right/>
      <top/>
      <bottom/>
      <diagonal/>
    </border>
    <border>
      <left style="hair">
        <color indexed="64"/>
      </left>
      <right style="thick">
        <color indexed="64"/>
      </right>
      <top style="hair">
        <color indexed="64"/>
      </top>
      <bottom/>
      <diagonal/>
    </border>
    <border>
      <left style="hair">
        <color indexed="64"/>
      </left>
      <right style="thick">
        <color indexed="64"/>
      </right>
      <top/>
      <bottom style="hair">
        <color indexed="64"/>
      </bottom>
      <diagonal/>
    </border>
    <border>
      <left style="hair">
        <color indexed="64"/>
      </left>
      <right style="thick">
        <color indexed="64"/>
      </right>
      <top style="hair">
        <color indexed="64"/>
      </top>
      <bottom style="hair">
        <color indexed="64"/>
      </bottom>
      <diagonal/>
    </border>
    <border>
      <left style="thick">
        <color indexed="64"/>
      </left>
      <right/>
      <top/>
      <bottom style="thick">
        <color indexed="64"/>
      </bottom>
      <diagonal/>
    </border>
    <border>
      <left style="medium">
        <color indexed="64"/>
      </left>
      <right/>
      <top/>
      <bottom style="thick">
        <color indexed="64"/>
      </bottom>
      <diagonal/>
    </border>
    <border>
      <left/>
      <right style="medium">
        <color indexed="64"/>
      </right>
      <top style="thick">
        <color indexed="10"/>
      </top>
      <bottom style="thick">
        <color indexed="64"/>
      </bottom>
      <diagonal/>
    </border>
    <border>
      <left style="medium">
        <color indexed="64"/>
      </left>
      <right style="hair">
        <color indexed="64"/>
      </right>
      <top style="thick">
        <color indexed="10"/>
      </top>
      <bottom style="thick">
        <color indexed="64"/>
      </bottom>
      <diagonal/>
    </border>
    <border>
      <left style="hair">
        <color indexed="64"/>
      </left>
      <right/>
      <top style="thick">
        <color indexed="10"/>
      </top>
      <bottom style="thick">
        <color indexed="64"/>
      </bottom>
      <diagonal/>
    </border>
    <border>
      <left/>
      <right style="hair">
        <color indexed="64"/>
      </right>
      <top style="thick">
        <color indexed="10"/>
      </top>
      <bottom style="thick">
        <color indexed="64"/>
      </bottom>
      <diagonal/>
    </border>
    <border>
      <left style="hair">
        <color indexed="64"/>
      </left>
      <right style="thick">
        <color indexed="64"/>
      </right>
      <top/>
      <bottom style="thick">
        <color indexed="64"/>
      </bottom>
      <diagonal/>
    </border>
    <border>
      <left style="hair">
        <color indexed="64"/>
      </left>
      <right/>
      <top/>
      <bottom/>
      <diagonal/>
    </border>
    <border>
      <left/>
      <right style="hair">
        <color indexed="64"/>
      </right>
      <top/>
      <bottom/>
      <diagonal/>
    </border>
    <border>
      <left style="thick">
        <color indexed="64"/>
      </left>
      <right style="medium">
        <color indexed="64"/>
      </right>
      <top style="thick">
        <color indexed="64"/>
      </top>
      <bottom/>
      <diagonal/>
    </border>
    <border>
      <left/>
      <right style="medium">
        <color indexed="64"/>
      </right>
      <top style="thick">
        <color indexed="64"/>
      </top>
      <bottom style="hair">
        <color indexed="64"/>
      </bottom>
      <diagonal/>
    </border>
    <border>
      <left style="thick">
        <color indexed="64"/>
      </left>
      <right style="medium">
        <color indexed="64"/>
      </right>
      <top/>
      <bottom/>
      <diagonal/>
    </border>
    <border>
      <left style="hair">
        <color indexed="64"/>
      </left>
      <right style="thick">
        <color indexed="64"/>
      </right>
      <top style="hair">
        <color indexed="64"/>
      </top>
      <bottom style="thick">
        <color rgb="FFFF0000"/>
      </bottom>
      <diagonal/>
    </border>
    <border>
      <left style="hair">
        <color indexed="64"/>
      </left>
      <right style="thick">
        <color indexed="64"/>
      </right>
      <top style="thick">
        <color rgb="FFFF0000"/>
      </top>
      <bottom style="hair">
        <color indexed="64"/>
      </bottom>
      <diagonal/>
    </border>
    <border>
      <left style="hair">
        <color indexed="64"/>
      </left>
      <right style="thick">
        <color indexed="64"/>
      </right>
      <top style="hair">
        <color theme="1"/>
      </top>
      <bottom style="hair">
        <color indexed="64"/>
      </bottom>
      <diagonal/>
    </border>
    <border>
      <left style="thick">
        <color indexed="64"/>
      </left>
      <right style="medium">
        <color indexed="64"/>
      </right>
      <top/>
      <bottom style="thick">
        <color indexed="64"/>
      </bottom>
      <diagonal/>
    </border>
    <border>
      <left/>
      <right style="medium">
        <color indexed="64"/>
      </right>
      <top style="hair">
        <color indexed="64"/>
      </top>
      <bottom style="thick">
        <color indexed="64"/>
      </bottom>
      <diagonal/>
    </border>
    <border>
      <left style="medium">
        <color indexed="64"/>
      </left>
      <right style="hair">
        <color indexed="64"/>
      </right>
      <top style="hair">
        <color indexed="64"/>
      </top>
      <bottom style="thick">
        <color indexed="64"/>
      </bottom>
      <diagonal/>
    </border>
    <border>
      <left style="hair">
        <color indexed="64"/>
      </left>
      <right/>
      <top style="hair">
        <color indexed="64"/>
      </top>
      <bottom style="thick">
        <color indexed="64"/>
      </bottom>
      <diagonal/>
    </border>
    <border>
      <left/>
      <right style="hair">
        <color indexed="64"/>
      </right>
      <top style="hair">
        <color indexed="64"/>
      </top>
      <bottom style="thick">
        <color indexed="64"/>
      </bottom>
      <diagonal/>
    </border>
    <border>
      <left style="hair">
        <color indexed="64"/>
      </left>
      <right style="thick">
        <color indexed="64"/>
      </right>
      <top style="hair">
        <color indexed="64"/>
      </top>
      <bottom style="thick">
        <color indexed="64"/>
      </bottom>
      <diagonal/>
    </border>
    <border>
      <left/>
      <right/>
      <top style="thick">
        <color indexed="64"/>
      </top>
      <bottom style="thick">
        <color indexed="64"/>
      </bottom>
      <diagonal/>
    </border>
    <border>
      <left style="hair">
        <color indexed="64"/>
      </left>
      <right style="hair">
        <color indexed="64"/>
      </right>
      <top style="thick">
        <color indexed="64"/>
      </top>
      <bottom style="thick">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top/>
      <bottom style="thick">
        <color indexed="64"/>
      </bottom>
      <diagonal/>
    </border>
    <border>
      <left style="hair">
        <color indexed="64"/>
      </left>
      <right/>
      <top/>
      <bottom style="thick">
        <color indexed="64"/>
      </bottom>
      <diagonal/>
    </border>
    <border>
      <left style="medium">
        <color indexed="64"/>
      </left>
      <right style="medium">
        <color indexed="64"/>
      </right>
      <top/>
      <bottom/>
      <diagonal/>
    </border>
  </borders>
  <cellStyleXfs count="1">
    <xf numFmtId="0" fontId="0" fillId="0" borderId="0"/>
  </cellStyleXfs>
  <cellXfs count="746">
    <xf numFmtId="0" fontId="0" fillId="0" borderId="0" xfId="0"/>
    <xf numFmtId="0" fontId="2" fillId="0" borderId="0" xfId="0" applyFont="1"/>
    <xf numFmtId="0" fontId="3" fillId="0" borderId="0" xfId="0" applyFont="1"/>
    <xf numFmtId="0" fontId="0" fillId="0" borderId="16" xfId="0" applyBorder="1"/>
    <xf numFmtId="0" fontId="0" fillId="0" borderId="17" xfId="0" applyBorder="1"/>
    <xf numFmtId="0" fontId="0" fillId="0" borderId="21" xfId="0" applyBorder="1"/>
    <xf numFmtId="0" fontId="0" fillId="0" borderId="22"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applyAlignment="1">
      <alignment horizontal="center"/>
    </xf>
    <xf numFmtId="0" fontId="0" fillId="0" borderId="30" xfId="0" applyBorder="1" applyAlignment="1">
      <alignment horizontal="center"/>
    </xf>
    <xf numFmtId="0" fontId="0" fillId="0" borderId="31" xfId="0" applyBorder="1"/>
    <xf numFmtId="0" fontId="0" fillId="0" borderId="32" xfId="0" applyBorder="1"/>
    <xf numFmtId="0" fontId="0" fillId="0" borderId="33" xfId="0" applyBorder="1"/>
    <xf numFmtId="0" fontId="0" fillId="0" borderId="36" xfId="0" applyBorder="1"/>
    <xf numFmtId="0" fontId="0" fillId="0" borderId="37" xfId="0" applyBorder="1"/>
    <xf numFmtId="0" fontId="0" fillId="0" borderId="42" xfId="0" applyBorder="1"/>
    <xf numFmtId="0" fontId="0" fillId="0" borderId="45" xfId="0" applyBorder="1"/>
    <xf numFmtId="0" fontId="0" fillId="0" borderId="46" xfId="0" applyBorder="1"/>
    <xf numFmtId="0" fontId="0" fillId="0" borderId="49" xfId="0" applyBorder="1"/>
    <xf numFmtId="0" fontId="0" fillId="0" borderId="50" xfId="0" applyBorder="1"/>
    <xf numFmtId="0" fontId="5" fillId="0" borderId="0" xfId="0" applyFont="1"/>
    <xf numFmtId="0" fontId="6" fillId="0" borderId="0" xfId="0" applyFont="1" applyAlignment="1">
      <alignment horizontal="center"/>
    </xf>
    <xf numFmtId="0" fontId="3" fillId="0" borderId="0" xfId="0" applyFont="1" applyAlignment="1">
      <alignment horizontal="center"/>
    </xf>
    <xf numFmtId="0" fontId="1" fillId="0" borderId="57" xfId="0" applyFont="1" applyBorder="1" applyAlignment="1">
      <alignment horizontal="center" vertical="center" wrapText="1"/>
    </xf>
    <xf numFmtId="0" fontId="11" fillId="0" borderId="59" xfId="0" applyFont="1" applyBorder="1" applyAlignment="1">
      <alignment horizontal="center" vertical="center"/>
    </xf>
    <xf numFmtId="0" fontId="11" fillId="0" borderId="60" xfId="0" applyFont="1" applyBorder="1" applyAlignment="1">
      <alignment horizontal="center" vertical="center"/>
    </xf>
    <xf numFmtId="0" fontId="11" fillId="0" borderId="61" xfId="0" applyFont="1" applyBorder="1" applyAlignment="1">
      <alignment horizontal="center" vertical="center"/>
    </xf>
    <xf numFmtId="0" fontId="12" fillId="0" borderId="0" xfId="0" applyFont="1"/>
    <xf numFmtId="0" fontId="12" fillId="0" borderId="62" xfId="0" applyFont="1" applyBorder="1" applyAlignment="1">
      <alignment horizontal="center" vertical="center"/>
    </xf>
    <xf numFmtId="0" fontId="12" fillId="0" borderId="58" xfId="0" applyFont="1" applyBorder="1" applyAlignment="1">
      <alignment horizontal="left" vertical="center"/>
    </xf>
    <xf numFmtId="0" fontId="12" fillId="0" borderId="63" xfId="0" applyFont="1" applyBorder="1" applyAlignment="1">
      <alignment horizontal="center" vertical="center"/>
    </xf>
    <xf numFmtId="0" fontId="12" fillId="0" borderId="64" xfId="0" applyFont="1" applyBorder="1" applyAlignment="1">
      <alignment horizontal="center" vertical="center"/>
    </xf>
    <xf numFmtId="0" fontId="12" fillId="0" borderId="65" xfId="0" applyFont="1" applyBorder="1" applyAlignment="1">
      <alignment horizontal="left" vertical="center"/>
    </xf>
    <xf numFmtId="0" fontId="12" fillId="0" borderId="66" xfId="0" applyFont="1" applyBorder="1" applyAlignment="1">
      <alignment horizontal="center" vertical="center"/>
    </xf>
    <xf numFmtId="0" fontId="12" fillId="0" borderId="0" xfId="0" applyFont="1" applyAlignment="1">
      <alignment horizontal="left" vertical="top"/>
    </xf>
    <xf numFmtId="0" fontId="12" fillId="0" borderId="0" xfId="0" applyFont="1" applyAlignment="1">
      <alignment horizontal="left" vertical="center" wrapText="1"/>
    </xf>
    <xf numFmtId="0" fontId="13" fillId="0" borderId="0" xfId="0" applyFont="1"/>
    <xf numFmtId="0" fontId="15" fillId="0" borderId="0" xfId="0" applyFont="1"/>
    <xf numFmtId="0" fontId="6" fillId="0" borderId="0" xfId="0" applyFont="1"/>
    <xf numFmtId="0" fontId="3" fillId="0" borderId="0" xfId="0" applyFont="1" applyAlignment="1">
      <alignment horizontal="left"/>
    </xf>
    <xf numFmtId="0" fontId="15" fillId="0" borderId="58" xfId="0" applyFont="1" applyBorder="1" applyAlignment="1">
      <alignment horizontal="center"/>
    </xf>
    <xf numFmtId="0" fontId="13" fillId="0" borderId="0" xfId="0" quotePrefix="1" applyFont="1"/>
    <xf numFmtId="2" fontId="13" fillId="2" borderId="63" xfId="0" applyNumberFormat="1" applyFont="1" applyFill="1" applyBorder="1" applyAlignment="1" applyProtection="1">
      <alignment horizontal="center" vertical="center"/>
      <protection locked="0"/>
    </xf>
    <xf numFmtId="2" fontId="15" fillId="2" borderId="63" xfId="0" applyNumberFormat="1" applyFont="1" applyFill="1" applyBorder="1" applyAlignment="1" applyProtection="1">
      <alignment horizontal="center"/>
      <protection locked="0"/>
    </xf>
    <xf numFmtId="0" fontId="18" fillId="0" borderId="0" xfId="0" applyFont="1"/>
    <xf numFmtId="0" fontId="20" fillId="0" borderId="0" xfId="0" applyFont="1"/>
    <xf numFmtId="0" fontId="0" fillId="0" borderId="74" xfId="0" applyBorder="1" applyAlignment="1">
      <alignment horizontal="center"/>
    </xf>
    <xf numFmtId="0" fontId="0" fillId="0" borderId="75" xfId="0" applyBorder="1" applyAlignment="1">
      <alignment horizontal="center"/>
    </xf>
    <xf numFmtId="0" fontId="8" fillId="0" borderId="75" xfId="0" applyFont="1" applyBorder="1"/>
    <xf numFmtId="0" fontId="4" fillId="0" borderId="75" xfId="0" applyFont="1" applyBorder="1"/>
    <xf numFmtId="0" fontId="3" fillId="0" borderId="75" xfId="0" applyFont="1" applyBorder="1"/>
    <xf numFmtId="0" fontId="8" fillId="0" borderId="76" xfId="0" applyFont="1" applyBorder="1"/>
    <xf numFmtId="0" fontId="3" fillId="0" borderId="57" xfId="0" applyFont="1" applyBorder="1" applyAlignment="1">
      <alignment horizontal="center" vertical="center" wrapText="1"/>
    </xf>
    <xf numFmtId="2" fontId="8" fillId="0" borderId="75" xfId="0" applyNumberFormat="1" applyFont="1" applyBorder="1" applyAlignment="1">
      <alignment horizontal="center"/>
    </xf>
    <xf numFmtId="2" fontId="0" fillId="0" borderId="75" xfId="0" applyNumberFormat="1" applyBorder="1" applyAlignment="1">
      <alignment horizontal="center"/>
    </xf>
    <xf numFmtId="10" fontId="3" fillId="0" borderId="75" xfId="0" applyNumberFormat="1" applyFont="1" applyBorder="1" applyAlignment="1">
      <alignment horizontal="center"/>
    </xf>
    <xf numFmtId="2" fontId="0" fillId="0" borderId="76" xfId="0" applyNumberFormat="1" applyBorder="1" applyAlignment="1">
      <alignment horizontal="center"/>
    </xf>
    <xf numFmtId="0" fontId="24" fillId="0" borderId="0" xfId="0" applyFont="1"/>
    <xf numFmtId="0" fontId="23" fillId="0" borderId="0" xfId="0" applyFont="1"/>
    <xf numFmtId="0" fontId="29" fillId="0" borderId="0" xfId="0" applyFont="1" applyAlignment="1">
      <alignment vertical="center"/>
    </xf>
    <xf numFmtId="0" fontId="30"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30" fillId="0" borderId="0" xfId="0" applyFont="1"/>
    <xf numFmtId="0" fontId="31" fillId="0" borderId="0" xfId="0" applyFont="1"/>
    <xf numFmtId="0" fontId="32" fillId="0" borderId="0" xfId="0" applyFont="1"/>
    <xf numFmtId="0" fontId="33" fillId="0" borderId="0" xfId="0" applyFont="1"/>
    <xf numFmtId="0" fontId="21" fillId="0" borderId="77" xfId="0" applyFont="1" applyBorder="1"/>
    <xf numFmtId="0" fontId="21" fillId="0" borderId="78" xfId="0" applyFont="1" applyBorder="1"/>
    <xf numFmtId="0" fontId="0" fillId="0" borderId="53" xfId="0" applyBorder="1"/>
    <xf numFmtId="0" fontId="0" fillId="0" borderId="83" xfId="0" applyBorder="1"/>
    <xf numFmtId="0" fontId="0" fillId="0" borderId="84" xfId="0" applyBorder="1"/>
    <xf numFmtId="0" fontId="0" fillId="0" borderId="87" xfId="0" applyBorder="1"/>
    <xf numFmtId="0" fontId="0" fillId="0" borderId="91" xfId="0" applyBorder="1"/>
    <xf numFmtId="0" fontId="0" fillId="0" borderId="94" xfId="0" applyBorder="1"/>
    <xf numFmtId="0" fontId="0" fillId="0" borderId="95" xfId="0" applyBorder="1"/>
    <xf numFmtId="0" fontId="0" fillId="0" borderId="102" xfId="0" applyBorder="1"/>
    <xf numFmtId="0" fontId="0" fillId="0" borderId="90" xfId="0" applyBorder="1"/>
    <xf numFmtId="0" fontId="21" fillId="0" borderId="104" xfId="0" applyFont="1" applyBorder="1"/>
    <xf numFmtId="0" fontId="0" fillId="0" borderId="105" xfId="0" applyBorder="1"/>
    <xf numFmtId="0" fontId="0" fillId="0" borderId="89" xfId="0" applyBorder="1"/>
    <xf numFmtId="0" fontId="0" fillId="0" borderId="106" xfId="0" applyBorder="1"/>
    <xf numFmtId="0" fontId="0" fillId="0" borderId="108" xfId="0" applyBorder="1"/>
    <xf numFmtId="0" fontId="0" fillId="0" borderId="109" xfId="0" applyBorder="1"/>
    <xf numFmtId="0" fontId="0" fillId="0" borderId="112" xfId="0" applyBorder="1"/>
    <xf numFmtId="0" fontId="27" fillId="4" borderId="113" xfId="0" applyFont="1" applyFill="1" applyBorder="1" applyAlignment="1">
      <alignment vertical="center" textRotation="90"/>
    </xf>
    <xf numFmtId="0" fontId="0" fillId="4" borderId="100" xfId="0" applyFill="1" applyBorder="1"/>
    <xf numFmtId="0" fontId="0" fillId="4" borderId="113" xfId="0" applyFill="1" applyBorder="1"/>
    <xf numFmtId="0" fontId="0" fillId="4" borderId="114" xfId="0" applyFill="1" applyBorder="1"/>
    <xf numFmtId="0" fontId="0" fillId="0" borderId="67" xfId="0" applyBorder="1"/>
    <xf numFmtId="0" fontId="28" fillId="0" borderId="87" xfId="0" applyFont="1" applyBorder="1"/>
    <xf numFmtId="0" fontId="28" fillId="0" borderId="91" xfId="0" applyFont="1" applyBorder="1"/>
    <xf numFmtId="2" fontId="18" fillId="4" borderId="113" xfId="0" applyNumberFormat="1" applyFont="1" applyFill="1" applyBorder="1" applyAlignment="1">
      <alignment horizontal="center" vertical="center"/>
    </xf>
    <xf numFmtId="2" fontId="18" fillId="0" borderId="82" xfId="0" applyNumberFormat="1" applyFont="1" applyBorder="1" applyAlignment="1">
      <alignment vertical="center"/>
    </xf>
    <xf numFmtId="0" fontId="20" fillId="0" borderId="15" xfId="0" applyFont="1" applyBorder="1" applyAlignment="1">
      <alignment vertical="center"/>
    </xf>
    <xf numFmtId="2" fontId="18" fillId="0" borderId="82" xfId="0" applyNumberFormat="1" applyFont="1" applyBorder="1" applyAlignment="1">
      <alignment horizontal="center" vertical="center"/>
    </xf>
    <xf numFmtId="0" fontId="25" fillId="0" borderId="0" xfId="0" applyFont="1"/>
    <xf numFmtId="0" fontId="19" fillId="0" borderId="0" xfId="0" applyFont="1"/>
    <xf numFmtId="0" fontId="7" fillId="0" borderId="0" xfId="0" applyFont="1" applyAlignment="1">
      <alignment horizontal="left" vertical="center"/>
    </xf>
    <xf numFmtId="2" fontId="0" fillId="5" borderId="75" xfId="0" applyNumberFormat="1" applyFill="1" applyBorder="1" applyAlignment="1">
      <alignment horizontal="center" vertical="center"/>
    </xf>
    <xf numFmtId="0" fontId="15" fillId="0" borderId="0" xfId="0" applyFont="1" applyAlignment="1">
      <alignment vertical="center"/>
    </xf>
    <xf numFmtId="0" fontId="39" fillId="0" borderId="0" xfId="0" applyFont="1" applyAlignment="1">
      <alignment horizontal="center" vertical="center"/>
    </xf>
    <xf numFmtId="0" fontId="13" fillId="2" borderId="58" xfId="0" applyFont="1" applyFill="1" applyBorder="1" applyProtection="1">
      <protection locked="0"/>
    </xf>
    <xf numFmtId="0" fontId="13" fillId="2" borderId="58" xfId="0" applyFont="1" applyFill="1" applyBorder="1" applyAlignment="1" applyProtection="1">
      <alignment horizontal="center"/>
      <protection locked="0"/>
    </xf>
    <xf numFmtId="0" fontId="13" fillId="2" borderId="58" xfId="0" applyFont="1" applyFill="1" applyBorder="1" applyAlignment="1" applyProtection="1">
      <alignment horizontal="center" vertical="center"/>
      <protection locked="0"/>
    </xf>
    <xf numFmtId="2" fontId="13" fillId="2" borderId="63" xfId="0" applyNumberFormat="1" applyFont="1" applyFill="1" applyBorder="1" applyAlignment="1" applyProtection="1">
      <alignment horizontal="center"/>
      <protection locked="0"/>
    </xf>
    <xf numFmtId="2" fontId="15" fillId="2" borderId="63" xfId="0" applyNumberFormat="1" applyFont="1" applyFill="1" applyBorder="1" applyAlignment="1" applyProtection="1">
      <alignment horizontal="center" vertical="center"/>
      <protection locked="0"/>
    </xf>
    <xf numFmtId="16" fontId="13" fillId="0" borderId="0" xfId="0" quotePrefix="1" applyNumberFormat="1" applyFont="1"/>
    <xf numFmtId="0" fontId="7" fillId="0" borderId="0" xfId="0" applyFont="1" applyAlignment="1">
      <alignment horizontal="center"/>
    </xf>
    <xf numFmtId="0" fontId="7" fillId="0" borderId="0" xfId="0" applyFont="1"/>
    <xf numFmtId="0" fontId="41" fillId="9" borderId="0" xfId="0" applyFont="1" applyFill="1" applyAlignment="1">
      <alignment horizontal="center"/>
    </xf>
    <xf numFmtId="0" fontId="13" fillId="7" borderId="0" xfId="0" applyFont="1" applyFill="1" applyAlignment="1">
      <alignment horizontal="center"/>
    </xf>
    <xf numFmtId="0" fontId="13" fillId="8" borderId="0" xfId="0" applyFont="1" applyFill="1" applyAlignment="1">
      <alignment horizontal="center"/>
    </xf>
    <xf numFmtId="0" fontId="13" fillId="6" borderId="58" xfId="0" applyFont="1" applyFill="1" applyBorder="1" applyAlignment="1">
      <alignment horizontal="center"/>
    </xf>
    <xf numFmtId="165" fontId="13" fillId="6" borderId="58" xfId="0" quotePrefix="1" applyNumberFormat="1" applyFont="1" applyFill="1" applyBorder="1" applyAlignment="1">
      <alignment horizontal="center"/>
    </xf>
    <xf numFmtId="0" fontId="13" fillId="6" borderId="58" xfId="0" applyFont="1" applyFill="1" applyBorder="1" applyAlignment="1">
      <alignment horizontal="center" vertical="center"/>
    </xf>
    <xf numFmtId="165" fontId="13" fillId="6" borderId="58" xfId="0" quotePrefix="1" applyNumberFormat="1" applyFont="1" applyFill="1" applyBorder="1" applyAlignment="1">
      <alignment horizontal="center" vertical="center"/>
    </xf>
    <xf numFmtId="0" fontId="13" fillId="6" borderId="62" xfId="0" applyFont="1" applyFill="1" applyBorder="1" applyAlignment="1">
      <alignment horizontal="center"/>
    </xf>
    <xf numFmtId="0" fontId="7" fillId="6" borderId="62" xfId="0" applyFont="1" applyFill="1" applyBorder="1" applyAlignment="1">
      <alignment horizontal="center" vertical="center"/>
    </xf>
    <xf numFmtId="0" fontId="7" fillId="6" borderId="58" xfId="0" applyFont="1" applyFill="1" applyBorder="1" applyAlignment="1">
      <alignment horizontal="center" vertical="center"/>
    </xf>
    <xf numFmtId="0" fontId="3" fillId="6" borderId="58" xfId="0" applyFont="1" applyFill="1" applyBorder="1" applyAlignment="1">
      <alignment horizontal="center"/>
    </xf>
    <xf numFmtId="0" fontId="7" fillId="6" borderId="63" xfId="0" applyFont="1" applyFill="1" applyBorder="1" applyAlignment="1">
      <alignment horizontal="center"/>
    </xf>
    <xf numFmtId="0" fontId="13" fillId="6" borderId="15" xfId="0" applyFont="1" applyFill="1" applyBorder="1"/>
    <xf numFmtId="0" fontId="13" fillId="6" borderId="0" xfId="0" applyFont="1" applyFill="1"/>
    <xf numFmtId="0" fontId="3" fillId="6" borderId="69" xfId="0" applyFont="1" applyFill="1" applyBorder="1" applyAlignment="1">
      <alignment horizontal="left"/>
    </xf>
    <xf numFmtId="1" fontId="13" fillId="6" borderId="63" xfId="0" applyNumberFormat="1" applyFont="1" applyFill="1" applyBorder="1" applyAlignment="1">
      <alignment horizontal="center" vertical="center"/>
    </xf>
    <xf numFmtId="0" fontId="7" fillId="6" borderId="15" xfId="0" applyFont="1" applyFill="1" applyBorder="1"/>
    <xf numFmtId="2" fontId="13" fillId="6" borderId="63" xfId="0" applyNumberFormat="1" applyFont="1" applyFill="1" applyBorder="1" applyAlignment="1">
      <alignment horizontal="center"/>
    </xf>
    <xf numFmtId="164" fontId="13" fillId="6" borderId="63" xfId="0" applyNumberFormat="1" applyFont="1" applyFill="1" applyBorder="1" applyAlignment="1">
      <alignment horizontal="center"/>
    </xf>
    <xf numFmtId="2" fontId="13" fillId="6" borderId="63" xfId="0" applyNumberFormat="1" applyFont="1" applyFill="1" applyBorder="1" applyAlignment="1">
      <alignment horizontal="center" vertical="center"/>
    </xf>
    <xf numFmtId="2" fontId="13" fillId="6" borderId="63" xfId="0" quotePrefix="1" applyNumberFormat="1" applyFont="1" applyFill="1" applyBorder="1" applyAlignment="1">
      <alignment horizontal="center" vertical="center"/>
    </xf>
    <xf numFmtId="0" fontId="13" fillId="6" borderId="20" xfId="0" applyFont="1" applyFill="1" applyBorder="1"/>
    <xf numFmtId="0" fontId="13" fillId="6" borderId="1" xfId="0" applyFont="1" applyFill="1" applyBorder="1"/>
    <xf numFmtId="0" fontId="3" fillId="6" borderId="72" xfId="0" applyFont="1" applyFill="1" applyBorder="1" applyAlignment="1">
      <alignment horizontal="left"/>
    </xf>
    <xf numFmtId="2" fontId="13" fillId="6" borderId="66" xfId="0" applyNumberFormat="1" applyFont="1" applyFill="1" applyBorder="1" applyAlignment="1">
      <alignment horizontal="center" vertical="center"/>
    </xf>
    <xf numFmtId="0" fontId="7" fillId="6" borderId="60" xfId="0" applyFont="1" applyFill="1" applyBorder="1" applyAlignment="1">
      <alignment vertical="center"/>
    </xf>
    <xf numFmtId="0" fontId="6" fillId="6" borderId="60" xfId="0" applyFont="1" applyFill="1" applyBorder="1" applyAlignment="1">
      <alignment vertical="center"/>
    </xf>
    <xf numFmtId="0" fontId="6" fillId="6" borderId="115" xfId="0" applyFont="1" applyFill="1" applyBorder="1" applyAlignment="1">
      <alignment horizontal="center" vertical="center"/>
    </xf>
    <xf numFmtId="0" fontId="6" fillId="6" borderId="61" xfId="0" applyFont="1" applyFill="1" applyBorder="1" applyAlignment="1">
      <alignment horizontal="center" vertical="center"/>
    </xf>
    <xf numFmtId="0" fontId="13" fillId="6" borderId="58" xfId="0" applyFont="1" applyFill="1" applyBorder="1" applyAlignment="1">
      <alignment vertical="center"/>
    </xf>
    <xf numFmtId="0" fontId="16" fillId="6" borderId="58" xfId="0" applyFont="1" applyFill="1" applyBorder="1" applyAlignment="1">
      <alignment horizontal="left" vertical="center"/>
    </xf>
    <xf numFmtId="0" fontId="16" fillId="6" borderId="68" xfId="0" applyFont="1" applyFill="1" applyBorder="1" applyAlignment="1">
      <alignment horizontal="center" vertical="center"/>
    </xf>
    <xf numFmtId="0" fontId="16" fillId="6" borderId="63" xfId="0" applyFont="1" applyFill="1" applyBorder="1" applyAlignment="1">
      <alignment horizontal="center" vertical="center"/>
    </xf>
    <xf numFmtId="0" fontId="13" fillId="6" borderId="65" xfId="0" applyFont="1" applyFill="1" applyBorder="1" applyAlignment="1">
      <alignment vertical="center"/>
    </xf>
    <xf numFmtId="0" fontId="16" fillId="6" borderId="65" xfId="0" applyFont="1" applyFill="1" applyBorder="1" applyAlignment="1">
      <alignment vertical="center"/>
    </xf>
    <xf numFmtId="0" fontId="16" fillId="6" borderId="71" xfId="0" applyFont="1" applyFill="1" applyBorder="1" applyAlignment="1">
      <alignment horizontal="center" vertical="center"/>
    </xf>
    <xf numFmtId="0" fontId="16" fillId="6" borderId="66" xfId="0" applyFont="1" applyFill="1" applyBorder="1" applyAlignment="1">
      <alignment horizontal="center" vertical="center"/>
    </xf>
    <xf numFmtId="0" fontId="3" fillId="6" borderId="58" xfId="0" applyFont="1" applyFill="1" applyBorder="1" applyAlignment="1">
      <alignment horizontal="center" vertical="center"/>
    </xf>
    <xf numFmtId="0" fontId="3" fillId="6" borderId="63" xfId="0" applyFont="1" applyFill="1" applyBorder="1" applyAlignment="1">
      <alignment horizontal="center" vertical="center"/>
    </xf>
    <xf numFmtId="0" fontId="7" fillId="2" borderId="58" xfId="0" applyFont="1" applyFill="1" applyBorder="1" applyAlignment="1" applyProtection="1">
      <alignment horizontal="center"/>
      <protection locked="0"/>
    </xf>
    <xf numFmtId="0" fontId="7" fillId="6" borderId="62" xfId="0" applyFont="1" applyFill="1" applyBorder="1" applyAlignment="1">
      <alignment horizontal="center"/>
    </xf>
    <xf numFmtId="0" fontId="7" fillId="6" borderId="58" xfId="0" applyFont="1" applyFill="1" applyBorder="1" applyAlignment="1">
      <alignment horizontal="center"/>
    </xf>
    <xf numFmtId="0" fontId="13" fillId="6" borderId="116" xfId="0" applyFont="1" applyFill="1" applyBorder="1" applyAlignment="1">
      <alignment horizontal="center"/>
    </xf>
    <xf numFmtId="0" fontId="13" fillId="2" borderId="117" xfId="0" applyFont="1" applyFill="1" applyBorder="1" applyProtection="1">
      <protection locked="0"/>
    </xf>
    <xf numFmtId="0" fontId="13" fillId="2" borderId="117" xfId="0" applyFont="1" applyFill="1" applyBorder="1" applyAlignment="1" applyProtection="1">
      <alignment horizontal="center" vertical="center"/>
      <protection locked="0"/>
    </xf>
    <xf numFmtId="0" fontId="13" fillId="6" borderId="117" xfId="0" applyFont="1" applyFill="1" applyBorder="1" applyAlignment="1">
      <alignment horizontal="center"/>
    </xf>
    <xf numFmtId="165" fontId="13" fillId="6" borderId="117" xfId="0" quotePrefix="1" applyNumberFormat="1" applyFont="1" applyFill="1" applyBorder="1" applyAlignment="1">
      <alignment horizontal="center"/>
    </xf>
    <xf numFmtId="2" fontId="13" fillId="2" borderId="118" xfId="0" applyNumberFormat="1" applyFont="1" applyFill="1" applyBorder="1" applyAlignment="1" applyProtection="1">
      <alignment horizontal="center" vertical="center"/>
      <protection locked="0"/>
    </xf>
    <xf numFmtId="0" fontId="13" fillId="6" borderId="8" xfId="0" applyFont="1" applyFill="1" applyBorder="1"/>
    <xf numFmtId="0" fontId="13" fillId="6" borderId="53" xfId="0" applyFont="1" applyFill="1" applyBorder="1"/>
    <xf numFmtId="0" fontId="3" fillId="6" borderId="119" xfId="0" applyFont="1" applyFill="1" applyBorder="1" applyAlignment="1">
      <alignment horizontal="left"/>
    </xf>
    <xf numFmtId="1" fontId="13" fillId="6" borderId="61" xfId="0" applyNumberFormat="1" applyFont="1" applyFill="1" applyBorder="1" applyAlignment="1">
      <alignment horizontal="center" vertical="center"/>
    </xf>
    <xf numFmtId="0" fontId="13" fillId="6" borderId="117" xfId="0" applyFont="1" applyFill="1" applyBorder="1" applyAlignment="1">
      <alignment horizontal="center" vertical="center"/>
    </xf>
    <xf numFmtId="165" fontId="13" fillId="6" borderId="117" xfId="0" quotePrefix="1" applyNumberFormat="1" applyFont="1" applyFill="1" applyBorder="1" applyAlignment="1">
      <alignment horizontal="center" vertical="center"/>
    </xf>
    <xf numFmtId="0" fontId="13" fillId="2" borderId="117" xfId="0" applyFont="1" applyFill="1" applyBorder="1" applyAlignment="1" applyProtection="1">
      <alignment horizontal="center"/>
      <protection locked="0"/>
    </xf>
    <xf numFmtId="2" fontId="13" fillId="2" borderId="118" xfId="0" applyNumberFormat="1" applyFont="1" applyFill="1" applyBorder="1" applyAlignment="1" applyProtection="1">
      <alignment horizontal="center"/>
      <protection locked="0"/>
    </xf>
    <xf numFmtId="0" fontId="7" fillId="6" borderId="63" xfId="0" applyFont="1" applyFill="1" applyBorder="1" applyAlignment="1">
      <alignment horizontal="center" vertical="center"/>
    </xf>
    <xf numFmtId="0" fontId="13" fillId="6" borderId="62" xfId="0" applyFont="1" applyFill="1" applyBorder="1" applyAlignment="1">
      <alignment horizontal="center" vertical="center"/>
    </xf>
    <xf numFmtId="0" fontId="13" fillId="2" borderId="65" xfId="0" applyFont="1" applyFill="1" applyBorder="1" applyProtection="1">
      <protection locked="0"/>
    </xf>
    <xf numFmtId="0" fontId="13" fillId="6" borderId="116" xfId="0" applyFont="1" applyFill="1" applyBorder="1" applyAlignment="1">
      <alignment horizontal="center" vertical="center"/>
    </xf>
    <xf numFmtId="0" fontId="43" fillId="0" borderId="0" xfId="0" applyFont="1"/>
    <xf numFmtId="0" fontId="0" fillId="0" borderId="0" xfId="0" applyAlignment="1">
      <alignment horizontal="center" vertical="center"/>
    </xf>
    <xf numFmtId="0" fontId="44" fillId="0" borderId="0" xfId="0" applyFont="1"/>
    <xf numFmtId="0" fontId="1" fillId="0" borderId="0" xfId="0" applyFont="1" applyAlignment="1">
      <alignment horizontal="center"/>
    </xf>
    <xf numFmtId="0" fontId="0" fillId="0" borderId="58" xfId="0" applyBorder="1" applyAlignment="1">
      <alignment horizontal="center" vertical="center"/>
    </xf>
    <xf numFmtId="0" fontId="0" fillId="10" borderId="68" xfId="0" applyFill="1" applyBorder="1" applyAlignment="1">
      <alignment horizontal="center"/>
    </xf>
    <xf numFmtId="2" fontId="0" fillId="0" borderId="63" xfId="0" applyNumberFormat="1" applyBorder="1" applyAlignment="1">
      <alignment horizontal="center" vertical="center"/>
    </xf>
    <xf numFmtId="0" fontId="0" fillId="0" borderId="58" xfId="0" applyBorder="1" applyAlignment="1">
      <alignment horizontal="center"/>
    </xf>
    <xf numFmtId="2" fontId="0" fillId="10" borderId="68" xfId="0" applyNumberFormat="1" applyFill="1" applyBorder="1" applyAlignment="1">
      <alignment horizontal="center"/>
    </xf>
    <xf numFmtId="2" fontId="0" fillId="10" borderId="68" xfId="0" quotePrefix="1" applyNumberFormat="1" applyFill="1" applyBorder="1" applyAlignment="1">
      <alignment horizontal="center"/>
    </xf>
    <xf numFmtId="2" fontId="0" fillId="6" borderId="58" xfId="0" applyNumberFormat="1" applyFill="1" applyBorder="1" applyAlignment="1">
      <alignment horizontal="center" vertical="center"/>
    </xf>
    <xf numFmtId="2" fontId="0" fillId="6" borderId="58" xfId="0" applyNumberFormat="1" applyFill="1" applyBorder="1" applyAlignment="1">
      <alignment horizontal="center"/>
    </xf>
    <xf numFmtId="2" fontId="0" fillId="6" borderId="65" xfId="0" applyNumberFormat="1" applyFill="1" applyBorder="1" applyAlignment="1">
      <alignment horizontal="center" vertical="center"/>
    </xf>
    <xf numFmtId="2" fontId="0" fillId="6" borderId="65" xfId="0" applyNumberFormat="1" applyFill="1" applyBorder="1" applyAlignment="1">
      <alignment horizontal="center"/>
    </xf>
    <xf numFmtId="0" fontId="1" fillId="6" borderId="60" xfId="0" applyFont="1" applyFill="1" applyBorder="1" applyAlignment="1">
      <alignment horizontal="center" vertical="center"/>
    </xf>
    <xf numFmtId="1" fontId="0" fillId="6" borderId="62" xfId="0" applyNumberFormat="1" applyFill="1" applyBorder="1" applyAlignment="1">
      <alignment horizontal="center" vertical="center"/>
    </xf>
    <xf numFmtId="1" fontId="0" fillId="6" borderId="64" xfId="0" applyNumberFormat="1" applyFill="1" applyBorder="1" applyAlignment="1">
      <alignment horizontal="center" vertical="center"/>
    </xf>
    <xf numFmtId="0" fontId="0" fillId="6" borderId="58" xfId="0" applyFill="1" applyBorder="1" applyAlignment="1">
      <alignment horizontal="center" vertical="center"/>
    </xf>
    <xf numFmtId="0" fontId="0" fillId="6" borderId="58" xfId="0" applyFill="1" applyBorder="1" applyAlignment="1">
      <alignment horizontal="center"/>
    </xf>
    <xf numFmtId="0" fontId="0" fillId="6" borderId="68" xfId="0" applyFill="1" applyBorder="1" applyAlignment="1">
      <alignment horizontal="center"/>
    </xf>
    <xf numFmtId="2" fontId="0" fillId="6" borderId="68" xfId="0" applyNumberFormat="1" applyFill="1" applyBorder="1" applyAlignment="1">
      <alignment horizontal="center"/>
    </xf>
    <xf numFmtId="2" fontId="0" fillId="6" borderId="63" xfId="0" applyNumberFormat="1" applyFill="1" applyBorder="1" applyAlignment="1">
      <alignment horizontal="center" vertical="center"/>
    </xf>
    <xf numFmtId="0" fontId="0" fillId="6" borderId="65" xfId="0" applyFill="1" applyBorder="1" applyAlignment="1">
      <alignment horizontal="center" vertical="center"/>
    </xf>
    <xf numFmtId="0" fontId="0" fillId="6" borderId="65" xfId="0" applyFill="1" applyBorder="1" applyAlignment="1">
      <alignment horizontal="center"/>
    </xf>
    <xf numFmtId="0" fontId="0" fillId="6" borderId="120" xfId="0" applyFill="1" applyBorder="1" applyAlignment="1">
      <alignment horizontal="center"/>
    </xf>
    <xf numFmtId="2" fontId="0" fillId="6" borderId="66" xfId="0" applyNumberFormat="1" applyFill="1" applyBorder="1" applyAlignment="1">
      <alignment horizontal="center" vertical="center"/>
    </xf>
    <xf numFmtId="0" fontId="1" fillId="6" borderId="64" xfId="0" applyFont="1" applyFill="1" applyBorder="1" applyAlignment="1">
      <alignment horizontal="left"/>
    </xf>
    <xf numFmtId="167" fontId="1" fillId="6" borderId="65" xfId="0" applyNumberFormat="1" applyFont="1" applyFill="1" applyBorder="1" applyAlignment="1">
      <alignment horizontal="center"/>
    </xf>
    <xf numFmtId="0" fontId="1" fillId="6" borderId="65" xfId="0" applyFont="1" applyFill="1" applyBorder="1" applyAlignment="1">
      <alignment horizontal="center"/>
    </xf>
    <xf numFmtId="167" fontId="1" fillId="6" borderId="66" xfId="0" applyNumberFormat="1" applyFont="1" applyFill="1" applyBorder="1" applyAlignment="1">
      <alignment horizontal="center"/>
    </xf>
    <xf numFmtId="0" fontId="44" fillId="11" borderId="61" xfId="0" applyFont="1" applyFill="1" applyBorder="1" applyAlignment="1" applyProtection="1">
      <alignment horizontal="center"/>
      <protection locked="0"/>
    </xf>
    <xf numFmtId="0" fontId="44" fillId="11" borderId="66" xfId="0" quotePrefix="1" applyFont="1" applyFill="1" applyBorder="1" applyAlignment="1" applyProtection="1">
      <alignment horizontal="center"/>
      <protection locked="0"/>
    </xf>
    <xf numFmtId="167" fontId="0" fillId="11" borderId="58" xfId="0" applyNumberFormat="1" applyFill="1" applyBorder="1" applyAlignment="1" applyProtection="1">
      <alignment horizontal="center" vertical="center"/>
      <protection locked="0"/>
    </xf>
    <xf numFmtId="0" fontId="0" fillId="11" borderId="58" xfId="0" applyFill="1" applyBorder="1" applyAlignment="1" applyProtection="1">
      <alignment horizontal="center" vertical="center"/>
      <protection locked="0"/>
    </xf>
    <xf numFmtId="2" fontId="0" fillId="11" borderId="58" xfId="0" applyNumberFormat="1" applyFill="1" applyBorder="1" applyAlignment="1" applyProtection="1">
      <alignment horizontal="center" vertical="center"/>
      <protection locked="0"/>
    </xf>
    <xf numFmtId="167" fontId="0" fillId="11" borderId="65" xfId="0" applyNumberFormat="1" applyFill="1" applyBorder="1" applyAlignment="1" applyProtection="1">
      <alignment horizontal="center" vertical="center"/>
      <protection locked="0"/>
    </xf>
    <xf numFmtId="0" fontId="0" fillId="11" borderId="65" xfId="0" applyFill="1" applyBorder="1" applyAlignment="1" applyProtection="1">
      <alignment horizontal="center" vertical="center"/>
      <protection locked="0"/>
    </xf>
    <xf numFmtId="2" fontId="0" fillId="11" borderId="65" xfId="0" applyNumberFormat="1" applyFill="1" applyBorder="1" applyAlignment="1" applyProtection="1">
      <alignment horizontal="center" vertical="center"/>
      <protection locked="0"/>
    </xf>
    <xf numFmtId="0" fontId="0" fillId="0" borderId="15" xfId="0" applyBorder="1"/>
    <xf numFmtId="0" fontId="0" fillId="0" borderId="20" xfId="0" applyBorder="1"/>
    <xf numFmtId="0" fontId="0" fillId="0" borderId="1" xfId="0" applyBorder="1"/>
    <xf numFmtId="0" fontId="0" fillId="0" borderId="124" xfId="0" applyBorder="1"/>
    <xf numFmtId="0" fontId="1" fillId="6" borderId="59" xfId="0" applyFont="1" applyFill="1" applyBorder="1" applyAlignment="1">
      <alignment horizontal="center" vertical="center"/>
    </xf>
    <xf numFmtId="0" fontId="1" fillId="6" borderId="60" xfId="0" quotePrefix="1" applyFont="1" applyFill="1" applyBorder="1" applyAlignment="1">
      <alignment horizontal="center" vertical="center"/>
    </xf>
    <xf numFmtId="0" fontId="45" fillId="6" borderId="60" xfId="0" applyFont="1" applyFill="1" applyBorder="1" applyAlignment="1">
      <alignment horizontal="center" vertical="center"/>
    </xf>
    <xf numFmtId="0" fontId="1" fillId="6" borderId="115" xfId="0" applyFont="1" applyFill="1" applyBorder="1" applyAlignment="1">
      <alignment horizontal="center" vertical="center"/>
    </xf>
    <xf numFmtId="0" fontId="1" fillId="6" borderId="115" xfId="0" quotePrefix="1" applyFont="1" applyFill="1" applyBorder="1" applyAlignment="1">
      <alignment horizontal="center" vertical="center"/>
    </xf>
    <xf numFmtId="0" fontId="1" fillId="6" borderId="61" xfId="0" applyFont="1" applyFill="1" applyBorder="1" applyAlignment="1">
      <alignment horizontal="center" vertical="center"/>
    </xf>
    <xf numFmtId="164" fontId="0" fillId="6" borderId="58" xfId="0" applyNumberFormat="1" applyFill="1" applyBorder="1" applyAlignment="1">
      <alignment horizontal="center" vertical="center"/>
    </xf>
    <xf numFmtId="164" fontId="0" fillId="6" borderId="58" xfId="0" applyNumberFormat="1" applyFill="1" applyBorder="1" applyAlignment="1">
      <alignment horizontal="center"/>
    </xf>
    <xf numFmtId="164" fontId="0" fillId="6" borderId="65" xfId="0" applyNumberFormat="1" applyFill="1" applyBorder="1" applyAlignment="1">
      <alignment horizontal="center" vertical="center"/>
    </xf>
    <xf numFmtId="164" fontId="0" fillId="6" borderId="65" xfId="0" applyNumberFormat="1" applyFill="1" applyBorder="1" applyAlignment="1">
      <alignment horizontal="center"/>
    </xf>
    <xf numFmtId="0" fontId="44" fillId="2" borderId="9" xfId="0" applyFont="1" applyFill="1" applyBorder="1" applyAlignment="1">
      <alignment horizontal="center"/>
    </xf>
    <xf numFmtId="0" fontId="44" fillId="13" borderId="124" xfId="0" applyFont="1" applyFill="1" applyBorder="1" applyAlignment="1">
      <alignment horizontal="center"/>
    </xf>
    <xf numFmtId="0" fontId="1" fillId="0" borderId="59" xfId="0" applyFont="1" applyBorder="1" applyAlignment="1">
      <alignment horizontal="center"/>
    </xf>
    <xf numFmtId="0" fontId="1" fillId="0" borderId="119" xfId="0" applyFont="1" applyBorder="1" applyAlignment="1">
      <alignment horizontal="center"/>
    </xf>
    <xf numFmtId="0" fontId="1" fillId="0" borderId="60" xfId="0" applyFont="1" applyBorder="1" applyAlignment="1">
      <alignment horizontal="center"/>
    </xf>
    <xf numFmtId="1" fontId="0" fillId="0" borderId="62" xfId="0" applyNumberFormat="1" applyBorder="1" applyAlignment="1">
      <alignment horizontal="center" vertical="center"/>
    </xf>
    <xf numFmtId="2" fontId="0" fillId="3" borderId="58" xfId="0" applyNumberFormat="1" applyFill="1" applyBorder="1" applyAlignment="1">
      <alignment horizontal="center" vertical="center"/>
    </xf>
    <xf numFmtId="2" fontId="0" fillId="0" borderId="58" xfId="0" applyNumberFormat="1" applyBorder="1" applyAlignment="1">
      <alignment horizontal="center" vertical="center"/>
    </xf>
    <xf numFmtId="0" fontId="1" fillId="0" borderId="60" xfId="0" quotePrefix="1" applyFont="1" applyBorder="1" applyAlignment="1">
      <alignment horizontal="center"/>
    </xf>
    <xf numFmtId="0" fontId="45" fillId="0" borderId="60" xfId="0" applyFont="1" applyBorder="1" applyAlignment="1">
      <alignment horizontal="center"/>
    </xf>
    <xf numFmtId="0" fontId="1" fillId="0" borderId="115" xfId="0" applyFont="1" applyBorder="1" applyAlignment="1">
      <alignment horizontal="center"/>
    </xf>
    <xf numFmtId="0" fontId="1" fillId="0" borderId="60" xfId="0" applyFont="1" applyBorder="1" applyAlignment="1">
      <alignment horizontal="center" vertical="center"/>
    </xf>
    <xf numFmtId="0" fontId="1" fillId="0" borderId="61" xfId="0" applyFont="1" applyBorder="1" applyAlignment="1">
      <alignment horizontal="center"/>
    </xf>
    <xf numFmtId="2" fontId="0" fillId="0" borderId="58" xfId="0" applyNumberFormat="1" applyBorder="1" applyAlignment="1">
      <alignment horizontal="center"/>
    </xf>
    <xf numFmtId="2" fontId="0" fillId="0" borderId="68" xfId="0" applyNumberFormat="1" applyBorder="1" applyAlignment="1">
      <alignment horizontal="center"/>
    </xf>
    <xf numFmtId="0" fontId="0" fillId="10" borderId="58" xfId="0" applyFill="1" applyBorder="1" applyAlignment="1">
      <alignment horizontal="center"/>
    </xf>
    <xf numFmtId="1" fontId="0" fillId="0" borderId="64" xfId="0" applyNumberFormat="1" applyBorder="1" applyAlignment="1">
      <alignment horizontal="center" vertical="center"/>
    </xf>
    <xf numFmtId="0" fontId="0" fillId="0" borderId="65" xfId="0" applyBorder="1" applyAlignment="1">
      <alignment horizontal="center" vertical="center"/>
    </xf>
    <xf numFmtId="2" fontId="0" fillId="3" borderId="65" xfId="0" applyNumberFormat="1" applyFill="1" applyBorder="1" applyAlignment="1">
      <alignment horizontal="center" vertical="center"/>
    </xf>
    <xf numFmtId="2" fontId="0" fillId="0" borderId="65" xfId="0" applyNumberFormat="1" applyBorder="1" applyAlignment="1">
      <alignment horizontal="center" vertical="center"/>
    </xf>
    <xf numFmtId="2" fontId="0" fillId="0" borderId="65" xfId="0" applyNumberFormat="1" applyBorder="1" applyAlignment="1">
      <alignment horizontal="center"/>
    </xf>
    <xf numFmtId="2" fontId="0" fillId="0" borderId="71" xfId="0" applyNumberFormat="1" applyBorder="1" applyAlignment="1">
      <alignment horizontal="center"/>
    </xf>
    <xf numFmtId="0" fontId="0" fillId="0" borderId="65" xfId="0" applyBorder="1" applyAlignment="1">
      <alignment horizontal="center"/>
    </xf>
    <xf numFmtId="2" fontId="0" fillId="0" borderId="66" xfId="0" applyNumberFormat="1" applyBorder="1" applyAlignment="1">
      <alignment horizontal="center" vertical="center"/>
    </xf>
    <xf numFmtId="0" fontId="38" fillId="6" borderId="8" xfId="0" applyFont="1" applyFill="1" applyBorder="1" applyAlignment="1">
      <alignment horizontal="center" vertical="center"/>
    </xf>
    <xf numFmtId="0" fontId="38" fillId="6" borderId="53" xfId="0" applyFont="1" applyFill="1" applyBorder="1" applyAlignment="1">
      <alignment vertical="center"/>
    </xf>
    <xf numFmtId="0" fontId="15" fillId="6" borderId="53" xfId="0" applyFont="1" applyFill="1" applyBorder="1" applyAlignment="1">
      <alignment vertical="center"/>
    </xf>
    <xf numFmtId="0" fontId="15" fillId="6" borderId="9" xfId="0" applyFont="1" applyFill="1" applyBorder="1" applyAlignment="1">
      <alignment vertical="center"/>
    </xf>
    <xf numFmtId="0" fontId="39" fillId="6" borderId="15" xfId="0" applyFont="1" applyFill="1" applyBorder="1" applyAlignment="1">
      <alignment horizontal="center" vertical="center"/>
    </xf>
    <xf numFmtId="0" fontId="15" fillId="6" borderId="0" xfId="0" applyFont="1" applyFill="1" applyAlignment="1">
      <alignment vertical="center"/>
    </xf>
    <xf numFmtId="0" fontId="13" fillId="6" borderId="0" xfId="0" applyFont="1" applyFill="1" applyAlignment="1">
      <alignment vertical="center"/>
    </xf>
    <xf numFmtId="0" fontId="15" fillId="6" borderId="67" xfId="0" applyFont="1" applyFill="1" applyBorder="1" applyAlignment="1">
      <alignment vertical="center"/>
    </xf>
    <xf numFmtId="0" fontId="39" fillId="6" borderId="20" xfId="0" applyFont="1" applyFill="1" applyBorder="1" applyAlignment="1">
      <alignment horizontal="center" vertical="center"/>
    </xf>
    <xf numFmtId="0" fontId="15" fillId="6" borderId="1" xfId="0" applyFont="1" applyFill="1" applyBorder="1" applyAlignment="1">
      <alignment vertical="center"/>
    </xf>
    <xf numFmtId="0" fontId="15" fillId="6" borderId="124" xfId="0" applyFont="1" applyFill="1" applyBorder="1" applyAlignment="1">
      <alignment vertical="center"/>
    </xf>
    <xf numFmtId="0" fontId="15" fillId="6" borderId="0" xfId="0" applyFont="1" applyFill="1" applyAlignment="1">
      <alignment horizontal="right" vertical="center"/>
    </xf>
    <xf numFmtId="0" fontId="15" fillId="6" borderId="1" xfId="0" applyFont="1" applyFill="1" applyBorder="1" applyAlignment="1">
      <alignment horizontal="right" vertical="center"/>
    </xf>
    <xf numFmtId="0" fontId="38" fillId="12" borderId="8" xfId="0" applyFont="1" applyFill="1" applyBorder="1" applyAlignment="1">
      <alignment horizontal="center" vertical="center"/>
    </xf>
    <xf numFmtId="0" fontId="38" fillId="12" borderId="53" xfId="0" applyFont="1" applyFill="1" applyBorder="1" applyAlignment="1">
      <alignment vertical="center"/>
    </xf>
    <xf numFmtId="0" fontId="15" fillId="12" borderId="53" xfId="0" applyFont="1" applyFill="1" applyBorder="1" applyAlignment="1">
      <alignment vertical="center"/>
    </xf>
    <xf numFmtId="0" fontId="15" fillId="12" borderId="9" xfId="0" applyFont="1" applyFill="1" applyBorder="1" applyAlignment="1">
      <alignment vertical="center"/>
    </xf>
    <xf numFmtId="0" fontId="39" fillId="12" borderId="15" xfId="0" applyFont="1" applyFill="1" applyBorder="1" applyAlignment="1">
      <alignment horizontal="center" vertical="center"/>
    </xf>
    <xf numFmtId="0" fontId="15" fillId="12" borderId="0" xfId="0" applyFont="1" applyFill="1" applyAlignment="1">
      <alignment horizontal="right" vertical="center"/>
    </xf>
    <xf numFmtId="0" fontId="15" fillId="12" borderId="0" xfId="0" applyFont="1" applyFill="1" applyAlignment="1">
      <alignment vertical="center"/>
    </xf>
    <xf numFmtId="0" fontId="15" fillId="12" borderId="67" xfId="0" applyFont="1" applyFill="1" applyBorder="1" applyAlignment="1">
      <alignment vertical="center"/>
    </xf>
    <xf numFmtId="0" fontId="39" fillId="12" borderId="20" xfId="0" applyFont="1" applyFill="1" applyBorder="1" applyAlignment="1">
      <alignment horizontal="center" vertical="center"/>
    </xf>
    <xf numFmtId="0" fontId="15" fillId="12" borderId="1" xfId="0" applyFont="1" applyFill="1" applyBorder="1" applyAlignment="1">
      <alignment horizontal="right" vertical="center"/>
    </xf>
    <xf numFmtId="0" fontId="15" fillId="12" borderId="1" xfId="0" applyFont="1" applyFill="1" applyBorder="1" applyAlignment="1">
      <alignment vertical="center"/>
    </xf>
    <xf numFmtId="0" fontId="15" fillId="12" borderId="124" xfId="0" applyFont="1" applyFill="1" applyBorder="1" applyAlignment="1">
      <alignment vertical="center"/>
    </xf>
    <xf numFmtId="0" fontId="38" fillId="2" borderId="8" xfId="0" applyFont="1" applyFill="1" applyBorder="1" applyAlignment="1">
      <alignment horizontal="center" vertical="center"/>
    </xf>
    <xf numFmtId="0" fontId="38" fillId="2" borderId="53" xfId="0" applyFont="1" applyFill="1" applyBorder="1" applyAlignment="1">
      <alignment vertical="center"/>
    </xf>
    <xf numFmtId="0" fontId="14" fillId="2" borderId="53" xfId="0" applyFont="1" applyFill="1" applyBorder="1" applyAlignment="1">
      <alignment vertical="center"/>
    </xf>
    <xf numFmtId="0" fontId="15" fillId="2" borderId="53" xfId="0" applyFont="1" applyFill="1" applyBorder="1" applyAlignment="1">
      <alignment vertical="center"/>
    </xf>
    <xf numFmtId="0" fontId="15" fillId="2" borderId="9" xfId="0" applyFont="1" applyFill="1" applyBorder="1" applyAlignment="1">
      <alignment vertical="center"/>
    </xf>
    <xf numFmtId="0" fontId="39" fillId="2" borderId="15" xfId="0" applyFont="1" applyFill="1" applyBorder="1" applyAlignment="1">
      <alignment horizontal="center" vertical="center"/>
    </xf>
    <xf numFmtId="0" fontId="15" fillId="2" borderId="0" xfId="0" applyFont="1" applyFill="1" applyAlignment="1">
      <alignment horizontal="right" vertical="center"/>
    </xf>
    <xf numFmtId="0" fontId="15" fillId="2" borderId="0" xfId="0" applyFont="1" applyFill="1" applyAlignment="1">
      <alignment vertical="center"/>
    </xf>
    <xf numFmtId="0" fontId="15" fillId="2" borderId="67" xfId="0" applyFont="1" applyFill="1" applyBorder="1" applyAlignment="1">
      <alignment vertical="center"/>
    </xf>
    <xf numFmtId="0" fontId="13" fillId="2" borderId="0" xfId="0" applyFont="1" applyFill="1" applyAlignment="1">
      <alignment vertical="center"/>
    </xf>
    <xf numFmtId="0" fontId="15" fillId="2" borderId="0" xfId="0" applyFont="1" applyFill="1" applyAlignment="1">
      <alignment horizontal="left" vertical="center" indent="2"/>
    </xf>
    <xf numFmtId="0" fontId="39" fillId="2" borderId="20" xfId="0" applyFont="1" applyFill="1" applyBorder="1" applyAlignment="1">
      <alignment horizontal="center" vertical="center"/>
    </xf>
    <xf numFmtId="0" fontId="15" fillId="2" borderId="1" xfId="0" applyFont="1" applyFill="1" applyBorder="1" applyAlignment="1">
      <alignment horizontal="right" vertical="center"/>
    </xf>
    <xf numFmtId="0" fontId="15" fillId="2" borderId="1" xfId="0" applyFont="1" applyFill="1" applyBorder="1" applyAlignment="1">
      <alignment vertical="center"/>
    </xf>
    <xf numFmtId="0" fontId="15" fillId="2" borderId="124" xfId="0" applyFont="1" applyFill="1" applyBorder="1" applyAlignment="1">
      <alignment vertical="center"/>
    </xf>
    <xf numFmtId="0" fontId="15" fillId="6" borderId="0" xfId="0" applyFont="1" applyFill="1" applyAlignment="1">
      <alignment horizontal="center" vertical="center"/>
    </xf>
    <xf numFmtId="0" fontId="38" fillId="6" borderId="15" xfId="0" applyFont="1" applyFill="1" applyBorder="1" applyAlignment="1">
      <alignment horizontal="center" vertical="center"/>
    </xf>
    <xf numFmtId="0" fontId="14" fillId="6" borderId="0" xfId="0" applyFont="1" applyFill="1" applyAlignment="1">
      <alignment vertical="center"/>
    </xf>
    <xf numFmtId="0" fontId="14" fillId="6" borderId="0" xfId="0" quotePrefix="1" applyFont="1" applyFill="1" applyAlignment="1">
      <alignment horizontal="left" vertical="center"/>
    </xf>
    <xf numFmtId="0" fontId="38" fillId="6" borderId="20" xfId="0" applyFont="1" applyFill="1" applyBorder="1" applyAlignment="1">
      <alignment horizontal="center" vertical="center"/>
    </xf>
    <xf numFmtId="0" fontId="13" fillId="6" borderId="1" xfId="0" applyFont="1" applyFill="1" applyBorder="1" applyAlignment="1">
      <alignment vertical="center"/>
    </xf>
    <xf numFmtId="0" fontId="14" fillId="6" borderId="1" xfId="0" applyFont="1" applyFill="1" applyBorder="1" applyAlignment="1">
      <alignment vertical="center"/>
    </xf>
    <xf numFmtId="0" fontId="38" fillId="14" borderId="8" xfId="0" applyFont="1" applyFill="1" applyBorder="1" applyAlignment="1">
      <alignment horizontal="center" vertical="center"/>
    </xf>
    <xf numFmtId="0" fontId="38" fillId="14" borderId="53" xfId="0" applyFont="1" applyFill="1" applyBorder="1" applyAlignment="1">
      <alignment vertical="center"/>
    </xf>
    <xf numFmtId="0" fontId="14" fillId="14" borderId="53" xfId="0" applyFont="1" applyFill="1" applyBorder="1" applyAlignment="1">
      <alignment vertical="center"/>
    </xf>
    <xf numFmtId="0" fontId="15" fillId="14" borderId="53" xfId="0" applyFont="1" applyFill="1" applyBorder="1" applyAlignment="1">
      <alignment vertical="center"/>
    </xf>
    <xf numFmtId="0" fontId="15" fillId="14" borderId="9" xfId="0" applyFont="1" applyFill="1" applyBorder="1" applyAlignment="1">
      <alignment vertical="center"/>
    </xf>
    <xf numFmtId="0" fontId="39" fillId="14" borderId="15" xfId="0" applyFont="1" applyFill="1" applyBorder="1" applyAlignment="1">
      <alignment horizontal="center" vertical="center"/>
    </xf>
    <xf numFmtId="0" fontId="15" fillId="14" borderId="0" xfId="0" applyFont="1" applyFill="1" applyAlignment="1">
      <alignment vertical="center"/>
    </xf>
    <xf numFmtId="0" fontId="15" fillId="14" borderId="67" xfId="0" applyFont="1" applyFill="1" applyBorder="1" applyAlignment="1">
      <alignment vertical="center"/>
    </xf>
    <xf numFmtId="0" fontId="39" fillId="14" borderId="20" xfId="0" applyFont="1" applyFill="1" applyBorder="1" applyAlignment="1">
      <alignment horizontal="center" vertical="center"/>
    </xf>
    <xf numFmtId="0" fontId="15" fillId="14" borderId="1" xfId="0" applyFont="1" applyFill="1" applyBorder="1" applyAlignment="1">
      <alignment vertical="center"/>
    </xf>
    <xf numFmtId="0" fontId="15" fillId="14" borderId="124" xfId="0" applyFont="1" applyFill="1" applyBorder="1" applyAlignment="1">
      <alignment vertical="center"/>
    </xf>
    <xf numFmtId="166" fontId="15" fillId="6" borderId="0" xfId="0" applyNumberFormat="1" applyFont="1" applyFill="1" applyAlignment="1">
      <alignment horizontal="center" vertical="center"/>
    </xf>
    <xf numFmtId="0" fontId="38" fillId="6" borderId="8" xfId="0" applyFont="1" applyFill="1" applyBorder="1" applyAlignment="1">
      <alignment vertical="center"/>
    </xf>
    <xf numFmtId="0" fontId="15" fillId="6" borderId="59" xfId="0" applyFont="1" applyFill="1" applyBorder="1" applyAlignment="1">
      <alignment horizontal="center" vertical="center"/>
    </xf>
    <xf numFmtId="0" fontId="15" fillId="6" borderId="61" xfId="0" applyFont="1" applyFill="1" applyBorder="1" applyAlignment="1">
      <alignment horizontal="center" vertical="center"/>
    </xf>
    <xf numFmtId="0" fontId="15" fillId="6" borderId="62" xfId="0" applyFont="1" applyFill="1" applyBorder="1" applyAlignment="1">
      <alignment horizontal="center" vertical="center"/>
    </xf>
    <xf numFmtId="0" fontId="15" fillId="6" borderId="63" xfId="0" applyFont="1" applyFill="1" applyBorder="1" applyAlignment="1">
      <alignment horizontal="center" vertical="center"/>
    </xf>
    <xf numFmtId="16" fontId="15" fillId="6" borderId="62" xfId="0" quotePrefix="1" applyNumberFormat="1" applyFont="1" applyFill="1" applyBorder="1" applyAlignment="1">
      <alignment horizontal="center" vertical="center"/>
    </xf>
    <xf numFmtId="0" fontId="15" fillId="6" borderId="64" xfId="0" applyFont="1" applyFill="1" applyBorder="1" applyAlignment="1">
      <alignment horizontal="center" vertical="center"/>
    </xf>
    <xf numFmtId="0" fontId="15" fillId="6" borderId="66" xfId="0" applyFont="1" applyFill="1" applyBorder="1" applyAlignment="1">
      <alignment horizontal="center" vertical="center"/>
    </xf>
    <xf numFmtId="0" fontId="38" fillId="2" borderId="15" xfId="0" applyFont="1" applyFill="1" applyBorder="1" applyAlignment="1">
      <alignment horizontal="center" vertical="center"/>
    </xf>
    <xf numFmtId="0" fontId="38" fillId="2" borderId="0" xfId="0" applyFont="1" applyFill="1" applyAlignment="1">
      <alignment vertical="center"/>
    </xf>
    <xf numFmtId="0" fontId="14" fillId="2" borderId="0" xfId="0" applyFont="1" applyFill="1" applyAlignment="1">
      <alignment vertical="center"/>
    </xf>
    <xf numFmtId="0" fontId="38" fillId="12" borderId="15" xfId="0" applyFont="1" applyFill="1" applyBorder="1" applyAlignment="1">
      <alignment horizontal="center" vertical="center"/>
    </xf>
    <xf numFmtId="0" fontId="15" fillId="5" borderId="0" xfId="0" applyFont="1" applyFill="1" applyAlignment="1">
      <alignment vertical="center"/>
    </xf>
    <xf numFmtId="0" fontId="38" fillId="14" borderId="15" xfId="0" applyFont="1" applyFill="1" applyBorder="1" applyAlignment="1">
      <alignment horizontal="center" vertical="center"/>
    </xf>
    <xf numFmtId="0" fontId="38" fillId="14" borderId="0" xfId="0" applyFont="1" applyFill="1" applyAlignment="1">
      <alignment vertical="center"/>
    </xf>
    <xf numFmtId="0" fontId="38" fillId="5" borderId="8" xfId="0" applyFont="1" applyFill="1" applyBorder="1" applyAlignment="1">
      <alignment horizontal="center" vertical="center"/>
    </xf>
    <xf numFmtId="0" fontId="39" fillId="5" borderId="15" xfId="0" applyFont="1" applyFill="1" applyBorder="1" applyAlignment="1">
      <alignment horizontal="center" vertical="center"/>
    </xf>
    <xf numFmtId="0" fontId="39" fillId="5" borderId="20" xfId="0" applyFont="1" applyFill="1" applyBorder="1" applyAlignment="1">
      <alignment horizontal="center" vertical="center"/>
    </xf>
    <xf numFmtId="0" fontId="15" fillId="5" borderId="1" xfId="0" applyFont="1" applyFill="1" applyBorder="1" applyAlignment="1">
      <alignment vertical="center"/>
    </xf>
    <xf numFmtId="2" fontId="0" fillId="0" borderId="0" xfId="0" applyNumberFormat="1" applyAlignment="1">
      <alignment horizontal="center" vertical="center"/>
    </xf>
    <xf numFmtId="1" fontId="0" fillId="2" borderId="69" xfId="0" applyNumberFormat="1" applyFill="1" applyBorder="1" applyAlignment="1" applyProtection="1">
      <alignment horizontal="center" vertical="center"/>
      <protection locked="0"/>
    </xf>
    <xf numFmtId="0" fontId="0" fillId="2" borderId="58" xfId="0" applyFill="1" applyBorder="1" applyAlignment="1" applyProtection="1">
      <alignment horizontal="center" vertical="center"/>
      <protection locked="0"/>
    </xf>
    <xf numFmtId="2" fontId="0" fillId="2" borderId="58" xfId="0" applyNumberFormat="1" applyFill="1" applyBorder="1" applyAlignment="1" applyProtection="1">
      <alignment horizontal="center" vertical="center"/>
      <protection locked="0"/>
    </xf>
    <xf numFmtId="1" fontId="0" fillId="2" borderId="72" xfId="0" applyNumberFormat="1" applyFill="1" applyBorder="1" applyAlignment="1" applyProtection="1">
      <alignment horizontal="center" vertical="center"/>
      <protection locked="0"/>
    </xf>
    <xf numFmtId="0" fontId="0" fillId="2" borderId="65" xfId="0" applyFill="1" applyBorder="1" applyAlignment="1" applyProtection="1">
      <alignment horizontal="center" vertical="center"/>
      <protection locked="0"/>
    </xf>
    <xf numFmtId="2" fontId="0" fillId="2" borderId="65" xfId="0" applyNumberFormat="1" applyFill="1" applyBorder="1" applyAlignment="1" applyProtection="1">
      <alignment horizontal="center" vertical="center"/>
      <protection locked="0"/>
    </xf>
    <xf numFmtId="0" fontId="0" fillId="4" borderId="8" xfId="0" applyFill="1" applyBorder="1"/>
    <xf numFmtId="0" fontId="0" fillId="4" borderId="9" xfId="0" applyFill="1" applyBorder="1"/>
    <xf numFmtId="0" fontId="0" fillId="4" borderId="15" xfId="0" applyFill="1" applyBorder="1"/>
    <xf numFmtId="0" fontId="0" fillId="4" borderId="0" xfId="0" applyFill="1"/>
    <xf numFmtId="0" fontId="0" fillId="4" borderId="67" xfId="0" applyFill="1" applyBorder="1"/>
    <xf numFmtId="0" fontId="44" fillId="4" borderId="0" xfId="0" applyFont="1" applyFill="1"/>
    <xf numFmtId="0" fontId="1" fillId="4" borderId="15" xfId="0" applyFont="1" applyFill="1" applyBorder="1" applyAlignment="1">
      <alignment horizontal="center"/>
    </xf>
    <xf numFmtId="0" fontId="0" fillId="4" borderId="20" xfId="0" applyFill="1" applyBorder="1"/>
    <xf numFmtId="0" fontId="0" fillId="4" borderId="1" xfId="0" applyFill="1" applyBorder="1"/>
    <xf numFmtId="0" fontId="0" fillId="4" borderId="124" xfId="0" applyFill="1" applyBorder="1"/>
    <xf numFmtId="0" fontId="0" fillId="4" borderId="53" xfId="0" applyFill="1" applyBorder="1"/>
    <xf numFmtId="0" fontId="1" fillId="4" borderId="59" xfId="0" applyFont="1" applyFill="1" applyBorder="1" applyAlignment="1">
      <alignment horizontal="center"/>
    </xf>
    <xf numFmtId="0" fontId="1" fillId="4" borderId="119" xfId="0" applyFont="1" applyFill="1" applyBorder="1" applyAlignment="1">
      <alignment horizontal="center"/>
    </xf>
    <xf numFmtId="0" fontId="1" fillId="4" borderId="60" xfId="0" applyFont="1" applyFill="1" applyBorder="1" applyAlignment="1">
      <alignment horizontal="center"/>
    </xf>
    <xf numFmtId="1" fontId="0" fillId="4" borderId="62" xfId="0" applyNumberFormat="1" applyFill="1" applyBorder="1" applyAlignment="1">
      <alignment horizontal="center" vertical="center"/>
    </xf>
    <xf numFmtId="1" fontId="0" fillId="4" borderId="69" xfId="0" applyNumberFormat="1" applyFill="1" applyBorder="1" applyAlignment="1">
      <alignment horizontal="center" vertical="center"/>
    </xf>
    <xf numFmtId="0" fontId="0" fillId="4" borderId="58" xfId="0" applyFill="1" applyBorder="1" applyAlignment="1">
      <alignment horizontal="center" vertical="center"/>
    </xf>
    <xf numFmtId="2" fontId="0" fillId="4" borderId="58" xfId="0" applyNumberFormat="1" applyFill="1" applyBorder="1" applyAlignment="1">
      <alignment horizontal="center" vertical="center"/>
    </xf>
    <xf numFmtId="0" fontId="44" fillId="4" borderId="9" xfId="0" applyFont="1" applyFill="1" applyBorder="1" applyAlignment="1">
      <alignment horizontal="center"/>
    </xf>
    <xf numFmtId="0" fontId="44" fillId="4" borderId="124" xfId="0" applyFont="1" applyFill="1" applyBorder="1" applyAlignment="1">
      <alignment horizontal="center"/>
    </xf>
    <xf numFmtId="0" fontId="44" fillId="4" borderId="0" xfId="0" applyFont="1" applyFill="1" applyAlignment="1">
      <alignment horizontal="center"/>
    </xf>
    <xf numFmtId="2" fontId="0" fillId="0" borderId="0" xfId="0" applyNumberFormat="1" applyAlignment="1">
      <alignment horizontal="center"/>
    </xf>
    <xf numFmtId="0" fontId="0" fillId="0" borderId="58" xfId="0" applyBorder="1"/>
    <xf numFmtId="0" fontId="0" fillId="0" borderId="58" xfId="0" quotePrefix="1" applyBorder="1" applyAlignment="1">
      <alignment horizontal="center"/>
    </xf>
    <xf numFmtId="0" fontId="0" fillId="0" borderId="0" xfId="0" quotePrefix="1" applyAlignment="1">
      <alignment horizontal="center"/>
    </xf>
    <xf numFmtId="0" fontId="0" fillId="0" borderId="62" xfId="0" applyBorder="1"/>
    <xf numFmtId="0" fontId="0" fillId="0" borderId="63" xfId="0" quotePrefix="1" applyBorder="1" applyAlignment="1">
      <alignment horizontal="center"/>
    </xf>
    <xf numFmtId="2" fontId="0" fillId="0" borderId="63" xfId="0" applyNumberFormat="1" applyBorder="1" applyAlignment="1">
      <alignment horizontal="center"/>
    </xf>
    <xf numFmtId="0" fontId="0" fillId="0" borderId="64" xfId="0" applyBorder="1"/>
    <xf numFmtId="2" fontId="0" fillId="0" borderId="66" xfId="0" applyNumberFormat="1" applyBorder="1" applyAlignment="1">
      <alignment horizontal="center"/>
    </xf>
    <xf numFmtId="0" fontId="0" fillId="0" borderId="62" xfId="0"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63" xfId="0" applyBorder="1"/>
    <xf numFmtId="2" fontId="0" fillId="0" borderId="62" xfId="0" applyNumberFormat="1" applyBorder="1" applyAlignment="1">
      <alignment horizontal="center"/>
    </xf>
    <xf numFmtId="2" fontId="0" fillId="0" borderId="64" xfId="0" applyNumberFormat="1" applyBorder="1" applyAlignment="1">
      <alignment horizontal="center"/>
    </xf>
    <xf numFmtId="0" fontId="0" fillId="0" borderId="65" xfId="0" applyBorder="1"/>
    <xf numFmtId="0" fontId="0" fillId="0" borderId="66" xfId="0" applyBorder="1"/>
    <xf numFmtId="2" fontId="0" fillId="0" borderId="62" xfId="0" applyNumberFormat="1" applyBorder="1" applyAlignment="1">
      <alignment horizontal="center" vertical="center"/>
    </xf>
    <xf numFmtId="0" fontId="0" fillId="4" borderId="58" xfId="0" applyFill="1" applyBorder="1"/>
    <xf numFmtId="0" fontId="1" fillId="4" borderId="58" xfId="0" applyFont="1" applyFill="1" applyBorder="1" applyAlignment="1">
      <alignment horizontal="center"/>
    </xf>
    <xf numFmtId="1" fontId="0" fillId="4" borderId="58" xfId="0" applyNumberFormat="1" applyFill="1" applyBorder="1" applyAlignment="1">
      <alignment horizontal="center" vertical="center"/>
    </xf>
    <xf numFmtId="0" fontId="0" fillId="0" borderId="8" xfId="0" applyBorder="1"/>
    <xf numFmtId="0" fontId="0" fillId="0" borderId="9" xfId="0" applyBorder="1"/>
    <xf numFmtId="0" fontId="1" fillId="0" borderId="15" xfId="0" applyFont="1" applyBorder="1" applyAlignment="1">
      <alignment horizontal="center"/>
    </xf>
    <xf numFmtId="2" fontId="0" fillId="0" borderId="15" xfId="0" applyNumberFormat="1" applyBorder="1" applyAlignment="1">
      <alignment horizontal="center" vertical="center"/>
    </xf>
    <xf numFmtId="0" fontId="0" fillId="4" borderId="58" xfId="0" applyFill="1" applyBorder="1" applyAlignment="1">
      <alignment horizontal="center"/>
    </xf>
    <xf numFmtId="2" fontId="0" fillId="4" borderId="58" xfId="0" applyNumberFormat="1" applyFill="1" applyBorder="1" applyAlignment="1">
      <alignment horizontal="center"/>
    </xf>
    <xf numFmtId="2" fontId="52" fillId="6" borderId="139" xfId="0" applyNumberFormat="1" applyFont="1" applyFill="1" applyBorder="1" applyAlignment="1">
      <alignment vertical="center"/>
    </xf>
    <xf numFmtId="0" fontId="0" fillId="2" borderId="58" xfId="0" applyFill="1" applyBorder="1"/>
    <xf numFmtId="164" fontId="0" fillId="0" borderId="75" xfId="0" applyNumberFormat="1" applyBorder="1" applyAlignment="1">
      <alignment horizontal="center"/>
    </xf>
    <xf numFmtId="1" fontId="0" fillId="5" borderId="75" xfId="0" applyNumberFormat="1" applyFill="1" applyBorder="1" applyAlignment="1">
      <alignment horizontal="center" vertical="center"/>
    </xf>
    <xf numFmtId="1" fontId="8" fillId="0" borderId="75" xfId="0" applyNumberFormat="1" applyFont="1" applyBorder="1" applyAlignment="1">
      <alignment horizontal="center"/>
    </xf>
    <xf numFmtId="1" fontId="0" fillId="0" borderId="75" xfId="0" applyNumberFormat="1" applyBorder="1" applyAlignment="1">
      <alignment horizontal="center"/>
    </xf>
    <xf numFmtId="1" fontId="0" fillId="0" borderId="76" xfId="0" applyNumberFormat="1" applyBorder="1" applyAlignment="1">
      <alignment horizontal="center"/>
    </xf>
    <xf numFmtId="1" fontId="18" fillId="0" borderId="82" xfId="0" applyNumberFormat="1" applyFont="1" applyBorder="1" applyAlignment="1">
      <alignment horizontal="center" vertical="center"/>
    </xf>
    <xf numFmtId="1" fontId="27" fillId="4" borderId="113" xfId="0" applyNumberFormat="1" applyFont="1" applyFill="1" applyBorder="1" applyAlignment="1">
      <alignment vertical="center" textRotation="90"/>
    </xf>
    <xf numFmtId="1" fontId="18" fillId="4" borderId="113" xfId="0" applyNumberFormat="1" applyFont="1" applyFill="1" applyBorder="1" applyAlignment="1">
      <alignment horizontal="center" vertical="center"/>
    </xf>
    <xf numFmtId="1" fontId="18" fillId="0" borderId="82" xfId="0" applyNumberFormat="1" applyFont="1" applyBorder="1" applyAlignment="1">
      <alignment vertical="center"/>
    </xf>
    <xf numFmtId="1" fontId="20" fillId="0" borderId="15" xfId="0" applyNumberFormat="1" applyFont="1" applyBorder="1" applyAlignment="1">
      <alignment vertical="center"/>
    </xf>
    <xf numFmtId="1" fontId="26" fillId="0" borderId="140" xfId="0" applyNumberFormat="1" applyFont="1" applyBorder="1" applyAlignment="1">
      <alignment horizontal="center" vertical="center"/>
    </xf>
    <xf numFmtId="1" fontId="18" fillId="0" borderId="140" xfId="0" applyNumberFormat="1" applyFont="1" applyBorder="1" applyAlignment="1">
      <alignment horizontal="center" vertical="center"/>
    </xf>
    <xf numFmtId="0" fontId="0" fillId="0" borderId="140" xfId="0" applyBorder="1"/>
    <xf numFmtId="0" fontId="0" fillId="0" borderId="100" xfId="0" applyBorder="1"/>
    <xf numFmtId="0" fontId="0" fillId="0" borderId="99" xfId="0" applyBorder="1" applyAlignment="1">
      <alignment horizontal="center"/>
    </xf>
    <xf numFmtId="0" fontId="0" fillId="0" borderId="100" xfId="0" applyBorder="1" applyAlignment="1">
      <alignment horizontal="center"/>
    </xf>
    <xf numFmtId="0" fontId="26" fillId="0" borderId="141" xfId="0" applyFont="1" applyBorder="1" applyAlignment="1">
      <alignment horizontal="center" vertical="center"/>
    </xf>
    <xf numFmtId="1" fontId="18" fillId="0" borderId="15" xfId="0" applyNumberFormat="1" applyFont="1" applyBorder="1" applyAlignment="1">
      <alignment horizontal="center" vertical="center"/>
    </xf>
    <xf numFmtId="1" fontId="26" fillId="0" borderId="0" xfId="0" applyNumberFormat="1" applyFont="1" applyAlignment="1">
      <alignment horizontal="center" vertical="center"/>
    </xf>
    <xf numFmtId="1" fontId="18" fillId="0" borderId="0" xfId="0" applyNumberFormat="1" applyFont="1" applyAlignment="1">
      <alignment horizontal="center" vertical="center"/>
    </xf>
    <xf numFmtId="0" fontId="26" fillId="0" borderId="99" xfId="0" applyFont="1" applyBorder="1" applyAlignment="1">
      <alignment horizontal="center" vertical="center"/>
    </xf>
    <xf numFmtId="0" fontId="0" fillId="0" borderId="142" xfId="0" applyBorder="1" applyAlignment="1">
      <alignment horizontal="center"/>
    </xf>
    <xf numFmtId="2" fontId="13" fillId="5" borderId="63" xfId="0" applyNumberFormat="1" applyFont="1" applyFill="1" applyBorder="1" applyAlignment="1" applyProtection="1">
      <alignment horizontal="center" vertical="center"/>
      <protection locked="0"/>
    </xf>
    <xf numFmtId="0" fontId="15" fillId="4" borderId="0" xfId="0" applyFont="1" applyFill="1"/>
    <xf numFmtId="0" fontId="14" fillId="4" borderId="136" xfId="0" applyFont="1" applyFill="1" applyBorder="1" applyAlignment="1">
      <alignment horizontal="center"/>
    </xf>
    <xf numFmtId="0" fontId="14" fillId="4" borderId="137" xfId="0" applyFont="1" applyFill="1" applyBorder="1" applyAlignment="1">
      <alignment horizontal="center"/>
    </xf>
    <xf numFmtId="0" fontId="14" fillId="4" borderId="138" xfId="0" applyFont="1" applyFill="1" applyBorder="1" applyAlignment="1">
      <alignment horizontal="center"/>
    </xf>
    <xf numFmtId="0" fontId="14" fillId="4" borderId="130" xfId="0" applyFont="1" applyFill="1" applyBorder="1" applyAlignment="1">
      <alignment horizontal="center"/>
    </xf>
    <xf numFmtId="0" fontId="14" fillId="4" borderId="131" xfId="0" applyFont="1" applyFill="1" applyBorder="1" applyAlignment="1">
      <alignment horizontal="center"/>
    </xf>
    <xf numFmtId="0" fontId="14" fillId="4" borderId="132" xfId="0" applyFont="1" applyFill="1" applyBorder="1" applyAlignment="1">
      <alignment horizontal="center"/>
    </xf>
    <xf numFmtId="0" fontId="14" fillId="4" borderId="62" xfId="0" applyFont="1" applyFill="1" applyBorder="1" applyAlignment="1">
      <alignment horizontal="center"/>
    </xf>
    <xf numFmtId="0" fontId="14" fillId="4" borderId="58" xfId="0" applyFont="1" applyFill="1" applyBorder="1" applyAlignment="1">
      <alignment horizontal="center"/>
    </xf>
    <xf numFmtId="0" fontId="14" fillId="4" borderId="63" xfId="0" applyFont="1" applyFill="1" applyBorder="1" applyAlignment="1">
      <alignment horizontal="center"/>
    </xf>
    <xf numFmtId="0" fontId="14" fillId="4" borderId="64" xfId="0" applyFont="1" applyFill="1" applyBorder="1" applyAlignment="1">
      <alignment horizontal="center"/>
    </xf>
    <xf numFmtId="0" fontId="14" fillId="4" borderId="65" xfId="0" applyFont="1" applyFill="1" applyBorder="1" applyAlignment="1">
      <alignment horizontal="center"/>
    </xf>
    <xf numFmtId="0" fontId="14" fillId="4" borderId="66" xfId="0" applyFont="1" applyFill="1" applyBorder="1" applyAlignment="1">
      <alignment horizontal="center"/>
    </xf>
    <xf numFmtId="166" fontId="0" fillId="5" borderId="75" xfId="0" applyNumberFormat="1" applyFill="1" applyBorder="1" applyAlignment="1">
      <alignment horizontal="center" vertical="center"/>
    </xf>
    <xf numFmtId="166" fontId="0" fillId="0" borderId="0" xfId="0" applyNumberFormat="1"/>
    <xf numFmtId="2" fontId="13" fillId="5" borderId="75" xfId="0" applyNumberFormat="1" applyFont="1" applyFill="1" applyBorder="1" applyAlignment="1" applyProtection="1">
      <alignment horizontal="center" vertical="center"/>
      <protection locked="0"/>
    </xf>
    <xf numFmtId="0" fontId="32" fillId="0" borderId="1" xfId="0" applyFont="1" applyBorder="1" applyAlignment="1">
      <alignment horizontal="center" vertical="center"/>
    </xf>
    <xf numFmtId="0" fontId="32" fillId="0" borderId="0" xfId="0" applyFont="1" applyAlignment="1">
      <alignment horizontal="center" vertical="center"/>
    </xf>
    <xf numFmtId="0" fontId="31" fillId="0" borderId="0" xfId="0" applyFont="1" applyAlignment="1" applyProtection="1">
      <alignment horizontal="center"/>
      <protection locked="0"/>
    </xf>
    <xf numFmtId="0" fontId="33" fillId="0" borderId="0" xfId="0" applyFont="1" applyAlignment="1">
      <alignment horizontal="left"/>
    </xf>
    <xf numFmtId="0" fontId="34" fillId="0" borderId="0" xfId="0" applyFont="1" applyAlignment="1" applyProtection="1">
      <alignment horizontal="center"/>
      <protection locked="0"/>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5" fillId="0" borderId="4" xfId="0" applyFont="1"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25" fillId="0" borderId="5" xfId="0" applyFont="1" applyBorder="1" applyAlignment="1">
      <alignment horizontal="center" vertical="center"/>
    </xf>
    <xf numFmtId="0" fontId="25" fillId="0" borderId="6" xfId="0" applyFont="1" applyBorder="1" applyAlignment="1">
      <alignment horizontal="center" vertical="center"/>
    </xf>
    <xf numFmtId="0" fontId="25" fillId="0" borderId="7" xfId="0" applyFont="1" applyBorder="1" applyAlignment="1">
      <alignment horizontal="center" vertical="center"/>
    </xf>
    <xf numFmtId="0" fontId="0" fillId="0" borderId="5" xfId="0" applyBorder="1" applyAlignment="1">
      <alignment horizontal="center"/>
    </xf>
    <xf numFmtId="0" fontId="0" fillId="0" borderId="7" xfId="0" applyBorder="1" applyAlignment="1">
      <alignment horizontal="center"/>
    </xf>
    <xf numFmtId="0" fontId="25" fillId="0" borderId="8" xfId="0" applyFont="1" applyBorder="1" applyAlignment="1">
      <alignment horizontal="center" vertical="center"/>
    </xf>
    <xf numFmtId="0" fontId="25" fillId="0" borderId="53" xfId="0" applyFont="1" applyBorder="1" applyAlignment="1">
      <alignment horizontal="center" vertical="center"/>
    </xf>
    <xf numFmtId="0" fontId="25" fillId="0" borderId="9" xfId="0" applyFont="1" applyBorder="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25" fillId="0" borderId="10" xfId="0" applyFont="1" applyBorder="1" applyAlignment="1">
      <alignment horizontal="center" vertical="center"/>
    </xf>
    <xf numFmtId="0" fontId="25" fillId="0" borderId="14" xfId="0" applyFont="1" applyBorder="1" applyAlignment="1">
      <alignment horizontal="center" vertical="center"/>
    </xf>
    <xf numFmtId="0" fontId="25" fillId="0" borderId="11" xfId="0" applyFont="1" applyBorder="1" applyAlignment="1">
      <alignment horizontal="center" vertical="center"/>
    </xf>
    <xf numFmtId="0" fontId="25" fillId="0" borderId="12" xfId="0" applyFont="1" applyBorder="1" applyAlignment="1">
      <alignment horizontal="center" vertical="center"/>
    </xf>
    <xf numFmtId="0" fontId="25" fillId="0" borderId="70" xfId="0" applyFont="1" applyBorder="1" applyAlignment="1">
      <alignment horizontal="center" vertical="center"/>
    </xf>
    <xf numFmtId="0" fontId="25" fillId="0" borderId="13" xfId="0" applyFont="1" applyBorder="1" applyAlignment="1">
      <alignment horizontal="center" vertical="center"/>
    </xf>
    <xf numFmtId="0" fontId="26" fillId="0" borderId="81" xfId="0" applyFont="1" applyBorder="1" applyAlignment="1">
      <alignment horizontal="center" vertical="center"/>
    </xf>
    <xf numFmtId="0" fontId="26" fillId="0" borderId="88" xfId="0" applyFont="1" applyBorder="1" applyAlignment="1">
      <alignment horizontal="center" vertical="center"/>
    </xf>
    <xf numFmtId="0" fontId="26" fillId="0" borderId="92" xfId="0" applyFont="1" applyBorder="1" applyAlignment="1">
      <alignment horizontal="center" vertical="center"/>
    </xf>
    <xf numFmtId="0" fontId="0" fillId="0" borderId="85" xfId="0" applyBorder="1" applyAlignment="1">
      <alignment horizontal="center"/>
    </xf>
    <xf numFmtId="0" fontId="0" fillId="0" borderId="86" xfId="0" applyBorder="1" applyAlignment="1">
      <alignment horizontal="center"/>
    </xf>
    <xf numFmtId="2" fontId="18" fillId="0" borderId="15" xfId="0" applyNumberFormat="1" applyFont="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6" fillId="0" borderId="89" xfId="0" quotePrefix="1" applyFont="1" applyBorder="1" applyAlignment="1">
      <alignment horizontal="center" vertical="center"/>
    </xf>
    <xf numFmtId="0" fontId="26" fillId="0" borderId="90" xfId="0" applyFont="1" applyBorder="1" applyAlignment="1">
      <alignment horizontal="center" vertical="center"/>
    </xf>
    <xf numFmtId="0" fontId="0" fillId="0" borderId="34" xfId="0" applyBorder="1" applyAlignment="1">
      <alignment horizontal="center"/>
    </xf>
    <xf numFmtId="0" fontId="0" fillId="0" borderId="35"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26" fillId="0" borderId="89" xfId="0" applyFont="1" applyBorder="1" applyAlignment="1">
      <alignment horizontal="center" vertical="center"/>
    </xf>
    <xf numFmtId="0" fontId="4" fillId="0" borderId="18" xfId="0" applyFont="1" applyBorder="1" applyAlignment="1">
      <alignment horizontal="center"/>
    </xf>
    <xf numFmtId="0" fontId="4" fillId="0" borderId="19" xfId="0" applyFont="1" applyBorder="1" applyAlignment="1">
      <alignment horizontal="center"/>
    </xf>
    <xf numFmtId="2" fontId="18" fillId="0" borderId="93" xfId="0" applyNumberFormat="1" applyFont="1" applyBorder="1" applyAlignment="1">
      <alignment horizontal="center" vertical="center"/>
    </xf>
    <xf numFmtId="0" fontId="0" fillId="0" borderId="96" xfId="0" applyBorder="1" applyAlignment="1">
      <alignment horizontal="center"/>
    </xf>
    <xf numFmtId="0" fontId="0" fillId="0" borderId="97" xfId="0" applyBorder="1" applyAlignment="1">
      <alignment horizontal="center"/>
    </xf>
    <xf numFmtId="0" fontId="0" fillId="4" borderId="99" xfId="0" applyFill="1" applyBorder="1" applyAlignment="1">
      <alignment horizontal="center"/>
    </xf>
    <xf numFmtId="0" fontId="0" fillId="4" borderId="100" xfId="0" applyFill="1" applyBorder="1" applyAlignment="1">
      <alignment horizontal="center"/>
    </xf>
    <xf numFmtId="0" fontId="26" fillId="0" borderId="98" xfId="0" applyFont="1" applyBorder="1" applyAlignment="1">
      <alignment horizontal="center" vertical="center"/>
    </xf>
    <xf numFmtId="0" fontId="27" fillId="0" borderId="101" xfId="0" applyFont="1" applyBorder="1" applyAlignment="1">
      <alignment horizontal="center" vertical="center" textRotation="90"/>
    </xf>
    <xf numFmtId="0" fontId="27" fillId="0" borderId="103" xfId="0" applyFont="1" applyBorder="1" applyAlignment="1">
      <alignment horizontal="center" vertical="center" textRotation="90"/>
    </xf>
    <xf numFmtId="0" fontId="27" fillId="0" borderId="107" xfId="0" applyFont="1" applyBorder="1" applyAlignment="1">
      <alignment horizontal="center" vertical="center" textRotation="90"/>
    </xf>
    <xf numFmtId="0" fontId="0" fillId="0" borderId="40" xfId="0" applyBorder="1" applyAlignment="1">
      <alignment horizontal="center"/>
    </xf>
    <xf numFmtId="0" fontId="0" fillId="0" borderId="41" xfId="0" applyBorder="1" applyAlignment="1">
      <alignment horizontal="center"/>
    </xf>
    <xf numFmtId="0" fontId="21" fillId="0" borderId="79" xfId="0" applyFont="1" applyBorder="1" applyAlignment="1">
      <alignment horizontal="center"/>
    </xf>
    <xf numFmtId="0" fontId="21" fillId="0" borderId="80" xfId="0" applyFont="1" applyBorder="1" applyAlignment="1">
      <alignment horizontal="center"/>
    </xf>
    <xf numFmtId="2" fontId="22" fillId="0" borderId="15" xfId="0" applyNumberFormat="1" applyFont="1" applyBorder="1" applyAlignment="1">
      <alignment horizontal="center" vertical="center"/>
    </xf>
    <xf numFmtId="0" fontId="22" fillId="0" borderId="15" xfId="0" applyFont="1" applyBorder="1" applyAlignment="1">
      <alignment horizontal="center" vertical="center"/>
    </xf>
    <xf numFmtId="0" fontId="0" fillId="0" borderId="47" xfId="0" applyBorder="1" applyAlignment="1">
      <alignment horizontal="center"/>
    </xf>
    <xf numFmtId="0" fontId="0" fillId="0" borderId="48" xfId="0" applyBorder="1" applyAlignment="1">
      <alignment horizontal="center"/>
    </xf>
    <xf numFmtId="0" fontId="0" fillId="0" borderId="43" xfId="0" applyBorder="1" applyAlignment="1">
      <alignment horizontal="center"/>
    </xf>
    <xf numFmtId="0" fontId="0" fillId="0" borderId="44" xfId="0" applyBorder="1" applyAlignment="1">
      <alignment horizontal="center"/>
    </xf>
    <xf numFmtId="0" fontId="0" fillId="0" borderId="51" xfId="0" applyBorder="1" applyAlignment="1">
      <alignment horizontal="center"/>
    </xf>
    <xf numFmtId="0" fontId="0" fillId="0" borderId="52" xfId="0" applyBorder="1" applyAlignment="1">
      <alignment horizontal="center"/>
    </xf>
    <xf numFmtId="0" fontId="18" fillId="0" borderId="0" xfId="0" applyFont="1" applyAlignment="1">
      <alignment horizontal="center" vertical="top"/>
    </xf>
    <xf numFmtId="0" fontId="0" fillId="0" borderId="110" xfId="0" applyBorder="1" applyAlignment="1">
      <alignment horizontal="center"/>
    </xf>
    <xf numFmtId="0" fontId="0" fillId="0" borderId="111" xfId="0" applyBorder="1" applyAlignment="1">
      <alignment horizontal="center"/>
    </xf>
    <xf numFmtId="0" fontId="25" fillId="0" borderId="54" xfId="0" applyFont="1" applyBorder="1" applyAlignment="1">
      <alignment horizontal="center"/>
    </xf>
    <xf numFmtId="0" fontId="25" fillId="0" borderId="55" xfId="0" applyFont="1" applyBorder="1" applyAlignment="1">
      <alignment horizontal="center"/>
    </xf>
    <xf numFmtId="0" fontId="25" fillId="0" borderId="56" xfId="0" applyFont="1" applyBorder="1" applyAlignment="1">
      <alignment horizontal="center"/>
    </xf>
    <xf numFmtId="2" fontId="25" fillId="0" borderId="15" xfId="0" applyNumberFormat="1" applyFont="1" applyBorder="1" applyAlignment="1">
      <alignment horizontal="center" vertical="center"/>
    </xf>
    <xf numFmtId="2" fontId="25" fillId="0" borderId="93" xfId="0" applyNumberFormat="1" applyFont="1" applyBorder="1" applyAlignment="1">
      <alignment horizontal="center" vertical="center"/>
    </xf>
    <xf numFmtId="0" fontId="39" fillId="0" borderId="14" xfId="0" applyFont="1" applyBorder="1" applyAlignment="1">
      <alignment horizontal="center" vertical="center"/>
    </xf>
    <xf numFmtId="0" fontId="39" fillId="0" borderId="53" xfId="0" applyFont="1" applyBorder="1" applyAlignment="1">
      <alignment horizontal="center" vertical="center"/>
    </xf>
    <xf numFmtId="0" fontId="39" fillId="0" borderId="1" xfId="0" applyFont="1" applyBorder="1" applyAlignment="1">
      <alignment horizontal="center" vertical="center"/>
    </xf>
    <xf numFmtId="0" fontId="38" fillId="0" borderId="14" xfId="0" applyFont="1" applyBorder="1" applyAlignment="1">
      <alignment horizontal="center" vertical="center"/>
    </xf>
    <xf numFmtId="0" fontId="15" fillId="5" borderId="0" xfId="0" applyFont="1" applyFill="1" applyAlignment="1">
      <alignment horizontal="left" vertical="center"/>
    </xf>
    <xf numFmtId="0" fontId="15" fillId="5" borderId="67" xfId="0" applyFont="1" applyFill="1" applyBorder="1" applyAlignment="1">
      <alignment horizontal="left" vertical="center"/>
    </xf>
    <xf numFmtId="0" fontId="15" fillId="5" borderId="0" xfId="0" applyFont="1" applyFill="1" applyAlignment="1">
      <alignment horizontal="left" vertical="center" wrapText="1"/>
    </xf>
    <xf numFmtId="0" fontId="15" fillId="5" borderId="67" xfId="0" applyFont="1" applyFill="1" applyBorder="1" applyAlignment="1">
      <alignment horizontal="left" vertical="center" wrapText="1"/>
    </xf>
    <xf numFmtId="0" fontId="15" fillId="5" borderId="1" xfId="0" applyFont="1" applyFill="1" applyBorder="1" applyAlignment="1">
      <alignment horizontal="left" vertical="center" wrapText="1"/>
    </xf>
    <xf numFmtId="0" fontId="15" fillId="5" borderId="124"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67" xfId="0" applyFont="1" applyFill="1" applyBorder="1" applyAlignment="1">
      <alignment horizontal="left" vertical="center" wrapText="1"/>
    </xf>
    <xf numFmtId="0" fontId="38" fillId="6" borderId="10" xfId="0" applyFont="1" applyFill="1" applyBorder="1" applyAlignment="1">
      <alignment horizontal="left" vertical="center"/>
    </xf>
    <xf numFmtId="0" fontId="38" fillId="6" borderId="14" xfId="0" applyFont="1" applyFill="1" applyBorder="1" applyAlignment="1">
      <alignment horizontal="left" vertical="center"/>
    </xf>
    <xf numFmtId="0" fontId="38" fillId="6" borderId="11" xfId="0" applyFont="1" applyFill="1" applyBorder="1" applyAlignment="1">
      <alignment horizontal="left" vertical="center"/>
    </xf>
    <xf numFmtId="0" fontId="38" fillId="6" borderId="53" xfId="0" applyFont="1" applyFill="1" applyBorder="1" applyAlignment="1">
      <alignment horizontal="left" vertical="center"/>
    </xf>
    <xf numFmtId="0" fontId="15" fillId="12" borderId="0" xfId="0" applyFont="1" applyFill="1" applyAlignment="1">
      <alignment horizontal="left" vertical="center"/>
    </xf>
    <xf numFmtId="0" fontId="15" fillId="12" borderId="67" xfId="0" applyFont="1" applyFill="1" applyBorder="1" applyAlignment="1">
      <alignment horizontal="left" vertical="center"/>
    </xf>
    <xf numFmtId="0" fontId="38" fillId="5" borderId="53" xfId="0" applyFont="1" applyFill="1" applyBorder="1" applyAlignment="1">
      <alignment horizontal="left" vertical="center"/>
    </xf>
    <xf numFmtId="0" fontId="38" fillId="5" borderId="9" xfId="0" applyFont="1" applyFill="1" applyBorder="1" applyAlignment="1">
      <alignment horizontal="left" vertical="center"/>
    </xf>
    <xf numFmtId="0" fontId="15" fillId="14" borderId="0" xfId="0" applyFont="1" applyFill="1" applyAlignment="1">
      <alignment horizontal="left" vertical="center"/>
    </xf>
    <xf numFmtId="0" fontId="15" fillId="14" borderId="67" xfId="0" applyFont="1" applyFill="1" applyBorder="1" applyAlignment="1">
      <alignment horizontal="left" vertical="center"/>
    </xf>
    <xf numFmtId="0" fontId="15" fillId="14" borderId="1" xfId="0" applyFont="1" applyFill="1" applyBorder="1" applyAlignment="1">
      <alignment horizontal="left" vertical="center"/>
    </xf>
    <xf numFmtId="0" fontId="15" fillId="14" borderId="124" xfId="0" applyFont="1" applyFill="1" applyBorder="1" applyAlignment="1">
      <alignment horizontal="left" vertical="center"/>
    </xf>
    <xf numFmtId="2" fontId="7" fillId="6" borderId="68" xfId="0" applyNumberFormat="1" applyFont="1" applyFill="1" applyBorder="1" applyAlignment="1">
      <alignment horizontal="center" vertical="center"/>
    </xf>
    <xf numFmtId="2" fontId="7" fillId="6" borderId="6" xfId="0" applyNumberFormat="1" applyFont="1" applyFill="1" applyBorder="1" applyAlignment="1">
      <alignment horizontal="center" vertical="center"/>
    </xf>
    <xf numFmtId="2" fontId="7" fillId="6" borderId="7" xfId="0" applyNumberFormat="1" applyFont="1" applyFill="1" applyBorder="1" applyAlignment="1">
      <alignment horizontal="center" vertical="center"/>
    </xf>
    <xf numFmtId="0" fontId="3" fillId="6" borderId="68" xfId="0" applyFont="1" applyFill="1" applyBorder="1" applyAlignment="1">
      <alignment horizontal="left"/>
    </xf>
    <xf numFmtId="0" fontId="3" fillId="6" borderId="69" xfId="0" applyFont="1" applyFill="1" applyBorder="1" applyAlignment="1">
      <alignment horizontal="left"/>
    </xf>
    <xf numFmtId="0" fontId="7" fillId="6" borderId="62" xfId="0" applyFont="1" applyFill="1" applyBorder="1" applyAlignment="1">
      <alignment horizontal="left" vertical="center"/>
    </xf>
    <xf numFmtId="0" fontId="7" fillId="6" borderId="58" xfId="0" applyFont="1" applyFill="1" applyBorder="1" applyAlignment="1">
      <alignment horizontal="left" vertical="center"/>
    </xf>
    <xf numFmtId="0" fontId="7" fillId="6" borderId="64" xfId="0" applyFont="1" applyFill="1" applyBorder="1" applyAlignment="1">
      <alignment horizontal="left" vertical="center"/>
    </xf>
    <xf numFmtId="0" fontId="7" fillId="6" borderId="65" xfId="0" applyFont="1" applyFill="1" applyBorder="1" applyAlignment="1">
      <alignment horizontal="left" vertical="center"/>
    </xf>
    <xf numFmtId="0" fontId="7" fillId="6" borderId="5" xfId="0" applyFont="1" applyFill="1" applyBorder="1" applyAlignment="1">
      <alignment horizontal="left" vertical="center"/>
    </xf>
    <xf numFmtId="0" fontId="7" fillId="6" borderId="6" xfId="0" applyFont="1" applyFill="1" applyBorder="1" applyAlignment="1">
      <alignment horizontal="left" vertical="center"/>
    </xf>
    <xf numFmtId="0" fontId="7" fillId="6" borderId="69" xfId="0" applyFont="1" applyFill="1" applyBorder="1" applyAlignment="1">
      <alignment horizontal="left" vertical="center"/>
    </xf>
    <xf numFmtId="0" fontId="50" fillId="6" borderId="136" xfId="0" applyFont="1" applyFill="1" applyBorder="1" applyAlignment="1">
      <alignment horizontal="left" vertical="center"/>
    </xf>
    <xf numFmtId="0" fontId="50" fillId="6" borderId="137" xfId="0" applyFont="1" applyFill="1" applyBorder="1" applyAlignment="1">
      <alignment horizontal="left" vertical="center"/>
    </xf>
    <xf numFmtId="0" fontId="50" fillId="6" borderId="138" xfId="0" applyFont="1" applyFill="1" applyBorder="1" applyAlignment="1">
      <alignment horizontal="left" vertical="center"/>
    </xf>
    <xf numFmtId="0" fontId="7" fillId="0" borderId="14" xfId="0" applyFont="1" applyBorder="1" applyAlignment="1">
      <alignment horizontal="center" vertical="center"/>
    </xf>
    <xf numFmtId="0" fontId="3" fillId="6" borderId="71" xfId="0" applyFont="1" applyFill="1" applyBorder="1" applyAlignment="1">
      <alignment horizontal="left"/>
    </xf>
    <xf numFmtId="0" fontId="3" fillId="6" borderId="72" xfId="0" applyFont="1" applyFill="1" applyBorder="1" applyAlignment="1">
      <alignment horizontal="left"/>
    </xf>
    <xf numFmtId="2" fontId="7" fillId="6" borderId="58" xfId="0" applyNumberFormat="1" applyFont="1" applyFill="1" applyBorder="1" applyAlignment="1">
      <alignment horizontal="center" vertical="center"/>
    </xf>
    <xf numFmtId="2" fontId="7" fillId="6" borderId="63" xfId="0" applyNumberFormat="1" applyFont="1" applyFill="1" applyBorder="1" applyAlignment="1">
      <alignment horizontal="center" vertical="center"/>
    </xf>
    <xf numFmtId="0" fontId="42" fillId="6" borderId="115" xfId="0" applyFont="1" applyFill="1" applyBorder="1" applyAlignment="1">
      <alignment horizontal="center" vertical="center"/>
    </xf>
    <xf numFmtId="0" fontId="42" fillId="6" borderId="3" xfId="0" applyFont="1" applyFill="1" applyBorder="1" applyAlignment="1">
      <alignment horizontal="center" vertical="center"/>
    </xf>
    <xf numFmtId="0" fontId="42" fillId="6" borderId="4" xfId="0" applyFont="1" applyFill="1" applyBorder="1" applyAlignment="1">
      <alignment horizontal="center" vertical="center"/>
    </xf>
    <xf numFmtId="0" fontId="7" fillId="2" borderId="60" xfId="0" applyFont="1" applyFill="1" applyBorder="1" applyAlignment="1" applyProtection="1">
      <alignment horizontal="center" vertical="center"/>
      <protection locked="0"/>
    </xf>
    <xf numFmtId="0" fontId="7" fillId="2" borderId="61" xfId="0" applyFont="1" applyFill="1" applyBorder="1" applyAlignment="1" applyProtection="1">
      <alignment horizontal="center" vertical="center"/>
      <protection locked="0"/>
    </xf>
    <xf numFmtId="164" fontId="7" fillId="6" borderId="58" xfId="0" applyNumberFormat="1" applyFont="1" applyFill="1" applyBorder="1" applyAlignment="1">
      <alignment horizontal="center" vertical="center"/>
    </xf>
    <xf numFmtId="164" fontId="7" fillId="6" borderId="63" xfId="0" applyNumberFormat="1" applyFont="1" applyFill="1" applyBorder="1" applyAlignment="1">
      <alignment horizontal="center" vertical="center"/>
    </xf>
    <xf numFmtId="0" fontId="7" fillId="6" borderId="58" xfId="0" applyFont="1" applyFill="1" applyBorder="1" applyAlignment="1">
      <alignment horizontal="center" vertical="center"/>
    </xf>
    <xf numFmtId="0" fontId="7" fillId="6" borderId="63" xfId="0" applyFont="1" applyFill="1" applyBorder="1" applyAlignment="1">
      <alignment horizontal="center" vertical="center"/>
    </xf>
    <xf numFmtId="0" fontId="42" fillId="6" borderId="2" xfId="0" applyFont="1" applyFill="1" applyBorder="1" applyAlignment="1">
      <alignment horizontal="left" vertical="center"/>
    </xf>
    <xf numFmtId="0" fontId="42" fillId="6" borderId="3" xfId="0" applyFont="1" applyFill="1" applyBorder="1" applyAlignment="1">
      <alignment horizontal="left" vertical="center"/>
    </xf>
    <xf numFmtId="0" fontId="42" fillId="6" borderId="119" xfId="0" applyFont="1" applyFill="1" applyBorder="1" applyAlignment="1">
      <alignment horizontal="left" vertical="center"/>
    </xf>
    <xf numFmtId="0" fontId="7" fillId="6" borderId="2" xfId="0" applyFont="1" applyFill="1" applyBorder="1" applyAlignment="1">
      <alignment horizontal="left" vertical="center"/>
    </xf>
    <xf numFmtId="0" fontId="7" fillId="6" borderId="3" xfId="0" applyFont="1" applyFill="1" applyBorder="1" applyAlignment="1">
      <alignment horizontal="left" vertical="center"/>
    </xf>
    <xf numFmtId="0" fontId="7" fillId="6" borderId="119" xfId="0" applyFont="1" applyFill="1" applyBorder="1" applyAlignment="1">
      <alignment horizontal="left" vertical="center"/>
    </xf>
    <xf numFmtId="0" fontId="3" fillId="6" borderId="115" xfId="0" applyFont="1" applyFill="1" applyBorder="1" applyAlignment="1">
      <alignment horizontal="left"/>
    </xf>
    <xf numFmtId="0" fontId="3" fillId="6" borderId="119" xfId="0" applyFont="1" applyFill="1" applyBorder="1" applyAlignment="1">
      <alignment horizontal="left"/>
    </xf>
    <xf numFmtId="0" fontId="42" fillId="6" borderId="60" xfId="0" applyFont="1" applyFill="1" applyBorder="1" applyAlignment="1">
      <alignment horizontal="center" vertical="center"/>
    </xf>
    <xf numFmtId="0" fontId="42" fillId="6" borderId="61" xfId="0" applyFont="1" applyFill="1" applyBorder="1" applyAlignment="1">
      <alignment horizontal="center" vertical="center"/>
    </xf>
    <xf numFmtId="0" fontId="42" fillId="6" borderId="59" xfId="0" applyFont="1" applyFill="1" applyBorder="1" applyAlignment="1">
      <alignment horizontal="left" vertical="center"/>
    </xf>
    <xf numFmtId="0" fontId="42" fillId="6" borderId="60" xfId="0" applyFont="1" applyFill="1" applyBorder="1" applyAlignment="1">
      <alignment horizontal="left" vertical="center"/>
    </xf>
    <xf numFmtId="0" fontId="7" fillId="6" borderId="62" xfId="0" applyFont="1" applyFill="1" applyBorder="1" applyAlignment="1">
      <alignment horizontal="left" vertical="center" indent="5"/>
    </xf>
    <xf numFmtId="0" fontId="7" fillId="6" borderId="58" xfId="0" applyFont="1" applyFill="1" applyBorder="1" applyAlignment="1">
      <alignment horizontal="left" vertical="center" indent="5"/>
    </xf>
    <xf numFmtId="0" fontId="7" fillId="6" borderId="68" xfId="0" applyFont="1" applyFill="1" applyBorder="1" applyAlignment="1">
      <alignment horizontal="center" vertical="center"/>
    </xf>
    <xf numFmtId="0" fontId="7" fillId="6" borderId="6" xfId="0" applyFont="1" applyFill="1" applyBorder="1" applyAlignment="1">
      <alignment horizontal="center" vertical="center"/>
    </xf>
    <xf numFmtId="0" fontId="7" fillId="6" borderId="7" xfId="0" applyFont="1" applyFill="1" applyBorder="1" applyAlignment="1">
      <alignment horizontal="center" vertical="center"/>
    </xf>
    <xf numFmtId="2" fontId="7" fillId="2" borderId="68" xfId="0" applyNumberFormat="1" applyFont="1" applyFill="1" applyBorder="1" applyAlignment="1" applyProtection="1">
      <alignment horizontal="center" vertical="center"/>
      <protection locked="0"/>
    </xf>
    <xf numFmtId="2" fontId="7" fillId="2" borderId="6" xfId="0" applyNumberFormat="1" applyFont="1" applyFill="1" applyBorder="1" applyAlignment="1" applyProtection="1">
      <alignment horizontal="center" vertical="center"/>
      <protection locked="0"/>
    </xf>
    <xf numFmtId="2" fontId="7" fillId="2" borderId="7" xfId="0" applyNumberFormat="1" applyFont="1" applyFill="1" applyBorder="1" applyAlignment="1" applyProtection="1">
      <alignment horizontal="center" vertical="center"/>
      <protection locked="0"/>
    </xf>
    <xf numFmtId="0" fontId="7" fillId="6" borderId="5" xfId="0" applyFont="1" applyFill="1" applyBorder="1" applyAlignment="1">
      <alignment horizontal="left" vertical="center" indent="5"/>
    </xf>
    <xf numFmtId="0" fontId="7" fillId="6" borderId="6" xfId="0" applyFont="1" applyFill="1" applyBorder="1" applyAlignment="1">
      <alignment horizontal="left" vertical="center" indent="5"/>
    </xf>
    <xf numFmtId="0" fontId="7" fillId="6" borderId="69" xfId="0" applyFont="1" applyFill="1" applyBorder="1" applyAlignment="1">
      <alignment horizontal="left" vertical="center" indent="5"/>
    </xf>
    <xf numFmtId="0" fontId="7" fillId="6" borderId="64" xfId="0" applyFont="1" applyFill="1" applyBorder="1" applyAlignment="1">
      <alignment horizontal="left" vertical="center" indent="5"/>
    </xf>
    <xf numFmtId="0" fontId="7" fillId="6" borderId="65" xfId="0" applyFont="1" applyFill="1" applyBorder="1" applyAlignment="1">
      <alignment horizontal="left" vertical="center" indent="5"/>
    </xf>
    <xf numFmtId="164" fontId="7" fillId="6" borderId="131" xfId="0" applyNumberFormat="1" applyFont="1" applyFill="1" applyBorder="1" applyAlignment="1">
      <alignment horizontal="center" vertical="center"/>
    </xf>
    <xf numFmtId="164" fontId="7" fillId="6" borderId="132" xfId="0" applyNumberFormat="1" applyFont="1" applyFill="1" applyBorder="1" applyAlignment="1">
      <alignment horizontal="center" vertical="center"/>
    </xf>
    <xf numFmtId="0" fontId="7" fillId="0" borderId="1" xfId="0" applyFont="1" applyBorder="1" applyAlignment="1">
      <alignment horizontal="center" vertical="center"/>
    </xf>
    <xf numFmtId="2" fontId="7" fillId="6" borderId="134" xfId="0" applyNumberFormat="1" applyFont="1" applyFill="1" applyBorder="1" applyAlignment="1">
      <alignment horizontal="center"/>
    </xf>
    <xf numFmtId="2" fontId="7" fillId="6" borderId="135" xfId="0" applyNumberFormat="1" applyFont="1" applyFill="1" applyBorder="1" applyAlignment="1">
      <alignment horizontal="center"/>
    </xf>
    <xf numFmtId="0" fontId="6" fillId="0" borderId="68" xfId="0" applyFont="1" applyBorder="1" applyAlignment="1">
      <alignment horizontal="center"/>
    </xf>
    <xf numFmtId="0" fontId="6" fillId="0" borderId="69" xfId="0" applyFont="1" applyBorder="1" applyAlignment="1">
      <alignment horizontal="center"/>
    </xf>
    <xf numFmtId="0" fontId="7" fillId="0" borderId="58" xfId="0" applyFont="1" applyBorder="1" applyAlignment="1">
      <alignment horizontal="center" vertical="center"/>
    </xf>
    <xf numFmtId="0" fontId="7" fillId="0" borderId="63" xfId="0" applyFont="1" applyBorder="1" applyAlignment="1">
      <alignment horizontal="center" vertical="center"/>
    </xf>
    <xf numFmtId="0" fontId="7" fillId="6" borderId="65" xfId="0" applyFont="1" applyFill="1" applyBorder="1" applyAlignment="1">
      <alignment horizontal="center" vertical="center"/>
    </xf>
    <xf numFmtId="0" fontId="7" fillId="6" borderId="66" xfId="0" applyFont="1" applyFill="1" applyBorder="1" applyAlignment="1">
      <alignment horizontal="center" vertical="center"/>
    </xf>
    <xf numFmtId="2" fontId="7" fillId="6" borderId="65" xfId="0" applyNumberFormat="1" applyFont="1" applyFill="1" applyBorder="1" applyAlignment="1">
      <alignment horizontal="center" vertical="center"/>
    </xf>
    <xf numFmtId="2" fontId="7" fillId="6" borderId="66" xfId="0" applyNumberFormat="1" applyFont="1" applyFill="1" applyBorder="1" applyAlignment="1">
      <alignment horizontal="center" vertical="center"/>
    </xf>
    <xf numFmtId="2" fontId="7" fillId="2" borderId="58" xfId="0" applyNumberFormat="1" applyFont="1" applyFill="1" applyBorder="1" applyAlignment="1" applyProtection="1">
      <alignment horizontal="center" vertical="center"/>
      <protection locked="0"/>
    </xf>
    <xf numFmtId="2" fontId="7" fillId="2" borderId="63" xfId="0" applyNumberFormat="1" applyFont="1" applyFill="1" applyBorder="1" applyAlignment="1" applyProtection="1">
      <alignment horizontal="center" vertical="center"/>
      <protection locked="0"/>
    </xf>
    <xf numFmtId="0" fontId="42" fillId="6" borderId="127" xfId="0" applyFont="1" applyFill="1" applyBorder="1" applyAlignment="1">
      <alignment horizontal="left" vertical="center"/>
    </xf>
    <xf numFmtId="0" fontId="42" fillId="6" borderId="128" xfId="0" applyFont="1" applyFill="1" applyBorder="1" applyAlignment="1">
      <alignment horizontal="left" vertical="center"/>
    </xf>
    <xf numFmtId="0" fontId="42" fillId="6" borderId="128" xfId="0" applyFont="1" applyFill="1" applyBorder="1" applyAlignment="1">
      <alignment horizontal="center" vertical="center"/>
    </xf>
    <xf numFmtId="0" fontId="42" fillId="6" borderId="129" xfId="0" applyFont="1" applyFill="1" applyBorder="1" applyAlignment="1">
      <alignment horizontal="center" vertical="center"/>
    </xf>
    <xf numFmtId="0" fontId="7" fillId="6" borderId="59" xfId="0" applyFont="1" applyFill="1" applyBorder="1" applyAlignment="1">
      <alignment horizontal="left" vertical="center"/>
    </xf>
    <xf numFmtId="0" fontId="7" fillId="6" borderId="60" xfId="0" applyFont="1" applyFill="1" applyBorder="1" applyAlignment="1">
      <alignment horizontal="left" vertical="center"/>
    </xf>
    <xf numFmtId="0" fontId="7" fillId="6" borderId="130" xfId="0" applyFont="1" applyFill="1" applyBorder="1" applyAlignment="1">
      <alignment horizontal="left" vertical="center"/>
    </xf>
    <xf numFmtId="0" fontId="7" fillId="6" borderId="131" xfId="0" applyFont="1" applyFill="1" applyBorder="1" applyAlignment="1">
      <alignment horizontal="left" vertical="center"/>
    </xf>
    <xf numFmtId="0" fontId="6" fillId="6" borderId="60" xfId="0" applyFont="1" applyFill="1" applyBorder="1" applyAlignment="1">
      <alignment horizontal="center" vertical="center"/>
    </xf>
    <xf numFmtId="0" fontId="16" fillId="6" borderId="58" xfId="0" applyFont="1" applyFill="1" applyBorder="1" applyAlignment="1">
      <alignment horizontal="center" vertical="center"/>
    </xf>
    <xf numFmtId="0" fontId="16" fillId="6" borderId="65" xfId="0" applyFont="1" applyFill="1" applyBorder="1" applyAlignment="1">
      <alignment horizontal="center" vertical="center"/>
    </xf>
    <xf numFmtId="0" fontId="16" fillId="6" borderId="62" xfId="0" applyFont="1" applyFill="1" applyBorder="1" applyAlignment="1">
      <alignment horizontal="center" vertical="center"/>
    </xf>
    <xf numFmtId="0" fontId="6" fillId="6" borderId="59" xfId="0" applyFont="1" applyFill="1" applyBorder="1" applyAlignment="1">
      <alignment horizontal="center" vertical="center"/>
    </xf>
    <xf numFmtId="0" fontId="16" fillId="6" borderId="64" xfId="0" applyFont="1" applyFill="1" applyBorder="1" applyAlignment="1">
      <alignment horizontal="center" vertical="center"/>
    </xf>
    <xf numFmtId="0" fontId="3" fillId="2" borderId="10" xfId="0" applyFont="1" applyFill="1" applyBorder="1" applyAlignment="1">
      <alignment horizontal="center"/>
    </xf>
    <xf numFmtId="0" fontId="3" fillId="2" borderId="14" xfId="0" applyFont="1" applyFill="1" applyBorder="1" applyAlignment="1">
      <alignment horizontal="center"/>
    </xf>
    <xf numFmtId="0" fontId="3" fillId="2" borderId="11" xfId="0" applyFont="1" applyFill="1" applyBorder="1" applyAlignment="1">
      <alignment horizontal="center"/>
    </xf>
    <xf numFmtId="0" fontId="50" fillId="6" borderId="10" xfId="0" applyFont="1" applyFill="1" applyBorder="1" applyAlignment="1">
      <alignment horizontal="left" vertical="center"/>
    </xf>
    <xf numFmtId="0" fontId="50" fillId="6" borderId="14" xfId="0" applyFont="1" applyFill="1" applyBorder="1" applyAlignment="1">
      <alignment horizontal="left" vertical="center"/>
    </xf>
    <xf numFmtId="0" fontId="50" fillId="6" borderId="11" xfId="0" applyFont="1" applyFill="1" applyBorder="1" applyAlignment="1">
      <alignment horizontal="left" vertical="center"/>
    </xf>
    <xf numFmtId="2" fontId="7" fillId="6" borderId="120" xfId="0" applyNumberFormat="1" applyFont="1" applyFill="1" applyBorder="1" applyAlignment="1">
      <alignment horizontal="center" vertical="center"/>
    </xf>
    <xf numFmtId="2" fontId="7" fillId="6" borderId="70" xfId="0" applyNumberFormat="1" applyFont="1" applyFill="1" applyBorder="1" applyAlignment="1">
      <alignment horizontal="center" vertical="center"/>
    </xf>
    <xf numFmtId="2" fontId="7" fillId="6" borderId="13" xfId="0" applyNumberFormat="1" applyFont="1" applyFill="1" applyBorder="1" applyAlignment="1">
      <alignment horizontal="center" vertical="center"/>
    </xf>
    <xf numFmtId="2" fontId="7" fillId="6" borderId="121" xfId="0" applyNumberFormat="1" applyFont="1" applyFill="1" applyBorder="1" applyAlignment="1">
      <alignment horizontal="center" vertical="center"/>
    </xf>
    <xf numFmtId="2" fontId="7" fillId="6" borderId="0" xfId="0" applyNumberFormat="1" applyFont="1" applyFill="1" applyAlignment="1">
      <alignment horizontal="center" vertical="center"/>
    </xf>
    <xf numFmtId="2" fontId="7" fillId="6" borderId="67" xfId="0" applyNumberFormat="1" applyFont="1" applyFill="1" applyBorder="1" applyAlignment="1">
      <alignment horizontal="center" vertical="center"/>
    </xf>
    <xf numFmtId="2" fontId="7" fillId="6" borderId="122" xfId="0" applyNumberFormat="1" applyFont="1" applyFill="1" applyBorder="1" applyAlignment="1">
      <alignment horizontal="center" vertical="center"/>
    </xf>
    <xf numFmtId="2" fontId="7" fillId="6" borderId="123" xfId="0" applyNumberFormat="1" applyFont="1" applyFill="1" applyBorder="1" applyAlignment="1">
      <alignment horizontal="center" vertical="center"/>
    </xf>
    <xf numFmtId="2" fontId="7" fillId="6" borderId="73" xfId="0" applyNumberFormat="1" applyFont="1" applyFill="1" applyBorder="1" applyAlignment="1">
      <alignment horizontal="center" vertical="center"/>
    </xf>
    <xf numFmtId="0" fontId="7" fillId="6" borderId="133" xfId="0" applyFont="1" applyFill="1" applyBorder="1" applyAlignment="1">
      <alignment horizontal="left" vertical="center" indent="5"/>
    </xf>
    <xf numFmtId="0" fontId="7" fillId="6" borderId="134" xfId="0" applyFont="1" applyFill="1" applyBorder="1" applyAlignment="1">
      <alignment horizontal="left" vertical="center" indent="5"/>
    </xf>
    <xf numFmtId="0" fontId="7" fillId="6" borderId="72" xfId="0" applyFont="1" applyFill="1" applyBorder="1" applyAlignment="1">
      <alignment horizontal="left" vertical="center" indent="5"/>
    </xf>
    <xf numFmtId="2" fontId="7" fillId="6" borderId="71" xfId="0" applyNumberFormat="1" applyFont="1" applyFill="1" applyBorder="1" applyAlignment="1">
      <alignment horizontal="center" vertical="center"/>
    </xf>
    <xf numFmtId="2" fontId="7" fillId="6" borderId="134" xfId="0" applyNumberFormat="1" applyFont="1" applyFill="1" applyBorder="1" applyAlignment="1">
      <alignment horizontal="center" vertical="center"/>
    </xf>
    <xf numFmtId="2" fontId="7" fillId="6" borderId="135" xfId="0" applyNumberFormat="1" applyFont="1" applyFill="1" applyBorder="1" applyAlignment="1">
      <alignment horizontal="center" vertical="center"/>
    </xf>
    <xf numFmtId="2" fontId="7" fillId="6" borderId="60" xfId="0" applyNumberFormat="1" applyFont="1" applyFill="1" applyBorder="1" applyAlignment="1">
      <alignment horizontal="center" vertical="center"/>
    </xf>
    <xf numFmtId="2" fontId="7" fillId="6" borderId="61" xfId="0" applyNumberFormat="1" applyFont="1" applyFill="1" applyBorder="1" applyAlignment="1">
      <alignment horizontal="center" vertical="center"/>
    </xf>
    <xf numFmtId="2" fontId="7" fillId="6" borderId="139" xfId="0" applyNumberFormat="1" applyFont="1" applyFill="1" applyBorder="1" applyAlignment="1">
      <alignment horizontal="center" vertical="center"/>
    </xf>
    <xf numFmtId="2" fontId="7" fillId="6" borderId="1" xfId="0" applyNumberFormat="1" applyFont="1" applyFill="1" applyBorder="1" applyAlignment="1">
      <alignment horizontal="center" vertical="center"/>
    </xf>
    <xf numFmtId="2" fontId="7" fillId="6" borderId="124" xfId="0" applyNumberFormat="1" applyFont="1" applyFill="1" applyBorder="1" applyAlignment="1">
      <alignment horizontal="center" vertical="center"/>
    </xf>
    <xf numFmtId="0" fontId="7" fillId="6" borderId="133" xfId="0" applyFont="1" applyFill="1" applyBorder="1" applyAlignment="1">
      <alignment horizontal="left" vertical="center"/>
    </xf>
    <xf numFmtId="0" fontId="7" fillId="6" borderId="134" xfId="0" applyFont="1" applyFill="1" applyBorder="1" applyAlignment="1">
      <alignment horizontal="left" vertical="center"/>
    </xf>
    <xf numFmtId="0" fontId="7" fillId="6" borderId="72" xfId="0" applyFont="1" applyFill="1" applyBorder="1" applyAlignment="1">
      <alignment horizontal="left" vertical="center"/>
    </xf>
    <xf numFmtId="0" fontId="13" fillId="0" borderId="14" xfId="0" applyFont="1" applyBorder="1" applyAlignment="1">
      <alignment horizontal="center"/>
    </xf>
    <xf numFmtId="0" fontId="13" fillId="0" borderId="134" xfId="0" applyFont="1" applyBorder="1" applyAlignment="1">
      <alignment horizontal="center"/>
    </xf>
    <xf numFmtId="0" fontId="51" fillId="6" borderId="10" xfId="0" applyFont="1" applyFill="1" applyBorder="1" applyAlignment="1">
      <alignment horizontal="center" vertical="center"/>
    </xf>
    <xf numFmtId="0" fontId="51" fillId="6" borderId="14" xfId="0" applyFont="1" applyFill="1" applyBorder="1" applyAlignment="1">
      <alignment horizontal="center" vertical="center"/>
    </xf>
    <xf numFmtId="0" fontId="51" fillId="6" borderId="11" xfId="0" applyFont="1" applyFill="1" applyBorder="1" applyAlignment="1">
      <alignment horizontal="center" vertical="center"/>
    </xf>
    <xf numFmtId="0" fontId="7" fillId="2" borderId="58" xfId="0" applyFont="1" applyFill="1" applyBorder="1" applyAlignment="1" applyProtection="1">
      <alignment horizontal="center" vertical="center"/>
      <protection locked="0"/>
    </xf>
    <xf numFmtId="0" fontId="7" fillId="2" borderId="63" xfId="0" applyFont="1" applyFill="1" applyBorder="1" applyAlignment="1" applyProtection="1">
      <alignment horizontal="center" vertical="center"/>
      <protection locked="0"/>
    </xf>
    <xf numFmtId="0" fontId="31" fillId="0" borderId="0" xfId="0" applyFont="1" applyAlignment="1">
      <alignment horizontal="center"/>
    </xf>
    <xf numFmtId="0" fontId="33" fillId="0" borderId="0" xfId="0" applyFont="1" applyAlignment="1">
      <alignment horizontal="center"/>
    </xf>
    <xf numFmtId="0" fontId="34" fillId="0" borderId="0" xfId="0" applyFont="1" applyAlignment="1">
      <alignment horizontal="center"/>
    </xf>
    <xf numFmtId="0" fontId="6" fillId="5" borderId="10" xfId="0" applyFont="1" applyFill="1" applyBorder="1" applyAlignment="1">
      <alignment horizontal="center" vertical="center"/>
    </xf>
    <xf numFmtId="0" fontId="6" fillId="5" borderId="14" xfId="0" applyFont="1" applyFill="1" applyBorder="1" applyAlignment="1">
      <alignment horizontal="center" vertical="center"/>
    </xf>
    <xf numFmtId="0" fontId="6" fillId="5" borderId="11" xfId="0" applyFont="1" applyFill="1" applyBorder="1" applyAlignment="1">
      <alignment horizontal="center" vertical="center"/>
    </xf>
    <xf numFmtId="0" fontId="7" fillId="3" borderId="10"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3" fillId="0" borderId="10"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1" xfId="0" applyFont="1" applyBorder="1" applyAlignment="1">
      <alignment horizontal="center" vertical="center" wrapText="1"/>
    </xf>
    <xf numFmtId="0" fontId="25" fillId="0" borderId="57" xfId="0" applyFont="1" applyBorder="1" applyAlignment="1">
      <alignment horizontal="center" vertical="center"/>
    </xf>
    <xf numFmtId="0" fontId="0" fillId="0" borderId="57" xfId="0" applyBorder="1" applyAlignment="1">
      <alignment horizontal="center"/>
    </xf>
    <xf numFmtId="0" fontId="25" fillId="0" borderId="15" xfId="0" applyFont="1" applyBorder="1" applyAlignment="1">
      <alignment horizontal="center" vertical="center"/>
    </xf>
    <xf numFmtId="0" fontId="25" fillId="0" borderId="0" xfId="0" applyFont="1" applyAlignment="1">
      <alignment horizontal="center" vertical="center"/>
    </xf>
    <xf numFmtId="0" fontId="25" fillId="0" borderId="67" xfId="0" applyFont="1" applyBorder="1" applyAlignment="1">
      <alignment horizontal="center" vertical="center"/>
    </xf>
    <xf numFmtId="164" fontId="22" fillId="0" borderId="15" xfId="0" applyNumberFormat="1" applyFont="1" applyBorder="1" applyAlignment="1">
      <alignment horizontal="center" vertical="center"/>
    </xf>
    <xf numFmtId="164" fontId="18" fillId="0" borderId="15" xfId="0" applyNumberFormat="1" applyFont="1" applyBorder="1" applyAlignment="1">
      <alignment horizontal="center" vertical="center"/>
    </xf>
    <xf numFmtId="0" fontId="54" fillId="4" borderId="10" xfId="0" applyFont="1" applyFill="1" applyBorder="1" applyAlignment="1">
      <alignment horizontal="center"/>
    </xf>
    <xf numFmtId="0" fontId="54" fillId="4" borderId="14" xfId="0" applyFont="1" applyFill="1" applyBorder="1" applyAlignment="1">
      <alignment horizontal="center"/>
    </xf>
    <xf numFmtId="0" fontId="54" fillId="4" borderId="11" xfId="0" applyFont="1" applyFill="1" applyBorder="1" applyAlignment="1">
      <alignment horizontal="center"/>
    </xf>
    <xf numFmtId="1" fontId="26" fillId="0" borderId="81" xfId="0" applyNumberFormat="1" applyFont="1" applyBorder="1" applyAlignment="1">
      <alignment horizontal="center" vertical="center"/>
    </xf>
    <xf numFmtId="1" fontId="26" fillId="0" borderId="88" xfId="0" applyNumberFormat="1" applyFont="1" applyBorder="1" applyAlignment="1">
      <alignment horizontal="center" vertical="center"/>
    </xf>
    <xf numFmtId="1" fontId="26" fillId="0" borderId="92" xfId="0" applyNumberFormat="1" applyFont="1" applyBorder="1" applyAlignment="1">
      <alignment horizontal="center" vertical="center"/>
    </xf>
    <xf numFmtId="1" fontId="18" fillId="0" borderId="15" xfId="0" applyNumberFormat="1" applyFont="1" applyBorder="1" applyAlignment="1">
      <alignment horizontal="center" vertical="center"/>
    </xf>
    <xf numFmtId="1" fontId="18" fillId="0" borderId="93" xfId="0" applyNumberFormat="1" applyFont="1" applyBorder="1" applyAlignment="1">
      <alignment horizontal="center" vertical="center"/>
    </xf>
    <xf numFmtId="1" fontId="27" fillId="0" borderId="101" xfId="0" applyNumberFormat="1" applyFont="1" applyBorder="1" applyAlignment="1">
      <alignment horizontal="center" vertical="center" textRotation="90"/>
    </xf>
    <xf numFmtId="1" fontId="27" fillId="0" borderId="103" xfId="0" applyNumberFormat="1" applyFont="1" applyBorder="1" applyAlignment="1">
      <alignment horizontal="center" vertical="center" textRotation="90"/>
    </xf>
    <xf numFmtId="1" fontId="27" fillId="0" borderId="107" xfId="0" applyNumberFormat="1" applyFont="1" applyBorder="1" applyAlignment="1">
      <alignment horizontal="center" vertical="center" textRotation="90"/>
    </xf>
    <xf numFmtId="1" fontId="22" fillId="0" borderId="15" xfId="0" applyNumberFormat="1" applyFont="1" applyBorder="1" applyAlignment="1">
      <alignment horizontal="center" vertical="center"/>
    </xf>
    <xf numFmtId="1" fontId="25" fillId="0" borderId="15" xfId="0" applyNumberFormat="1" applyFont="1" applyBorder="1" applyAlignment="1">
      <alignment horizontal="center" vertical="center"/>
    </xf>
    <xf numFmtId="1" fontId="25" fillId="0" borderId="93" xfId="0" applyNumberFormat="1" applyFont="1" applyBorder="1" applyAlignment="1">
      <alignment horizontal="center" vertical="center"/>
    </xf>
    <xf numFmtId="0" fontId="25" fillId="0" borderId="133" xfId="0" applyFont="1" applyBorder="1" applyAlignment="1">
      <alignment horizontal="center" vertical="center"/>
    </xf>
    <xf numFmtId="0" fontId="25" fillId="0" borderId="134" xfId="0" applyFont="1" applyBorder="1" applyAlignment="1">
      <alignment horizontal="center" vertical="center"/>
    </xf>
    <xf numFmtId="0" fontId="25" fillId="0" borderId="135" xfId="0" applyFont="1" applyBorder="1" applyAlignment="1">
      <alignment horizontal="center" vertical="center"/>
    </xf>
    <xf numFmtId="167" fontId="11" fillId="3" borderId="63" xfId="0" applyNumberFormat="1" applyFont="1" applyFill="1" applyBorder="1" applyAlignment="1">
      <alignment horizontal="center" vertical="center"/>
    </xf>
    <xf numFmtId="167" fontId="11" fillId="3" borderId="66" xfId="0" applyNumberFormat="1" applyFont="1" applyFill="1" applyBorder="1" applyAlignment="1">
      <alignment horizontal="center" vertical="center"/>
    </xf>
    <xf numFmtId="0" fontId="11" fillId="3" borderId="62" xfId="0" applyFont="1" applyFill="1" applyBorder="1" applyAlignment="1">
      <alignment horizontal="center" vertical="center"/>
    </xf>
    <xf numFmtId="0" fontId="11" fillId="3" borderId="58" xfId="0" applyFont="1" applyFill="1" applyBorder="1" applyAlignment="1">
      <alignment horizontal="center" vertical="center"/>
    </xf>
    <xf numFmtId="0" fontId="11" fillId="3" borderId="64" xfId="0" applyFont="1" applyFill="1" applyBorder="1" applyAlignment="1">
      <alignment horizontal="center" vertical="center"/>
    </xf>
    <xf numFmtId="0" fontId="11" fillId="3" borderId="65" xfId="0" applyFont="1" applyFill="1" applyBorder="1" applyAlignment="1">
      <alignment horizontal="center" vertical="center"/>
    </xf>
    <xf numFmtId="167" fontId="11" fillId="3" borderId="58" xfId="0" applyNumberFormat="1" applyFont="1" applyFill="1" applyBorder="1" applyAlignment="1">
      <alignment horizontal="center" vertical="center"/>
    </xf>
    <xf numFmtId="167" fontId="11" fillId="3" borderId="65" xfId="0" applyNumberFormat="1" applyFont="1" applyFill="1" applyBorder="1" applyAlignment="1">
      <alignment horizontal="center" vertical="center"/>
    </xf>
    <xf numFmtId="167" fontId="11" fillId="3" borderId="118" xfId="0" applyNumberFormat="1" applyFont="1" applyFill="1" applyBorder="1" applyAlignment="1">
      <alignment horizontal="center" vertical="center"/>
    </xf>
    <xf numFmtId="0" fontId="11" fillId="3" borderId="60" xfId="0" applyFont="1" applyFill="1" applyBorder="1" applyAlignment="1">
      <alignment horizontal="center" vertical="center"/>
    </xf>
    <xf numFmtId="0" fontId="11" fillId="3" borderId="59" xfId="0" applyFont="1" applyFill="1" applyBorder="1" applyAlignment="1">
      <alignment horizontal="center" vertical="center"/>
    </xf>
    <xf numFmtId="0" fontId="11" fillId="3" borderId="61" xfId="0" applyFont="1" applyFill="1" applyBorder="1" applyAlignment="1">
      <alignment horizontal="center" vertical="center"/>
    </xf>
    <xf numFmtId="0" fontId="12" fillId="3" borderId="60" xfId="0" applyFont="1" applyFill="1" applyBorder="1" applyAlignment="1">
      <alignment horizontal="center" vertical="center"/>
    </xf>
    <xf numFmtId="0" fontId="11" fillId="3" borderId="60" xfId="0" applyFont="1" applyFill="1" applyBorder="1" applyAlignment="1">
      <alignment horizontal="right" vertical="center"/>
    </xf>
    <xf numFmtId="0" fontId="11" fillId="3" borderId="116" xfId="0" applyFont="1" applyFill="1" applyBorder="1" applyAlignment="1">
      <alignment horizontal="center" vertical="center"/>
    </xf>
    <xf numFmtId="0" fontId="11" fillId="3" borderId="117" xfId="0" applyFont="1" applyFill="1" applyBorder="1" applyAlignment="1">
      <alignment horizontal="center" vertical="center"/>
    </xf>
    <xf numFmtId="0" fontId="11" fillId="3" borderId="120" xfId="0" applyFont="1" applyFill="1" applyBorder="1" applyAlignment="1">
      <alignment horizontal="right" vertical="center"/>
    </xf>
    <xf numFmtId="0" fontId="11" fillId="3" borderId="70" xfId="0" applyFont="1" applyFill="1" applyBorder="1" applyAlignment="1">
      <alignment horizontal="right" vertical="center"/>
    </xf>
    <xf numFmtId="0" fontId="11" fillId="3" borderId="125" xfId="0" applyFont="1" applyFill="1" applyBorder="1" applyAlignment="1">
      <alignment horizontal="right" vertical="center"/>
    </xf>
    <xf numFmtId="0" fontId="11" fillId="3" borderId="121" xfId="0" applyFont="1" applyFill="1" applyBorder="1" applyAlignment="1">
      <alignment horizontal="right" vertical="center"/>
    </xf>
    <xf numFmtId="0" fontId="11" fillId="3" borderId="0" xfId="0" applyFont="1" applyFill="1" applyAlignment="1">
      <alignment horizontal="right" vertical="center"/>
    </xf>
    <xf numFmtId="0" fontId="11" fillId="3" borderId="126" xfId="0" applyFont="1" applyFill="1" applyBorder="1" applyAlignment="1">
      <alignment horizontal="right" vertical="center"/>
    </xf>
    <xf numFmtId="167" fontId="11" fillId="3" borderId="117" xfId="0" applyNumberFormat="1" applyFont="1" applyFill="1"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0" fontId="11" fillId="3" borderId="63" xfId="0" applyFont="1" applyFill="1" applyBorder="1" applyAlignment="1">
      <alignment horizontal="center" vertical="center"/>
    </xf>
    <xf numFmtId="0" fontId="44" fillId="6" borderId="64" xfId="0" applyFont="1" applyFill="1" applyBorder="1" applyAlignment="1">
      <alignment horizontal="center"/>
    </xf>
    <xf numFmtId="0" fontId="44" fillId="6" borderId="65" xfId="0" applyFont="1" applyFill="1" applyBorder="1" applyAlignment="1">
      <alignment horizontal="center"/>
    </xf>
    <xf numFmtId="0" fontId="44" fillId="11" borderId="59" xfId="0" applyFont="1" applyFill="1" applyBorder="1" applyAlignment="1" applyProtection="1">
      <alignment horizontal="center"/>
      <protection locked="0"/>
    </xf>
    <xf numFmtId="0" fontId="44" fillId="11" borderId="60" xfId="0" applyFont="1" applyFill="1" applyBorder="1" applyAlignment="1" applyProtection="1">
      <alignment horizontal="center"/>
      <protection locked="0"/>
    </xf>
    <xf numFmtId="0" fontId="1" fillId="6" borderId="2" xfId="0" applyFont="1" applyFill="1" applyBorder="1" applyAlignment="1">
      <alignment horizontal="left"/>
    </xf>
    <xf numFmtId="0" fontId="1" fillId="6" borderId="119" xfId="0" applyFont="1" applyFill="1" applyBorder="1" applyAlignment="1">
      <alignment horizontal="left"/>
    </xf>
    <xf numFmtId="0" fontId="1" fillId="11" borderId="115" xfId="0" applyFont="1" applyFill="1" applyBorder="1" applyAlignment="1" applyProtection="1">
      <alignment horizontal="center"/>
      <protection locked="0"/>
    </xf>
    <xf numFmtId="0" fontId="1" fillId="11" borderId="4" xfId="0" applyFont="1" applyFill="1" applyBorder="1" applyAlignment="1" applyProtection="1">
      <alignment horizontal="center"/>
      <protection locked="0"/>
    </xf>
    <xf numFmtId="0" fontId="11" fillId="3" borderId="59" xfId="0" applyFont="1" applyFill="1" applyBorder="1" applyAlignment="1">
      <alignment horizontal="left" vertical="center"/>
    </xf>
    <xf numFmtId="0" fontId="11" fillId="3" borderId="60" xfId="0" applyFont="1" applyFill="1" applyBorder="1" applyAlignment="1">
      <alignment horizontal="left" vertical="center"/>
    </xf>
    <xf numFmtId="0" fontId="10" fillId="0" borderId="0" xfId="0" applyFont="1" applyAlignment="1">
      <alignment horizontal="center"/>
    </xf>
    <xf numFmtId="0" fontId="49" fillId="0" borderId="59" xfId="0" applyFont="1" applyBorder="1" applyAlignment="1">
      <alignment horizontal="center" vertical="center"/>
    </xf>
    <xf numFmtId="0" fontId="49" fillId="0" borderId="60" xfId="0" applyFont="1" applyBorder="1" applyAlignment="1">
      <alignment horizontal="center" vertical="center"/>
    </xf>
    <xf numFmtId="0" fontId="49" fillId="0" borderId="61" xfId="0" applyFont="1" applyBorder="1" applyAlignment="1">
      <alignment horizontal="center" vertical="center"/>
    </xf>
    <xf numFmtId="0" fontId="49" fillId="0" borderId="59" xfId="0" applyFont="1" applyBorder="1" applyAlignment="1">
      <alignment horizontal="center"/>
    </xf>
    <xf numFmtId="0" fontId="49" fillId="0" borderId="60" xfId="0" applyFont="1" applyBorder="1" applyAlignment="1">
      <alignment horizontal="center"/>
    </xf>
    <xf numFmtId="0" fontId="49" fillId="0" borderId="61" xfId="0" applyFont="1" applyBorder="1" applyAlignment="1">
      <alignment horizontal="center"/>
    </xf>
    <xf numFmtId="0" fontId="49" fillId="0" borderId="2" xfId="0" applyFont="1" applyBorder="1" applyAlignment="1">
      <alignment horizontal="center" vertical="center"/>
    </xf>
    <xf numFmtId="0" fontId="49" fillId="0" borderId="3" xfId="0" applyFont="1" applyBorder="1" applyAlignment="1">
      <alignment horizontal="center" vertical="center"/>
    </xf>
    <xf numFmtId="0" fontId="49" fillId="0" borderId="4" xfId="0" applyFont="1" applyBorder="1" applyAlignment="1">
      <alignment horizontal="center" vertical="center"/>
    </xf>
    <xf numFmtId="0" fontId="11" fillId="0" borderId="8" xfId="0" applyFont="1" applyBorder="1" applyAlignment="1">
      <alignment horizontal="center" vertical="center"/>
    </xf>
    <xf numFmtId="0" fontId="11" fillId="0" borderId="53" xfId="0" applyFont="1" applyBorder="1" applyAlignment="1">
      <alignment horizontal="center" vertical="center"/>
    </xf>
    <xf numFmtId="0" fontId="11" fillId="0" borderId="9" xfId="0" applyFont="1" applyBorder="1" applyAlignment="1">
      <alignment horizontal="center" vertical="center"/>
    </xf>
    <xf numFmtId="0" fontId="11" fillId="0" borderId="20" xfId="0" applyFont="1" applyBorder="1" applyAlignment="1">
      <alignment horizontal="center" vertical="center"/>
    </xf>
    <xf numFmtId="0" fontId="11" fillId="0" borderId="1" xfId="0" applyFont="1" applyBorder="1" applyAlignment="1">
      <alignment horizontal="center" vertical="center"/>
    </xf>
    <xf numFmtId="0" fontId="11" fillId="0" borderId="124" xfId="0" applyFont="1" applyBorder="1" applyAlignment="1">
      <alignment horizontal="center" vertical="center"/>
    </xf>
    <xf numFmtId="0" fontId="49" fillId="0" borderId="59" xfId="0" quotePrefix="1" applyFont="1" applyBorder="1" applyAlignment="1">
      <alignment horizontal="center" vertical="center"/>
    </xf>
    <xf numFmtId="0" fontId="44" fillId="2" borderId="8" xfId="0" applyFont="1" applyFill="1" applyBorder="1" applyAlignment="1">
      <alignment horizontal="center"/>
    </xf>
    <xf numFmtId="0" fontId="44" fillId="2" borderId="53" xfId="0" applyFont="1" applyFill="1" applyBorder="1" applyAlignment="1">
      <alignment horizontal="center"/>
    </xf>
    <xf numFmtId="0" fontId="44" fillId="13" borderId="20" xfId="0" applyFont="1" applyFill="1" applyBorder="1" applyAlignment="1">
      <alignment horizontal="center"/>
    </xf>
    <xf numFmtId="0" fontId="44" fillId="13" borderId="1" xfId="0" applyFont="1" applyFill="1" applyBorder="1" applyAlignment="1">
      <alignment horizontal="center"/>
    </xf>
    <xf numFmtId="0" fontId="11" fillId="4" borderId="53" xfId="0" applyFont="1" applyFill="1" applyBorder="1" applyAlignment="1">
      <alignment horizontal="center"/>
    </xf>
    <xf numFmtId="0" fontId="44" fillId="4" borderId="0" xfId="0" applyFont="1" applyFill="1" applyAlignment="1">
      <alignment horizontal="center"/>
    </xf>
    <xf numFmtId="0" fontId="11" fillId="0" borderId="53" xfId="0" applyFont="1" applyBorder="1" applyAlignment="1">
      <alignment horizontal="center"/>
    </xf>
    <xf numFmtId="0" fontId="44" fillId="4" borderId="0" xfId="0" applyFont="1" applyFill="1" applyAlignment="1">
      <alignment horizontal="left"/>
    </xf>
    <xf numFmtId="0" fontId="11" fillId="4" borderId="0" xfId="0" applyFont="1" applyFill="1" applyAlignment="1">
      <alignment horizontal="center"/>
    </xf>
    <xf numFmtId="0" fontId="44" fillId="4" borderId="8" xfId="0" applyFont="1" applyFill="1" applyBorder="1" applyAlignment="1">
      <alignment horizontal="center"/>
    </xf>
    <xf numFmtId="0" fontId="44" fillId="4" borderId="53" xfId="0" applyFont="1" applyFill="1" applyBorder="1" applyAlignment="1">
      <alignment horizontal="center"/>
    </xf>
    <xf numFmtId="0" fontId="44" fillId="4" borderId="20" xfId="0" applyFont="1" applyFill="1" applyBorder="1" applyAlignment="1">
      <alignment horizontal="center"/>
    </xf>
    <xf numFmtId="0" fontId="44" fillId="4" borderId="1" xfId="0" applyFont="1" applyFill="1" applyBorder="1" applyAlignment="1">
      <alignment horizontal="center"/>
    </xf>
  </cellXfs>
  <cellStyles count="1">
    <cellStyle name="Normal" xfId="0" builtinId="0"/>
  </cellStyles>
  <dxfs count="321">
    <dxf>
      <fill>
        <patternFill>
          <bgColor rgb="FFFF0000"/>
        </patternFill>
      </fill>
    </dxf>
    <dxf>
      <fill>
        <patternFill>
          <bgColor rgb="FF92D050"/>
        </patternFill>
      </fill>
    </dxf>
    <dxf>
      <font>
        <color theme="0"/>
      </font>
      <fill>
        <patternFill>
          <bgColor theme="0"/>
        </patternFill>
      </fill>
    </dxf>
    <dxf>
      <fill>
        <patternFill>
          <bgColor rgb="FFFF0000"/>
        </patternFill>
      </fill>
    </dxf>
    <dxf>
      <fill>
        <patternFill>
          <bgColor rgb="FF92D050"/>
        </patternFill>
      </fill>
    </dxf>
    <dxf>
      <font>
        <color theme="0"/>
      </font>
      <fill>
        <patternFill>
          <bgColor theme="0"/>
        </patternFill>
      </fill>
    </dxf>
    <dxf>
      <fill>
        <patternFill>
          <bgColor rgb="FF92D05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92D05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ont>
        <color theme="0"/>
      </font>
      <fill>
        <patternFill>
          <bgColor theme="0"/>
        </patternFill>
      </fill>
    </dxf>
    <dxf>
      <fill>
        <patternFill>
          <bgColor rgb="FFFF0000"/>
        </patternFill>
      </fill>
    </dxf>
    <dxf>
      <fill>
        <patternFill>
          <bgColor rgb="FF92D050"/>
        </patternFill>
      </fill>
    </dxf>
    <dxf>
      <font>
        <color theme="0"/>
      </font>
      <fill>
        <patternFill>
          <bgColor theme="0"/>
        </patternFill>
      </fill>
    </dxf>
    <dxf>
      <fill>
        <patternFill>
          <bgColor rgb="FFFF0000"/>
        </patternFill>
      </fill>
    </dxf>
    <dxf>
      <fill>
        <patternFill>
          <bgColor rgb="FF92D050"/>
        </patternFill>
      </fill>
    </dxf>
    <dxf>
      <font>
        <color theme="0"/>
      </font>
      <fill>
        <patternFill>
          <bgColor theme="0"/>
        </patternFill>
      </fill>
    </dxf>
    <dxf>
      <fill>
        <patternFill>
          <bgColor rgb="FFFF0000"/>
        </patternFill>
      </fill>
    </dxf>
    <dxf>
      <fill>
        <patternFill>
          <bgColor rgb="FF92D050"/>
        </patternFill>
      </fill>
    </dxf>
    <dxf>
      <font>
        <color theme="0"/>
      </font>
      <fill>
        <patternFill>
          <bgColor theme="0"/>
        </patternFill>
      </fill>
    </dxf>
    <dxf>
      <fill>
        <patternFill>
          <bgColor rgb="FF92D05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92D05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ont>
        <color theme="0"/>
      </font>
      <fill>
        <patternFill>
          <bgColor theme="0"/>
        </patternFill>
      </fill>
    </dxf>
    <dxf>
      <fill>
        <patternFill>
          <bgColor rgb="FFFF0000"/>
        </patternFill>
      </fill>
    </dxf>
    <dxf>
      <fill>
        <patternFill>
          <bgColor rgb="FF92D050"/>
        </patternFill>
      </fill>
    </dxf>
    <dxf>
      <font>
        <color theme="0"/>
      </font>
      <fill>
        <patternFill>
          <bgColor theme="0"/>
        </patternFill>
      </fill>
    </dxf>
    <dxf>
      <fill>
        <patternFill>
          <bgColor rgb="FF92D05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92D05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ont>
        <color theme="0"/>
      </font>
      <fill>
        <patternFill>
          <bgColor theme="0"/>
        </patternFill>
      </fill>
    </dxf>
    <dxf>
      <fill>
        <patternFill>
          <bgColor rgb="FFFF0000"/>
        </patternFill>
      </fill>
    </dxf>
    <dxf>
      <fill>
        <patternFill>
          <bgColor rgb="FF92D050"/>
        </patternFill>
      </fill>
    </dxf>
    <dxf>
      <font>
        <color theme="0"/>
      </font>
      <fill>
        <patternFill>
          <bgColor theme="0"/>
        </patternFill>
      </fill>
    </dxf>
    <dxf>
      <fill>
        <patternFill>
          <bgColor rgb="FFFF0000"/>
        </patternFill>
      </fill>
    </dxf>
    <dxf>
      <fill>
        <patternFill>
          <bgColor rgb="FF92D050"/>
        </patternFill>
      </fill>
    </dxf>
    <dxf>
      <font>
        <color theme="0"/>
      </font>
      <fill>
        <patternFill>
          <bgColor theme="0"/>
        </patternFill>
      </fill>
    </dxf>
    <dxf>
      <fill>
        <patternFill>
          <bgColor rgb="FFFF0000"/>
        </patternFill>
      </fill>
    </dxf>
    <dxf>
      <fill>
        <patternFill>
          <bgColor rgb="FF92D050"/>
        </patternFill>
      </fill>
    </dxf>
    <dxf>
      <font>
        <color theme="0"/>
      </font>
      <fill>
        <patternFill>
          <bgColor theme="0"/>
        </patternFill>
      </fill>
    </dxf>
    <dxf>
      <fill>
        <patternFill>
          <bgColor rgb="FF92D05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92D05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ont>
        <color theme="0"/>
      </font>
      <fill>
        <patternFill>
          <bgColor theme="0"/>
        </patternFill>
      </fill>
    </dxf>
    <dxf>
      <fill>
        <patternFill>
          <bgColor rgb="FFFF0000"/>
        </patternFill>
      </fill>
    </dxf>
    <dxf>
      <fill>
        <patternFill>
          <bgColor rgb="FF92D050"/>
        </patternFill>
      </fill>
    </dxf>
    <dxf>
      <font>
        <color theme="0"/>
      </font>
      <fill>
        <patternFill>
          <bgColor theme="0"/>
        </patternFill>
      </fill>
    </dxf>
    <dxf>
      <fill>
        <patternFill>
          <bgColor rgb="FF92D05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92D05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ont>
        <color theme="0"/>
      </font>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92D05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ont>
        <color theme="0"/>
      </font>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92D05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ont>
        <color theme="0"/>
      </font>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92D05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ont>
        <color theme="0"/>
      </font>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92D05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ont>
        <color theme="0"/>
      </font>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92D05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ont>
        <color theme="0"/>
      </font>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92D05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theme="3" tint="0.79998168889431442"/>
        </patternFill>
      </fill>
    </dxf>
    <dxf>
      <font>
        <b/>
        <i/>
      </font>
      <fill>
        <patternFill>
          <bgColor rgb="FFFF0000"/>
        </patternFill>
      </fill>
    </dxf>
    <dxf>
      <font>
        <b/>
        <i/>
      </font>
      <fill>
        <patternFill>
          <bgColor rgb="FFFF0000"/>
        </patternFill>
      </fill>
    </dxf>
    <dxf>
      <fill>
        <patternFill>
          <bgColor rgb="FFFFFF00"/>
        </patternFill>
      </fill>
    </dxf>
    <dxf>
      <fill>
        <patternFill>
          <bgColor rgb="FFFFC000"/>
        </patternFill>
      </fill>
    </dxf>
    <dxf>
      <fill>
        <patternFill>
          <bgColor theme="3" tint="0.79998168889431442"/>
        </patternFill>
      </fill>
    </dxf>
    <dxf>
      <font>
        <b/>
        <i/>
      </font>
      <fill>
        <patternFill>
          <bgColor rgb="FFFF0000"/>
        </patternFill>
      </fill>
    </dxf>
    <dxf>
      <font>
        <b/>
        <i/>
      </font>
      <fill>
        <patternFill>
          <bgColor rgb="FFFF0000"/>
        </patternFill>
      </fill>
    </dxf>
    <dxf>
      <fill>
        <patternFill>
          <bgColor rgb="FFFFFF00"/>
        </patternFill>
      </fill>
    </dxf>
    <dxf>
      <fill>
        <patternFill>
          <bgColor rgb="FFFFC000"/>
        </patternFill>
      </fill>
    </dxf>
    <dxf>
      <fill>
        <patternFill>
          <bgColor theme="3" tint="0.79998168889431442"/>
        </patternFill>
      </fill>
    </dxf>
    <dxf>
      <font>
        <b/>
        <i/>
      </font>
      <fill>
        <patternFill>
          <bgColor rgb="FFFF0000"/>
        </patternFill>
      </fill>
    </dxf>
    <dxf>
      <font>
        <b/>
        <i/>
      </font>
      <fill>
        <patternFill>
          <bgColor rgb="FFFF0000"/>
        </patternFill>
      </fill>
    </dxf>
    <dxf>
      <fill>
        <patternFill>
          <bgColor rgb="FFFFFF00"/>
        </patternFill>
      </fill>
    </dxf>
    <dxf>
      <fill>
        <patternFill>
          <bgColor theme="0"/>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0"/>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rgb="FFFF0000"/>
        </patternFill>
      </fill>
    </dxf>
    <dxf>
      <fill>
        <patternFill>
          <bgColor rgb="FFFF0000"/>
        </patternFill>
      </fill>
    </dxf>
    <dxf>
      <font>
        <b/>
        <i/>
      </font>
      <fill>
        <patternFill>
          <bgColor rgb="FFFF0000"/>
        </patternFill>
      </fill>
    </dxf>
    <dxf>
      <font>
        <b/>
        <i/>
      </font>
      <fill>
        <patternFill>
          <bgColor rgb="FFFF0000"/>
        </patternFill>
      </fill>
    </dxf>
    <dxf>
      <fill>
        <patternFill>
          <bgColor theme="3" tint="0.79998168889431442"/>
        </patternFill>
      </fill>
    </dxf>
    <dxf>
      <fill>
        <patternFill>
          <bgColor rgb="FFFFC000"/>
        </patternFill>
      </fill>
    </dxf>
    <dxf>
      <font>
        <b/>
        <i/>
      </font>
      <fill>
        <patternFill>
          <bgColor rgb="FFFF0000"/>
        </patternFill>
      </fill>
    </dxf>
    <dxf>
      <font>
        <b/>
        <i/>
      </font>
      <fill>
        <patternFill>
          <bgColor rgb="FFFF0000"/>
        </patternFill>
      </fill>
    </dxf>
    <dxf>
      <fill>
        <patternFill>
          <bgColor theme="3" tint="0.79998168889431442"/>
        </patternFill>
      </fill>
    </dxf>
    <dxf>
      <fill>
        <patternFill>
          <bgColor rgb="FFFFC000"/>
        </patternFill>
      </fill>
    </dxf>
    <dxf>
      <fill>
        <patternFill>
          <bgColor rgb="FFFFFF00"/>
        </patternFill>
      </fill>
    </dxf>
    <dxf>
      <fill>
        <patternFill>
          <bgColor rgb="FFFFC000"/>
        </patternFill>
      </fill>
    </dxf>
    <dxf>
      <fill>
        <patternFill>
          <bgColor theme="3" tint="0.79998168889431442"/>
        </patternFill>
      </fill>
    </dxf>
    <dxf>
      <font>
        <b/>
        <i/>
      </font>
      <fill>
        <patternFill>
          <bgColor rgb="FFFF0000"/>
        </patternFill>
      </fill>
    </dxf>
    <dxf>
      <font>
        <b/>
        <i/>
      </font>
      <fill>
        <patternFill>
          <bgColor rgb="FFFF0000"/>
        </patternFill>
      </fill>
    </dxf>
    <dxf>
      <fill>
        <patternFill>
          <bgColor rgb="FFFFFF00"/>
        </patternFill>
      </fill>
    </dxf>
    <dxf>
      <font>
        <b/>
        <i/>
      </font>
      <fill>
        <patternFill>
          <bgColor rgb="FFFF0000"/>
        </patternFill>
      </fill>
    </dxf>
    <dxf>
      <font>
        <b/>
        <i/>
      </font>
      <fill>
        <patternFill>
          <bgColor rgb="FFFFFF00"/>
        </patternFill>
      </fill>
    </dxf>
    <dxf>
      <fill>
        <patternFill>
          <bgColor theme="3" tint="0.79998168889431442"/>
        </patternFill>
      </fill>
    </dxf>
    <dxf>
      <fill>
        <patternFill>
          <bgColor rgb="FFFFC000"/>
        </patternFill>
      </fill>
    </dxf>
    <dxf>
      <fill>
        <patternFill>
          <bgColor rgb="FFFFFF00"/>
        </patternFill>
      </fill>
    </dxf>
    <dxf>
      <font>
        <b/>
        <i/>
      </font>
      <fill>
        <patternFill>
          <bgColor rgb="FFFF0000"/>
        </patternFill>
      </fill>
    </dxf>
    <dxf>
      <font>
        <b/>
        <i/>
      </font>
      <fill>
        <patternFill>
          <bgColor rgb="FFFF0000"/>
        </patternFill>
      </fill>
    </dxf>
    <dxf>
      <fill>
        <patternFill>
          <bgColor theme="3" tint="0.79998168889431442"/>
        </patternFill>
      </fill>
    </dxf>
    <dxf>
      <fill>
        <patternFill>
          <bgColor rgb="FFFFC000"/>
        </patternFill>
      </fill>
    </dxf>
    <dxf>
      <fill>
        <patternFill>
          <bgColor rgb="FFFFFF00"/>
        </patternFill>
      </fill>
    </dxf>
    <dxf>
      <font>
        <b/>
        <i/>
      </font>
      <fill>
        <patternFill>
          <bgColor rgb="FFFF0000"/>
        </patternFill>
      </fill>
    </dxf>
    <dxf>
      <fill>
        <patternFill>
          <bgColor theme="3" tint="0.79998168889431442"/>
        </patternFill>
      </fill>
    </dxf>
    <dxf>
      <font>
        <b/>
        <i/>
      </font>
      <fill>
        <patternFill>
          <bgColor rgb="FFFF0000"/>
        </patternFill>
      </fill>
    </dxf>
    <dxf>
      <fill>
        <patternFill>
          <bgColor rgb="FFFFC000"/>
        </patternFill>
      </fill>
    </dxf>
    <dxf>
      <fill>
        <patternFill>
          <bgColor rgb="FFFFFF00"/>
        </patternFill>
      </fill>
    </dxf>
    <dxf>
      <font>
        <b/>
        <i/>
      </font>
      <fill>
        <patternFill>
          <bgColor rgb="FFFF0000"/>
        </patternFill>
      </fill>
    </dxf>
    <dxf>
      <font>
        <b/>
        <i/>
      </font>
      <fill>
        <patternFill>
          <bgColor rgb="FFFF0000"/>
        </patternFill>
      </fill>
    </dxf>
    <dxf>
      <fill>
        <patternFill>
          <bgColor theme="3" tint="0.79998168889431442"/>
        </patternFill>
      </fill>
    </dxf>
    <dxf>
      <fill>
        <patternFill>
          <bgColor rgb="FFFFC000"/>
        </patternFill>
      </fill>
    </dxf>
    <dxf>
      <fill>
        <patternFill>
          <bgColor rgb="FFFF0000"/>
        </patternFill>
      </fill>
    </dxf>
    <dxf>
      <fill>
        <patternFill>
          <bgColor theme="0"/>
        </patternFill>
      </fill>
    </dxf>
    <dxf>
      <fill>
        <patternFill>
          <bgColor rgb="FF92D050"/>
        </patternFill>
      </fill>
    </dxf>
    <dxf>
      <fill>
        <patternFill>
          <bgColor rgb="FFFF0000"/>
        </patternFill>
      </fill>
    </dxf>
    <dxf>
      <fill>
        <patternFill>
          <bgColor theme="0" tint="-0.14996795556505021"/>
        </patternFill>
      </fill>
    </dxf>
    <dxf>
      <fill>
        <patternFill>
          <bgColor theme="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theme="0" tint="-0.14996795556505021"/>
        </patternFill>
      </fill>
    </dxf>
  </dxfs>
  <tableStyles count="0" defaultTableStyle="TableStyleMedium9" defaultPivotStyle="PivotStyleLight16"/>
  <colors>
    <mruColors>
      <color rgb="FFFD4207"/>
      <color rgb="FFFC3E02"/>
      <color rgb="FFFD9173"/>
      <color rgb="FFFEC0AC"/>
      <color rgb="FFFEA386"/>
      <color rgb="FFFD7D55"/>
      <color rgb="FFFD6B3D"/>
      <color rgb="FFFD602F"/>
      <color rgb="FFFFFF66"/>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49.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50.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51.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52.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53.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54.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55.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57.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58.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59.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60.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62.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63.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64.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65.xml"/></Relationships>
</file>

<file path=xl/charts/_rels/chart53.xml.rels><?xml version="1.0" encoding="UTF-8" standalone="yes"?>
<Relationships xmlns="http://schemas.openxmlformats.org/package/2006/relationships"><Relationship Id="rId1" Type="http://schemas.openxmlformats.org/officeDocument/2006/relationships/chartUserShapes" Target="../drawings/drawing66.xml"/></Relationships>
</file>

<file path=xl/charts/_rels/chart54.xml.rels><?xml version="1.0" encoding="UTF-8" standalone="yes"?>
<Relationships xmlns="http://schemas.openxmlformats.org/package/2006/relationships"><Relationship Id="rId1" Type="http://schemas.openxmlformats.org/officeDocument/2006/relationships/chartUserShapes" Target="../drawings/drawing67.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68.xml"/></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69.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71.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72.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73.xml"/></Relationships>
</file>

<file path=xl/charts/_rels/chart60.xml.rels><?xml version="1.0" encoding="UTF-8" standalone="yes"?>
<Relationships xmlns="http://schemas.openxmlformats.org/package/2006/relationships"><Relationship Id="rId1" Type="http://schemas.openxmlformats.org/officeDocument/2006/relationships/chartUserShapes" Target="../drawings/drawing74.xml"/></Relationships>
</file>

<file path=xl/charts/_rels/chart61.xml.rels><?xml version="1.0" encoding="UTF-8" standalone="yes"?>
<Relationships xmlns="http://schemas.openxmlformats.org/package/2006/relationships"><Relationship Id="rId1" Type="http://schemas.openxmlformats.org/officeDocument/2006/relationships/chartUserShapes" Target="../drawings/drawing76.xml"/></Relationships>
</file>

<file path=xl/charts/_rels/chart62.xml.rels><?xml version="1.0" encoding="UTF-8" standalone="yes"?>
<Relationships xmlns="http://schemas.openxmlformats.org/package/2006/relationships"><Relationship Id="rId1" Type="http://schemas.openxmlformats.org/officeDocument/2006/relationships/chartUserShapes" Target="../drawings/drawing77.xml"/></Relationships>
</file>

<file path=xl/charts/_rels/chart63.xml.rels><?xml version="1.0" encoding="UTF-8" standalone="yes"?>
<Relationships xmlns="http://schemas.openxmlformats.org/package/2006/relationships"><Relationship Id="rId1" Type="http://schemas.openxmlformats.org/officeDocument/2006/relationships/chartUserShapes" Target="../drawings/drawing78.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7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892709180583196"/>
          <c:y val="0.14457717383076141"/>
          <c:w val="0.81564283305597318"/>
          <c:h val="0.7222831183970998"/>
        </c:manualLayout>
      </c:layout>
      <c:scatterChart>
        <c:scatterStyle val="lineMarker"/>
        <c:varyColors val="0"/>
        <c:ser>
          <c:idx val="0"/>
          <c:order val="0"/>
          <c:tx>
            <c:strRef>
              <c:f>'CV 1'!$G$5</c:f>
              <c:strCache>
                <c:ptCount val="1"/>
                <c:pt idx="0">
                  <c:v>Average Result</c:v>
                </c:pt>
              </c:strCache>
            </c:strRef>
          </c:tx>
          <c:spPr>
            <a:ln w="6350">
              <a:solidFill>
                <a:sysClr val="windowText" lastClr="000000"/>
              </a:solidFill>
            </a:ln>
          </c:spPr>
          <c:marker>
            <c:symbol val="star"/>
            <c:size val="7"/>
            <c:spPr>
              <a:noFill/>
              <a:ln w="15875">
                <a:solidFill>
                  <a:schemeClr val="tx1"/>
                </a:solidFill>
              </a:ln>
            </c:spPr>
          </c:marker>
          <c:xVal>
            <c:numRef>
              <c:f>'CV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'CV 1'!$G$6:$G$55</c:f>
              <c:numCache>
                <c:formatCode>0.00</c:formatCode>
                <c:ptCount val="50"/>
                <c:pt idx="0">
                  <c:v>27.05</c:v>
                </c:pt>
                <c:pt idx="1">
                  <c:v>26.814999999999998</c:v>
                </c:pt>
                <c:pt idx="2">
                  <c:v>26.965</c:v>
                </c:pt>
                <c:pt idx="3">
                  <c:v>27.08</c:v>
                </c:pt>
                <c:pt idx="4">
                  <c:v>27</c:v>
                </c:pt>
                <c:pt idx="5">
                  <c:v>27.08</c:v>
                </c:pt>
                <c:pt idx="6">
                  <c:v>27.03</c:v>
                </c:pt>
                <c:pt idx="7">
                  <c:v>27.1</c:v>
                </c:pt>
                <c:pt idx="8">
                  <c:v>27.06</c:v>
                </c:pt>
                <c:pt idx="9">
                  <c:v>27.16</c:v>
                </c:pt>
                <c:pt idx="10">
                  <c:v>27.1</c:v>
                </c:pt>
                <c:pt idx="11">
                  <c:v>27</c:v>
                </c:pt>
                <c:pt idx="12">
                  <c:v>26.95</c:v>
                </c:pt>
                <c:pt idx="13">
                  <c:v>27</c:v>
                </c:pt>
                <c:pt idx="14">
                  <c:v>27.02</c:v>
                </c:pt>
                <c:pt idx="15">
                  <c:v>26.91</c:v>
                </c:pt>
                <c:pt idx="16">
                  <c:v>26.93</c:v>
                </c:pt>
                <c:pt idx="17">
                  <c:v>26.875</c:v>
                </c:pt>
                <c:pt idx="18">
                  <c:v>26.85</c:v>
                </c:pt>
                <c:pt idx="19">
                  <c:v>27.064999999999998</c:v>
                </c:pt>
                <c:pt idx="20">
                  <c:v>26.89</c:v>
                </c:pt>
                <c:pt idx="21">
                  <c:v>26.759999999999998</c:v>
                </c:pt>
                <c:pt idx="22">
                  <c:v>27.23</c:v>
                </c:pt>
                <c:pt idx="23">
                  <c:v>27.05</c:v>
                </c:pt>
                <c:pt idx="24">
                  <c:v>27.189999999999998</c:v>
                </c:pt>
                <c:pt idx="25">
                  <c:v>27.189999999999998</c:v>
                </c:pt>
                <c:pt idx="26">
                  <c:v>27.189999999999998</c:v>
                </c:pt>
                <c:pt idx="27">
                  <c:v>27.189999999999998</c:v>
                </c:pt>
                <c:pt idx="28">
                  <c:v>27.189999999999998</c:v>
                </c:pt>
                <c:pt idx="29">
                  <c:v>27.189999999999998</c:v>
                </c:pt>
                <c:pt idx="30">
                  <c:v>27.189999999999998</c:v>
                </c:pt>
                <c:pt idx="31">
                  <c:v>27.189999999999998</c:v>
                </c:pt>
                <c:pt idx="32">
                  <c:v>27.17</c:v>
                </c:pt>
                <c:pt idx="33">
                  <c:v>27.14</c:v>
                </c:pt>
                <c:pt idx="34">
                  <c:v>27.060000000000002</c:v>
                </c:pt>
                <c:pt idx="35">
                  <c:v>26.96</c:v>
                </c:pt>
                <c:pt idx="36">
                  <c:v>26.935000000000002</c:v>
                </c:pt>
                <c:pt idx="37">
                  <c:v>26.905000000000001</c:v>
                </c:pt>
                <c:pt idx="38">
                  <c:v>26.905000000000001</c:v>
                </c:pt>
                <c:pt idx="39">
                  <c:v>26.905000000000001</c:v>
                </c:pt>
                <c:pt idx="40">
                  <c:v>26.905000000000001</c:v>
                </c:pt>
                <c:pt idx="41">
                  <c:v>26.905000000000001</c:v>
                </c:pt>
                <c:pt idx="42">
                  <c:v>26.905000000000001</c:v>
                </c:pt>
                <c:pt idx="43">
                  <c:v>26.905000000000001</c:v>
                </c:pt>
                <c:pt idx="44">
                  <c:v>26.905000000000001</c:v>
                </c:pt>
                <c:pt idx="45">
                  <c:v>#N/A</c:v>
                </c:pt>
                <c:pt idx="46">
                  <c:v>#N/A</c:v>
                </c:pt>
                <c:pt idx="47">
                  <c:v>#N/A</c:v>
                </c:pt>
                <c:pt idx="48">
                  <c:v>#N/A</c:v>
                </c:pt>
                <c:pt idx="49">
                  <c:v>#N/A</c:v>
                </c:pt>
              </c:numCache>
            </c:numRef>
          </c:yVal>
          <c:smooth val="0"/>
          <c:extLst>
            <c:ext xmlns:c16="http://schemas.microsoft.com/office/drawing/2014/chart" uri="{C3380CC4-5D6E-409C-BE32-E72D297353CC}">
              <c16:uniqueId val="{00000000-D725-4493-B2FC-FD93DBFD732B}"/>
            </c:ext>
          </c:extLst>
        </c:ser>
        <c:ser>
          <c:idx val="1"/>
          <c:order val="1"/>
          <c:tx>
            <c:strRef>
              <c:f>'CV 1'!$I$5</c:f>
              <c:strCache>
                <c:ptCount val="1"/>
                <c:pt idx="0">
                  <c:v>-3s</c:v>
                </c:pt>
              </c:strCache>
            </c:strRef>
          </c:tx>
          <c:spPr>
            <a:ln w="28575">
              <a:solidFill>
                <a:srgbClr val="FF0000"/>
              </a:solidFill>
            </a:ln>
          </c:spPr>
          <c:marker>
            <c:symbol val="none"/>
          </c:marker>
          <c:xVal>
            <c:numRef>
              <c:f>'CV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'CV 1'!$I$6:$I$55</c:f>
              <c:numCache>
                <c:formatCode>0.00</c:formatCode>
                <c:ptCount val="50"/>
                <c:pt idx="0">
                  <c:v>23.43396859798148</c:v>
                </c:pt>
                <c:pt idx="1">
                  <c:v>23.43396859798148</c:v>
                </c:pt>
                <c:pt idx="2">
                  <c:v>23.43396859798148</c:v>
                </c:pt>
                <c:pt idx="3">
                  <c:v>23.43396859798148</c:v>
                </c:pt>
                <c:pt idx="4">
                  <c:v>23.43396859798148</c:v>
                </c:pt>
                <c:pt idx="5">
                  <c:v>23.43396859798148</c:v>
                </c:pt>
                <c:pt idx="6">
                  <c:v>23.43396859798148</c:v>
                </c:pt>
                <c:pt idx="7">
                  <c:v>23.43396859798148</c:v>
                </c:pt>
                <c:pt idx="8">
                  <c:v>23.43396859798148</c:v>
                </c:pt>
                <c:pt idx="9">
                  <c:v>23.43396859798148</c:v>
                </c:pt>
                <c:pt idx="10">
                  <c:v>23.43396859798148</c:v>
                </c:pt>
                <c:pt idx="11">
                  <c:v>23.43396859798148</c:v>
                </c:pt>
                <c:pt idx="12">
                  <c:v>23.43396859798148</c:v>
                </c:pt>
                <c:pt idx="13">
                  <c:v>23.43396859798148</c:v>
                </c:pt>
                <c:pt idx="14">
                  <c:v>23.43396859798148</c:v>
                </c:pt>
                <c:pt idx="15">
                  <c:v>23.43396859798148</c:v>
                </c:pt>
                <c:pt idx="16">
                  <c:v>23.43396859798148</c:v>
                </c:pt>
                <c:pt idx="17">
                  <c:v>23.43396859798148</c:v>
                </c:pt>
                <c:pt idx="18">
                  <c:v>23.43396859798148</c:v>
                </c:pt>
                <c:pt idx="19">
                  <c:v>23.43396859798148</c:v>
                </c:pt>
                <c:pt idx="20">
                  <c:v>23.43396859798148</c:v>
                </c:pt>
                <c:pt idx="21">
                  <c:v>23.43396859798148</c:v>
                </c:pt>
                <c:pt idx="22">
                  <c:v>23.43396859798148</c:v>
                </c:pt>
                <c:pt idx="23">
                  <c:v>23.43396859798148</c:v>
                </c:pt>
                <c:pt idx="24">
                  <c:v>23.43396859798148</c:v>
                </c:pt>
                <c:pt idx="25">
                  <c:v>23.43396859798148</c:v>
                </c:pt>
                <c:pt idx="26">
                  <c:v>23.43396859798148</c:v>
                </c:pt>
                <c:pt idx="27">
                  <c:v>23.43396859798148</c:v>
                </c:pt>
                <c:pt idx="28">
                  <c:v>23.43396859798148</c:v>
                </c:pt>
                <c:pt idx="29">
                  <c:v>23.43396859798148</c:v>
                </c:pt>
                <c:pt idx="30">
                  <c:v>23.43396859798148</c:v>
                </c:pt>
                <c:pt idx="31">
                  <c:v>23.43396859798148</c:v>
                </c:pt>
                <c:pt idx="32">
                  <c:v>23.43396859798148</c:v>
                </c:pt>
                <c:pt idx="33">
                  <c:v>23.43396859798148</c:v>
                </c:pt>
                <c:pt idx="34">
                  <c:v>23.43396859798148</c:v>
                </c:pt>
                <c:pt idx="35">
                  <c:v>23.43396859798148</c:v>
                </c:pt>
                <c:pt idx="36">
                  <c:v>23.43396859798148</c:v>
                </c:pt>
                <c:pt idx="37">
                  <c:v>23.43396859798148</c:v>
                </c:pt>
                <c:pt idx="38">
                  <c:v>23.43396859798148</c:v>
                </c:pt>
                <c:pt idx="39">
                  <c:v>23.43396859798148</c:v>
                </c:pt>
                <c:pt idx="40">
                  <c:v>23.43396859798148</c:v>
                </c:pt>
                <c:pt idx="41">
                  <c:v>23.43396859798148</c:v>
                </c:pt>
                <c:pt idx="42">
                  <c:v>23.43396859798148</c:v>
                </c:pt>
                <c:pt idx="43">
                  <c:v>23.43396859798148</c:v>
                </c:pt>
                <c:pt idx="44">
                  <c:v>23.43396859798148</c:v>
                </c:pt>
                <c:pt idx="45">
                  <c:v>23.43396859798148</c:v>
                </c:pt>
                <c:pt idx="46">
                  <c:v>23.43396859798148</c:v>
                </c:pt>
                <c:pt idx="47">
                  <c:v>23.43396859798148</c:v>
                </c:pt>
                <c:pt idx="48">
                  <c:v>23.43396859798148</c:v>
                </c:pt>
                <c:pt idx="49">
                  <c:v>23.43396859798148</c:v>
                </c:pt>
              </c:numCache>
            </c:numRef>
          </c:yVal>
          <c:smooth val="0"/>
          <c:extLst>
            <c:ext xmlns:c16="http://schemas.microsoft.com/office/drawing/2014/chart" uri="{C3380CC4-5D6E-409C-BE32-E72D297353CC}">
              <c16:uniqueId val="{00000001-D725-4493-B2FC-FD93DBFD732B}"/>
            </c:ext>
          </c:extLst>
        </c:ser>
        <c:ser>
          <c:idx val="2"/>
          <c:order val="2"/>
          <c:tx>
            <c:strRef>
              <c:f>'CV 1'!$J$5</c:f>
              <c:strCache>
                <c:ptCount val="1"/>
                <c:pt idx="0">
                  <c:v>-2s</c:v>
                </c:pt>
              </c:strCache>
            </c:strRef>
          </c:tx>
          <c:spPr>
            <a:ln w="28575">
              <a:solidFill>
                <a:schemeClr val="tx2">
                  <a:lumMod val="60000"/>
                  <a:lumOff val="40000"/>
                </a:schemeClr>
              </a:solidFill>
              <a:prstDash val="dashDot"/>
            </a:ln>
          </c:spPr>
          <c:marker>
            <c:symbol val="none"/>
          </c:marker>
          <c:xVal>
            <c:numRef>
              <c:f>'CV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'CV 1'!$J$6:$J$55</c:f>
              <c:numCache>
                <c:formatCode>0.00</c:formatCode>
                <c:ptCount val="50"/>
                <c:pt idx="0">
                  <c:v>23.539766944108866</c:v>
                </c:pt>
                <c:pt idx="1">
                  <c:v>23.539766944108866</c:v>
                </c:pt>
                <c:pt idx="2">
                  <c:v>23.539766944108866</c:v>
                </c:pt>
                <c:pt idx="3">
                  <c:v>23.539766944108866</c:v>
                </c:pt>
                <c:pt idx="4">
                  <c:v>23.539766944108866</c:v>
                </c:pt>
                <c:pt idx="5">
                  <c:v>23.539766944108866</c:v>
                </c:pt>
                <c:pt idx="6">
                  <c:v>23.539766944108866</c:v>
                </c:pt>
                <c:pt idx="7">
                  <c:v>23.539766944108866</c:v>
                </c:pt>
                <c:pt idx="8">
                  <c:v>23.539766944108866</c:v>
                </c:pt>
                <c:pt idx="9">
                  <c:v>23.539766944108866</c:v>
                </c:pt>
                <c:pt idx="10">
                  <c:v>23.539766944108866</c:v>
                </c:pt>
                <c:pt idx="11">
                  <c:v>23.539766944108866</c:v>
                </c:pt>
                <c:pt idx="12">
                  <c:v>23.539766944108866</c:v>
                </c:pt>
                <c:pt idx="13">
                  <c:v>23.539766944108866</c:v>
                </c:pt>
                <c:pt idx="14">
                  <c:v>23.539766944108866</c:v>
                </c:pt>
                <c:pt idx="15">
                  <c:v>23.539766944108866</c:v>
                </c:pt>
                <c:pt idx="16">
                  <c:v>23.539766944108866</c:v>
                </c:pt>
                <c:pt idx="17">
                  <c:v>23.539766944108866</c:v>
                </c:pt>
                <c:pt idx="18">
                  <c:v>23.539766944108866</c:v>
                </c:pt>
                <c:pt idx="19">
                  <c:v>23.539766944108866</c:v>
                </c:pt>
                <c:pt idx="20">
                  <c:v>23.539766944108866</c:v>
                </c:pt>
                <c:pt idx="21">
                  <c:v>23.539766944108866</c:v>
                </c:pt>
                <c:pt idx="22">
                  <c:v>23.539766944108866</c:v>
                </c:pt>
                <c:pt idx="23">
                  <c:v>23.539766944108866</c:v>
                </c:pt>
                <c:pt idx="24">
                  <c:v>23.539766944108866</c:v>
                </c:pt>
                <c:pt idx="25">
                  <c:v>23.539766944108866</c:v>
                </c:pt>
                <c:pt idx="26">
                  <c:v>23.539766944108866</c:v>
                </c:pt>
                <c:pt idx="27">
                  <c:v>23.539766944108866</c:v>
                </c:pt>
                <c:pt idx="28">
                  <c:v>23.539766944108866</c:v>
                </c:pt>
                <c:pt idx="29">
                  <c:v>23.539766944108866</c:v>
                </c:pt>
                <c:pt idx="30">
                  <c:v>23.539766944108866</c:v>
                </c:pt>
                <c:pt idx="31">
                  <c:v>23.539766944108866</c:v>
                </c:pt>
                <c:pt idx="32">
                  <c:v>23.539766944108866</c:v>
                </c:pt>
                <c:pt idx="33">
                  <c:v>23.539766944108866</c:v>
                </c:pt>
                <c:pt idx="34">
                  <c:v>23.539766944108866</c:v>
                </c:pt>
                <c:pt idx="35">
                  <c:v>23.539766944108866</c:v>
                </c:pt>
                <c:pt idx="36">
                  <c:v>23.539766944108866</c:v>
                </c:pt>
                <c:pt idx="37">
                  <c:v>23.539766944108866</c:v>
                </c:pt>
                <c:pt idx="38">
                  <c:v>23.539766944108866</c:v>
                </c:pt>
                <c:pt idx="39">
                  <c:v>23.539766944108866</c:v>
                </c:pt>
                <c:pt idx="40">
                  <c:v>23.539766944108866</c:v>
                </c:pt>
                <c:pt idx="41">
                  <c:v>23.539766944108866</c:v>
                </c:pt>
                <c:pt idx="42">
                  <c:v>23.539766944108866</c:v>
                </c:pt>
                <c:pt idx="43">
                  <c:v>23.539766944108866</c:v>
                </c:pt>
                <c:pt idx="44">
                  <c:v>23.539766944108866</c:v>
                </c:pt>
                <c:pt idx="45">
                  <c:v>23.539766944108866</c:v>
                </c:pt>
                <c:pt idx="46">
                  <c:v>23.539766944108866</c:v>
                </c:pt>
                <c:pt idx="47">
                  <c:v>23.539766944108866</c:v>
                </c:pt>
                <c:pt idx="48">
                  <c:v>23.539766944108866</c:v>
                </c:pt>
                <c:pt idx="49">
                  <c:v>23.539766944108866</c:v>
                </c:pt>
              </c:numCache>
            </c:numRef>
          </c:yVal>
          <c:smooth val="0"/>
          <c:extLst>
            <c:ext xmlns:c16="http://schemas.microsoft.com/office/drawing/2014/chart" uri="{C3380CC4-5D6E-409C-BE32-E72D297353CC}">
              <c16:uniqueId val="{00000002-D725-4493-B2FC-FD93DBFD732B}"/>
            </c:ext>
          </c:extLst>
        </c:ser>
        <c:ser>
          <c:idx val="3"/>
          <c:order val="3"/>
          <c:tx>
            <c:strRef>
              <c:f>'CV 1'!$K$5</c:f>
              <c:strCache>
                <c:ptCount val="1"/>
                <c:pt idx="0">
                  <c:v></c:v>
                </c:pt>
              </c:strCache>
            </c:strRef>
          </c:tx>
          <c:spPr>
            <a:ln w="28575">
              <a:solidFill>
                <a:srgbClr val="00B050"/>
              </a:solidFill>
              <a:prstDash val="lgDashDotDot"/>
            </a:ln>
          </c:spPr>
          <c:marker>
            <c:symbol val="none"/>
          </c:marker>
          <c:xVal>
            <c:numRef>
              <c:f>'CV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'CV 1'!$K$6:$K$55</c:f>
              <c:numCache>
                <c:formatCode>0.00</c:formatCode>
                <c:ptCount val="50"/>
                <c:pt idx="0">
                  <c:v>23.751363636363635</c:v>
                </c:pt>
                <c:pt idx="1">
                  <c:v>23.751363636363635</c:v>
                </c:pt>
                <c:pt idx="2">
                  <c:v>23.751363636363635</c:v>
                </c:pt>
                <c:pt idx="3">
                  <c:v>23.751363636363635</c:v>
                </c:pt>
                <c:pt idx="4">
                  <c:v>23.751363636363635</c:v>
                </c:pt>
                <c:pt idx="5">
                  <c:v>23.751363636363635</c:v>
                </c:pt>
                <c:pt idx="6">
                  <c:v>23.751363636363635</c:v>
                </c:pt>
                <c:pt idx="7">
                  <c:v>23.751363636363635</c:v>
                </c:pt>
                <c:pt idx="8">
                  <c:v>23.751363636363635</c:v>
                </c:pt>
                <c:pt idx="9">
                  <c:v>23.751363636363635</c:v>
                </c:pt>
                <c:pt idx="10">
                  <c:v>23.751363636363635</c:v>
                </c:pt>
                <c:pt idx="11">
                  <c:v>23.751363636363635</c:v>
                </c:pt>
                <c:pt idx="12">
                  <c:v>23.751363636363635</c:v>
                </c:pt>
                <c:pt idx="13">
                  <c:v>23.751363636363635</c:v>
                </c:pt>
                <c:pt idx="14">
                  <c:v>23.751363636363635</c:v>
                </c:pt>
                <c:pt idx="15">
                  <c:v>23.751363636363635</c:v>
                </c:pt>
                <c:pt idx="16">
                  <c:v>23.751363636363635</c:v>
                </c:pt>
                <c:pt idx="17">
                  <c:v>23.751363636363635</c:v>
                </c:pt>
                <c:pt idx="18">
                  <c:v>23.751363636363635</c:v>
                </c:pt>
                <c:pt idx="19">
                  <c:v>23.751363636363635</c:v>
                </c:pt>
                <c:pt idx="20">
                  <c:v>23.751363636363635</c:v>
                </c:pt>
                <c:pt idx="21">
                  <c:v>23.751363636363635</c:v>
                </c:pt>
                <c:pt idx="22">
                  <c:v>23.751363636363635</c:v>
                </c:pt>
                <c:pt idx="23">
                  <c:v>23.751363636363635</c:v>
                </c:pt>
                <c:pt idx="24">
                  <c:v>23.751363636363635</c:v>
                </c:pt>
                <c:pt idx="25">
                  <c:v>23.751363636363635</c:v>
                </c:pt>
                <c:pt idx="26">
                  <c:v>23.751363636363635</c:v>
                </c:pt>
                <c:pt idx="27">
                  <c:v>23.751363636363635</c:v>
                </c:pt>
                <c:pt idx="28">
                  <c:v>23.751363636363635</c:v>
                </c:pt>
                <c:pt idx="29">
                  <c:v>23.751363636363635</c:v>
                </c:pt>
                <c:pt idx="30">
                  <c:v>23.751363636363635</c:v>
                </c:pt>
                <c:pt idx="31">
                  <c:v>23.751363636363635</c:v>
                </c:pt>
                <c:pt idx="32">
                  <c:v>23.751363636363635</c:v>
                </c:pt>
                <c:pt idx="33">
                  <c:v>23.751363636363635</c:v>
                </c:pt>
                <c:pt idx="34">
                  <c:v>23.751363636363635</c:v>
                </c:pt>
                <c:pt idx="35">
                  <c:v>23.751363636363635</c:v>
                </c:pt>
                <c:pt idx="36">
                  <c:v>23.751363636363635</c:v>
                </c:pt>
                <c:pt idx="37">
                  <c:v>23.751363636363635</c:v>
                </c:pt>
                <c:pt idx="38">
                  <c:v>23.751363636363635</c:v>
                </c:pt>
                <c:pt idx="39">
                  <c:v>23.751363636363635</c:v>
                </c:pt>
                <c:pt idx="40">
                  <c:v>23.751363636363635</c:v>
                </c:pt>
                <c:pt idx="41">
                  <c:v>23.751363636363635</c:v>
                </c:pt>
                <c:pt idx="42">
                  <c:v>23.751363636363635</c:v>
                </c:pt>
                <c:pt idx="43">
                  <c:v>23.751363636363635</c:v>
                </c:pt>
                <c:pt idx="44">
                  <c:v>23.751363636363635</c:v>
                </c:pt>
                <c:pt idx="45">
                  <c:v>23.751363636363635</c:v>
                </c:pt>
                <c:pt idx="46">
                  <c:v>23.751363636363635</c:v>
                </c:pt>
                <c:pt idx="47">
                  <c:v>23.751363636363635</c:v>
                </c:pt>
                <c:pt idx="48">
                  <c:v>23.751363636363635</c:v>
                </c:pt>
                <c:pt idx="49">
                  <c:v>23.751363636363635</c:v>
                </c:pt>
              </c:numCache>
            </c:numRef>
          </c:yVal>
          <c:smooth val="0"/>
          <c:extLst>
            <c:ext xmlns:c16="http://schemas.microsoft.com/office/drawing/2014/chart" uri="{C3380CC4-5D6E-409C-BE32-E72D297353CC}">
              <c16:uniqueId val="{00000003-D725-4493-B2FC-FD93DBFD732B}"/>
            </c:ext>
          </c:extLst>
        </c:ser>
        <c:ser>
          <c:idx val="4"/>
          <c:order val="4"/>
          <c:tx>
            <c:strRef>
              <c:f>'CV 1'!$L$5</c:f>
              <c:strCache>
                <c:ptCount val="1"/>
                <c:pt idx="0">
                  <c:v>+2s</c:v>
                </c:pt>
              </c:strCache>
            </c:strRef>
          </c:tx>
          <c:spPr>
            <a:ln w="28575">
              <a:solidFill>
                <a:schemeClr val="tx2">
                  <a:lumMod val="60000"/>
                  <a:lumOff val="40000"/>
                </a:schemeClr>
              </a:solidFill>
              <a:prstDash val="dashDot"/>
            </a:ln>
          </c:spPr>
          <c:marker>
            <c:symbol val="none"/>
          </c:marker>
          <c:xVal>
            <c:numRef>
              <c:f>'CV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'CV 1'!$L$6:$L$55</c:f>
              <c:numCache>
                <c:formatCode>0.00</c:formatCode>
                <c:ptCount val="50"/>
                <c:pt idx="0">
                  <c:v>23.962960328618404</c:v>
                </c:pt>
                <c:pt idx="1">
                  <c:v>23.962960328618404</c:v>
                </c:pt>
                <c:pt idx="2">
                  <c:v>23.962960328618404</c:v>
                </c:pt>
                <c:pt idx="3">
                  <c:v>23.962960328618404</c:v>
                </c:pt>
                <c:pt idx="4">
                  <c:v>23.962960328618404</c:v>
                </c:pt>
                <c:pt idx="5">
                  <c:v>23.962960328618404</c:v>
                </c:pt>
                <c:pt idx="6">
                  <c:v>23.962960328618404</c:v>
                </c:pt>
                <c:pt idx="7">
                  <c:v>23.962960328618404</c:v>
                </c:pt>
                <c:pt idx="8">
                  <c:v>23.962960328618404</c:v>
                </c:pt>
                <c:pt idx="9">
                  <c:v>23.962960328618404</c:v>
                </c:pt>
                <c:pt idx="10">
                  <c:v>23.962960328618404</c:v>
                </c:pt>
                <c:pt idx="11">
                  <c:v>23.962960328618404</c:v>
                </c:pt>
                <c:pt idx="12">
                  <c:v>23.962960328618404</c:v>
                </c:pt>
                <c:pt idx="13">
                  <c:v>23.962960328618404</c:v>
                </c:pt>
                <c:pt idx="14">
                  <c:v>23.962960328618404</c:v>
                </c:pt>
                <c:pt idx="15">
                  <c:v>23.962960328618404</c:v>
                </c:pt>
                <c:pt idx="16">
                  <c:v>23.962960328618404</c:v>
                </c:pt>
                <c:pt idx="17">
                  <c:v>23.962960328618404</c:v>
                </c:pt>
                <c:pt idx="18">
                  <c:v>23.962960328618404</c:v>
                </c:pt>
                <c:pt idx="19">
                  <c:v>23.962960328618404</c:v>
                </c:pt>
                <c:pt idx="20">
                  <c:v>23.962960328618404</c:v>
                </c:pt>
                <c:pt idx="21">
                  <c:v>23.962960328618404</c:v>
                </c:pt>
                <c:pt idx="22">
                  <c:v>23.962960328618404</c:v>
                </c:pt>
                <c:pt idx="23">
                  <c:v>23.962960328618404</c:v>
                </c:pt>
                <c:pt idx="24">
                  <c:v>23.962960328618404</c:v>
                </c:pt>
                <c:pt idx="25">
                  <c:v>23.962960328618404</c:v>
                </c:pt>
                <c:pt idx="26">
                  <c:v>23.962960328618404</c:v>
                </c:pt>
                <c:pt idx="27">
                  <c:v>23.962960328618404</c:v>
                </c:pt>
                <c:pt idx="28">
                  <c:v>23.962960328618404</c:v>
                </c:pt>
                <c:pt idx="29">
                  <c:v>23.962960328618404</c:v>
                </c:pt>
                <c:pt idx="30">
                  <c:v>23.962960328618404</c:v>
                </c:pt>
                <c:pt idx="31">
                  <c:v>23.962960328618404</c:v>
                </c:pt>
                <c:pt idx="32">
                  <c:v>23.962960328618404</c:v>
                </c:pt>
                <c:pt idx="33">
                  <c:v>23.962960328618404</c:v>
                </c:pt>
                <c:pt idx="34">
                  <c:v>23.962960328618404</c:v>
                </c:pt>
                <c:pt idx="35">
                  <c:v>23.962960328618404</c:v>
                </c:pt>
                <c:pt idx="36">
                  <c:v>23.962960328618404</c:v>
                </c:pt>
                <c:pt idx="37">
                  <c:v>23.962960328618404</c:v>
                </c:pt>
                <c:pt idx="38">
                  <c:v>23.962960328618404</c:v>
                </c:pt>
                <c:pt idx="39">
                  <c:v>23.962960328618404</c:v>
                </c:pt>
                <c:pt idx="40">
                  <c:v>23.962960328618404</c:v>
                </c:pt>
                <c:pt idx="41">
                  <c:v>23.962960328618404</c:v>
                </c:pt>
                <c:pt idx="42">
                  <c:v>23.962960328618404</c:v>
                </c:pt>
                <c:pt idx="43">
                  <c:v>23.962960328618404</c:v>
                </c:pt>
                <c:pt idx="44">
                  <c:v>23.962960328618404</c:v>
                </c:pt>
                <c:pt idx="45">
                  <c:v>23.962960328618404</c:v>
                </c:pt>
                <c:pt idx="46">
                  <c:v>23.962960328618404</c:v>
                </c:pt>
                <c:pt idx="47">
                  <c:v>23.962960328618404</c:v>
                </c:pt>
                <c:pt idx="48">
                  <c:v>23.962960328618404</c:v>
                </c:pt>
                <c:pt idx="49">
                  <c:v>23.962960328618404</c:v>
                </c:pt>
              </c:numCache>
            </c:numRef>
          </c:yVal>
          <c:smooth val="0"/>
          <c:extLst>
            <c:ext xmlns:c16="http://schemas.microsoft.com/office/drawing/2014/chart" uri="{C3380CC4-5D6E-409C-BE32-E72D297353CC}">
              <c16:uniqueId val="{00000004-D725-4493-B2FC-FD93DBFD732B}"/>
            </c:ext>
          </c:extLst>
        </c:ser>
        <c:ser>
          <c:idx val="5"/>
          <c:order val="5"/>
          <c:tx>
            <c:strRef>
              <c:f>'CV 1'!$M$5</c:f>
              <c:strCache>
                <c:ptCount val="1"/>
                <c:pt idx="0">
                  <c:v>+3s</c:v>
                </c:pt>
              </c:strCache>
            </c:strRef>
          </c:tx>
          <c:spPr>
            <a:ln w="28575">
              <a:solidFill>
                <a:srgbClr val="FF0000"/>
              </a:solidFill>
              <a:prstDash val="solid"/>
            </a:ln>
          </c:spPr>
          <c:marker>
            <c:symbol val="none"/>
          </c:marker>
          <c:xVal>
            <c:numRef>
              <c:f>'CV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'CV 1'!$M$6:$M$55</c:f>
              <c:numCache>
                <c:formatCode>0.00</c:formatCode>
                <c:ptCount val="50"/>
                <c:pt idx="0">
                  <c:v>24.068758674745791</c:v>
                </c:pt>
                <c:pt idx="1">
                  <c:v>24.068758674745791</c:v>
                </c:pt>
                <c:pt idx="2">
                  <c:v>24.068758674745791</c:v>
                </c:pt>
                <c:pt idx="3">
                  <c:v>24.068758674745791</c:v>
                </c:pt>
                <c:pt idx="4">
                  <c:v>24.068758674745791</c:v>
                </c:pt>
                <c:pt idx="5">
                  <c:v>24.068758674745791</c:v>
                </c:pt>
                <c:pt idx="6">
                  <c:v>24.068758674745791</c:v>
                </c:pt>
                <c:pt idx="7">
                  <c:v>24.068758674745791</c:v>
                </c:pt>
                <c:pt idx="8">
                  <c:v>24.068758674745791</c:v>
                </c:pt>
                <c:pt idx="9">
                  <c:v>24.068758674745791</c:v>
                </c:pt>
                <c:pt idx="10">
                  <c:v>24.068758674745791</c:v>
                </c:pt>
                <c:pt idx="11">
                  <c:v>24.068758674745791</c:v>
                </c:pt>
                <c:pt idx="12">
                  <c:v>24.068758674745791</c:v>
                </c:pt>
                <c:pt idx="13">
                  <c:v>24.068758674745791</c:v>
                </c:pt>
                <c:pt idx="14">
                  <c:v>24.068758674745791</c:v>
                </c:pt>
                <c:pt idx="15">
                  <c:v>24.068758674745791</c:v>
                </c:pt>
                <c:pt idx="16">
                  <c:v>24.068758674745791</c:v>
                </c:pt>
                <c:pt idx="17">
                  <c:v>24.068758674745791</c:v>
                </c:pt>
                <c:pt idx="18">
                  <c:v>24.068758674745791</c:v>
                </c:pt>
                <c:pt idx="19">
                  <c:v>24.068758674745791</c:v>
                </c:pt>
                <c:pt idx="20">
                  <c:v>24.068758674745791</c:v>
                </c:pt>
                <c:pt idx="21">
                  <c:v>24.068758674745791</c:v>
                </c:pt>
                <c:pt idx="22">
                  <c:v>24.068758674745791</c:v>
                </c:pt>
                <c:pt idx="23">
                  <c:v>24.068758674745791</c:v>
                </c:pt>
                <c:pt idx="24">
                  <c:v>24.068758674745791</c:v>
                </c:pt>
                <c:pt idx="25">
                  <c:v>24.068758674745791</c:v>
                </c:pt>
                <c:pt idx="26">
                  <c:v>24.068758674745791</c:v>
                </c:pt>
                <c:pt idx="27">
                  <c:v>24.068758674745791</c:v>
                </c:pt>
                <c:pt idx="28">
                  <c:v>24.068758674745791</c:v>
                </c:pt>
                <c:pt idx="29">
                  <c:v>24.068758674745791</c:v>
                </c:pt>
                <c:pt idx="30">
                  <c:v>24.068758674745791</c:v>
                </c:pt>
                <c:pt idx="31">
                  <c:v>24.068758674745791</c:v>
                </c:pt>
                <c:pt idx="32">
                  <c:v>24.068758674745791</c:v>
                </c:pt>
                <c:pt idx="33">
                  <c:v>24.068758674745791</c:v>
                </c:pt>
                <c:pt idx="34">
                  <c:v>24.068758674745791</c:v>
                </c:pt>
                <c:pt idx="35">
                  <c:v>24.068758674745791</c:v>
                </c:pt>
                <c:pt idx="36">
                  <c:v>24.068758674745791</c:v>
                </c:pt>
                <c:pt idx="37">
                  <c:v>24.068758674745791</c:v>
                </c:pt>
                <c:pt idx="38">
                  <c:v>24.068758674745791</c:v>
                </c:pt>
                <c:pt idx="39">
                  <c:v>24.068758674745791</c:v>
                </c:pt>
                <c:pt idx="40">
                  <c:v>24.068758674745791</c:v>
                </c:pt>
                <c:pt idx="41">
                  <c:v>24.068758674745791</c:v>
                </c:pt>
                <c:pt idx="42">
                  <c:v>24.068758674745791</c:v>
                </c:pt>
                <c:pt idx="43">
                  <c:v>24.068758674745791</c:v>
                </c:pt>
                <c:pt idx="44">
                  <c:v>24.068758674745791</c:v>
                </c:pt>
                <c:pt idx="45">
                  <c:v>24.068758674745791</c:v>
                </c:pt>
                <c:pt idx="46">
                  <c:v>24.068758674745791</c:v>
                </c:pt>
                <c:pt idx="47">
                  <c:v>24.068758674745791</c:v>
                </c:pt>
                <c:pt idx="48">
                  <c:v>24.068758674745791</c:v>
                </c:pt>
                <c:pt idx="49">
                  <c:v>24.068758674745791</c:v>
                </c:pt>
              </c:numCache>
            </c:numRef>
          </c:yVal>
          <c:smooth val="0"/>
          <c:extLst>
            <c:ext xmlns:c16="http://schemas.microsoft.com/office/drawing/2014/chart" uri="{C3380CC4-5D6E-409C-BE32-E72D297353CC}">
              <c16:uniqueId val="{00000005-D725-4493-B2FC-FD93DBFD732B}"/>
            </c:ext>
          </c:extLst>
        </c:ser>
        <c:dLbls>
          <c:showLegendKey val="0"/>
          <c:showVal val="0"/>
          <c:showCatName val="0"/>
          <c:showSerName val="0"/>
          <c:showPercent val="0"/>
          <c:showBubbleSize val="0"/>
        </c:dLbls>
        <c:axId val="511912776"/>
        <c:axId val="511911208"/>
      </c:scatterChart>
      <c:valAx>
        <c:axId val="511912776"/>
        <c:scaling>
          <c:orientation val="minMax"/>
          <c:max val="50"/>
        </c:scaling>
        <c:delete val="0"/>
        <c:axPos val="b"/>
        <c:numFmt formatCode="0" sourceLinked="1"/>
        <c:majorTickMark val="out"/>
        <c:minorTickMark val="none"/>
        <c:tickLblPos val="nextTo"/>
        <c:crossAx val="511911208"/>
        <c:crosses val="autoZero"/>
        <c:crossBetween val="midCat"/>
      </c:valAx>
      <c:valAx>
        <c:axId val="511911208"/>
        <c:scaling>
          <c:orientation val="minMax"/>
        </c:scaling>
        <c:delete val="0"/>
        <c:axPos val="l"/>
        <c:majorGridlines/>
        <c:numFmt formatCode="0.00" sourceLinked="1"/>
        <c:majorTickMark val="out"/>
        <c:minorTickMark val="none"/>
        <c:tickLblPos val="nextTo"/>
        <c:crossAx val="511912776"/>
        <c:crosses val="autoZero"/>
        <c:crossBetween val="midCat"/>
      </c:valAx>
    </c:plotArea>
    <c:plotVisOnly val="1"/>
    <c:dispBlanksAs val="gap"/>
    <c:showDLblsOverMax val="0"/>
  </c:chart>
  <c:spPr>
    <a:ln w="22225" cmpd="sng">
      <a:solidFill>
        <a:schemeClr val="tx1"/>
      </a:solidFill>
    </a:ln>
  </c:spPr>
  <c:printSettings>
    <c:headerFooter/>
    <c:pageMargins b="0.75000000000000189" l="0.70000000000000062" r="0.70000000000000062" t="0.750000000000001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464536123596031E-2"/>
          <c:y val="3.5351304244051911E-2"/>
          <c:w val="0.91273351612369946"/>
          <c:h val="0.88488224171224084"/>
        </c:manualLayout>
      </c:layout>
      <c:scatterChart>
        <c:scatterStyle val="lineMarker"/>
        <c:varyColors val="0"/>
        <c:ser>
          <c:idx val="0"/>
          <c:order val="0"/>
          <c:tx>
            <c:strRef>
              <c:f>'CV 1'!$N$5</c:f>
              <c:strCache>
                <c:ptCount val="1"/>
                <c:pt idx="0">
                  <c:v>Range Limit</c:v>
                </c:pt>
              </c:strCache>
            </c:strRef>
          </c:tx>
          <c:spPr>
            <a:ln w="28575">
              <a:solidFill>
                <a:srgbClr val="FF0000"/>
              </a:solidFill>
            </a:ln>
          </c:spPr>
          <c:marker>
            <c:symbol val="none"/>
          </c:marker>
          <c:xVal>
            <c:numRef>
              <c:f>'CV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'CV 1'!$N$6:$N$55</c:f>
              <c:numCache>
                <c:formatCode>0.00</c:formatCode>
                <c:ptCount val="50"/>
                <c:pt idx="0">
                  <c:v>0.12</c:v>
                </c:pt>
                <c:pt idx="1">
                  <c:v>0.12</c:v>
                </c:pt>
                <c:pt idx="2">
                  <c:v>0.12</c:v>
                </c:pt>
                <c:pt idx="3">
                  <c:v>0.12</c:v>
                </c:pt>
                <c:pt idx="4">
                  <c:v>0.12</c:v>
                </c:pt>
                <c:pt idx="5">
                  <c:v>0.12</c:v>
                </c:pt>
                <c:pt idx="6">
                  <c:v>0.12</c:v>
                </c:pt>
                <c:pt idx="7">
                  <c:v>0.12</c:v>
                </c:pt>
                <c:pt idx="8">
                  <c:v>0.12</c:v>
                </c:pt>
                <c:pt idx="9">
                  <c:v>0.12</c:v>
                </c:pt>
                <c:pt idx="10">
                  <c:v>0.12</c:v>
                </c:pt>
                <c:pt idx="11">
                  <c:v>0.12</c:v>
                </c:pt>
                <c:pt idx="12">
                  <c:v>0.12</c:v>
                </c:pt>
                <c:pt idx="13">
                  <c:v>0.12</c:v>
                </c:pt>
                <c:pt idx="14">
                  <c:v>0.12</c:v>
                </c:pt>
                <c:pt idx="15">
                  <c:v>0.12</c:v>
                </c:pt>
                <c:pt idx="16">
                  <c:v>0.12</c:v>
                </c:pt>
                <c:pt idx="17">
                  <c:v>0.12</c:v>
                </c:pt>
                <c:pt idx="18">
                  <c:v>0.12</c:v>
                </c:pt>
                <c:pt idx="19">
                  <c:v>0.12</c:v>
                </c:pt>
                <c:pt idx="20">
                  <c:v>0.12</c:v>
                </c:pt>
                <c:pt idx="21">
                  <c:v>0.12</c:v>
                </c:pt>
                <c:pt idx="22">
                  <c:v>0.12</c:v>
                </c:pt>
                <c:pt idx="23">
                  <c:v>0.12</c:v>
                </c:pt>
                <c:pt idx="24">
                  <c:v>0.12</c:v>
                </c:pt>
                <c:pt idx="25">
                  <c:v>0.12</c:v>
                </c:pt>
                <c:pt idx="26">
                  <c:v>0.12</c:v>
                </c:pt>
                <c:pt idx="27">
                  <c:v>0.12</c:v>
                </c:pt>
                <c:pt idx="28">
                  <c:v>0.12</c:v>
                </c:pt>
                <c:pt idx="29">
                  <c:v>0.12</c:v>
                </c:pt>
                <c:pt idx="30">
                  <c:v>0.12</c:v>
                </c:pt>
                <c:pt idx="31">
                  <c:v>0.12</c:v>
                </c:pt>
                <c:pt idx="32">
                  <c:v>0.12</c:v>
                </c:pt>
                <c:pt idx="33">
                  <c:v>0.12</c:v>
                </c:pt>
                <c:pt idx="34">
                  <c:v>0.12</c:v>
                </c:pt>
                <c:pt idx="35">
                  <c:v>0.12</c:v>
                </c:pt>
                <c:pt idx="36">
                  <c:v>0.12</c:v>
                </c:pt>
                <c:pt idx="37">
                  <c:v>0.12</c:v>
                </c:pt>
                <c:pt idx="38">
                  <c:v>0.12</c:v>
                </c:pt>
                <c:pt idx="39">
                  <c:v>0.12</c:v>
                </c:pt>
                <c:pt idx="40">
                  <c:v>0.12</c:v>
                </c:pt>
                <c:pt idx="41">
                  <c:v>0.12</c:v>
                </c:pt>
                <c:pt idx="42">
                  <c:v>0.12</c:v>
                </c:pt>
                <c:pt idx="43">
                  <c:v>0.12</c:v>
                </c:pt>
                <c:pt idx="44">
                  <c:v>0.12</c:v>
                </c:pt>
                <c:pt idx="45">
                  <c:v>0.12</c:v>
                </c:pt>
                <c:pt idx="46">
                  <c:v>0.12</c:v>
                </c:pt>
                <c:pt idx="47">
                  <c:v>0.12</c:v>
                </c:pt>
                <c:pt idx="48">
                  <c:v>0.12</c:v>
                </c:pt>
                <c:pt idx="49">
                  <c:v>0.12</c:v>
                </c:pt>
              </c:numCache>
            </c:numRef>
          </c:yVal>
          <c:smooth val="0"/>
          <c:extLst>
            <c:ext xmlns:c16="http://schemas.microsoft.com/office/drawing/2014/chart" uri="{C3380CC4-5D6E-409C-BE32-E72D297353CC}">
              <c16:uniqueId val="{00000000-F99E-45CC-8FAC-58B788782641}"/>
            </c:ext>
          </c:extLst>
        </c:ser>
        <c:ser>
          <c:idx val="1"/>
          <c:order val="1"/>
          <c:tx>
            <c:strRef>
              <c:f>'CV 1'!$H$5</c:f>
              <c:strCache>
                <c:ptCount val="1"/>
                <c:pt idx="0">
                  <c:v>Range (actual)</c:v>
                </c:pt>
              </c:strCache>
            </c:strRef>
          </c:tx>
          <c:spPr>
            <a:ln w="22225">
              <a:solidFill>
                <a:schemeClr val="tx2"/>
              </a:solidFill>
            </a:ln>
          </c:spPr>
          <c:marker>
            <c:symbol val="star"/>
            <c:size val="9"/>
            <c:spPr>
              <a:noFill/>
            </c:spPr>
          </c:marker>
          <c:xVal>
            <c:numRef>
              <c:f>'CV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'CV 1'!$H$6:$H$55</c:f>
              <c:numCache>
                <c:formatCode>0.00</c:formatCode>
                <c:ptCount val="50"/>
                <c:pt idx="0">
                  <c:v>0.10000000000000142</c:v>
                </c:pt>
                <c:pt idx="1">
                  <c:v>2.9999999999997584E-2</c:v>
                </c:pt>
                <c:pt idx="2">
                  <c:v>7.0000000000000284E-2</c:v>
                </c:pt>
                <c:pt idx="3">
                  <c:v>5.9999999999998721E-2</c:v>
                </c:pt>
                <c:pt idx="4">
                  <c:v>2.0000000000003126E-2</c:v>
                </c:pt>
                <c:pt idx="5">
                  <c:v>0</c:v>
                </c:pt>
                <c:pt idx="6">
                  <c:v>0</c:v>
                </c:pt>
                <c:pt idx="7">
                  <c:v>0</c:v>
                </c:pt>
                <c:pt idx="8">
                  <c:v>0</c:v>
                </c:pt>
                <c:pt idx="9">
                  <c:v>7.9999999999998295E-2</c:v>
                </c:pt>
                <c:pt idx="10">
                  <c:v>0</c:v>
                </c:pt>
                <c:pt idx="11">
                  <c:v>0</c:v>
                </c:pt>
                <c:pt idx="12">
                  <c:v>0</c:v>
                </c:pt>
                <c:pt idx="13">
                  <c:v>0</c:v>
                </c:pt>
                <c:pt idx="14">
                  <c:v>3.9999999999999147E-2</c:v>
                </c:pt>
                <c:pt idx="15">
                  <c:v>2.0000000000003126E-2</c:v>
                </c:pt>
                <c:pt idx="16">
                  <c:v>1.9999999999999574E-2</c:v>
                </c:pt>
                <c:pt idx="17">
                  <c:v>9.9999999999980105E-3</c:v>
                </c:pt>
                <c:pt idx="18">
                  <c:v>0</c:v>
                </c:pt>
                <c:pt idx="19">
                  <c:v>0.12999999999999901</c:v>
                </c:pt>
                <c:pt idx="20">
                  <c:v>1.9999999999999574E-2</c:v>
                </c:pt>
                <c:pt idx="21">
                  <c:v>1.9999999999999574E-2</c:v>
                </c:pt>
                <c:pt idx="22">
                  <c:v>6.0000000000002274E-2</c:v>
                </c:pt>
                <c:pt idx="23">
                  <c:v>0.10000000000000142</c:v>
                </c:pt>
                <c:pt idx="24">
                  <c:v>1.9999999999999574E-2</c:v>
                </c:pt>
                <c:pt idx="25">
                  <c:v>1.9999999999999574E-2</c:v>
                </c:pt>
                <c:pt idx="26">
                  <c:v>1.9999999999999574E-2</c:v>
                </c:pt>
                <c:pt idx="27">
                  <c:v>1.9999999999999574E-2</c:v>
                </c:pt>
                <c:pt idx="28">
                  <c:v>1.9999999999999574E-2</c:v>
                </c:pt>
                <c:pt idx="29">
                  <c:v>1.9999999999999574E-2</c:v>
                </c:pt>
                <c:pt idx="30">
                  <c:v>1.9999999999999574E-2</c:v>
                </c:pt>
                <c:pt idx="31">
                  <c:v>1.9999999999999574E-2</c:v>
                </c:pt>
                <c:pt idx="32">
                  <c:v>1.9999999999999574E-2</c:v>
                </c:pt>
                <c:pt idx="33">
                  <c:v>0</c:v>
                </c:pt>
                <c:pt idx="34">
                  <c:v>0.12000000000000099</c:v>
                </c:pt>
                <c:pt idx="35">
                  <c:v>1.9999999999999574E-2</c:v>
                </c:pt>
                <c:pt idx="36">
                  <c:v>2.9999999999997584E-2</c:v>
                </c:pt>
                <c:pt idx="37">
                  <c:v>1.0000000000001563E-2</c:v>
                </c:pt>
                <c:pt idx="38">
                  <c:v>1.0000000000001563E-2</c:v>
                </c:pt>
                <c:pt idx="39">
                  <c:v>1.0000000000001563E-2</c:v>
                </c:pt>
                <c:pt idx="40">
                  <c:v>1.0000000000001563E-2</c:v>
                </c:pt>
                <c:pt idx="41">
                  <c:v>1.0000000000001563E-2</c:v>
                </c:pt>
                <c:pt idx="42">
                  <c:v>1.0000000000001563E-2</c:v>
                </c:pt>
                <c:pt idx="43">
                  <c:v>1.0000000000001563E-2</c:v>
                </c:pt>
                <c:pt idx="44">
                  <c:v>1.0000000000001563E-2</c:v>
                </c:pt>
                <c:pt idx="45">
                  <c:v>#N/A</c:v>
                </c:pt>
                <c:pt idx="46">
                  <c:v>#N/A</c:v>
                </c:pt>
                <c:pt idx="47">
                  <c:v>#N/A</c:v>
                </c:pt>
                <c:pt idx="48">
                  <c:v>#N/A</c:v>
                </c:pt>
                <c:pt idx="49">
                  <c:v>#N/A</c:v>
                </c:pt>
              </c:numCache>
            </c:numRef>
          </c:yVal>
          <c:smooth val="0"/>
          <c:extLst>
            <c:ext xmlns:c16="http://schemas.microsoft.com/office/drawing/2014/chart" uri="{C3380CC4-5D6E-409C-BE32-E72D297353CC}">
              <c16:uniqueId val="{00000001-F99E-45CC-8FAC-58B788782641}"/>
            </c:ext>
          </c:extLst>
        </c:ser>
        <c:dLbls>
          <c:showLegendKey val="0"/>
          <c:showVal val="0"/>
          <c:showCatName val="0"/>
          <c:showSerName val="0"/>
          <c:showPercent val="0"/>
          <c:showBubbleSize val="0"/>
        </c:dLbls>
        <c:axId val="511913560"/>
        <c:axId val="511913168"/>
      </c:scatterChart>
      <c:valAx>
        <c:axId val="511913560"/>
        <c:scaling>
          <c:orientation val="minMax"/>
          <c:max val="50"/>
        </c:scaling>
        <c:delete val="0"/>
        <c:axPos val="b"/>
        <c:numFmt formatCode="0" sourceLinked="1"/>
        <c:majorTickMark val="out"/>
        <c:minorTickMark val="none"/>
        <c:tickLblPos val="nextTo"/>
        <c:crossAx val="511913168"/>
        <c:crosses val="autoZero"/>
        <c:crossBetween val="midCat"/>
      </c:valAx>
      <c:valAx>
        <c:axId val="511913168"/>
        <c:scaling>
          <c:orientation val="minMax"/>
        </c:scaling>
        <c:delete val="0"/>
        <c:axPos val="l"/>
        <c:majorGridlines/>
        <c:numFmt formatCode="0.00" sourceLinked="1"/>
        <c:majorTickMark val="out"/>
        <c:minorTickMark val="none"/>
        <c:tickLblPos val="nextTo"/>
        <c:crossAx val="511913560"/>
        <c:crosses val="autoZero"/>
        <c:crossBetween val="midCat"/>
      </c:valAx>
    </c:plotArea>
    <c:plotVisOnly val="1"/>
    <c:dispBlanksAs val="gap"/>
    <c:showDLblsOverMax val="0"/>
  </c:chart>
  <c:spPr>
    <a:ln w="22225">
      <a:solidFill>
        <a:schemeClr val="tx1"/>
      </a:solidFill>
    </a:ln>
  </c:spPr>
  <c:printSettings>
    <c:headerFooter/>
    <c:pageMargins b="0.750000000000001" l="0.70000000000000062" r="0.70000000000000062" t="0.75000000000000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892709180583196"/>
          <c:y val="0.14457717383076141"/>
          <c:w val="0.81564283305597363"/>
          <c:h val="0.7222831183970998"/>
        </c:manualLayout>
      </c:layout>
      <c:scatterChart>
        <c:scatterStyle val="lineMarker"/>
        <c:varyColors val="0"/>
        <c:ser>
          <c:idx val="0"/>
          <c:order val="0"/>
          <c:tx>
            <c:strRef>
              <c:f>'Sulphur 1'!$G$5</c:f>
              <c:strCache>
                <c:ptCount val="1"/>
                <c:pt idx="0">
                  <c:v>Average Result</c:v>
                </c:pt>
              </c:strCache>
            </c:strRef>
          </c:tx>
          <c:spPr>
            <a:ln w="6350">
              <a:solidFill>
                <a:sysClr val="windowText" lastClr="000000"/>
              </a:solidFill>
            </a:ln>
          </c:spPr>
          <c:marker>
            <c:symbol val="star"/>
            <c:size val="7"/>
            <c:spPr>
              <a:noFill/>
              <a:ln w="15875">
                <a:solidFill>
                  <a:schemeClr val="tx1"/>
                </a:solidFill>
              </a:ln>
            </c:spPr>
          </c:marker>
          <c:xVal>
            <c:numRef>
              <c:f>'Sulphur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'Sulphur 1'!$G$6:$G$55</c:f>
              <c:numCache>
                <c:formatCode>0.00</c:formatCode>
                <c:ptCount val="50"/>
                <c:pt idx="0">
                  <c:v>0.71499999999999997</c:v>
                </c:pt>
                <c:pt idx="1">
                  <c:v>0.71499999999999997</c:v>
                </c:pt>
                <c:pt idx="2">
                  <c:v>0.71499999999999997</c:v>
                </c:pt>
                <c:pt idx="3">
                  <c:v>0.71499999999999997</c:v>
                </c:pt>
                <c:pt idx="4">
                  <c:v>0.71499999999999997</c:v>
                </c:pt>
                <c:pt idx="5">
                  <c:v>0.71499999999999997</c:v>
                </c:pt>
                <c:pt idx="6">
                  <c:v>0.71499999999999997</c:v>
                </c:pt>
                <c:pt idx="7">
                  <c:v>0.73499999999999999</c:v>
                </c:pt>
                <c:pt idx="8">
                  <c:v>0.71499999999999997</c:v>
                </c:pt>
                <c:pt idx="9">
                  <c:v>0.71499999999999997</c:v>
                </c:pt>
                <c:pt idx="10">
                  <c:v>0.71499999999999997</c:v>
                </c:pt>
                <c:pt idx="11">
                  <c:v>0.71499999999999997</c:v>
                </c:pt>
                <c:pt idx="12">
                  <c:v>0.72499999999999998</c:v>
                </c:pt>
                <c:pt idx="13">
                  <c:v>0.73499999999999999</c:v>
                </c:pt>
                <c:pt idx="14">
                  <c:v>0.71499999999999997</c:v>
                </c:pt>
                <c:pt idx="15">
                  <c:v>0.71499999999999997</c:v>
                </c:pt>
                <c:pt idx="16">
                  <c:v>0.71499999999999997</c:v>
                </c:pt>
                <c:pt idx="17">
                  <c:v>0.71499999999999997</c:v>
                </c:pt>
                <c:pt idx="18">
                  <c:v>0.71499999999999997</c:v>
                </c:pt>
                <c:pt idx="19">
                  <c:v>0.71499999999999997</c:v>
                </c:pt>
                <c:pt idx="20">
                  <c:v>0.71499999999999997</c:v>
                </c:pt>
                <c:pt idx="21">
                  <c:v>0.71499999999999997</c:v>
                </c:pt>
                <c:pt idx="22">
                  <c:v>0.71499999999999997</c:v>
                </c:pt>
                <c:pt idx="23">
                  <c:v>0.71499999999999997</c:v>
                </c:pt>
                <c:pt idx="24">
                  <c:v>0.71499999999999997</c:v>
                </c:pt>
                <c:pt idx="25">
                  <c:v>0.71499999999999997</c:v>
                </c:pt>
                <c:pt idx="26">
                  <c:v>0.71499999999999997</c:v>
                </c:pt>
                <c:pt idx="27">
                  <c:v>0.71499999999999997</c:v>
                </c:pt>
                <c:pt idx="28">
                  <c:v>0.71499999999999997</c:v>
                </c:pt>
                <c:pt idx="29">
                  <c:v>0.71499999999999997</c:v>
                </c:pt>
                <c:pt idx="30">
                  <c:v>0.71499999999999997</c:v>
                </c:pt>
                <c:pt idx="31">
                  <c:v>0.71499999999999997</c:v>
                </c:pt>
                <c:pt idx="32">
                  <c:v>0.71499999999999997</c:v>
                </c:pt>
                <c:pt idx="33">
                  <c:v>0.71499999999999997</c:v>
                </c:pt>
                <c:pt idx="34">
                  <c:v>0.71499999999999997</c:v>
                </c:pt>
                <c:pt idx="35">
                  <c:v>0.71499999999999997</c:v>
                </c:pt>
                <c:pt idx="36">
                  <c:v>0.71499999999999997</c:v>
                </c:pt>
                <c:pt idx="37">
                  <c:v>0.71499999999999997</c:v>
                </c:pt>
                <c:pt idx="38">
                  <c:v>#N/A</c:v>
                </c:pt>
                <c:pt idx="39">
                  <c:v>#N/A</c:v>
                </c:pt>
                <c:pt idx="40">
                  <c:v>#N/A</c:v>
                </c:pt>
                <c:pt idx="41">
                  <c:v>#N/A</c:v>
                </c:pt>
                <c:pt idx="42">
                  <c:v>#N/A</c:v>
                </c:pt>
                <c:pt idx="43">
                  <c:v>#N/A</c:v>
                </c:pt>
                <c:pt idx="44">
                  <c:v>#N/A</c:v>
                </c:pt>
                <c:pt idx="45">
                  <c:v>#N/A</c:v>
                </c:pt>
                <c:pt idx="46">
                  <c:v>#N/A</c:v>
                </c:pt>
                <c:pt idx="47">
                  <c:v>#N/A</c:v>
                </c:pt>
                <c:pt idx="48">
                  <c:v>#N/A</c:v>
                </c:pt>
                <c:pt idx="49">
                  <c:v>#N/A</c:v>
                </c:pt>
              </c:numCache>
            </c:numRef>
          </c:yVal>
          <c:smooth val="0"/>
          <c:extLst>
            <c:ext xmlns:c16="http://schemas.microsoft.com/office/drawing/2014/chart" uri="{C3380CC4-5D6E-409C-BE32-E72D297353CC}">
              <c16:uniqueId val="{00000000-43C9-42C1-BB60-BC7817785C1D}"/>
            </c:ext>
          </c:extLst>
        </c:ser>
        <c:ser>
          <c:idx val="1"/>
          <c:order val="1"/>
          <c:tx>
            <c:strRef>
              <c:f>'Sulphur 1'!$I$5</c:f>
              <c:strCache>
                <c:ptCount val="1"/>
                <c:pt idx="0">
                  <c:v>-3s</c:v>
                </c:pt>
              </c:strCache>
            </c:strRef>
          </c:tx>
          <c:spPr>
            <a:ln w="28575">
              <a:solidFill>
                <a:srgbClr val="FF0000"/>
              </a:solidFill>
            </a:ln>
          </c:spPr>
          <c:marker>
            <c:symbol val="none"/>
          </c:marker>
          <c:xVal>
            <c:numRef>
              <c:f>'Sulphur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'Sulphur 1'!$I$6:$I$55</c:f>
              <c:numCache>
                <c:formatCode>0.000</c:formatCode>
                <c:ptCount val="50"/>
                <c:pt idx="0">
                  <c:v>0.33955658845492881</c:v>
                </c:pt>
                <c:pt idx="1">
                  <c:v>0.33955658845492881</c:v>
                </c:pt>
                <c:pt idx="2">
                  <c:v>0.33955658845492881</c:v>
                </c:pt>
                <c:pt idx="3">
                  <c:v>0.33955658845492881</c:v>
                </c:pt>
                <c:pt idx="4">
                  <c:v>0.33955658845492881</c:v>
                </c:pt>
                <c:pt idx="5">
                  <c:v>0.33955658845492881</c:v>
                </c:pt>
                <c:pt idx="6">
                  <c:v>0.33955658845492881</c:v>
                </c:pt>
                <c:pt idx="7">
                  <c:v>0.33955658845492881</c:v>
                </c:pt>
                <c:pt idx="8">
                  <c:v>0.33955658845492881</c:v>
                </c:pt>
                <c:pt idx="9">
                  <c:v>0.33955658845492881</c:v>
                </c:pt>
                <c:pt idx="10">
                  <c:v>0.33955658845492881</c:v>
                </c:pt>
                <c:pt idx="11">
                  <c:v>0.33955658845492881</c:v>
                </c:pt>
                <c:pt idx="12">
                  <c:v>0.33955658845492881</c:v>
                </c:pt>
                <c:pt idx="13">
                  <c:v>0.33955658845492881</c:v>
                </c:pt>
                <c:pt idx="14">
                  <c:v>0.33955658845492881</c:v>
                </c:pt>
                <c:pt idx="15">
                  <c:v>0.33955658845492881</c:v>
                </c:pt>
                <c:pt idx="16">
                  <c:v>0.33955658845492881</c:v>
                </c:pt>
                <c:pt idx="17">
                  <c:v>0.33955658845492881</c:v>
                </c:pt>
                <c:pt idx="18">
                  <c:v>0.33955658845492881</c:v>
                </c:pt>
                <c:pt idx="19">
                  <c:v>0.33955658845492881</c:v>
                </c:pt>
                <c:pt idx="20">
                  <c:v>0.33955658845492881</c:v>
                </c:pt>
                <c:pt idx="21">
                  <c:v>0.33955658845492881</c:v>
                </c:pt>
                <c:pt idx="22">
                  <c:v>0.33955658845492881</c:v>
                </c:pt>
                <c:pt idx="23">
                  <c:v>0.33955658845492881</c:v>
                </c:pt>
                <c:pt idx="24">
                  <c:v>0.33955658845492881</c:v>
                </c:pt>
                <c:pt idx="25">
                  <c:v>0.33955658845492881</c:v>
                </c:pt>
                <c:pt idx="26">
                  <c:v>0.33955658845492881</c:v>
                </c:pt>
                <c:pt idx="27">
                  <c:v>0.33955658845492881</c:v>
                </c:pt>
                <c:pt idx="28">
                  <c:v>0.33955658845492881</c:v>
                </c:pt>
                <c:pt idx="29">
                  <c:v>0.33955658845492881</c:v>
                </c:pt>
                <c:pt idx="30">
                  <c:v>0.33955658845492881</c:v>
                </c:pt>
                <c:pt idx="31">
                  <c:v>0.33955658845492881</c:v>
                </c:pt>
                <c:pt idx="32">
                  <c:v>0.33955658845492881</c:v>
                </c:pt>
                <c:pt idx="33">
                  <c:v>0.33955658845492881</c:v>
                </c:pt>
                <c:pt idx="34">
                  <c:v>0.33955658845492881</c:v>
                </c:pt>
                <c:pt idx="35">
                  <c:v>0.33955658845492881</c:v>
                </c:pt>
                <c:pt idx="36">
                  <c:v>0.33955658845492881</c:v>
                </c:pt>
                <c:pt idx="37">
                  <c:v>0.33955658845492881</c:v>
                </c:pt>
                <c:pt idx="38">
                  <c:v>0.33955658845492881</c:v>
                </c:pt>
                <c:pt idx="39">
                  <c:v>0.33955658845492881</c:v>
                </c:pt>
                <c:pt idx="40">
                  <c:v>0.33955658845492881</c:v>
                </c:pt>
                <c:pt idx="41">
                  <c:v>0.33955658845492881</c:v>
                </c:pt>
                <c:pt idx="42">
                  <c:v>0.33955658845492881</c:v>
                </c:pt>
                <c:pt idx="43">
                  <c:v>0.33955658845492881</c:v>
                </c:pt>
                <c:pt idx="44">
                  <c:v>0.33955658845492881</c:v>
                </c:pt>
                <c:pt idx="45">
                  <c:v>0.33955658845492881</c:v>
                </c:pt>
                <c:pt idx="46">
                  <c:v>0.33955658845492881</c:v>
                </c:pt>
                <c:pt idx="47">
                  <c:v>0.33955658845492881</c:v>
                </c:pt>
                <c:pt idx="48">
                  <c:v>0.33955658845492881</c:v>
                </c:pt>
                <c:pt idx="49">
                  <c:v>0.33955658845492881</c:v>
                </c:pt>
              </c:numCache>
            </c:numRef>
          </c:yVal>
          <c:smooth val="0"/>
          <c:extLst>
            <c:ext xmlns:c16="http://schemas.microsoft.com/office/drawing/2014/chart" uri="{C3380CC4-5D6E-409C-BE32-E72D297353CC}">
              <c16:uniqueId val="{00000001-43C9-42C1-BB60-BC7817785C1D}"/>
            </c:ext>
          </c:extLst>
        </c:ser>
        <c:ser>
          <c:idx val="2"/>
          <c:order val="2"/>
          <c:tx>
            <c:strRef>
              <c:f>'Sulphur 1'!$J$5</c:f>
              <c:strCache>
                <c:ptCount val="1"/>
                <c:pt idx="0">
                  <c:v>-2s</c:v>
                </c:pt>
              </c:strCache>
            </c:strRef>
          </c:tx>
          <c:spPr>
            <a:ln w="28575">
              <a:solidFill>
                <a:schemeClr val="tx2">
                  <a:lumMod val="60000"/>
                  <a:lumOff val="40000"/>
                </a:schemeClr>
              </a:solidFill>
              <a:prstDash val="dashDot"/>
            </a:ln>
          </c:spPr>
          <c:marker>
            <c:symbol val="none"/>
          </c:marker>
          <c:xVal>
            <c:numRef>
              <c:f>'Sulphur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'Sulphur 1'!$J$6:$J$55</c:f>
              <c:numCache>
                <c:formatCode>0.000</c:formatCode>
                <c:ptCount val="50"/>
                <c:pt idx="0">
                  <c:v>0.3797043923032859</c:v>
                </c:pt>
                <c:pt idx="1">
                  <c:v>0.3797043923032859</c:v>
                </c:pt>
                <c:pt idx="2">
                  <c:v>0.3797043923032859</c:v>
                </c:pt>
                <c:pt idx="3">
                  <c:v>0.3797043923032859</c:v>
                </c:pt>
                <c:pt idx="4">
                  <c:v>0.3797043923032859</c:v>
                </c:pt>
                <c:pt idx="5">
                  <c:v>0.3797043923032859</c:v>
                </c:pt>
                <c:pt idx="6">
                  <c:v>0.3797043923032859</c:v>
                </c:pt>
                <c:pt idx="7">
                  <c:v>0.3797043923032859</c:v>
                </c:pt>
                <c:pt idx="8">
                  <c:v>0.3797043923032859</c:v>
                </c:pt>
                <c:pt idx="9">
                  <c:v>0.3797043923032859</c:v>
                </c:pt>
                <c:pt idx="10">
                  <c:v>0.3797043923032859</c:v>
                </c:pt>
                <c:pt idx="11">
                  <c:v>0.3797043923032859</c:v>
                </c:pt>
                <c:pt idx="12">
                  <c:v>0.3797043923032859</c:v>
                </c:pt>
                <c:pt idx="13">
                  <c:v>0.3797043923032859</c:v>
                </c:pt>
                <c:pt idx="14">
                  <c:v>0.3797043923032859</c:v>
                </c:pt>
                <c:pt idx="15">
                  <c:v>0.3797043923032859</c:v>
                </c:pt>
                <c:pt idx="16">
                  <c:v>0.3797043923032859</c:v>
                </c:pt>
                <c:pt idx="17">
                  <c:v>0.3797043923032859</c:v>
                </c:pt>
                <c:pt idx="18">
                  <c:v>0.3797043923032859</c:v>
                </c:pt>
                <c:pt idx="19">
                  <c:v>0.3797043923032859</c:v>
                </c:pt>
                <c:pt idx="20">
                  <c:v>0.3797043923032859</c:v>
                </c:pt>
                <c:pt idx="21">
                  <c:v>0.3797043923032859</c:v>
                </c:pt>
                <c:pt idx="22">
                  <c:v>0.3797043923032859</c:v>
                </c:pt>
                <c:pt idx="23">
                  <c:v>0.3797043923032859</c:v>
                </c:pt>
                <c:pt idx="24">
                  <c:v>0.3797043923032859</c:v>
                </c:pt>
                <c:pt idx="25">
                  <c:v>0.3797043923032859</c:v>
                </c:pt>
                <c:pt idx="26">
                  <c:v>0.3797043923032859</c:v>
                </c:pt>
                <c:pt idx="27">
                  <c:v>0.3797043923032859</c:v>
                </c:pt>
                <c:pt idx="28">
                  <c:v>0.3797043923032859</c:v>
                </c:pt>
                <c:pt idx="29">
                  <c:v>0.3797043923032859</c:v>
                </c:pt>
                <c:pt idx="30">
                  <c:v>0.3797043923032859</c:v>
                </c:pt>
                <c:pt idx="31">
                  <c:v>0.3797043923032859</c:v>
                </c:pt>
                <c:pt idx="32">
                  <c:v>0.3797043923032859</c:v>
                </c:pt>
                <c:pt idx="33">
                  <c:v>0.3797043923032859</c:v>
                </c:pt>
                <c:pt idx="34">
                  <c:v>0.3797043923032859</c:v>
                </c:pt>
                <c:pt idx="35">
                  <c:v>0.3797043923032859</c:v>
                </c:pt>
                <c:pt idx="36">
                  <c:v>0.3797043923032859</c:v>
                </c:pt>
                <c:pt idx="37">
                  <c:v>0.3797043923032859</c:v>
                </c:pt>
                <c:pt idx="38">
                  <c:v>0.3797043923032859</c:v>
                </c:pt>
                <c:pt idx="39">
                  <c:v>0.3797043923032859</c:v>
                </c:pt>
                <c:pt idx="40">
                  <c:v>0.3797043923032859</c:v>
                </c:pt>
                <c:pt idx="41">
                  <c:v>0.3797043923032859</c:v>
                </c:pt>
                <c:pt idx="42">
                  <c:v>0.3797043923032859</c:v>
                </c:pt>
                <c:pt idx="43">
                  <c:v>0.3797043923032859</c:v>
                </c:pt>
                <c:pt idx="44">
                  <c:v>0.3797043923032859</c:v>
                </c:pt>
                <c:pt idx="45">
                  <c:v>0.3797043923032859</c:v>
                </c:pt>
                <c:pt idx="46">
                  <c:v>0.3797043923032859</c:v>
                </c:pt>
                <c:pt idx="47">
                  <c:v>0.3797043923032859</c:v>
                </c:pt>
                <c:pt idx="48">
                  <c:v>0.3797043923032859</c:v>
                </c:pt>
                <c:pt idx="49">
                  <c:v>0.3797043923032859</c:v>
                </c:pt>
              </c:numCache>
            </c:numRef>
          </c:yVal>
          <c:smooth val="0"/>
          <c:extLst>
            <c:ext xmlns:c16="http://schemas.microsoft.com/office/drawing/2014/chart" uri="{C3380CC4-5D6E-409C-BE32-E72D297353CC}">
              <c16:uniqueId val="{00000002-43C9-42C1-BB60-BC7817785C1D}"/>
            </c:ext>
          </c:extLst>
        </c:ser>
        <c:ser>
          <c:idx val="3"/>
          <c:order val="3"/>
          <c:tx>
            <c:strRef>
              <c:f>'Sulphur 1'!$K$5</c:f>
              <c:strCache>
                <c:ptCount val="1"/>
                <c:pt idx="0">
                  <c:v></c:v>
                </c:pt>
              </c:strCache>
            </c:strRef>
          </c:tx>
          <c:spPr>
            <a:ln w="28575">
              <a:solidFill>
                <a:srgbClr val="00B050"/>
              </a:solidFill>
              <a:prstDash val="lgDashDotDot"/>
            </a:ln>
          </c:spPr>
          <c:marker>
            <c:symbol val="none"/>
          </c:marker>
          <c:xVal>
            <c:numRef>
              <c:f>'Sulphur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'Sulphur 1'!$K$6:$K$55</c:f>
              <c:numCache>
                <c:formatCode>0.000</c:formatCode>
                <c:ptCount val="50"/>
                <c:pt idx="0">
                  <c:v>0.46</c:v>
                </c:pt>
                <c:pt idx="1">
                  <c:v>0.46</c:v>
                </c:pt>
                <c:pt idx="2">
                  <c:v>0.46</c:v>
                </c:pt>
                <c:pt idx="3">
                  <c:v>0.46</c:v>
                </c:pt>
                <c:pt idx="4">
                  <c:v>0.46</c:v>
                </c:pt>
                <c:pt idx="5">
                  <c:v>0.46</c:v>
                </c:pt>
                <c:pt idx="6">
                  <c:v>0.46</c:v>
                </c:pt>
                <c:pt idx="7">
                  <c:v>0.46</c:v>
                </c:pt>
                <c:pt idx="8">
                  <c:v>0.46</c:v>
                </c:pt>
                <c:pt idx="9">
                  <c:v>0.46</c:v>
                </c:pt>
                <c:pt idx="10">
                  <c:v>0.46</c:v>
                </c:pt>
                <c:pt idx="11">
                  <c:v>0.46</c:v>
                </c:pt>
                <c:pt idx="12">
                  <c:v>0.46</c:v>
                </c:pt>
                <c:pt idx="13">
                  <c:v>0.46</c:v>
                </c:pt>
                <c:pt idx="14">
                  <c:v>0.46</c:v>
                </c:pt>
                <c:pt idx="15">
                  <c:v>0.46</c:v>
                </c:pt>
                <c:pt idx="16">
                  <c:v>0.46</c:v>
                </c:pt>
                <c:pt idx="17">
                  <c:v>0.46</c:v>
                </c:pt>
                <c:pt idx="18">
                  <c:v>0.46</c:v>
                </c:pt>
                <c:pt idx="19">
                  <c:v>0.46</c:v>
                </c:pt>
                <c:pt idx="20">
                  <c:v>0.46</c:v>
                </c:pt>
                <c:pt idx="21">
                  <c:v>0.46</c:v>
                </c:pt>
                <c:pt idx="22">
                  <c:v>0.46</c:v>
                </c:pt>
                <c:pt idx="23">
                  <c:v>0.46</c:v>
                </c:pt>
                <c:pt idx="24">
                  <c:v>0.46</c:v>
                </c:pt>
                <c:pt idx="25">
                  <c:v>0.46</c:v>
                </c:pt>
                <c:pt idx="26">
                  <c:v>0.46</c:v>
                </c:pt>
                <c:pt idx="27">
                  <c:v>0.46</c:v>
                </c:pt>
                <c:pt idx="28">
                  <c:v>0.46</c:v>
                </c:pt>
                <c:pt idx="29">
                  <c:v>0.46</c:v>
                </c:pt>
                <c:pt idx="30">
                  <c:v>0.46</c:v>
                </c:pt>
                <c:pt idx="31">
                  <c:v>0.46</c:v>
                </c:pt>
                <c:pt idx="32">
                  <c:v>0.46</c:v>
                </c:pt>
                <c:pt idx="33">
                  <c:v>0.46</c:v>
                </c:pt>
                <c:pt idx="34">
                  <c:v>0.46</c:v>
                </c:pt>
                <c:pt idx="35">
                  <c:v>0.46</c:v>
                </c:pt>
                <c:pt idx="36">
                  <c:v>0.46</c:v>
                </c:pt>
                <c:pt idx="37">
                  <c:v>0.46</c:v>
                </c:pt>
                <c:pt idx="38">
                  <c:v>0.46</c:v>
                </c:pt>
                <c:pt idx="39">
                  <c:v>0.46</c:v>
                </c:pt>
                <c:pt idx="40">
                  <c:v>0.46</c:v>
                </c:pt>
                <c:pt idx="41">
                  <c:v>0.46</c:v>
                </c:pt>
                <c:pt idx="42">
                  <c:v>0.46</c:v>
                </c:pt>
                <c:pt idx="43">
                  <c:v>0.46</c:v>
                </c:pt>
                <c:pt idx="44">
                  <c:v>0.46</c:v>
                </c:pt>
                <c:pt idx="45">
                  <c:v>0.46</c:v>
                </c:pt>
                <c:pt idx="46">
                  <c:v>0.46</c:v>
                </c:pt>
                <c:pt idx="47">
                  <c:v>0.46</c:v>
                </c:pt>
                <c:pt idx="48">
                  <c:v>0.46</c:v>
                </c:pt>
                <c:pt idx="49">
                  <c:v>0.46</c:v>
                </c:pt>
              </c:numCache>
            </c:numRef>
          </c:yVal>
          <c:smooth val="0"/>
          <c:extLst>
            <c:ext xmlns:c16="http://schemas.microsoft.com/office/drawing/2014/chart" uri="{C3380CC4-5D6E-409C-BE32-E72D297353CC}">
              <c16:uniqueId val="{00000003-43C9-42C1-BB60-BC7817785C1D}"/>
            </c:ext>
          </c:extLst>
        </c:ser>
        <c:ser>
          <c:idx val="4"/>
          <c:order val="4"/>
          <c:tx>
            <c:strRef>
              <c:f>'Sulphur 1'!$L$5</c:f>
              <c:strCache>
                <c:ptCount val="1"/>
                <c:pt idx="0">
                  <c:v>+2s</c:v>
                </c:pt>
              </c:strCache>
            </c:strRef>
          </c:tx>
          <c:spPr>
            <a:ln w="28575">
              <a:solidFill>
                <a:schemeClr val="tx2">
                  <a:lumMod val="60000"/>
                  <a:lumOff val="40000"/>
                </a:schemeClr>
              </a:solidFill>
              <a:prstDash val="dashDot"/>
            </a:ln>
          </c:spPr>
          <c:marker>
            <c:symbol val="none"/>
          </c:marker>
          <c:xVal>
            <c:numRef>
              <c:f>'Sulphur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'Sulphur 1'!$L$6:$L$55</c:f>
              <c:numCache>
                <c:formatCode>0.000</c:formatCode>
                <c:ptCount val="50"/>
                <c:pt idx="0">
                  <c:v>0.54029560769671414</c:v>
                </c:pt>
                <c:pt idx="1">
                  <c:v>0.54029560769671414</c:v>
                </c:pt>
                <c:pt idx="2">
                  <c:v>0.54029560769671414</c:v>
                </c:pt>
                <c:pt idx="3">
                  <c:v>0.54029560769671414</c:v>
                </c:pt>
                <c:pt idx="4">
                  <c:v>0.54029560769671414</c:v>
                </c:pt>
                <c:pt idx="5">
                  <c:v>0.54029560769671414</c:v>
                </c:pt>
                <c:pt idx="6">
                  <c:v>0.54029560769671414</c:v>
                </c:pt>
                <c:pt idx="7">
                  <c:v>0.54029560769671414</c:v>
                </c:pt>
                <c:pt idx="8">
                  <c:v>0.54029560769671414</c:v>
                </c:pt>
                <c:pt idx="9">
                  <c:v>0.54029560769671414</c:v>
                </c:pt>
                <c:pt idx="10">
                  <c:v>0.54029560769671414</c:v>
                </c:pt>
                <c:pt idx="11">
                  <c:v>0.54029560769671414</c:v>
                </c:pt>
                <c:pt idx="12">
                  <c:v>0.54029560769671414</c:v>
                </c:pt>
                <c:pt idx="13">
                  <c:v>0.54029560769671414</c:v>
                </c:pt>
                <c:pt idx="14">
                  <c:v>0.54029560769671414</c:v>
                </c:pt>
                <c:pt idx="15">
                  <c:v>0.54029560769671414</c:v>
                </c:pt>
                <c:pt idx="16">
                  <c:v>0.54029560769671414</c:v>
                </c:pt>
                <c:pt idx="17">
                  <c:v>0.54029560769671414</c:v>
                </c:pt>
                <c:pt idx="18">
                  <c:v>0.54029560769671414</c:v>
                </c:pt>
                <c:pt idx="19">
                  <c:v>0.54029560769671414</c:v>
                </c:pt>
                <c:pt idx="20">
                  <c:v>0.54029560769671414</c:v>
                </c:pt>
                <c:pt idx="21">
                  <c:v>0.54029560769671414</c:v>
                </c:pt>
                <c:pt idx="22">
                  <c:v>0.54029560769671414</c:v>
                </c:pt>
                <c:pt idx="23">
                  <c:v>0.54029560769671414</c:v>
                </c:pt>
                <c:pt idx="24">
                  <c:v>0.54029560769671414</c:v>
                </c:pt>
                <c:pt idx="25">
                  <c:v>0.54029560769671414</c:v>
                </c:pt>
                <c:pt idx="26">
                  <c:v>0.54029560769671414</c:v>
                </c:pt>
                <c:pt idx="27">
                  <c:v>0.54029560769671414</c:v>
                </c:pt>
                <c:pt idx="28">
                  <c:v>0.54029560769671414</c:v>
                </c:pt>
                <c:pt idx="29">
                  <c:v>0.54029560769671414</c:v>
                </c:pt>
                <c:pt idx="30">
                  <c:v>0.54029560769671414</c:v>
                </c:pt>
                <c:pt idx="31">
                  <c:v>0.54029560769671414</c:v>
                </c:pt>
                <c:pt idx="32">
                  <c:v>0.54029560769671414</c:v>
                </c:pt>
                <c:pt idx="33">
                  <c:v>0.54029560769671414</c:v>
                </c:pt>
                <c:pt idx="34">
                  <c:v>0.54029560769671414</c:v>
                </c:pt>
                <c:pt idx="35">
                  <c:v>0.54029560769671414</c:v>
                </c:pt>
                <c:pt idx="36">
                  <c:v>0.54029560769671414</c:v>
                </c:pt>
                <c:pt idx="37">
                  <c:v>0.54029560769671414</c:v>
                </c:pt>
                <c:pt idx="38">
                  <c:v>0.54029560769671414</c:v>
                </c:pt>
                <c:pt idx="39">
                  <c:v>0.54029560769671414</c:v>
                </c:pt>
                <c:pt idx="40">
                  <c:v>0.54029560769671414</c:v>
                </c:pt>
                <c:pt idx="41">
                  <c:v>0.54029560769671414</c:v>
                </c:pt>
                <c:pt idx="42">
                  <c:v>0.54029560769671414</c:v>
                </c:pt>
                <c:pt idx="43">
                  <c:v>0.54029560769671414</c:v>
                </c:pt>
                <c:pt idx="44">
                  <c:v>0.54029560769671414</c:v>
                </c:pt>
                <c:pt idx="45">
                  <c:v>0.54029560769671414</c:v>
                </c:pt>
                <c:pt idx="46">
                  <c:v>0.54029560769671414</c:v>
                </c:pt>
                <c:pt idx="47">
                  <c:v>0.54029560769671414</c:v>
                </c:pt>
                <c:pt idx="48">
                  <c:v>0.54029560769671414</c:v>
                </c:pt>
                <c:pt idx="49">
                  <c:v>0.54029560769671414</c:v>
                </c:pt>
              </c:numCache>
            </c:numRef>
          </c:yVal>
          <c:smooth val="0"/>
          <c:extLst>
            <c:ext xmlns:c16="http://schemas.microsoft.com/office/drawing/2014/chart" uri="{C3380CC4-5D6E-409C-BE32-E72D297353CC}">
              <c16:uniqueId val="{00000004-43C9-42C1-BB60-BC7817785C1D}"/>
            </c:ext>
          </c:extLst>
        </c:ser>
        <c:ser>
          <c:idx val="5"/>
          <c:order val="5"/>
          <c:tx>
            <c:strRef>
              <c:f>'Sulphur 1'!$M$5</c:f>
              <c:strCache>
                <c:ptCount val="1"/>
                <c:pt idx="0">
                  <c:v>+3s</c:v>
                </c:pt>
              </c:strCache>
            </c:strRef>
          </c:tx>
          <c:spPr>
            <a:ln w="28575">
              <a:solidFill>
                <a:srgbClr val="FF0000"/>
              </a:solidFill>
              <a:prstDash val="solid"/>
            </a:ln>
          </c:spPr>
          <c:marker>
            <c:symbol val="none"/>
          </c:marker>
          <c:xVal>
            <c:numRef>
              <c:f>'Sulphur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'Sulphur 1'!$M$6:$M$55</c:f>
              <c:numCache>
                <c:formatCode>0.000</c:formatCode>
                <c:ptCount val="50"/>
                <c:pt idx="0">
                  <c:v>0.58044341154507118</c:v>
                </c:pt>
                <c:pt idx="1">
                  <c:v>0.58044341154507118</c:v>
                </c:pt>
                <c:pt idx="2">
                  <c:v>0.58044341154507118</c:v>
                </c:pt>
                <c:pt idx="3">
                  <c:v>0.58044341154507118</c:v>
                </c:pt>
                <c:pt idx="4">
                  <c:v>0.58044341154507118</c:v>
                </c:pt>
                <c:pt idx="5">
                  <c:v>0.58044341154507118</c:v>
                </c:pt>
                <c:pt idx="6">
                  <c:v>0.58044341154507118</c:v>
                </c:pt>
                <c:pt idx="7">
                  <c:v>0.58044341154507118</c:v>
                </c:pt>
                <c:pt idx="8">
                  <c:v>0.58044341154507118</c:v>
                </c:pt>
                <c:pt idx="9">
                  <c:v>0.58044341154507118</c:v>
                </c:pt>
                <c:pt idx="10">
                  <c:v>0.58044341154507118</c:v>
                </c:pt>
                <c:pt idx="11">
                  <c:v>0.58044341154507118</c:v>
                </c:pt>
                <c:pt idx="12">
                  <c:v>0.58044341154507118</c:v>
                </c:pt>
                <c:pt idx="13">
                  <c:v>0.58044341154507118</c:v>
                </c:pt>
                <c:pt idx="14">
                  <c:v>0.58044341154507118</c:v>
                </c:pt>
                <c:pt idx="15">
                  <c:v>0.58044341154507118</c:v>
                </c:pt>
                <c:pt idx="16">
                  <c:v>0.58044341154507118</c:v>
                </c:pt>
                <c:pt idx="17">
                  <c:v>0.58044341154507118</c:v>
                </c:pt>
                <c:pt idx="18">
                  <c:v>0.58044341154507118</c:v>
                </c:pt>
                <c:pt idx="19">
                  <c:v>0.58044341154507118</c:v>
                </c:pt>
                <c:pt idx="20">
                  <c:v>0.58044341154507118</c:v>
                </c:pt>
                <c:pt idx="21">
                  <c:v>0.58044341154507118</c:v>
                </c:pt>
                <c:pt idx="22">
                  <c:v>0.58044341154507118</c:v>
                </c:pt>
                <c:pt idx="23">
                  <c:v>0.58044341154507118</c:v>
                </c:pt>
                <c:pt idx="24">
                  <c:v>0.58044341154507118</c:v>
                </c:pt>
                <c:pt idx="25">
                  <c:v>0.58044341154507118</c:v>
                </c:pt>
                <c:pt idx="26">
                  <c:v>0.58044341154507118</c:v>
                </c:pt>
                <c:pt idx="27">
                  <c:v>0.58044341154507118</c:v>
                </c:pt>
                <c:pt idx="28">
                  <c:v>0.58044341154507118</c:v>
                </c:pt>
                <c:pt idx="29">
                  <c:v>0.58044341154507118</c:v>
                </c:pt>
                <c:pt idx="30">
                  <c:v>0.58044341154507118</c:v>
                </c:pt>
                <c:pt idx="31">
                  <c:v>0.58044341154507118</c:v>
                </c:pt>
                <c:pt idx="32">
                  <c:v>0.58044341154507118</c:v>
                </c:pt>
                <c:pt idx="33">
                  <c:v>0.58044341154507118</c:v>
                </c:pt>
                <c:pt idx="34">
                  <c:v>0.58044341154507118</c:v>
                </c:pt>
                <c:pt idx="35">
                  <c:v>0.58044341154507118</c:v>
                </c:pt>
                <c:pt idx="36">
                  <c:v>0.58044341154507118</c:v>
                </c:pt>
                <c:pt idx="37">
                  <c:v>0.58044341154507118</c:v>
                </c:pt>
                <c:pt idx="38">
                  <c:v>0.58044341154507118</c:v>
                </c:pt>
                <c:pt idx="39">
                  <c:v>0.58044341154507118</c:v>
                </c:pt>
                <c:pt idx="40">
                  <c:v>0.58044341154507118</c:v>
                </c:pt>
                <c:pt idx="41">
                  <c:v>0.58044341154507118</c:v>
                </c:pt>
                <c:pt idx="42">
                  <c:v>0.58044341154507118</c:v>
                </c:pt>
                <c:pt idx="43">
                  <c:v>0.58044341154507118</c:v>
                </c:pt>
                <c:pt idx="44">
                  <c:v>0.58044341154507118</c:v>
                </c:pt>
                <c:pt idx="45">
                  <c:v>0.58044341154507118</c:v>
                </c:pt>
                <c:pt idx="46">
                  <c:v>0.58044341154507118</c:v>
                </c:pt>
                <c:pt idx="47">
                  <c:v>0.58044341154507118</c:v>
                </c:pt>
                <c:pt idx="48">
                  <c:v>0.58044341154507118</c:v>
                </c:pt>
                <c:pt idx="49">
                  <c:v>0.58044341154507118</c:v>
                </c:pt>
              </c:numCache>
            </c:numRef>
          </c:yVal>
          <c:smooth val="0"/>
          <c:extLst>
            <c:ext xmlns:c16="http://schemas.microsoft.com/office/drawing/2014/chart" uri="{C3380CC4-5D6E-409C-BE32-E72D297353CC}">
              <c16:uniqueId val="{00000005-43C9-42C1-BB60-BC7817785C1D}"/>
            </c:ext>
          </c:extLst>
        </c:ser>
        <c:dLbls>
          <c:showLegendKey val="0"/>
          <c:showVal val="0"/>
          <c:showCatName val="0"/>
          <c:showSerName val="0"/>
          <c:showPercent val="0"/>
          <c:showBubbleSize val="0"/>
        </c:dLbls>
        <c:axId val="713044808"/>
        <c:axId val="713043632"/>
      </c:scatterChart>
      <c:valAx>
        <c:axId val="713044808"/>
        <c:scaling>
          <c:orientation val="minMax"/>
          <c:max val="50"/>
        </c:scaling>
        <c:delete val="0"/>
        <c:axPos val="b"/>
        <c:numFmt formatCode="0" sourceLinked="1"/>
        <c:majorTickMark val="out"/>
        <c:minorTickMark val="none"/>
        <c:tickLblPos val="nextTo"/>
        <c:crossAx val="713043632"/>
        <c:crosses val="autoZero"/>
        <c:crossBetween val="midCat"/>
      </c:valAx>
      <c:valAx>
        <c:axId val="713043632"/>
        <c:scaling>
          <c:orientation val="minMax"/>
        </c:scaling>
        <c:delete val="0"/>
        <c:axPos val="l"/>
        <c:majorGridlines/>
        <c:numFmt formatCode="0.00" sourceLinked="1"/>
        <c:majorTickMark val="out"/>
        <c:minorTickMark val="none"/>
        <c:tickLblPos val="nextTo"/>
        <c:crossAx val="713044808"/>
        <c:crosses val="autoZero"/>
        <c:crossBetween val="midCat"/>
      </c:valAx>
    </c:plotArea>
    <c:plotVisOnly val="1"/>
    <c:dispBlanksAs val="gap"/>
    <c:showDLblsOverMax val="0"/>
  </c:chart>
  <c:spPr>
    <a:ln w="22225" cmpd="sng">
      <a:solidFill>
        <a:schemeClr val="tx1"/>
      </a:solidFill>
    </a:ln>
  </c:spPr>
  <c:printSettings>
    <c:headerFooter/>
    <c:pageMargins b="0.75000000000000211" l="0.70000000000000062" r="0.70000000000000062" t="0.750000000000002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464536123596066E-2"/>
          <c:y val="3.5351304244051911E-2"/>
          <c:w val="0.9127335161236998"/>
          <c:h val="0.88488224171224028"/>
        </c:manualLayout>
      </c:layout>
      <c:scatterChart>
        <c:scatterStyle val="lineMarker"/>
        <c:varyColors val="0"/>
        <c:ser>
          <c:idx val="0"/>
          <c:order val="0"/>
          <c:tx>
            <c:strRef>
              <c:f>'Sulphur 1'!$N$5</c:f>
              <c:strCache>
                <c:ptCount val="1"/>
                <c:pt idx="0">
                  <c:v>Range Limit</c:v>
                </c:pt>
              </c:strCache>
            </c:strRef>
          </c:tx>
          <c:spPr>
            <a:ln w="28575">
              <a:solidFill>
                <a:srgbClr val="FF0000"/>
              </a:solidFill>
            </a:ln>
          </c:spPr>
          <c:marker>
            <c:symbol val="none"/>
          </c:marker>
          <c:xVal>
            <c:numRef>
              <c:f>'Sulphur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'Sulphur 1'!$N$6:$N$55</c:f>
              <c:numCache>
                <c:formatCode>0.000</c:formatCode>
                <c:ptCount val="50"/>
                <c:pt idx="0">
                  <c:v>3.3799999999999997E-2</c:v>
                </c:pt>
                <c:pt idx="1">
                  <c:v>3.3799999999999997E-2</c:v>
                </c:pt>
                <c:pt idx="2">
                  <c:v>3.3799999999999997E-2</c:v>
                </c:pt>
                <c:pt idx="3">
                  <c:v>3.3799999999999997E-2</c:v>
                </c:pt>
                <c:pt idx="4">
                  <c:v>3.3799999999999997E-2</c:v>
                </c:pt>
                <c:pt idx="5">
                  <c:v>3.3799999999999997E-2</c:v>
                </c:pt>
                <c:pt idx="6">
                  <c:v>3.3799999999999997E-2</c:v>
                </c:pt>
                <c:pt idx="7">
                  <c:v>3.3799999999999997E-2</c:v>
                </c:pt>
                <c:pt idx="8">
                  <c:v>3.3799999999999997E-2</c:v>
                </c:pt>
                <c:pt idx="9">
                  <c:v>3.3799999999999997E-2</c:v>
                </c:pt>
                <c:pt idx="10">
                  <c:v>3.3799999999999997E-2</c:v>
                </c:pt>
                <c:pt idx="11">
                  <c:v>3.3799999999999997E-2</c:v>
                </c:pt>
                <c:pt idx="12">
                  <c:v>3.3799999999999997E-2</c:v>
                </c:pt>
                <c:pt idx="13">
                  <c:v>3.3799999999999997E-2</c:v>
                </c:pt>
                <c:pt idx="14">
                  <c:v>3.3799999999999997E-2</c:v>
                </c:pt>
                <c:pt idx="15">
                  <c:v>3.3799999999999997E-2</c:v>
                </c:pt>
                <c:pt idx="16">
                  <c:v>3.3799999999999997E-2</c:v>
                </c:pt>
                <c:pt idx="17">
                  <c:v>3.3799999999999997E-2</c:v>
                </c:pt>
                <c:pt idx="18">
                  <c:v>3.3799999999999997E-2</c:v>
                </c:pt>
                <c:pt idx="19">
                  <c:v>3.3799999999999997E-2</c:v>
                </c:pt>
                <c:pt idx="20">
                  <c:v>3.3799999999999997E-2</c:v>
                </c:pt>
                <c:pt idx="21">
                  <c:v>3.3799999999999997E-2</c:v>
                </c:pt>
                <c:pt idx="22">
                  <c:v>3.3799999999999997E-2</c:v>
                </c:pt>
                <c:pt idx="23">
                  <c:v>3.3799999999999997E-2</c:v>
                </c:pt>
                <c:pt idx="24">
                  <c:v>3.3799999999999997E-2</c:v>
                </c:pt>
                <c:pt idx="25">
                  <c:v>3.3799999999999997E-2</c:v>
                </c:pt>
                <c:pt idx="26">
                  <c:v>3.3799999999999997E-2</c:v>
                </c:pt>
                <c:pt idx="27">
                  <c:v>3.3799999999999997E-2</c:v>
                </c:pt>
                <c:pt idx="28">
                  <c:v>3.3799999999999997E-2</c:v>
                </c:pt>
                <c:pt idx="29">
                  <c:v>3.3799999999999997E-2</c:v>
                </c:pt>
                <c:pt idx="30">
                  <c:v>3.3799999999999997E-2</c:v>
                </c:pt>
                <c:pt idx="31">
                  <c:v>3.3799999999999997E-2</c:v>
                </c:pt>
                <c:pt idx="32">
                  <c:v>3.3799999999999997E-2</c:v>
                </c:pt>
                <c:pt idx="33">
                  <c:v>3.3799999999999997E-2</c:v>
                </c:pt>
                <c:pt idx="34">
                  <c:v>3.3799999999999997E-2</c:v>
                </c:pt>
                <c:pt idx="35">
                  <c:v>3.3799999999999997E-2</c:v>
                </c:pt>
                <c:pt idx="36">
                  <c:v>3.3799999999999997E-2</c:v>
                </c:pt>
                <c:pt idx="37">
                  <c:v>3.3799999999999997E-2</c:v>
                </c:pt>
                <c:pt idx="38">
                  <c:v>3.3799999999999997E-2</c:v>
                </c:pt>
                <c:pt idx="39">
                  <c:v>3.3799999999999997E-2</c:v>
                </c:pt>
                <c:pt idx="40">
                  <c:v>3.3799999999999997E-2</c:v>
                </c:pt>
                <c:pt idx="41">
                  <c:v>3.3799999999999997E-2</c:v>
                </c:pt>
                <c:pt idx="42">
                  <c:v>3.3799999999999997E-2</c:v>
                </c:pt>
                <c:pt idx="43">
                  <c:v>3.3799999999999997E-2</c:v>
                </c:pt>
                <c:pt idx="44">
                  <c:v>3.3799999999999997E-2</c:v>
                </c:pt>
                <c:pt idx="45">
                  <c:v>3.3799999999999997E-2</c:v>
                </c:pt>
                <c:pt idx="46">
                  <c:v>3.3799999999999997E-2</c:v>
                </c:pt>
                <c:pt idx="47">
                  <c:v>3.3799999999999997E-2</c:v>
                </c:pt>
                <c:pt idx="48">
                  <c:v>3.3799999999999997E-2</c:v>
                </c:pt>
                <c:pt idx="49">
                  <c:v>3.3799999999999997E-2</c:v>
                </c:pt>
              </c:numCache>
            </c:numRef>
          </c:yVal>
          <c:smooth val="0"/>
          <c:extLst>
            <c:ext xmlns:c16="http://schemas.microsoft.com/office/drawing/2014/chart" uri="{C3380CC4-5D6E-409C-BE32-E72D297353CC}">
              <c16:uniqueId val="{00000000-4EC1-4423-A57C-8643CA3A9309}"/>
            </c:ext>
          </c:extLst>
        </c:ser>
        <c:ser>
          <c:idx val="1"/>
          <c:order val="1"/>
          <c:tx>
            <c:strRef>
              <c:f>'Sulphur 1'!$H$5</c:f>
              <c:strCache>
                <c:ptCount val="1"/>
                <c:pt idx="0">
                  <c:v>Range (actual)</c:v>
                </c:pt>
              </c:strCache>
            </c:strRef>
          </c:tx>
          <c:spPr>
            <a:ln w="22225">
              <a:solidFill>
                <a:schemeClr val="tx2"/>
              </a:solidFill>
            </a:ln>
          </c:spPr>
          <c:marker>
            <c:symbol val="star"/>
            <c:size val="9"/>
            <c:spPr>
              <a:noFill/>
            </c:spPr>
          </c:marker>
          <c:xVal>
            <c:numRef>
              <c:f>'Sulphur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'Sulphur 1'!$H$6:$H$55</c:f>
              <c:numCache>
                <c:formatCode>0.00</c:formatCode>
                <c:ptCount val="50"/>
                <c:pt idx="0">
                  <c:v>1.0000000000000009E-2</c:v>
                </c:pt>
                <c:pt idx="1">
                  <c:v>1.0000000000000009E-2</c:v>
                </c:pt>
                <c:pt idx="2">
                  <c:v>1.0000000000000009E-2</c:v>
                </c:pt>
                <c:pt idx="3">
                  <c:v>1.0000000000000009E-2</c:v>
                </c:pt>
                <c:pt idx="4">
                  <c:v>1.0000000000000009E-2</c:v>
                </c:pt>
                <c:pt idx="5">
                  <c:v>1.0000000000000009E-2</c:v>
                </c:pt>
                <c:pt idx="6">
                  <c:v>1.0000000000000009E-2</c:v>
                </c:pt>
                <c:pt idx="7">
                  <c:v>1.0000000000000009E-2</c:v>
                </c:pt>
                <c:pt idx="8">
                  <c:v>1.0000000000000009E-2</c:v>
                </c:pt>
                <c:pt idx="9">
                  <c:v>1.0000000000000009E-2</c:v>
                </c:pt>
                <c:pt idx="10">
                  <c:v>1.0000000000000009E-2</c:v>
                </c:pt>
                <c:pt idx="11">
                  <c:v>1.0000000000000009E-2</c:v>
                </c:pt>
                <c:pt idx="12">
                  <c:v>1.0000000000000009E-2</c:v>
                </c:pt>
                <c:pt idx="13">
                  <c:v>3.0000000000000027E-2</c:v>
                </c:pt>
                <c:pt idx="14">
                  <c:v>1.0000000000000009E-2</c:v>
                </c:pt>
                <c:pt idx="15">
                  <c:v>1.0000000000000009E-2</c:v>
                </c:pt>
                <c:pt idx="16">
                  <c:v>1.0000000000000009E-2</c:v>
                </c:pt>
                <c:pt idx="17">
                  <c:v>1.0000000000000009E-2</c:v>
                </c:pt>
                <c:pt idx="18">
                  <c:v>1.0000000000000009E-2</c:v>
                </c:pt>
                <c:pt idx="19">
                  <c:v>1.0000000000000009E-2</c:v>
                </c:pt>
                <c:pt idx="20">
                  <c:v>1.0000000000000009E-2</c:v>
                </c:pt>
                <c:pt idx="21">
                  <c:v>1.0000000000000009E-2</c:v>
                </c:pt>
                <c:pt idx="22">
                  <c:v>1.0000000000000009E-2</c:v>
                </c:pt>
                <c:pt idx="23">
                  <c:v>1.0000000000000009E-2</c:v>
                </c:pt>
                <c:pt idx="24">
                  <c:v>1.0000000000000009E-2</c:v>
                </c:pt>
                <c:pt idx="25">
                  <c:v>1.0000000000000009E-2</c:v>
                </c:pt>
                <c:pt idx="26">
                  <c:v>1.0000000000000009E-2</c:v>
                </c:pt>
                <c:pt idx="27">
                  <c:v>1.0000000000000009E-2</c:v>
                </c:pt>
                <c:pt idx="28">
                  <c:v>1.0000000000000009E-2</c:v>
                </c:pt>
                <c:pt idx="29">
                  <c:v>1.0000000000000009E-2</c:v>
                </c:pt>
                <c:pt idx="30">
                  <c:v>1.0000000000000009E-2</c:v>
                </c:pt>
                <c:pt idx="31">
                  <c:v>1.0000000000000009E-2</c:v>
                </c:pt>
                <c:pt idx="32">
                  <c:v>1.0000000000000009E-2</c:v>
                </c:pt>
                <c:pt idx="33">
                  <c:v>1.0000000000000009E-2</c:v>
                </c:pt>
                <c:pt idx="34">
                  <c:v>1.0000000000000009E-2</c:v>
                </c:pt>
                <c:pt idx="35">
                  <c:v>1.0000000000000009E-2</c:v>
                </c:pt>
                <c:pt idx="36">
                  <c:v>1.0000000000000009E-2</c:v>
                </c:pt>
                <c:pt idx="37">
                  <c:v>1.0000000000000009E-2</c:v>
                </c:pt>
                <c:pt idx="38">
                  <c:v>#N/A</c:v>
                </c:pt>
                <c:pt idx="39">
                  <c:v>#N/A</c:v>
                </c:pt>
                <c:pt idx="40">
                  <c:v>#N/A</c:v>
                </c:pt>
                <c:pt idx="41">
                  <c:v>#N/A</c:v>
                </c:pt>
                <c:pt idx="42">
                  <c:v>#N/A</c:v>
                </c:pt>
                <c:pt idx="43">
                  <c:v>#N/A</c:v>
                </c:pt>
                <c:pt idx="44">
                  <c:v>#N/A</c:v>
                </c:pt>
                <c:pt idx="45">
                  <c:v>#N/A</c:v>
                </c:pt>
                <c:pt idx="46">
                  <c:v>#N/A</c:v>
                </c:pt>
                <c:pt idx="47">
                  <c:v>#N/A</c:v>
                </c:pt>
                <c:pt idx="48">
                  <c:v>#N/A</c:v>
                </c:pt>
                <c:pt idx="49">
                  <c:v>#N/A</c:v>
                </c:pt>
              </c:numCache>
            </c:numRef>
          </c:yVal>
          <c:smooth val="0"/>
          <c:extLst>
            <c:ext xmlns:c16="http://schemas.microsoft.com/office/drawing/2014/chart" uri="{C3380CC4-5D6E-409C-BE32-E72D297353CC}">
              <c16:uniqueId val="{00000001-4EC1-4423-A57C-8643CA3A9309}"/>
            </c:ext>
          </c:extLst>
        </c:ser>
        <c:dLbls>
          <c:showLegendKey val="0"/>
          <c:showVal val="0"/>
          <c:showCatName val="0"/>
          <c:showSerName val="0"/>
          <c:showPercent val="0"/>
          <c:showBubbleSize val="0"/>
        </c:dLbls>
        <c:axId val="713046768"/>
        <c:axId val="713044024"/>
      </c:scatterChart>
      <c:valAx>
        <c:axId val="713046768"/>
        <c:scaling>
          <c:orientation val="minMax"/>
          <c:max val="50"/>
        </c:scaling>
        <c:delete val="0"/>
        <c:axPos val="b"/>
        <c:numFmt formatCode="0" sourceLinked="1"/>
        <c:majorTickMark val="out"/>
        <c:minorTickMark val="none"/>
        <c:tickLblPos val="nextTo"/>
        <c:crossAx val="713044024"/>
        <c:crosses val="autoZero"/>
        <c:crossBetween val="midCat"/>
      </c:valAx>
      <c:valAx>
        <c:axId val="713044024"/>
        <c:scaling>
          <c:orientation val="minMax"/>
        </c:scaling>
        <c:delete val="0"/>
        <c:axPos val="l"/>
        <c:majorGridlines/>
        <c:numFmt formatCode="0.000" sourceLinked="1"/>
        <c:majorTickMark val="out"/>
        <c:minorTickMark val="none"/>
        <c:tickLblPos val="nextTo"/>
        <c:crossAx val="713046768"/>
        <c:crosses val="autoZero"/>
        <c:crossBetween val="midCat"/>
      </c:valAx>
    </c:plotArea>
    <c:plotVisOnly val="1"/>
    <c:dispBlanksAs val="gap"/>
    <c:showDLblsOverMax val="0"/>
  </c:chart>
  <c:spPr>
    <a:ln w="22225">
      <a:solidFill>
        <a:schemeClr val="tx1"/>
      </a:solidFill>
    </a:ln>
  </c:spPr>
  <c:printSettings>
    <c:headerFooter/>
    <c:pageMargins b="0.75000000000000122" l="0.70000000000000062" r="0.70000000000000062" t="0.7500000000000012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892709180583196"/>
          <c:y val="0.14457717383076141"/>
          <c:w val="0.81564283305597385"/>
          <c:h val="0.7222831183970998"/>
        </c:manualLayout>
      </c:layout>
      <c:scatterChart>
        <c:scatterStyle val="lineMarker"/>
        <c:varyColors val="0"/>
        <c:ser>
          <c:idx val="0"/>
          <c:order val="0"/>
          <c:tx>
            <c:strRef>
              <c:f>'MIAS 1'!$G$5</c:f>
              <c:strCache>
                <c:ptCount val="1"/>
                <c:pt idx="0">
                  <c:v>Average Result</c:v>
                </c:pt>
              </c:strCache>
            </c:strRef>
          </c:tx>
          <c:spPr>
            <a:ln w="6350">
              <a:solidFill>
                <a:sysClr val="windowText" lastClr="000000"/>
              </a:solidFill>
            </a:ln>
          </c:spPr>
          <c:marker>
            <c:symbol val="star"/>
            <c:size val="7"/>
            <c:spPr>
              <a:noFill/>
              <a:ln w="15875">
                <a:solidFill>
                  <a:schemeClr val="tx1"/>
                </a:solidFill>
              </a:ln>
            </c:spPr>
          </c:marker>
          <c:xVal>
            <c:numRef>
              <c:f>'MIAS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'MIAS 1'!$G$6:$G$55</c:f>
              <c:numCache>
                <c:formatCode>0.00</c:formatCode>
                <c:ptCount val="50"/>
                <c:pt idx="0">
                  <c:v>2.4750000000000001</c:v>
                </c:pt>
                <c:pt idx="1">
                  <c:v>2.5499999999999998</c:v>
                </c:pt>
                <c:pt idx="2">
                  <c:v>2.5750000000000002</c:v>
                </c:pt>
                <c:pt idx="3">
                  <c:v>2.4750000000000001</c:v>
                </c:pt>
                <c:pt idx="4">
                  <c:v>2.5049999999999999</c:v>
                </c:pt>
                <c:pt idx="5">
                  <c:v>2.38</c:v>
                </c:pt>
                <c:pt idx="6">
                  <c:v>2.41</c:v>
                </c:pt>
                <c:pt idx="7">
                  <c:v>2.37</c:v>
                </c:pt>
                <c:pt idx="8">
                  <c:v>2.5049999999999999</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numCache>
            </c:numRef>
          </c:yVal>
          <c:smooth val="0"/>
          <c:extLst>
            <c:ext xmlns:c16="http://schemas.microsoft.com/office/drawing/2014/chart" uri="{C3380CC4-5D6E-409C-BE32-E72D297353CC}">
              <c16:uniqueId val="{00000000-49D1-4876-92FA-33E0492FEE61}"/>
            </c:ext>
          </c:extLst>
        </c:ser>
        <c:ser>
          <c:idx val="1"/>
          <c:order val="1"/>
          <c:tx>
            <c:strRef>
              <c:f>'MIAS 1'!$I$5</c:f>
              <c:strCache>
                <c:ptCount val="1"/>
                <c:pt idx="0">
                  <c:v>-3s</c:v>
                </c:pt>
              </c:strCache>
            </c:strRef>
          </c:tx>
          <c:spPr>
            <a:ln w="28575">
              <a:solidFill>
                <a:srgbClr val="FF0000"/>
              </a:solidFill>
            </a:ln>
          </c:spPr>
          <c:marker>
            <c:symbol val="none"/>
          </c:marker>
          <c:xVal>
            <c:numRef>
              <c:f>'MIAS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'MIAS 1'!$I$6:$I$55</c:f>
              <c:numCache>
                <c:formatCode>0.000</c:formatCode>
                <c:ptCount val="50"/>
                <c:pt idx="0">
                  <c:v>3.2071499393601659</c:v>
                </c:pt>
                <c:pt idx="1">
                  <c:v>3.2071499393601659</c:v>
                </c:pt>
                <c:pt idx="2">
                  <c:v>3.2071499393601659</c:v>
                </c:pt>
                <c:pt idx="3">
                  <c:v>3.2071499393601659</c:v>
                </c:pt>
                <c:pt idx="4">
                  <c:v>3.2071499393601659</c:v>
                </c:pt>
                <c:pt idx="5">
                  <c:v>3.2071499393601659</c:v>
                </c:pt>
                <c:pt idx="6">
                  <c:v>3.2071499393601659</c:v>
                </c:pt>
                <c:pt idx="7">
                  <c:v>3.2071499393601659</c:v>
                </c:pt>
                <c:pt idx="8">
                  <c:v>3.2071499393601659</c:v>
                </c:pt>
                <c:pt idx="9">
                  <c:v>3.2071499393601659</c:v>
                </c:pt>
                <c:pt idx="10">
                  <c:v>3.2071499393601659</c:v>
                </c:pt>
                <c:pt idx="11">
                  <c:v>3.2071499393601659</c:v>
                </c:pt>
                <c:pt idx="12">
                  <c:v>3.2071499393601659</c:v>
                </c:pt>
                <c:pt idx="13">
                  <c:v>3.2071499393601659</c:v>
                </c:pt>
                <c:pt idx="14">
                  <c:v>3.2071499393601659</c:v>
                </c:pt>
                <c:pt idx="15">
                  <c:v>3.2071499393601659</c:v>
                </c:pt>
                <c:pt idx="16">
                  <c:v>3.2071499393601659</c:v>
                </c:pt>
                <c:pt idx="17">
                  <c:v>3.2071499393601659</c:v>
                </c:pt>
                <c:pt idx="18">
                  <c:v>3.2071499393601659</c:v>
                </c:pt>
                <c:pt idx="19">
                  <c:v>3.2071499393601659</c:v>
                </c:pt>
                <c:pt idx="20">
                  <c:v>3.2071499393601659</c:v>
                </c:pt>
                <c:pt idx="21">
                  <c:v>3.2071499393601659</c:v>
                </c:pt>
                <c:pt idx="22">
                  <c:v>3.2071499393601659</c:v>
                </c:pt>
                <c:pt idx="23">
                  <c:v>3.2071499393601659</c:v>
                </c:pt>
                <c:pt idx="24">
                  <c:v>3.2071499393601659</c:v>
                </c:pt>
                <c:pt idx="25">
                  <c:v>3.2071499393601659</c:v>
                </c:pt>
                <c:pt idx="26">
                  <c:v>3.2071499393601659</c:v>
                </c:pt>
                <c:pt idx="27">
                  <c:v>3.2071499393601659</c:v>
                </c:pt>
                <c:pt idx="28">
                  <c:v>3.2071499393601659</c:v>
                </c:pt>
                <c:pt idx="29">
                  <c:v>3.2071499393601659</c:v>
                </c:pt>
                <c:pt idx="30">
                  <c:v>3.2071499393601659</c:v>
                </c:pt>
                <c:pt idx="31">
                  <c:v>3.2071499393601659</c:v>
                </c:pt>
                <c:pt idx="32">
                  <c:v>3.2071499393601659</c:v>
                </c:pt>
                <c:pt idx="33">
                  <c:v>3.2071499393601659</c:v>
                </c:pt>
                <c:pt idx="34">
                  <c:v>3.2071499393601659</c:v>
                </c:pt>
                <c:pt idx="35">
                  <c:v>3.2071499393601659</c:v>
                </c:pt>
                <c:pt idx="36">
                  <c:v>3.2071499393601659</c:v>
                </c:pt>
                <c:pt idx="37">
                  <c:v>3.2071499393601659</c:v>
                </c:pt>
                <c:pt idx="38">
                  <c:v>3.2071499393601659</c:v>
                </c:pt>
                <c:pt idx="39">
                  <c:v>3.2071499393601659</c:v>
                </c:pt>
                <c:pt idx="40">
                  <c:v>3.2071499393601659</c:v>
                </c:pt>
                <c:pt idx="41">
                  <c:v>3.2071499393601659</c:v>
                </c:pt>
                <c:pt idx="42">
                  <c:v>3.2071499393601659</c:v>
                </c:pt>
                <c:pt idx="43">
                  <c:v>3.2071499393601659</c:v>
                </c:pt>
                <c:pt idx="44">
                  <c:v>3.2071499393601659</c:v>
                </c:pt>
                <c:pt idx="45">
                  <c:v>3.2071499393601659</c:v>
                </c:pt>
                <c:pt idx="46">
                  <c:v>3.2071499393601659</c:v>
                </c:pt>
                <c:pt idx="47">
                  <c:v>3.2071499393601659</c:v>
                </c:pt>
                <c:pt idx="48">
                  <c:v>3.2071499393601659</c:v>
                </c:pt>
                <c:pt idx="49">
                  <c:v>3.2071499393601659</c:v>
                </c:pt>
              </c:numCache>
            </c:numRef>
          </c:yVal>
          <c:smooth val="0"/>
          <c:extLst>
            <c:ext xmlns:c16="http://schemas.microsoft.com/office/drawing/2014/chart" uri="{C3380CC4-5D6E-409C-BE32-E72D297353CC}">
              <c16:uniqueId val="{00000001-49D1-4876-92FA-33E0492FEE61}"/>
            </c:ext>
          </c:extLst>
        </c:ser>
        <c:ser>
          <c:idx val="2"/>
          <c:order val="2"/>
          <c:tx>
            <c:strRef>
              <c:f>'MIAS 1'!$J$5</c:f>
              <c:strCache>
                <c:ptCount val="1"/>
                <c:pt idx="0">
                  <c:v>-2s</c:v>
                </c:pt>
              </c:strCache>
            </c:strRef>
          </c:tx>
          <c:spPr>
            <a:ln w="28575">
              <a:solidFill>
                <a:schemeClr val="tx2">
                  <a:lumMod val="60000"/>
                  <a:lumOff val="40000"/>
                </a:schemeClr>
              </a:solidFill>
              <a:prstDash val="dashDot"/>
            </a:ln>
          </c:spPr>
          <c:marker>
            <c:symbol val="none"/>
          </c:marker>
          <c:xVal>
            <c:numRef>
              <c:f>'MIAS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'MIAS 1'!$J$6:$J$55</c:f>
              <c:numCache>
                <c:formatCode>0.000</c:formatCode>
                <c:ptCount val="50"/>
                <c:pt idx="0">
                  <c:v>3.358356369829854</c:v>
                </c:pt>
                <c:pt idx="1">
                  <c:v>3.358356369829854</c:v>
                </c:pt>
                <c:pt idx="2">
                  <c:v>3.358356369829854</c:v>
                </c:pt>
                <c:pt idx="3">
                  <c:v>3.358356369829854</c:v>
                </c:pt>
                <c:pt idx="4">
                  <c:v>3.358356369829854</c:v>
                </c:pt>
                <c:pt idx="5">
                  <c:v>3.358356369829854</c:v>
                </c:pt>
                <c:pt idx="6">
                  <c:v>3.358356369829854</c:v>
                </c:pt>
                <c:pt idx="7">
                  <c:v>3.358356369829854</c:v>
                </c:pt>
                <c:pt idx="8">
                  <c:v>3.358356369829854</c:v>
                </c:pt>
                <c:pt idx="9">
                  <c:v>3.358356369829854</c:v>
                </c:pt>
                <c:pt idx="10">
                  <c:v>3.358356369829854</c:v>
                </c:pt>
                <c:pt idx="11">
                  <c:v>3.358356369829854</c:v>
                </c:pt>
                <c:pt idx="12">
                  <c:v>3.358356369829854</c:v>
                </c:pt>
                <c:pt idx="13">
                  <c:v>3.358356369829854</c:v>
                </c:pt>
                <c:pt idx="14">
                  <c:v>3.358356369829854</c:v>
                </c:pt>
                <c:pt idx="15">
                  <c:v>3.358356369829854</c:v>
                </c:pt>
                <c:pt idx="16">
                  <c:v>3.358356369829854</c:v>
                </c:pt>
                <c:pt idx="17">
                  <c:v>3.358356369829854</c:v>
                </c:pt>
                <c:pt idx="18">
                  <c:v>3.358356369829854</c:v>
                </c:pt>
                <c:pt idx="19">
                  <c:v>3.358356369829854</c:v>
                </c:pt>
                <c:pt idx="20">
                  <c:v>3.358356369829854</c:v>
                </c:pt>
                <c:pt idx="21">
                  <c:v>3.358356369829854</c:v>
                </c:pt>
                <c:pt idx="22">
                  <c:v>3.358356369829854</c:v>
                </c:pt>
                <c:pt idx="23">
                  <c:v>3.358356369829854</c:v>
                </c:pt>
                <c:pt idx="24">
                  <c:v>3.358356369829854</c:v>
                </c:pt>
                <c:pt idx="25">
                  <c:v>3.358356369829854</c:v>
                </c:pt>
                <c:pt idx="26">
                  <c:v>3.358356369829854</c:v>
                </c:pt>
                <c:pt idx="27">
                  <c:v>3.358356369829854</c:v>
                </c:pt>
                <c:pt idx="28">
                  <c:v>3.358356369829854</c:v>
                </c:pt>
                <c:pt idx="29">
                  <c:v>3.358356369829854</c:v>
                </c:pt>
                <c:pt idx="30">
                  <c:v>3.358356369829854</c:v>
                </c:pt>
                <c:pt idx="31">
                  <c:v>3.358356369829854</c:v>
                </c:pt>
                <c:pt idx="32">
                  <c:v>3.358356369829854</c:v>
                </c:pt>
                <c:pt idx="33">
                  <c:v>3.358356369829854</c:v>
                </c:pt>
                <c:pt idx="34">
                  <c:v>3.358356369829854</c:v>
                </c:pt>
                <c:pt idx="35">
                  <c:v>3.358356369829854</c:v>
                </c:pt>
                <c:pt idx="36">
                  <c:v>3.358356369829854</c:v>
                </c:pt>
                <c:pt idx="37">
                  <c:v>3.358356369829854</c:v>
                </c:pt>
                <c:pt idx="38">
                  <c:v>3.358356369829854</c:v>
                </c:pt>
                <c:pt idx="39">
                  <c:v>3.358356369829854</c:v>
                </c:pt>
                <c:pt idx="40">
                  <c:v>3.358356369829854</c:v>
                </c:pt>
                <c:pt idx="41">
                  <c:v>3.358356369829854</c:v>
                </c:pt>
                <c:pt idx="42">
                  <c:v>3.358356369829854</c:v>
                </c:pt>
                <c:pt idx="43">
                  <c:v>3.358356369829854</c:v>
                </c:pt>
                <c:pt idx="44">
                  <c:v>3.358356369829854</c:v>
                </c:pt>
                <c:pt idx="45">
                  <c:v>3.358356369829854</c:v>
                </c:pt>
                <c:pt idx="46">
                  <c:v>3.358356369829854</c:v>
                </c:pt>
                <c:pt idx="47">
                  <c:v>3.358356369829854</c:v>
                </c:pt>
                <c:pt idx="48">
                  <c:v>3.358356369829854</c:v>
                </c:pt>
                <c:pt idx="49">
                  <c:v>3.358356369829854</c:v>
                </c:pt>
              </c:numCache>
            </c:numRef>
          </c:yVal>
          <c:smooth val="0"/>
          <c:extLst>
            <c:ext xmlns:c16="http://schemas.microsoft.com/office/drawing/2014/chart" uri="{C3380CC4-5D6E-409C-BE32-E72D297353CC}">
              <c16:uniqueId val="{00000002-49D1-4876-92FA-33E0492FEE61}"/>
            </c:ext>
          </c:extLst>
        </c:ser>
        <c:ser>
          <c:idx val="3"/>
          <c:order val="3"/>
          <c:tx>
            <c:strRef>
              <c:f>'MIAS 1'!$K$5</c:f>
              <c:strCache>
                <c:ptCount val="1"/>
                <c:pt idx="0">
                  <c:v></c:v>
                </c:pt>
              </c:strCache>
            </c:strRef>
          </c:tx>
          <c:spPr>
            <a:ln w="28575">
              <a:solidFill>
                <a:srgbClr val="00B050"/>
              </a:solidFill>
              <a:prstDash val="lgDashDotDot"/>
            </a:ln>
          </c:spPr>
          <c:marker>
            <c:symbol val="none"/>
          </c:marker>
          <c:xVal>
            <c:numRef>
              <c:f>'MIAS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'MIAS 1'!$K$6:$K$55</c:f>
              <c:numCache>
                <c:formatCode>0.000</c:formatCode>
                <c:ptCount val="50"/>
                <c:pt idx="0">
                  <c:v>3.6607692307692301</c:v>
                </c:pt>
                <c:pt idx="1">
                  <c:v>3.6607692307692301</c:v>
                </c:pt>
                <c:pt idx="2">
                  <c:v>3.6607692307692301</c:v>
                </c:pt>
                <c:pt idx="3">
                  <c:v>3.6607692307692301</c:v>
                </c:pt>
                <c:pt idx="4">
                  <c:v>3.6607692307692301</c:v>
                </c:pt>
                <c:pt idx="5">
                  <c:v>3.6607692307692301</c:v>
                </c:pt>
                <c:pt idx="6">
                  <c:v>3.6607692307692301</c:v>
                </c:pt>
                <c:pt idx="7">
                  <c:v>3.6607692307692301</c:v>
                </c:pt>
                <c:pt idx="8">
                  <c:v>3.6607692307692301</c:v>
                </c:pt>
                <c:pt idx="9">
                  <c:v>3.6607692307692301</c:v>
                </c:pt>
                <c:pt idx="10">
                  <c:v>3.6607692307692301</c:v>
                </c:pt>
                <c:pt idx="11">
                  <c:v>3.6607692307692301</c:v>
                </c:pt>
                <c:pt idx="12">
                  <c:v>3.6607692307692301</c:v>
                </c:pt>
                <c:pt idx="13">
                  <c:v>3.6607692307692301</c:v>
                </c:pt>
                <c:pt idx="14">
                  <c:v>3.6607692307692301</c:v>
                </c:pt>
                <c:pt idx="15">
                  <c:v>3.6607692307692301</c:v>
                </c:pt>
                <c:pt idx="16">
                  <c:v>3.6607692307692301</c:v>
                </c:pt>
                <c:pt idx="17">
                  <c:v>3.6607692307692301</c:v>
                </c:pt>
                <c:pt idx="18">
                  <c:v>3.6607692307692301</c:v>
                </c:pt>
                <c:pt idx="19">
                  <c:v>3.6607692307692301</c:v>
                </c:pt>
                <c:pt idx="20">
                  <c:v>3.6607692307692301</c:v>
                </c:pt>
                <c:pt idx="21">
                  <c:v>3.6607692307692301</c:v>
                </c:pt>
                <c:pt idx="22">
                  <c:v>3.6607692307692301</c:v>
                </c:pt>
                <c:pt idx="23">
                  <c:v>3.6607692307692301</c:v>
                </c:pt>
                <c:pt idx="24">
                  <c:v>3.6607692307692301</c:v>
                </c:pt>
                <c:pt idx="25">
                  <c:v>3.6607692307692301</c:v>
                </c:pt>
                <c:pt idx="26">
                  <c:v>3.6607692307692301</c:v>
                </c:pt>
                <c:pt idx="27">
                  <c:v>3.6607692307692301</c:v>
                </c:pt>
                <c:pt idx="28">
                  <c:v>3.6607692307692301</c:v>
                </c:pt>
                <c:pt idx="29">
                  <c:v>3.6607692307692301</c:v>
                </c:pt>
                <c:pt idx="30">
                  <c:v>3.6607692307692301</c:v>
                </c:pt>
                <c:pt idx="31">
                  <c:v>3.6607692307692301</c:v>
                </c:pt>
                <c:pt idx="32">
                  <c:v>3.6607692307692301</c:v>
                </c:pt>
                <c:pt idx="33">
                  <c:v>3.6607692307692301</c:v>
                </c:pt>
                <c:pt idx="34">
                  <c:v>3.6607692307692301</c:v>
                </c:pt>
                <c:pt idx="35">
                  <c:v>3.6607692307692301</c:v>
                </c:pt>
                <c:pt idx="36">
                  <c:v>3.6607692307692301</c:v>
                </c:pt>
                <c:pt idx="37">
                  <c:v>3.6607692307692301</c:v>
                </c:pt>
                <c:pt idx="38">
                  <c:v>3.6607692307692301</c:v>
                </c:pt>
                <c:pt idx="39">
                  <c:v>3.6607692307692301</c:v>
                </c:pt>
                <c:pt idx="40">
                  <c:v>3.6607692307692301</c:v>
                </c:pt>
                <c:pt idx="41">
                  <c:v>3.6607692307692301</c:v>
                </c:pt>
                <c:pt idx="42">
                  <c:v>3.6607692307692301</c:v>
                </c:pt>
                <c:pt idx="43">
                  <c:v>3.6607692307692301</c:v>
                </c:pt>
                <c:pt idx="44">
                  <c:v>3.6607692307692301</c:v>
                </c:pt>
                <c:pt idx="45">
                  <c:v>3.6607692307692301</c:v>
                </c:pt>
                <c:pt idx="46">
                  <c:v>3.6607692307692301</c:v>
                </c:pt>
                <c:pt idx="47">
                  <c:v>3.6607692307692301</c:v>
                </c:pt>
                <c:pt idx="48">
                  <c:v>3.6607692307692301</c:v>
                </c:pt>
                <c:pt idx="49">
                  <c:v>3.6607692307692301</c:v>
                </c:pt>
              </c:numCache>
            </c:numRef>
          </c:yVal>
          <c:smooth val="0"/>
          <c:extLst>
            <c:ext xmlns:c16="http://schemas.microsoft.com/office/drawing/2014/chart" uri="{C3380CC4-5D6E-409C-BE32-E72D297353CC}">
              <c16:uniqueId val="{00000003-49D1-4876-92FA-33E0492FEE61}"/>
            </c:ext>
          </c:extLst>
        </c:ser>
        <c:ser>
          <c:idx val="4"/>
          <c:order val="4"/>
          <c:tx>
            <c:strRef>
              <c:f>'MIAS 1'!$L$5</c:f>
              <c:strCache>
                <c:ptCount val="1"/>
                <c:pt idx="0">
                  <c:v>+2s</c:v>
                </c:pt>
              </c:strCache>
            </c:strRef>
          </c:tx>
          <c:spPr>
            <a:ln w="28575">
              <a:solidFill>
                <a:schemeClr val="tx2">
                  <a:lumMod val="60000"/>
                  <a:lumOff val="40000"/>
                </a:schemeClr>
              </a:solidFill>
              <a:prstDash val="dashDot"/>
            </a:ln>
          </c:spPr>
          <c:marker>
            <c:symbol val="none"/>
          </c:marker>
          <c:xVal>
            <c:numRef>
              <c:f>'MIAS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'MIAS 1'!$L$6:$L$55</c:f>
              <c:numCache>
                <c:formatCode>0.000</c:formatCode>
                <c:ptCount val="50"/>
                <c:pt idx="0">
                  <c:v>3.9631820917086062</c:v>
                </c:pt>
                <c:pt idx="1">
                  <c:v>3.9631820917086062</c:v>
                </c:pt>
                <c:pt idx="2">
                  <c:v>3.9631820917086062</c:v>
                </c:pt>
                <c:pt idx="3">
                  <c:v>3.9631820917086062</c:v>
                </c:pt>
                <c:pt idx="4">
                  <c:v>3.9631820917086062</c:v>
                </c:pt>
                <c:pt idx="5">
                  <c:v>3.9631820917086062</c:v>
                </c:pt>
                <c:pt idx="6">
                  <c:v>3.9631820917086062</c:v>
                </c:pt>
                <c:pt idx="7">
                  <c:v>3.9631820917086062</c:v>
                </c:pt>
                <c:pt idx="8">
                  <c:v>3.9631820917086062</c:v>
                </c:pt>
                <c:pt idx="9">
                  <c:v>3.9631820917086062</c:v>
                </c:pt>
                <c:pt idx="10">
                  <c:v>3.9631820917086062</c:v>
                </c:pt>
                <c:pt idx="11">
                  <c:v>3.9631820917086062</c:v>
                </c:pt>
                <c:pt idx="12">
                  <c:v>3.9631820917086062</c:v>
                </c:pt>
                <c:pt idx="13">
                  <c:v>3.9631820917086062</c:v>
                </c:pt>
                <c:pt idx="14">
                  <c:v>3.9631820917086062</c:v>
                </c:pt>
                <c:pt idx="15">
                  <c:v>3.9631820917086062</c:v>
                </c:pt>
                <c:pt idx="16">
                  <c:v>3.9631820917086062</c:v>
                </c:pt>
                <c:pt idx="17">
                  <c:v>3.9631820917086062</c:v>
                </c:pt>
                <c:pt idx="18">
                  <c:v>3.9631820917086062</c:v>
                </c:pt>
                <c:pt idx="19">
                  <c:v>3.9631820917086062</c:v>
                </c:pt>
                <c:pt idx="20">
                  <c:v>3.9631820917086062</c:v>
                </c:pt>
                <c:pt idx="21">
                  <c:v>3.9631820917086062</c:v>
                </c:pt>
                <c:pt idx="22">
                  <c:v>3.9631820917086062</c:v>
                </c:pt>
                <c:pt idx="23">
                  <c:v>3.9631820917086062</c:v>
                </c:pt>
                <c:pt idx="24">
                  <c:v>3.9631820917086062</c:v>
                </c:pt>
                <c:pt idx="25">
                  <c:v>3.9631820917086062</c:v>
                </c:pt>
                <c:pt idx="26">
                  <c:v>3.9631820917086062</c:v>
                </c:pt>
                <c:pt idx="27">
                  <c:v>3.9631820917086062</c:v>
                </c:pt>
                <c:pt idx="28">
                  <c:v>3.9631820917086062</c:v>
                </c:pt>
                <c:pt idx="29">
                  <c:v>3.9631820917086062</c:v>
                </c:pt>
                <c:pt idx="30">
                  <c:v>3.9631820917086062</c:v>
                </c:pt>
                <c:pt idx="31">
                  <c:v>3.9631820917086062</c:v>
                </c:pt>
                <c:pt idx="32">
                  <c:v>3.9631820917086062</c:v>
                </c:pt>
                <c:pt idx="33">
                  <c:v>3.9631820917086062</c:v>
                </c:pt>
                <c:pt idx="34">
                  <c:v>3.9631820917086062</c:v>
                </c:pt>
                <c:pt idx="35">
                  <c:v>3.9631820917086062</c:v>
                </c:pt>
                <c:pt idx="36">
                  <c:v>3.9631820917086062</c:v>
                </c:pt>
                <c:pt idx="37">
                  <c:v>3.9631820917086062</c:v>
                </c:pt>
                <c:pt idx="38">
                  <c:v>3.9631820917086062</c:v>
                </c:pt>
                <c:pt idx="39">
                  <c:v>3.9631820917086062</c:v>
                </c:pt>
                <c:pt idx="40">
                  <c:v>3.9631820917086062</c:v>
                </c:pt>
                <c:pt idx="41">
                  <c:v>3.9631820917086062</c:v>
                </c:pt>
                <c:pt idx="42">
                  <c:v>3.9631820917086062</c:v>
                </c:pt>
                <c:pt idx="43">
                  <c:v>3.9631820917086062</c:v>
                </c:pt>
                <c:pt idx="44">
                  <c:v>3.9631820917086062</c:v>
                </c:pt>
                <c:pt idx="45">
                  <c:v>3.9631820917086062</c:v>
                </c:pt>
                <c:pt idx="46">
                  <c:v>3.9631820917086062</c:v>
                </c:pt>
                <c:pt idx="47">
                  <c:v>3.9631820917086062</c:v>
                </c:pt>
                <c:pt idx="48">
                  <c:v>3.9631820917086062</c:v>
                </c:pt>
                <c:pt idx="49">
                  <c:v>3.9631820917086062</c:v>
                </c:pt>
              </c:numCache>
            </c:numRef>
          </c:yVal>
          <c:smooth val="0"/>
          <c:extLst>
            <c:ext xmlns:c16="http://schemas.microsoft.com/office/drawing/2014/chart" uri="{C3380CC4-5D6E-409C-BE32-E72D297353CC}">
              <c16:uniqueId val="{00000004-49D1-4876-92FA-33E0492FEE61}"/>
            </c:ext>
          </c:extLst>
        </c:ser>
        <c:ser>
          <c:idx val="5"/>
          <c:order val="5"/>
          <c:tx>
            <c:strRef>
              <c:f>'MIAS 1'!$M$5</c:f>
              <c:strCache>
                <c:ptCount val="1"/>
                <c:pt idx="0">
                  <c:v>+3s</c:v>
                </c:pt>
              </c:strCache>
            </c:strRef>
          </c:tx>
          <c:spPr>
            <a:ln w="28575">
              <a:solidFill>
                <a:srgbClr val="FF0000"/>
              </a:solidFill>
              <a:prstDash val="solid"/>
            </a:ln>
          </c:spPr>
          <c:marker>
            <c:symbol val="none"/>
          </c:marker>
          <c:xVal>
            <c:numRef>
              <c:f>'MIAS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'MIAS 1'!$M$6:$M$55</c:f>
              <c:numCache>
                <c:formatCode>0.000</c:formatCode>
                <c:ptCount val="50"/>
                <c:pt idx="0">
                  <c:v>4.1143885221782943</c:v>
                </c:pt>
                <c:pt idx="1">
                  <c:v>4.1143885221782943</c:v>
                </c:pt>
                <c:pt idx="2">
                  <c:v>4.1143885221782943</c:v>
                </c:pt>
                <c:pt idx="3">
                  <c:v>4.1143885221782943</c:v>
                </c:pt>
                <c:pt idx="4">
                  <c:v>4.1143885221782943</c:v>
                </c:pt>
                <c:pt idx="5">
                  <c:v>4.1143885221782943</c:v>
                </c:pt>
                <c:pt idx="6">
                  <c:v>4.1143885221782943</c:v>
                </c:pt>
                <c:pt idx="7">
                  <c:v>4.1143885221782943</c:v>
                </c:pt>
                <c:pt idx="8">
                  <c:v>4.1143885221782943</c:v>
                </c:pt>
                <c:pt idx="9">
                  <c:v>4.1143885221782943</c:v>
                </c:pt>
                <c:pt idx="10">
                  <c:v>4.1143885221782943</c:v>
                </c:pt>
                <c:pt idx="11">
                  <c:v>4.1143885221782943</c:v>
                </c:pt>
                <c:pt idx="12">
                  <c:v>4.1143885221782943</c:v>
                </c:pt>
                <c:pt idx="13">
                  <c:v>4.1143885221782943</c:v>
                </c:pt>
                <c:pt idx="14">
                  <c:v>4.1143885221782943</c:v>
                </c:pt>
                <c:pt idx="15">
                  <c:v>4.1143885221782943</c:v>
                </c:pt>
                <c:pt idx="16">
                  <c:v>4.1143885221782943</c:v>
                </c:pt>
                <c:pt idx="17">
                  <c:v>4.1143885221782943</c:v>
                </c:pt>
                <c:pt idx="18">
                  <c:v>4.1143885221782943</c:v>
                </c:pt>
                <c:pt idx="19">
                  <c:v>4.1143885221782943</c:v>
                </c:pt>
                <c:pt idx="20">
                  <c:v>4.1143885221782943</c:v>
                </c:pt>
                <c:pt idx="21">
                  <c:v>4.1143885221782943</c:v>
                </c:pt>
                <c:pt idx="22">
                  <c:v>4.1143885221782943</c:v>
                </c:pt>
                <c:pt idx="23">
                  <c:v>4.1143885221782943</c:v>
                </c:pt>
                <c:pt idx="24">
                  <c:v>4.1143885221782943</c:v>
                </c:pt>
                <c:pt idx="25">
                  <c:v>4.1143885221782943</c:v>
                </c:pt>
                <c:pt idx="26">
                  <c:v>4.1143885221782943</c:v>
                </c:pt>
                <c:pt idx="27">
                  <c:v>4.1143885221782943</c:v>
                </c:pt>
                <c:pt idx="28">
                  <c:v>4.1143885221782943</c:v>
                </c:pt>
                <c:pt idx="29">
                  <c:v>4.1143885221782943</c:v>
                </c:pt>
                <c:pt idx="30">
                  <c:v>4.1143885221782943</c:v>
                </c:pt>
                <c:pt idx="31">
                  <c:v>4.1143885221782943</c:v>
                </c:pt>
                <c:pt idx="32">
                  <c:v>4.1143885221782943</c:v>
                </c:pt>
                <c:pt idx="33">
                  <c:v>4.1143885221782943</c:v>
                </c:pt>
                <c:pt idx="34">
                  <c:v>4.1143885221782943</c:v>
                </c:pt>
                <c:pt idx="35">
                  <c:v>4.1143885221782943</c:v>
                </c:pt>
                <c:pt idx="36">
                  <c:v>4.1143885221782943</c:v>
                </c:pt>
                <c:pt idx="37">
                  <c:v>4.1143885221782943</c:v>
                </c:pt>
                <c:pt idx="38">
                  <c:v>4.1143885221782943</c:v>
                </c:pt>
                <c:pt idx="39">
                  <c:v>4.1143885221782943</c:v>
                </c:pt>
                <c:pt idx="40">
                  <c:v>4.1143885221782943</c:v>
                </c:pt>
                <c:pt idx="41">
                  <c:v>4.1143885221782943</c:v>
                </c:pt>
                <c:pt idx="42">
                  <c:v>4.1143885221782943</c:v>
                </c:pt>
                <c:pt idx="43">
                  <c:v>4.1143885221782943</c:v>
                </c:pt>
                <c:pt idx="44">
                  <c:v>4.1143885221782943</c:v>
                </c:pt>
                <c:pt idx="45">
                  <c:v>4.1143885221782943</c:v>
                </c:pt>
                <c:pt idx="46">
                  <c:v>4.1143885221782943</c:v>
                </c:pt>
                <c:pt idx="47">
                  <c:v>4.1143885221782943</c:v>
                </c:pt>
                <c:pt idx="48">
                  <c:v>4.1143885221782943</c:v>
                </c:pt>
                <c:pt idx="49">
                  <c:v>4.1143885221782943</c:v>
                </c:pt>
              </c:numCache>
            </c:numRef>
          </c:yVal>
          <c:smooth val="0"/>
          <c:extLst>
            <c:ext xmlns:c16="http://schemas.microsoft.com/office/drawing/2014/chart" uri="{C3380CC4-5D6E-409C-BE32-E72D297353CC}">
              <c16:uniqueId val="{00000005-49D1-4876-92FA-33E0492FEE61}"/>
            </c:ext>
          </c:extLst>
        </c:ser>
        <c:dLbls>
          <c:showLegendKey val="0"/>
          <c:showVal val="0"/>
          <c:showCatName val="0"/>
          <c:showSerName val="0"/>
          <c:showPercent val="0"/>
          <c:showBubbleSize val="0"/>
        </c:dLbls>
        <c:axId val="713045200"/>
        <c:axId val="713045984"/>
      </c:scatterChart>
      <c:valAx>
        <c:axId val="713045200"/>
        <c:scaling>
          <c:orientation val="minMax"/>
          <c:max val="50"/>
        </c:scaling>
        <c:delete val="0"/>
        <c:axPos val="b"/>
        <c:numFmt formatCode="0" sourceLinked="1"/>
        <c:majorTickMark val="out"/>
        <c:minorTickMark val="none"/>
        <c:tickLblPos val="nextTo"/>
        <c:crossAx val="713045984"/>
        <c:crosses val="autoZero"/>
        <c:crossBetween val="midCat"/>
      </c:valAx>
      <c:valAx>
        <c:axId val="713045984"/>
        <c:scaling>
          <c:orientation val="minMax"/>
        </c:scaling>
        <c:delete val="0"/>
        <c:axPos val="l"/>
        <c:majorGridlines/>
        <c:numFmt formatCode="0.00" sourceLinked="1"/>
        <c:majorTickMark val="out"/>
        <c:minorTickMark val="none"/>
        <c:tickLblPos val="nextTo"/>
        <c:crossAx val="713045200"/>
        <c:crosses val="autoZero"/>
        <c:crossBetween val="midCat"/>
      </c:valAx>
    </c:plotArea>
    <c:plotVisOnly val="1"/>
    <c:dispBlanksAs val="gap"/>
    <c:showDLblsOverMax val="0"/>
  </c:chart>
  <c:spPr>
    <a:ln w="22225" cmpd="sng">
      <a:solidFill>
        <a:schemeClr val="tx1"/>
      </a:solidFill>
    </a:ln>
  </c:spPr>
  <c:printSettings>
    <c:headerFooter/>
    <c:pageMargins b="0.75000000000000233" l="0.70000000000000062" r="0.70000000000000062" t="0.75000000000000233"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4645361235961E-2"/>
          <c:y val="3.5351304244051911E-2"/>
          <c:w val="0.91273351612370002"/>
          <c:h val="0.88488224171223984"/>
        </c:manualLayout>
      </c:layout>
      <c:scatterChart>
        <c:scatterStyle val="lineMarker"/>
        <c:varyColors val="0"/>
        <c:ser>
          <c:idx val="0"/>
          <c:order val="0"/>
          <c:tx>
            <c:strRef>
              <c:f>'MIAS 1'!$N$5</c:f>
              <c:strCache>
                <c:ptCount val="1"/>
                <c:pt idx="0">
                  <c:v>Range Limit</c:v>
                </c:pt>
              </c:strCache>
            </c:strRef>
          </c:tx>
          <c:spPr>
            <a:ln w="28575">
              <a:solidFill>
                <a:srgbClr val="FF0000"/>
              </a:solidFill>
            </a:ln>
          </c:spPr>
          <c:marker>
            <c:symbol val="none"/>
          </c:marker>
          <c:xVal>
            <c:numRef>
              <c:f>'MIAS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'MIAS 1'!$N$6:$N$55</c:f>
              <c:numCache>
                <c:formatCode>0.000</c:formatCode>
                <c:ptCount val="50"/>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0.1</c:v>
                </c:pt>
                <c:pt idx="27">
                  <c:v>0.1</c:v>
                </c:pt>
                <c:pt idx="28">
                  <c:v>0.1</c:v>
                </c:pt>
                <c:pt idx="29">
                  <c:v>0.1</c:v>
                </c:pt>
                <c:pt idx="30">
                  <c:v>0.1</c:v>
                </c:pt>
                <c:pt idx="31">
                  <c:v>0.1</c:v>
                </c:pt>
                <c:pt idx="32">
                  <c:v>0.1</c:v>
                </c:pt>
                <c:pt idx="33">
                  <c:v>0.1</c:v>
                </c:pt>
                <c:pt idx="34">
                  <c:v>0.1</c:v>
                </c:pt>
                <c:pt idx="35">
                  <c:v>0.1</c:v>
                </c:pt>
                <c:pt idx="36">
                  <c:v>0.1</c:v>
                </c:pt>
                <c:pt idx="37">
                  <c:v>0.1</c:v>
                </c:pt>
                <c:pt idx="38">
                  <c:v>0.1</c:v>
                </c:pt>
                <c:pt idx="39">
                  <c:v>0.1</c:v>
                </c:pt>
                <c:pt idx="40">
                  <c:v>0.1</c:v>
                </c:pt>
                <c:pt idx="41">
                  <c:v>0.1</c:v>
                </c:pt>
                <c:pt idx="42">
                  <c:v>0.1</c:v>
                </c:pt>
                <c:pt idx="43">
                  <c:v>0.1</c:v>
                </c:pt>
                <c:pt idx="44">
                  <c:v>0.1</c:v>
                </c:pt>
                <c:pt idx="45">
                  <c:v>0.1</c:v>
                </c:pt>
                <c:pt idx="46">
                  <c:v>0.1</c:v>
                </c:pt>
                <c:pt idx="47">
                  <c:v>0.1</c:v>
                </c:pt>
                <c:pt idx="48">
                  <c:v>0.1</c:v>
                </c:pt>
                <c:pt idx="49">
                  <c:v>0.1</c:v>
                </c:pt>
              </c:numCache>
            </c:numRef>
          </c:yVal>
          <c:smooth val="0"/>
          <c:extLst>
            <c:ext xmlns:c16="http://schemas.microsoft.com/office/drawing/2014/chart" uri="{C3380CC4-5D6E-409C-BE32-E72D297353CC}">
              <c16:uniqueId val="{00000000-4FA0-46E9-96AD-08241C63280D}"/>
            </c:ext>
          </c:extLst>
        </c:ser>
        <c:ser>
          <c:idx val="1"/>
          <c:order val="1"/>
          <c:tx>
            <c:strRef>
              <c:f>'MIAS 1'!$H$5</c:f>
              <c:strCache>
                <c:ptCount val="1"/>
                <c:pt idx="0">
                  <c:v>Range (actual)</c:v>
                </c:pt>
              </c:strCache>
            </c:strRef>
          </c:tx>
          <c:spPr>
            <a:ln w="22225">
              <a:solidFill>
                <a:schemeClr val="tx2"/>
              </a:solidFill>
            </a:ln>
          </c:spPr>
          <c:marker>
            <c:symbol val="star"/>
            <c:size val="9"/>
            <c:spPr>
              <a:noFill/>
            </c:spPr>
          </c:marker>
          <c:xVal>
            <c:numRef>
              <c:f>'MIAS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'MIAS 1'!$H$6:$H$55</c:f>
              <c:numCache>
                <c:formatCode>0.00</c:formatCode>
                <c:ptCount val="50"/>
                <c:pt idx="0">
                  <c:v>4.9999999999999822E-2</c:v>
                </c:pt>
                <c:pt idx="1">
                  <c:v>0.10000000000000009</c:v>
                </c:pt>
                <c:pt idx="2">
                  <c:v>5.0000000000000266E-2</c:v>
                </c:pt>
                <c:pt idx="3">
                  <c:v>4.9999999999999822E-2</c:v>
                </c:pt>
                <c:pt idx="4">
                  <c:v>8.9999999999999858E-2</c:v>
                </c:pt>
                <c:pt idx="5">
                  <c:v>4.0000000000000036E-2</c:v>
                </c:pt>
                <c:pt idx="6">
                  <c:v>2.0000000000000018E-2</c:v>
                </c:pt>
                <c:pt idx="7">
                  <c:v>2.0000000000000018E-2</c:v>
                </c:pt>
                <c:pt idx="8">
                  <c:v>0.10999999999999988</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numCache>
            </c:numRef>
          </c:yVal>
          <c:smooth val="0"/>
          <c:extLst>
            <c:ext xmlns:c16="http://schemas.microsoft.com/office/drawing/2014/chart" uri="{C3380CC4-5D6E-409C-BE32-E72D297353CC}">
              <c16:uniqueId val="{00000001-4FA0-46E9-96AD-08241C63280D}"/>
            </c:ext>
          </c:extLst>
        </c:ser>
        <c:dLbls>
          <c:showLegendKey val="0"/>
          <c:showVal val="0"/>
          <c:showCatName val="0"/>
          <c:showSerName val="0"/>
          <c:showPercent val="0"/>
          <c:showBubbleSize val="0"/>
        </c:dLbls>
        <c:axId val="713046376"/>
        <c:axId val="565997392"/>
      </c:scatterChart>
      <c:valAx>
        <c:axId val="713046376"/>
        <c:scaling>
          <c:orientation val="minMax"/>
          <c:max val="50"/>
        </c:scaling>
        <c:delete val="0"/>
        <c:axPos val="b"/>
        <c:numFmt formatCode="0" sourceLinked="1"/>
        <c:majorTickMark val="out"/>
        <c:minorTickMark val="none"/>
        <c:tickLblPos val="nextTo"/>
        <c:crossAx val="565997392"/>
        <c:crosses val="autoZero"/>
        <c:crossBetween val="midCat"/>
      </c:valAx>
      <c:valAx>
        <c:axId val="565997392"/>
        <c:scaling>
          <c:orientation val="minMax"/>
        </c:scaling>
        <c:delete val="0"/>
        <c:axPos val="l"/>
        <c:majorGridlines/>
        <c:numFmt formatCode="0.000" sourceLinked="1"/>
        <c:majorTickMark val="out"/>
        <c:minorTickMark val="none"/>
        <c:tickLblPos val="nextTo"/>
        <c:crossAx val="713046376"/>
        <c:crosses val="autoZero"/>
        <c:crossBetween val="midCat"/>
      </c:valAx>
    </c:plotArea>
    <c:plotVisOnly val="1"/>
    <c:dispBlanksAs val="gap"/>
    <c:showDLblsOverMax val="0"/>
  </c:chart>
  <c:spPr>
    <a:ln w="22225">
      <a:solidFill>
        <a:schemeClr val="tx1"/>
      </a:solidFill>
    </a:ln>
  </c:spPr>
  <c:printSettings>
    <c:headerFooter/>
    <c:pageMargins b="0.75000000000000144" l="0.70000000000000062" r="0.70000000000000062" t="0.7500000000000014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892709180583196"/>
          <c:y val="0.14457717383076141"/>
          <c:w val="0.81564283305597418"/>
          <c:h val="0.7222831183970998"/>
        </c:manualLayout>
      </c:layout>
      <c:scatterChart>
        <c:scatterStyle val="lineMarker"/>
        <c:varyColors val="0"/>
        <c:ser>
          <c:idx val="0"/>
          <c:order val="0"/>
          <c:tx>
            <c:strRef>
              <c:f>'VM 1'!$G$5</c:f>
              <c:strCache>
                <c:ptCount val="1"/>
                <c:pt idx="0">
                  <c:v>Average Result</c:v>
                </c:pt>
              </c:strCache>
            </c:strRef>
          </c:tx>
          <c:spPr>
            <a:ln w="6350">
              <a:solidFill>
                <a:sysClr val="windowText" lastClr="000000"/>
              </a:solidFill>
            </a:ln>
          </c:spPr>
          <c:marker>
            <c:symbol val="star"/>
            <c:size val="7"/>
            <c:spPr>
              <a:noFill/>
              <a:ln w="15875">
                <a:solidFill>
                  <a:schemeClr val="tx1"/>
                </a:solidFill>
              </a:ln>
            </c:spPr>
          </c:marker>
          <c:xVal>
            <c:numRef>
              <c:f>'VM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'VM 1'!$G$6:$G$55</c:f>
              <c:numCache>
                <c:formatCode>0.00</c:formatCode>
                <c:ptCount val="50"/>
                <c:pt idx="0">
                  <c:v>25.1</c:v>
                </c:pt>
                <c:pt idx="1">
                  <c:v>24.95</c:v>
                </c:pt>
                <c:pt idx="2">
                  <c:v>24.95</c:v>
                </c:pt>
                <c:pt idx="3">
                  <c:v>24.95</c:v>
                </c:pt>
                <c:pt idx="4">
                  <c:v>24.95</c:v>
                </c:pt>
                <c:pt idx="5">
                  <c:v>24.95</c:v>
                </c:pt>
                <c:pt idx="6">
                  <c:v>26.15</c:v>
                </c:pt>
                <c:pt idx="7">
                  <c:v>24.95</c:v>
                </c:pt>
                <c:pt idx="8">
                  <c:v>24.95</c:v>
                </c:pt>
                <c:pt idx="9">
                  <c:v>26.7</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numCache>
            </c:numRef>
          </c:yVal>
          <c:smooth val="0"/>
          <c:extLst>
            <c:ext xmlns:c16="http://schemas.microsoft.com/office/drawing/2014/chart" uri="{C3380CC4-5D6E-409C-BE32-E72D297353CC}">
              <c16:uniqueId val="{00000000-405C-4C6D-9D6D-D1EFA5DCB960}"/>
            </c:ext>
          </c:extLst>
        </c:ser>
        <c:ser>
          <c:idx val="1"/>
          <c:order val="1"/>
          <c:tx>
            <c:strRef>
              <c:f>'VM 1'!$I$5</c:f>
              <c:strCache>
                <c:ptCount val="1"/>
                <c:pt idx="0">
                  <c:v>-3s</c:v>
                </c:pt>
              </c:strCache>
            </c:strRef>
          </c:tx>
          <c:spPr>
            <a:ln w="28575">
              <a:solidFill>
                <a:srgbClr val="FF0000"/>
              </a:solidFill>
            </a:ln>
          </c:spPr>
          <c:marker>
            <c:symbol val="none"/>
          </c:marker>
          <c:xVal>
            <c:numRef>
              <c:f>'VM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'VM 1'!$I$6:$I$55</c:f>
              <c:numCache>
                <c:formatCode>0.000</c:formatCode>
                <c:ptCount val="50"/>
                <c:pt idx="0">
                  <c:v>27.934500832898948</c:v>
                </c:pt>
                <c:pt idx="1">
                  <c:v>27.934500832898948</c:v>
                </c:pt>
                <c:pt idx="2">
                  <c:v>27.934500832898948</c:v>
                </c:pt>
                <c:pt idx="3">
                  <c:v>27.934500832898948</c:v>
                </c:pt>
                <c:pt idx="4">
                  <c:v>27.934500832898948</c:v>
                </c:pt>
                <c:pt idx="5">
                  <c:v>27.934500832898948</c:v>
                </c:pt>
                <c:pt idx="6">
                  <c:v>27.934500832898948</c:v>
                </c:pt>
                <c:pt idx="7">
                  <c:v>27.934500832898948</c:v>
                </c:pt>
                <c:pt idx="8">
                  <c:v>27.934500832898948</c:v>
                </c:pt>
                <c:pt idx="9">
                  <c:v>27.934500832898948</c:v>
                </c:pt>
                <c:pt idx="10">
                  <c:v>27.934500832898948</c:v>
                </c:pt>
                <c:pt idx="11">
                  <c:v>27.934500832898948</c:v>
                </c:pt>
                <c:pt idx="12">
                  <c:v>27.934500832898948</c:v>
                </c:pt>
                <c:pt idx="13">
                  <c:v>27.934500832898948</c:v>
                </c:pt>
                <c:pt idx="14">
                  <c:v>27.934500832898948</c:v>
                </c:pt>
                <c:pt idx="15">
                  <c:v>27.934500832898948</c:v>
                </c:pt>
                <c:pt idx="16">
                  <c:v>27.934500832898948</c:v>
                </c:pt>
                <c:pt idx="17">
                  <c:v>27.934500832898948</c:v>
                </c:pt>
                <c:pt idx="18">
                  <c:v>27.934500832898948</c:v>
                </c:pt>
                <c:pt idx="19">
                  <c:v>27.934500832898948</c:v>
                </c:pt>
                <c:pt idx="20">
                  <c:v>27.934500832898948</c:v>
                </c:pt>
                <c:pt idx="21">
                  <c:v>27.934500832898948</c:v>
                </c:pt>
                <c:pt idx="22">
                  <c:v>27.934500832898948</c:v>
                </c:pt>
                <c:pt idx="23">
                  <c:v>27.934500832898948</c:v>
                </c:pt>
                <c:pt idx="24">
                  <c:v>27.934500832898948</c:v>
                </c:pt>
                <c:pt idx="25">
                  <c:v>27.934500832898948</c:v>
                </c:pt>
                <c:pt idx="26">
                  <c:v>27.934500832898948</c:v>
                </c:pt>
                <c:pt idx="27">
                  <c:v>27.934500832898948</c:v>
                </c:pt>
                <c:pt idx="28">
                  <c:v>27.934500832898948</c:v>
                </c:pt>
                <c:pt idx="29">
                  <c:v>27.934500832898948</c:v>
                </c:pt>
                <c:pt idx="30">
                  <c:v>27.934500832898948</c:v>
                </c:pt>
                <c:pt idx="31">
                  <c:v>27.934500832898948</c:v>
                </c:pt>
                <c:pt idx="32">
                  <c:v>27.934500832898948</c:v>
                </c:pt>
                <c:pt idx="33">
                  <c:v>27.934500832898948</c:v>
                </c:pt>
                <c:pt idx="34">
                  <c:v>27.934500832898948</c:v>
                </c:pt>
                <c:pt idx="35">
                  <c:v>27.934500832898948</c:v>
                </c:pt>
                <c:pt idx="36">
                  <c:v>27.934500832898948</c:v>
                </c:pt>
                <c:pt idx="37">
                  <c:v>27.934500832898948</c:v>
                </c:pt>
                <c:pt idx="38">
                  <c:v>27.934500832898948</c:v>
                </c:pt>
                <c:pt idx="39">
                  <c:v>27.934500832898948</c:v>
                </c:pt>
                <c:pt idx="40">
                  <c:v>27.934500832898948</c:v>
                </c:pt>
                <c:pt idx="41">
                  <c:v>27.934500832898948</c:v>
                </c:pt>
                <c:pt idx="42">
                  <c:v>27.934500832898948</c:v>
                </c:pt>
                <c:pt idx="43">
                  <c:v>27.934500832898948</c:v>
                </c:pt>
                <c:pt idx="44">
                  <c:v>27.934500832898948</c:v>
                </c:pt>
                <c:pt idx="45">
                  <c:v>27.934500832898948</c:v>
                </c:pt>
                <c:pt idx="46">
                  <c:v>27.934500832898948</c:v>
                </c:pt>
                <c:pt idx="47">
                  <c:v>27.934500832898948</c:v>
                </c:pt>
                <c:pt idx="48">
                  <c:v>27.934500832898948</c:v>
                </c:pt>
                <c:pt idx="49">
                  <c:v>27.934500832898948</c:v>
                </c:pt>
              </c:numCache>
            </c:numRef>
          </c:yVal>
          <c:smooth val="0"/>
          <c:extLst>
            <c:ext xmlns:c16="http://schemas.microsoft.com/office/drawing/2014/chart" uri="{C3380CC4-5D6E-409C-BE32-E72D297353CC}">
              <c16:uniqueId val="{00000001-405C-4C6D-9D6D-D1EFA5DCB960}"/>
            </c:ext>
          </c:extLst>
        </c:ser>
        <c:ser>
          <c:idx val="2"/>
          <c:order val="2"/>
          <c:tx>
            <c:strRef>
              <c:f>'VM 1'!$J$5</c:f>
              <c:strCache>
                <c:ptCount val="1"/>
                <c:pt idx="0">
                  <c:v>-2s</c:v>
                </c:pt>
              </c:strCache>
            </c:strRef>
          </c:tx>
          <c:spPr>
            <a:ln w="28575">
              <a:solidFill>
                <a:schemeClr val="tx2">
                  <a:lumMod val="60000"/>
                  <a:lumOff val="40000"/>
                </a:schemeClr>
              </a:solidFill>
              <a:prstDash val="dashDot"/>
            </a:ln>
          </c:spPr>
          <c:marker>
            <c:symbol val="none"/>
          </c:marker>
          <c:xVal>
            <c:numRef>
              <c:f>'VM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'VM 1'!$J$6:$J$55</c:f>
              <c:numCache>
                <c:formatCode>0.000</c:formatCode>
                <c:ptCount val="50"/>
                <c:pt idx="0">
                  <c:v>28.220491591990413</c:v>
                </c:pt>
                <c:pt idx="1">
                  <c:v>28.220491591990413</c:v>
                </c:pt>
                <c:pt idx="2">
                  <c:v>28.220491591990413</c:v>
                </c:pt>
                <c:pt idx="3">
                  <c:v>28.220491591990413</c:v>
                </c:pt>
                <c:pt idx="4">
                  <c:v>28.220491591990413</c:v>
                </c:pt>
                <c:pt idx="5">
                  <c:v>28.220491591990413</c:v>
                </c:pt>
                <c:pt idx="6">
                  <c:v>28.220491591990413</c:v>
                </c:pt>
                <c:pt idx="7">
                  <c:v>28.220491591990413</c:v>
                </c:pt>
                <c:pt idx="8">
                  <c:v>28.220491591990413</c:v>
                </c:pt>
                <c:pt idx="9">
                  <c:v>28.220491591990413</c:v>
                </c:pt>
                <c:pt idx="10">
                  <c:v>28.220491591990413</c:v>
                </c:pt>
                <c:pt idx="11">
                  <c:v>28.220491591990413</c:v>
                </c:pt>
                <c:pt idx="12">
                  <c:v>28.220491591990413</c:v>
                </c:pt>
                <c:pt idx="13">
                  <c:v>28.220491591990413</c:v>
                </c:pt>
                <c:pt idx="14">
                  <c:v>28.220491591990413</c:v>
                </c:pt>
                <c:pt idx="15">
                  <c:v>28.220491591990413</c:v>
                </c:pt>
                <c:pt idx="16">
                  <c:v>28.220491591990413</c:v>
                </c:pt>
                <c:pt idx="17">
                  <c:v>28.220491591990413</c:v>
                </c:pt>
                <c:pt idx="18">
                  <c:v>28.220491591990413</c:v>
                </c:pt>
                <c:pt idx="19">
                  <c:v>28.220491591990413</c:v>
                </c:pt>
                <c:pt idx="20">
                  <c:v>28.220491591990413</c:v>
                </c:pt>
                <c:pt idx="21">
                  <c:v>28.220491591990413</c:v>
                </c:pt>
                <c:pt idx="22">
                  <c:v>28.220491591990413</c:v>
                </c:pt>
                <c:pt idx="23">
                  <c:v>28.220491591990413</c:v>
                </c:pt>
                <c:pt idx="24">
                  <c:v>28.220491591990413</c:v>
                </c:pt>
                <c:pt idx="25">
                  <c:v>28.220491591990413</c:v>
                </c:pt>
                <c:pt idx="26">
                  <c:v>28.220491591990413</c:v>
                </c:pt>
                <c:pt idx="27">
                  <c:v>28.220491591990413</c:v>
                </c:pt>
                <c:pt idx="28">
                  <c:v>28.220491591990413</c:v>
                </c:pt>
                <c:pt idx="29">
                  <c:v>28.220491591990413</c:v>
                </c:pt>
                <c:pt idx="30">
                  <c:v>28.220491591990413</c:v>
                </c:pt>
                <c:pt idx="31">
                  <c:v>28.220491591990413</c:v>
                </c:pt>
                <c:pt idx="32">
                  <c:v>28.220491591990413</c:v>
                </c:pt>
                <c:pt idx="33">
                  <c:v>28.220491591990413</c:v>
                </c:pt>
                <c:pt idx="34">
                  <c:v>28.220491591990413</c:v>
                </c:pt>
                <c:pt idx="35">
                  <c:v>28.220491591990413</c:v>
                </c:pt>
                <c:pt idx="36">
                  <c:v>28.220491591990413</c:v>
                </c:pt>
                <c:pt idx="37">
                  <c:v>28.220491591990413</c:v>
                </c:pt>
                <c:pt idx="38">
                  <c:v>28.220491591990413</c:v>
                </c:pt>
                <c:pt idx="39">
                  <c:v>28.220491591990413</c:v>
                </c:pt>
                <c:pt idx="40">
                  <c:v>28.220491591990413</c:v>
                </c:pt>
                <c:pt idx="41">
                  <c:v>28.220491591990413</c:v>
                </c:pt>
                <c:pt idx="42">
                  <c:v>28.220491591990413</c:v>
                </c:pt>
                <c:pt idx="43">
                  <c:v>28.220491591990413</c:v>
                </c:pt>
                <c:pt idx="44">
                  <c:v>28.220491591990413</c:v>
                </c:pt>
                <c:pt idx="45">
                  <c:v>28.220491591990413</c:v>
                </c:pt>
                <c:pt idx="46">
                  <c:v>28.220491591990413</c:v>
                </c:pt>
                <c:pt idx="47">
                  <c:v>28.220491591990413</c:v>
                </c:pt>
                <c:pt idx="48">
                  <c:v>28.220491591990413</c:v>
                </c:pt>
                <c:pt idx="49">
                  <c:v>28.220491591990413</c:v>
                </c:pt>
              </c:numCache>
            </c:numRef>
          </c:yVal>
          <c:smooth val="0"/>
          <c:extLst>
            <c:ext xmlns:c16="http://schemas.microsoft.com/office/drawing/2014/chart" uri="{C3380CC4-5D6E-409C-BE32-E72D297353CC}">
              <c16:uniqueId val="{00000002-405C-4C6D-9D6D-D1EFA5DCB960}"/>
            </c:ext>
          </c:extLst>
        </c:ser>
        <c:ser>
          <c:idx val="3"/>
          <c:order val="3"/>
          <c:tx>
            <c:strRef>
              <c:f>'VM 1'!$K$5</c:f>
              <c:strCache>
                <c:ptCount val="1"/>
                <c:pt idx="0">
                  <c:v></c:v>
                </c:pt>
              </c:strCache>
            </c:strRef>
          </c:tx>
          <c:spPr>
            <a:ln w="28575">
              <a:solidFill>
                <a:srgbClr val="00B050"/>
              </a:solidFill>
              <a:prstDash val="lgDashDotDot"/>
            </a:ln>
          </c:spPr>
          <c:marker>
            <c:symbol val="none"/>
          </c:marker>
          <c:xVal>
            <c:numRef>
              <c:f>'VM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'VM 1'!$K$6:$K$55</c:f>
              <c:numCache>
                <c:formatCode>0.000</c:formatCode>
                <c:ptCount val="50"/>
                <c:pt idx="0">
                  <c:v>28.697142857142861</c:v>
                </c:pt>
                <c:pt idx="1">
                  <c:v>28.697142857142861</c:v>
                </c:pt>
                <c:pt idx="2">
                  <c:v>28.697142857142861</c:v>
                </c:pt>
                <c:pt idx="3">
                  <c:v>28.697142857142861</c:v>
                </c:pt>
                <c:pt idx="4">
                  <c:v>28.697142857142861</c:v>
                </c:pt>
                <c:pt idx="5">
                  <c:v>28.697142857142861</c:v>
                </c:pt>
                <c:pt idx="6">
                  <c:v>28.697142857142861</c:v>
                </c:pt>
                <c:pt idx="7">
                  <c:v>28.697142857142861</c:v>
                </c:pt>
                <c:pt idx="8">
                  <c:v>28.697142857142861</c:v>
                </c:pt>
                <c:pt idx="9">
                  <c:v>28.697142857142861</c:v>
                </c:pt>
                <c:pt idx="10">
                  <c:v>28.697142857142861</c:v>
                </c:pt>
                <c:pt idx="11">
                  <c:v>28.697142857142861</c:v>
                </c:pt>
                <c:pt idx="12">
                  <c:v>28.697142857142861</c:v>
                </c:pt>
                <c:pt idx="13">
                  <c:v>28.697142857142861</c:v>
                </c:pt>
                <c:pt idx="14">
                  <c:v>28.697142857142861</c:v>
                </c:pt>
                <c:pt idx="15">
                  <c:v>28.697142857142861</c:v>
                </c:pt>
                <c:pt idx="16">
                  <c:v>28.697142857142861</c:v>
                </c:pt>
                <c:pt idx="17">
                  <c:v>28.697142857142861</c:v>
                </c:pt>
                <c:pt idx="18">
                  <c:v>28.697142857142861</c:v>
                </c:pt>
                <c:pt idx="19">
                  <c:v>28.697142857142861</c:v>
                </c:pt>
                <c:pt idx="20">
                  <c:v>28.697142857142861</c:v>
                </c:pt>
                <c:pt idx="21">
                  <c:v>28.697142857142861</c:v>
                </c:pt>
                <c:pt idx="22">
                  <c:v>28.697142857142861</c:v>
                </c:pt>
                <c:pt idx="23">
                  <c:v>28.697142857142861</c:v>
                </c:pt>
                <c:pt idx="24">
                  <c:v>28.697142857142861</c:v>
                </c:pt>
                <c:pt idx="25">
                  <c:v>28.697142857142861</c:v>
                </c:pt>
                <c:pt idx="26">
                  <c:v>28.697142857142861</c:v>
                </c:pt>
                <c:pt idx="27">
                  <c:v>28.697142857142861</c:v>
                </c:pt>
                <c:pt idx="28">
                  <c:v>28.697142857142861</c:v>
                </c:pt>
                <c:pt idx="29">
                  <c:v>28.697142857142861</c:v>
                </c:pt>
                <c:pt idx="30">
                  <c:v>28.697142857142861</c:v>
                </c:pt>
                <c:pt idx="31">
                  <c:v>28.697142857142861</c:v>
                </c:pt>
                <c:pt idx="32">
                  <c:v>28.697142857142861</c:v>
                </c:pt>
                <c:pt idx="33">
                  <c:v>28.697142857142861</c:v>
                </c:pt>
                <c:pt idx="34">
                  <c:v>28.697142857142861</c:v>
                </c:pt>
                <c:pt idx="35">
                  <c:v>28.697142857142861</c:v>
                </c:pt>
                <c:pt idx="36">
                  <c:v>28.697142857142861</c:v>
                </c:pt>
                <c:pt idx="37">
                  <c:v>28.697142857142861</c:v>
                </c:pt>
                <c:pt idx="38">
                  <c:v>28.697142857142861</c:v>
                </c:pt>
                <c:pt idx="39">
                  <c:v>28.697142857142861</c:v>
                </c:pt>
                <c:pt idx="40">
                  <c:v>28.697142857142861</c:v>
                </c:pt>
                <c:pt idx="41">
                  <c:v>28.697142857142861</c:v>
                </c:pt>
                <c:pt idx="42">
                  <c:v>28.697142857142861</c:v>
                </c:pt>
                <c:pt idx="43">
                  <c:v>28.697142857142861</c:v>
                </c:pt>
                <c:pt idx="44">
                  <c:v>28.697142857142861</c:v>
                </c:pt>
                <c:pt idx="45">
                  <c:v>28.697142857142861</c:v>
                </c:pt>
                <c:pt idx="46">
                  <c:v>28.697142857142861</c:v>
                </c:pt>
                <c:pt idx="47">
                  <c:v>28.697142857142861</c:v>
                </c:pt>
                <c:pt idx="48">
                  <c:v>28.697142857142861</c:v>
                </c:pt>
                <c:pt idx="49">
                  <c:v>28.697142857142861</c:v>
                </c:pt>
              </c:numCache>
            </c:numRef>
          </c:yVal>
          <c:smooth val="0"/>
          <c:extLst>
            <c:ext xmlns:c16="http://schemas.microsoft.com/office/drawing/2014/chart" uri="{C3380CC4-5D6E-409C-BE32-E72D297353CC}">
              <c16:uniqueId val="{00000003-405C-4C6D-9D6D-D1EFA5DCB960}"/>
            </c:ext>
          </c:extLst>
        </c:ser>
        <c:ser>
          <c:idx val="4"/>
          <c:order val="4"/>
          <c:tx>
            <c:strRef>
              <c:f>'VM 1'!$L$5</c:f>
              <c:strCache>
                <c:ptCount val="1"/>
                <c:pt idx="0">
                  <c:v>+2s</c:v>
                </c:pt>
              </c:strCache>
            </c:strRef>
          </c:tx>
          <c:spPr>
            <a:ln w="28575">
              <a:solidFill>
                <a:schemeClr val="tx2">
                  <a:lumMod val="60000"/>
                  <a:lumOff val="40000"/>
                </a:schemeClr>
              </a:solidFill>
              <a:prstDash val="dashDot"/>
            </a:ln>
          </c:spPr>
          <c:marker>
            <c:symbol val="none"/>
          </c:marker>
          <c:xVal>
            <c:numRef>
              <c:f>'VM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'VM 1'!$L$6:$L$55</c:f>
              <c:numCache>
                <c:formatCode>0.000</c:formatCode>
                <c:ptCount val="50"/>
                <c:pt idx="0">
                  <c:v>29.173794122295309</c:v>
                </c:pt>
                <c:pt idx="1">
                  <c:v>29.173794122295309</c:v>
                </c:pt>
                <c:pt idx="2">
                  <c:v>29.173794122295309</c:v>
                </c:pt>
                <c:pt idx="3">
                  <c:v>29.173794122295309</c:v>
                </c:pt>
                <c:pt idx="4">
                  <c:v>29.173794122295309</c:v>
                </c:pt>
                <c:pt idx="5">
                  <c:v>29.173794122295309</c:v>
                </c:pt>
                <c:pt idx="6">
                  <c:v>29.173794122295309</c:v>
                </c:pt>
                <c:pt idx="7">
                  <c:v>29.173794122295309</c:v>
                </c:pt>
                <c:pt idx="8">
                  <c:v>29.173794122295309</c:v>
                </c:pt>
                <c:pt idx="9">
                  <c:v>29.173794122295309</c:v>
                </c:pt>
                <c:pt idx="10">
                  <c:v>29.173794122295309</c:v>
                </c:pt>
                <c:pt idx="11">
                  <c:v>29.173794122295309</c:v>
                </c:pt>
                <c:pt idx="12">
                  <c:v>29.173794122295309</c:v>
                </c:pt>
                <c:pt idx="13">
                  <c:v>29.173794122295309</c:v>
                </c:pt>
                <c:pt idx="14">
                  <c:v>29.173794122295309</c:v>
                </c:pt>
                <c:pt idx="15">
                  <c:v>29.173794122295309</c:v>
                </c:pt>
                <c:pt idx="16">
                  <c:v>29.173794122295309</c:v>
                </c:pt>
                <c:pt idx="17">
                  <c:v>29.173794122295309</c:v>
                </c:pt>
                <c:pt idx="18">
                  <c:v>29.173794122295309</c:v>
                </c:pt>
                <c:pt idx="19">
                  <c:v>29.173794122295309</c:v>
                </c:pt>
                <c:pt idx="20">
                  <c:v>29.173794122295309</c:v>
                </c:pt>
                <c:pt idx="21">
                  <c:v>29.173794122295309</c:v>
                </c:pt>
                <c:pt idx="22">
                  <c:v>29.173794122295309</c:v>
                </c:pt>
                <c:pt idx="23">
                  <c:v>29.173794122295309</c:v>
                </c:pt>
                <c:pt idx="24">
                  <c:v>29.173794122295309</c:v>
                </c:pt>
                <c:pt idx="25">
                  <c:v>29.173794122295309</c:v>
                </c:pt>
                <c:pt idx="26">
                  <c:v>29.173794122295309</c:v>
                </c:pt>
                <c:pt idx="27">
                  <c:v>29.173794122295309</c:v>
                </c:pt>
                <c:pt idx="28">
                  <c:v>29.173794122295309</c:v>
                </c:pt>
                <c:pt idx="29">
                  <c:v>29.173794122295309</c:v>
                </c:pt>
                <c:pt idx="30">
                  <c:v>29.173794122295309</c:v>
                </c:pt>
                <c:pt idx="31">
                  <c:v>29.173794122295309</c:v>
                </c:pt>
                <c:pt idx="32">
                  <c:v>29.173794122295309</c:v>
                </c:pt>
                <c:pt idx="33">
                  <c:v>29.173794122295309</c:v>
                </c:pt>
                <c:pt idx="34">
                  <c:v>29.173794122295309</c:v>
                </c:pt>
                <c:pt idx="35">
                  <c:v>29.173794122295309</c:v>
                </c:pt>
                <c:pt idx="36">
                  <c:v>29.173794122295309</c:v>
                </c:pt>
                <c:pt idx="37">
                  <c:v>29.173794122295309</c:v>
                </c:pt>
                <c:pt idx="38">
                  <c:v>29.173794122295309</c:v>
                </c:pt>
                <c:pt idx="39">
                  <c:v>29.173794122295309</c:v>
                </c:pt>
                <c:pt idx="40">
                  <c:v>29.173794122295309</c:v>
                </c:pt>
                <c:pt idx="41">
                  <c:v>29.173794122295309</c:v>
                </c:pt>
                <c:pt idx="42">
                  <c:v>29.173794122295309</c:v>
                </c:pt>
                <c:pt idx="43">
                  <c:v>29.173794122295309</c:v>
                </c:pt>
                <c:pt idx="44">
                  <c:v>29.173794122295309</c:v>
                </c:pt>
                <c:pt idx="45">
                  <c:v>29.173794122295309</c:v>
                </c:pt>
                <c:pt idx="46">
                  <c:v>29.173794122295309</c:v>
                </c:pt>
                <c:pt idx="47">
                  <c:v>29.173794122295309</c:v>
                </c:pt>
                <c:pt idx="48">
                  <c:v>29.173794122295309</c:v>
                </c:pt>
                <c:pt idx="49">
                  <c:v>29.173794122295309</c:v>
                </c:pt>
              </c:numCache>
            </c:numRef>
          </c:yVal>
          <c:smooth val="0"/>
          <c:extLst>
            <c:ext xmlns:c16="http://schemas.microsoft.com/office/drawing/2014/chart" uri="{C3380CC4-5D6E-409C-BE32-E72D297353CC}">
              <c16:uniqueId val="{00000004-405C-4C6D-9D6D-D1EFA5DCB960}"/>
            </c:ext>
          </c:extLst>
        </c:ser>
        <c:ser>
          <c:idx val="5"/>
          <c:order val="5"/>
          <c:tx>
            <c:strRef>
              <c:f>'VM 1'!$M$5</c:f>
              <c:strCache>
                <c:ptCount val="1"/>
                <c:pt idx="0">
                  <c:v>+3s</c:v>
                </c:pt>
              </c:strCache>
            </c:strRef>
          </c:tx>
          <c:spPr>
            <a:ln w="28575">
              <a:solidFill>
                <a:srgbClr val="FF0000"/>
              </a:solidFill>
              <a:prstDash val="solid"/>
            </a:ln>
          </c:spPr>
          <c:marker>
            <c:symbol val="none"/>
          </c:marker>
          <c:xVal>
            <c:numRef>
              <c:f>'VM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'VM 1'!$M$6:$M$55</c:f>
              <c:numCache>
                <c:formatCode>0.000</c:formatCode>
                <c:ptCount val="50"/>
                <c:pt idx="0">
                  <c:v>29.459784881386774</c:v>
                </c:pt>
                <c:pt idx="1">
                  <c:v>29.459784881386774</c:v>
                </c:pt>
                <c:pt idx="2">
                  <c:v>29.459784881386774</c:v>
                </c:pt>
                <c:pt idx="3">
                  <c:v>29.459784881386774</c:v>
                </c:pt>
                <c:pt idx="4">
                  <c:v>29.459784881386774</c:v>
                </c:pt>
                <c:pt idx="5">
                  <c:v>29.459784881386774</c:v>
                </c:pt>
                <c:pt idx="6">
                  <c:v>29.459784881386774</c:v>
                </c:pt>
                <c:pt idx="7">
                  <c:v>29.459784881386774</c:v>
                </c:pt>
                <c:pt idx="8">
                  <c:v>29.459784881386774</c:v>
                </c:pt>
                <c:pt idx="9">
                  <c:v>29.459784881386774</c:v>
                </c:pt>
                <c:pt idx="10">
                  <c:v>29.459784881386774</c:v>
                </c:pt>
                <c:pt idx="11">
                  <c:v>29.459784881386774</c:v>
                </c:pt>
                <c:pt idx="12">
                  <c:v>29.459784881386774</c:v>
                </c:pt>
                <c:pt idx="13">
                  <c:v>29.459784881386774</c:v>
                </c:pt>
                <c:pt idx="14">
                  <c:v>29.459784881386774</c:v>
                </c:pt>
                <c:pt idx="15">
                  <c:v>29.459784881386774</c:v>
                </c:pt>
                <c:pt idx="16">
                  <c:v>29.459784881386774</c:v>
                </c:pt>
                <c:pt idx="17">
                  <c:v>29.459784881386774</c:v>
                </c:pt>
                <c:pt idx="18">
                  <c:v>29.459784881386774</c:v>
                </c:pt>
                <c:pt idx="19">
                  <c:v>29.459784881386774</c:v>
                </c:pt>
                <c:pt idx="20">
                  <c:v>29.459784881386774</c:v>
                </c:pt>
                <c:pt idx="21">
                  <c:v>29.459784881386774</c:v>
                </c:pt>
                <c:pt idx="22">
                  <c:v>29.459784881386774</c:v>
                </c:pt>
                <c:pt idx="23">
                  <c:v>29.459784881386774</c:v>
                </c:pt>
                <c:pt idx="24">
                  <c:v>29.459784881386774</c:v>
                </c:pt>
                <c:pt idx="25">
                  <c:v>29.459784881386774</c:v>
                </c:pt>
                <c:pt idx="26">
                  <c:v>29.459784881386774</c:v>
                </c:pt>
                <c:pt idx="27">
                  <c:v>29.459784881386774</c:v>
                </c:pt>
                <c:pt idx="28">
                  <c:v>29.459784881386774</c:v>
                </c:pt>
                <c:pt idx="29">
                  <c:v>29.459784881386774</c:v>
                </c:pt>
                <c:pt idx="30">
                  <c:v>29.459784881386774</c:v>
                </c:pt>
                <c:pt idx="31">
                  <c:v>29.459784881386774</c:v>
                </c:pt>
                <c:pt idx="32">
                  <c:v>29.459784881386774</c:v>
                </c:pt>
                <c:pt idx="33">
                  <c:v>29.459784881386774</c:v>
                </c:pt>
                <c:pt idx="34">
                  <c:v>29.459784881386774</c:v>
                </c:pt>
                <c:pt idx="35">
                  <c:v>29.459784881386774</c:v>
                </c:pt>
                <c:pt idx="36">
                  <c:v>29.459784881386774</c:v>
                </c:pt>
                <c:pt idx="37">
                  <c:v>29.459784881386774</c:v>
                </c:pt>
                <c:pt idx="38">
                  <c:v>29.459784881386774</c:v>
                </c:pt>
                <c:pt idx="39">
                  <c:v>29.459784881386774</c:v>
                </c:pt>
                <c:pt idx="40">
                  <c:v>29.459784881386774</c:v>
                </c:pt>
                <c:pt idx="41">
                  <c:v>29.459784881386774</c:v>
                </c:pt>
                <c:pt idx="42">
                  <c:v>29.459784881386774</c:v>
                </c:pt>
                <c:pt idx="43">
                  <c:v>29.459784881386774</c:v>
                </c:pt>
                <c:pt idx="44">
                  <c:v>29.459784881386774</c:v>
                </c:pt>
                <c:pt idx="45">
                  <c:v>29.459784881386774</c:v>
                </c:pt>
                <c:pt idx="46">
                  <c:v>29.459784881386774</c:v>
                </c:pt>
                <c:pt idx="47">
                  <c:v>29.459784881386774</c:v>
                </c:pt>
                <c:pt idx="48">
                  <c:v>29.459784881386774</c:v>
                </c:pt>
                <c:pt idx="49">
                  <c:v>29.459784881386774</c:v>
                </c:pt>
              </c:numCache>
            </c:numRef>
          </c:yVal>
          <c:smooth val="0"/>
          <c:extLst>
            <c:ext xmlns:c16="http://schemas.microsoft.com/office/drawing/2014/chart" uri="{C3380CC4-5D6E-409C-BE32-E72D297353CC}">
              <c16:uniqueId val="{00000005-405C-4C6D-9D6D-D1EFA5DCB960}"/>
            </c:ext>
          </c:extLst>
        </c:ser>
        <c:dLbls>
          <c:showLegendKey val="0"/>
          <c:showVal val="0"/>
          <c:showCatName val="0"/>
          <c:showSerName val="0"/>
          <c:showPercent val="0"/>
          <c:showBubbleSize val="0"/>
        </c:dLbls>
        <c:axId val="565996216"/>
        <c:axId val="565997784"/>
      </c:scatterChart>
      <c:valAx>
        <c:axId val="565996216"/>
        <c:scaling>
          <c:orientation val="minMax"/>
          <c:max val="50"/>
        </c:scaling>
        <c:delete val="0"/>
        <c:axPos val="b"/>
        <c:numFmt formatCode="0" sourceLinked="1"/>
        <c:majorTickMark val="out"/>
        <c:minorTickMark val="none"/>
        <c:tickLblPos val="nextTo"/>
        <c:crossAx val="565997784"/>
        <c:crosses val="autoZero"/>
        <c:crossBetween val="midCat"/>
      </c:valAx>
      <c:valAx>
        <c:axId val="565997784"/>
        <c:scaling>
          <c:orientation val="minMax"/>
        </c:scaling>
        <c:delete val="0"/>
        <c:axPos val="l"/>
        <c:majorGridlines/>
        <c:numFmt formatCode="0.00" sourceLinked="1"/>
        <c:majorTickMark val="out"/>
        <c:minorTickMark val="none"/>
        <c:tickLblPos val="nextTo"/>
        <c:crossAx val="565996216"/>
        <c:crosses val="autoZero"/>
        <c:crossBetween val="midCat"/>
      </c:valAx>
    </c:plotArea>
    <c:plotVisOnly val="1"/>
    <c:dispBlanksAs val="gap"/>
    <c:showDLblsOverMax val="0"/>
  </c:chart>
  <c:spPr>
    <a:ln w="22225" cmpd="sng">
      <a:solidFill>
        <a:schemeClr val="tx1"/>
      </a:solidFill>
    </a:ln>
  </c:spPr>
  <c:printSettings>
    <c:headerFooter/>
    <c:pageMargins b="0.75000000000000255" l="0.70000000000000062" r="0.70000000000000062" t="0.7500000000000025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464536123596121E-2"/>
          <c:y val="3.5351304244051911E-2"/>
          <c:w val="0.91273351612370024"/>
          <c:h val="0.88488224171223928"/>
        </c:manualLayout>
      </c:layout>
      <c:scatterChart>
        <c:scatterStyle val="lineMarker"/>
        <c:varyColors val="0"/>
        <c:ser>
          <c:idx val="0"/>
          <c:order val="0"/>
          <c:tx>
            <c:strRef>
              <c:f>'VM 1'!$N$5</c:f>
              <c:strCache>
                <c:ptCount val="1"/>
                <c:pt idx="0">
                  <c:v>Range Limit</c:v>
                </c:pt>
              </c:strCache>
            </c:strRef>
          </c:tx>
          <c:spPr>
            <a:ln w="28575">
              <a:solidFill>
                <a:srgbClr val="FF0000"/>
              </a:solidFill>
            </a:ln>
          </c:spPr>
          <c:marker>
            <c:symbol val="none"/>
          </c:marker>
          <c:xVal>
            <c:numRef>
              <c:f>'VM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'VM 1'!$N$6:$N$55</c:f>
              <c:numCache>
                <c:formatCode>0.000</c:formatCode>
                <c:ptCount val="50"/>
                <c:pt idx="0">
                  <c:v>0.86091428571428585</c:v>
                </c:pt>
                <c:pt idx="1">
                  <c:v>0.86091428571428585</c:v>
                </c:pt>
                <c:pt idx="2">
                  <c:v>0.86091428571428585</c:v>
                </c:pt>
                <c:pt idx="3">
                  <c:v>0.86091428571428585</c:v>
                </c:pt>
                <c:pt idx="4">
                  <c:v>0.86091428571428585</c:v>
                </c:pt>
                <c:pt idx="5">
                  <c:v>0.86091428571428585</c:v>
                </c:pt>
                <c:pt idx="6">
                  <c:v>0.86091428571428585</c:v>
                </c:pt>
                <c:pt idx="7">
                  <c:v>0.86091428571428585</c:v>
                </c:pt>
                <c:pt idx="8">
                  <c:v>0.86091428571428585</c:v>
                </c:pt>
                <c:pt idx="9">
                  <c:v>0.86091428571428585</c:v>
                </c:pt>
                <c:pt idx="10">
                  <c:v>0.86091428571428585</c:v>
                </c:pt>
                <c:pt idx="11">
                  <c:v>0.86091428571428585</c:v>
                </c:pt>
                <c:pt idx="12">
                  <c:v>0.86091428571428585</c:v>
                </c:pt>
                <c:pt idx="13">
                  <c:v>0.86091428571428585</c:v>
                </c:pt>
                <c:pt idx="14">
                  <c:v>0.86091428571428585</c:v>
                </c:pt>
                <c:pt idx="15">
                  <c:v>0.86091428571428585</c:v>
                </c:pt>
                <c:pt idx="16">
                  <c:v>0.86091428571428585</c:v>
                </c:pt>
                <c:pt idx="17">
                  <c:v>0.86091428571428585</c:v>
                </c:pt>
                <c:pt idx="18">
                  <c:v>0.86091428571428585</c:v>
                </c:pt>
                <c:pt idx="19">
                  <c:v>0.86091428571428585</c:v>
                </c:pt>
                <c:pt idx="20">
                  <c:v>0.86091428571428585</c:v>
                </c:pt>
                <c:pt idx="21">
                  <c:v>0.86091428571428585</c:v>
                </c:pt>
                <c:pt idx="22">
                  <c:v>0.86091428571428585</c:v>
                </c:pt>
                <c:pt idx="23">
                  <c:v>0.86091428571428585</c:v>
                </c:pt>
                <c:pt idx="24">
                  <c:v>0.86091428571428585</c:v>
                </c:pt>
                <c:pt idx="25">
                  <c:v>0.86091428571428585</c:v>
                </c:pt>
                <c:pt idx="26">
                  <c:v>0.86091428571428585</c:v>
                </c:pt>
                <c:pt idx="27">
                  <c:v>0.86091428571428585</c:v>
                </c:pt>
                <c:pt idx="28">
                  <c:v>0.86091428571428585</c:v>
                </c:pt>
                <c:pt idx="29">
                  <c:v>0.86091428571428585</c:v>
                </c:pt>
                <c:pt idx="30">
                  <c:v>0.86091428571428585</c:v>
                </c:pt>
                <c:pt idx="31">
                  <c:v>0.86091428571428585</c:v>
                </c:pt>
                <c:pt idx="32">
                  <c:v>0.86091428571428585</c:v>
                </c:pt>
                <c:pt idx="33">
                  <c:v>0.86091428571428585</c:v>
                </c:pt>
                <c:pt idx="34">
                  <c:v>0.86091428571428585</c:v>
                </c:pt>
                <c:pt idx="35">
                  <c:v>0.86091428571428585</c:v>
                </c:pt>
                <c:pt idx="36">
                  <c:v>0.86091428571428585</c:v>
                </c:pt>
                <c:pt idx="37">
                  <c:v>0.86091428571428585</c:v>
                </c:pt>
                <c:pt idx="38">
                  <c:v>0.86091428571428585</c:v>
                </c:pt>
                <c:pt idx="39">
                  <c:v>0.86091428571428585</c:v>
                </c:pt>
                <c:pt idx="40">
                  <c:v>0.86091428571428585</c:v>
                </c:pt>
                <c:pt idx="41">
                  <c:v>0.86091428571428585</c:v>
                </c:pt>
                <c:pt idx="42">
                  <c:v>0.86091428571428585</c:v>
                </c:pt>
                <c:pt idx="43">
                  <c:v>0.86091428571428585</c:v>
                </c:pt>
                <c:pt idx="44">
                  <c:v>0.86091428571428585</c:v>
                </c:pt>
                <c:pt idx="45">
                  <c:v>0.86091428571428585</c:v>
                </c:pt>
                <c:pt idx="46">
                  <c:v>0.86091428571428585</c:v>
                </c:pt>
                <c:pt idx="47">
                  <c:v>0.86091428571428585</c:v>
                </c:pt>
                <c:pt idx="48">
                  <c:v>0.86091428571428585</c:v>
                </c:pt>
                <c:pt idx="49">
                  <c:v>0.86091428571428585</c:v>
                </c:pt>
              </c:numCache>
            </c:numRef>
          </c:yVal>
          <c:smooth val="0"/>
          <c:extLst>
            <c:ext xmlns:c16="http://schemas.microsoft.com/office/drawing/2014/chart" uri="{C3380CC4-5D6E-409C-BE32-E72D297353CC}">
              <c16:uniqueId val="{00000000-3AD2-45C1-91B2-FD6E234B9728}"/>
            </c:ext>
          </c:extLst>
        </c:ser>
        <c:ser>
          <c:idx val="1"/>
          <c:order val="1"/>
          <c:tx>
            <c:strRef>
              <c:f>'VM 1'!$H$5</c:f>
              <c:strCache>
                <c:ptCount val="1"/>
                <c:pt idx="0">
                  <c:v>Range (actual)</c:v>
                </c:pt>
              </c:strCache>
            </c:strRef>
          </c:tx>
          <c:spPr>
            <a:ln w="22225">
              <a:solidFill>
                <a:schemeClr val="tx2"/>
              </a:solidFill>
            </a:ln>
          </c:spPr>
          <c:marker>
            <c:symbol val="star"/>
            <c:size val="9"/>
            <c:spPr>
              <a:noFill/>
            </c:spPr>
          </c:marker>
          <c:xVal>
            <c:numRef>
              <c:f>'VM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'VM 1'!$H$6:$H$55</c:f>
              <c:numCache>
                <c:formatCode>0.00</c:formatCode>
                <c:ptCount val="50"/>
                <c:pt idx="0">
                  <c:v>0.19999999999999929</c:v>
                </c:pt>
                <c:pt idx="1">
                  <c:v>0.10000000000000142</c:v>
                </c:pt>
                <c:pt idx="2">
                  <c:v>0.10000000000000142</c:v>
                </c:pt>
                <c:pt idx="3">
                  <c:v>0.10000000000000142</c:v>
                </c:pt>
                <c:pt idx="4">
                  <c:v>0.10000000000000142</c:v>
                </c:pt>
                <c:pt idx="5">
                  <c:v>0.10000000000000142</c:v>
                </c:pt>
                <c:pt idx="6">
                  <c:v>0.30000000000000071</c:v>
                </c:pt>
                <c:pt idx="7">
                  <c:v>0.10000000000000142</c:v>
                </c:pt>
                <c:pt idx="8">
                  <c:v>0.10000000000000142</c:v>
                </c:pt>
                <c:pt idx="9">
                  <c:v>0.60000000000000142</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numCache>
            </c:numRef>
          </c:yVal>
          <c:smooth val="0"/>
          <c:extLst>
            <c:ext xmlns:c16="http://schemas.microsoft.com/office/drawing/2014/chart" uri="{C3380CC4-5D6E-409C-BE32-E72D297353CC}">
              <c16:uniqueId val="{00000001-3AD2-45C1-91B2-FD6E234B9728}"/>
            </c:ext>
          </c:extLst>
        </c:ser>
        <c:dLbls>
          <c:showLegendKey val="0"/>
          <c:showVal val="0"/>
          <c:showCatName val="0"/>
          <c:showSerName val="0"/>
          <c:showPercent val="0"/>
          <c:showBubbleSize val="0"/>
        </c:dLbls>
        <c:axId val="565995824"/>
        <c:axId val="565995432"/>
      </c:scatterChart>
      <c:valAx>
        <c:axId val="565995824"/>
        <c:scaling>
          <c:orientation val="minMax"/>
          <c:max val="50"/>
        </c:scaling>
        <c:delete val="0"/>
        <c:axPos val="b"/>
        <c:numFmt formatCode="0" sourceLinked="1"/>
        <c:majorTickMark val="out"/>
        <c:minorTickMark val="none"/>
        <c:tickLblPos val="nextTo"/>
        <c:crossAx val="565995432"/>
        <c:crosses val="autoZero"/>
        <c:crossBetween val="midCat"/>
      </c:valAx>
      <c:valAx>
        <c:axId val="565995432"/>
        <c:scaling>
          <c:orientation val="minMax"/>
        </c:scaling>
        <c:delete val="0"/>
        <c:axPos val="l"/>
        <c:majorGridlines/>
        <c:numFmt formatCode="0.000" sourceLinked="1"/>
        <c:majorTickMark val="out"/>
        <c:minorTickMark val="none"/>
        <c:tickLblPos val="nextTo"/>
        <c:crossAx val="565995824"/>
        <c:crosses val="autoZero"/>
        <c:crossBetween val="midCat"/>
      </c:valAx>
    </c:plotArea>
    <c:plotVisOnly val="1"/>
    <c:dispBlanksAs val="gap"/>
    <c:showDLblsOverMax val="0"/>
  </c:chart>
  <c:spPr>
    <a:ln w="22225">
      <a:solidFill>
        <a:schemeClr val="tx1"/>
      </a:solidFill>
    </a:ln>
  </c:spPr>
  <c:printSettings>
    <c:headerFooter/>
    <c:pageMargins b="0.75000000000000167" l="0.70000000000000062" r="0.70000000000000062" t="0.75000000000000167"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892709180583196"/>
          <c:y val="0.14457717383076141"/>
          <c:w val="0.81564283305597463"/>
          <c:h val="0.7222831183970998"/>
        </c:manualLayout>
      </c:layout>
      <c:scatterChart>
        <c:scatterStyle val="lineMarker"/>
        <c:varyColors val="0"/>
        <c:ser>
          <c:idx val="0"/>
          <c:order val="0"/>
          <c:tx>
            <c:strRef>
              <c:f>'ISO Ash 1'!$G$5</c:f>
              <c:strCache>
                <c:ptCount val="1"/>
                <c:pt idx="0">
                  <c:v>Average Result</c:v>
                </c:pt>
              </c:strCache>
            </c:strRef>
          </c:tx>
          <c:spPr>
            <a:ln w="6350">
              <a:solidFill>
                <a:sysClr val="windowText" lastClr="000000"/>
              </a:solidFill>
            </a:ln>
          </c:spPr>
          <c:marker>
            <c:symbol val="star"/>
            <c:size val="7"/>
            <c:spPr>
              <a:noFill/>
              <a:ln w="15875">
                <a:solidFill>
                  <a:schemeClr val="tx1"/>
                </a:solidFill>
              </a:ln>
            </c:spPr>
          </c:marker>
          <c:xVal>
            <c:numRef>
              <c:f>'ISO Ash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'ISO Ash 1'!$G$6:$G$55</c:f>
              <c:numCache>
                <c:formatCode>0.00</c:formatCode>
                <c:ptCount val="50"/>
                <c:pt idx="0">
                  <c:v>16.850000000000001</c:v>
                </c:pt>
                <c:pt idx="1">
                  <c:v>17.2</c:v>
                </c:pt>
                <c:pt idx="2">
                  <c:v>16.950000000000003</c:v>
                </c:pt>
                <c:pt idx="3">
                  <c:v>16.96</c:v>
                </c:pt>
                <c:pt idx="4">
                  <c:v>17.024999999999999</c:v>
                </c:pt>
                <c:pt idx="5">
                  <c:v>17.100000000000001</c:v>
                </c:pt>
                <c:pt idx="6">
                  <c:v>16.994999999999997</c:v>
                </c:pt>
                <c:pt idx="7">
                  <c:v>16.950000000000003</c:v>
                </c:pt>
                <c:pt idx="8">
                  <c:v>16.96</c:v>
                </c:pt>
                <c:pt idx="9">
                  <c:v>17.024999999999999</c:v>
                </c:pt>
                <c:pt idx="10">
                  <c:v>17.100000000000001</c:v>
                </c:pt>
                <c:pt idx="11">
                  <c:v>16.994999999999997</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numCache>
            </c:numRef>
          </c:yVal>
          <c:smooth val="0"/>
          <c:extLst>
            <c:ext xmlns:c16="http://schemas.microsoft.com/office/drawing/2014/chart" uri="{C3380CC4-5D6E-409C-BE32-E72D297353CC}">
              <c16:uniqueId val="{00000000-BADA-48B6-9F77-52A161EF8B80}"/>
            </c:ext>
          </c:extLst>
        </c:ser>
        <c:ser>
          <c:idx val="1"/>
          <c:order val="1"/>
          <c:tx>
            <c:strRef>
              <c:f>'ISO Ash 1'!$I$5</c:f>
              <c:strCache>
                <c:ptCount val="1"/>
                <c:pt idx="0">
                  <c:v>-3s</c:v>
                </c:pt>
              </c:strCache>
            </c:strRef>
          </c:tx>
          <c:spPr>
            <a:ln w="28575">
              <a:solidFill>
                <a:srgbClr val="FF0000"/>
              </a:solidFill>
            </a:ln>
          </c:spPr>
          <c:marker>
            <c:symbol val="none"/>
          </c:marker>
          <c:xVal>
            <c:numRef>
              <c:f>'ISO Ash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'ISO Ash 1'!$I$6:$I$55</c:f>
              <c:numCache>
                <c:formatCode>0.000</c:formatCode>
                <c:ptCount val="50"/>
                <c:pt idx="0">
                  <c:v>12.775621055989912</c:v>
                </c:pt>
                <c:pt idx="1">
                  <c:v>12.775621055989912</c:v>
                </c:pt>
                <c:pt idx="2">
                  <c:v>12.775621055989912</c:v>
                </c:pt>
                <c:pt idx="3">
                  <c:v>12.775621055989912</c:v>
                </c:pt>
                <c:pt idx="4">
                  <c:v>12.775621055989912</c:v>
                </c:pt>
                <c:pt idx="5">
                  <c:v>12.775621055989912</c:v>
                </c:pt>
                <c:pt idx="6">
                  <c:v>12.775621055989912</c:v>
                </c:pt>
                <c:pt idx="7">
                  <c:v>12.775621055989912</c:v>
                </c:pt>
                <c:pt idx="8">
                  <c:v>12.775621055989912</c:v>
                </c:pt>
                <c:pt idx="9">
                  <c:v>12.775621055989912</c:v>
                </c:pt>
                <c:pt idx="10">
                  <c:v>12.775621055989912</c:v>
                </c:pt>
                <c:pt idx="11">
                  <c:v>12.775621055989912</c:v>
                </c:pt>
                <c:pt idx="12">
                  <c:v>12.775621055989912</c:v>
                </c:pt>
                <c:pt idx="13">
                  <c:v>12.775621055989912</c:v>
                </c:pt>
                <c:pt idx="14">
                  <c:v>12.775621055989912</c:v>
                </c:pt>
                <c:pt idx="15">
                  <c:v>12.775621055989912</c:v>
                </c:pt>
                <c:pt idx="16">
                  <c:v>12.775621055989912</c:v>
                </c:pt>
                <c:pt idx="17">
                  <c:v>12.775621055989912</c:v>
                </c:pt>
                <c:pt idx="18">
                  <c:v>12.775621055989912</c:v>
                </c:pt>
                <c:pt idx="19">
                  <c:v>12.775621055989912</c:v>
                </c:pt>
                <c:pt idx="20">
                  <c:v>12.775621055989912</c:v>
                </c:pt>
                <c:pt idx="21">
                  <c:v>12.775621055989912</c:v>
                </c:pt>
                <c:pt idx="22">
                  <c:v>12.775621055989912</c:v>
                </c:pt>
                <c:pt idx="23">
                  <c:v>12.775621055989912</c:v>
                </c:pt>
                <c:pt idx="24">
                  <c:v>12.775621055989912</c:v>
                </c:pt>
                <c:pt idx="25">
                  <c:v>12.775621055989912</c:v>
                </c:pt>
                <c:pt idx="26">
                  <c:v>12.775621055989912</c:v>
                </c:pt>
                <c:pt idx="27">
                  <c:v>12.775621055989912</c:v>
                </c:pt>
                <c:pt idx="28">
                  <c:v>12.775621055989912</c:v>
                </c:pt>
                <c:pt idx="29">
                  <c:v>12.775621055989912</c:v>
                </c:pt>
                <c:pt idx="30">
                  <c:v>12.775621055989912</c:v>
                </c:pt>
                <c:pt idx="31">
                  <c:v>12.775621055989912</c:v>
                </c:pt>
                <c:pt idx="32">
                  <c:v>12.775621055989912</c:v>
                </c:pt>
                <c:pt idx="33">
                  <c:v>12.775621055989912</c:v>
                </c:pt>
                <c:pt idx="34">
                  <c:v>12.775621055989912</c:v>
                </c:pt>
                <c:pt idx="35">
                  <c:v>12.775621055989912</c:v>
                </c:pt>
                <c:pt idx="36">
                  <c:v>12.775621055989912</c:v>
                </c:pt>
                <c:pt idx="37">
                  <c:v>12.775621055989912</c:v>
                </c:pt>
                <c:pt idx="38">
                  <c:v>12.775621055989912</c:v>
                </c:pt>
                <c:pt idx="39">
                  <c:v>12.775621055989912</c:v>
                </c:pt>
                <c:pt idx="40">
                  <c:v>12.775621055989912</c:v>
                </c:pt>
                <c:pt idx="41">
                  <c:v>12.775621055989912</c:v>
                </c:pt>
                <c:pt idx="42">
                  <c:v>12.775621055989912</c:v>
                </c:pt>
                <c:pt idx="43">
                  <c:v>12.775621055989912</c:v>
                </c:pt>
                <c:pt idx="44">
                  <c:v>12.775621055989912</c:v>
                </c:pt>
                <c:pt idx="45">
                  <c:v>12.775621055989912</c:v>
                </c:pt>
                <c:pt idx="46">
                  <c:v>12.775621055989912</c:v>
                </c:pt>
                <c:pt idx="47">
                  <c:v>12.775621055989912</c:v>
                </c:pt>
                <c:pt idx="48">
                  <c:v>12.775621055989912</c:v>
                </c:pt>
                <c:pt idx="49">
                  <c:v>12.775621055989912</c:v>
                </c:pt>
              </c:numCache>
            </c:numRef>
          </c:yVal>
          <c:smooth val="0"/>
          <c:extLst>
            <c:ext xmlns:c16="http://schemas.microsoft.com/office/drawing/2014/chart" uri="{C3380CC4-5D6E-409C-BE32-E72D297353CC}">
              <c16:uniqueId val="{00000001-BADA-48B6-9F77-52A161EF8B80}"/>
            </c:ext>
          </c:extLst>
        </c:ser>
        <c:ser>
          <c:idx val="2"/>
          <c:order val="2"/>
          <c:tx>
            <c:strRef>
              <c:f>'ISO Ash 1'!$J$5</c:f>
              <c:strCache>
                <c:ptCount val="1"/>
                <c:pt idx="0">
                  <c:v>-2s</c:v>
                </c:pt>
              </c:strCache>
            </c:strRef>
          </c:tx>
          <c:spPr>
            <a:ln w="28575">
              <a:solidFill>
                <a:schemeClr val="tx2">
                  <a:lumMod val="60000"/>
                  <a:lumOff val="40000"/>
                </a:schemeClr>
              </a:solidFill>
              <a:prstDash val="dashDot"/>
            </a:ln>
          </c:spPr>
          <c:marker>
            <c:symbol val="none"/>
          </c:marker>
          <c:xVal>
            <c:numRef>
              <c:f>'ISO Ash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'ISO Ash 1'!$J$6:$J$55</c:f>
              <c:numCache>
                <c:formatCode>0.000</c:formatCode>
                <c:ptCount val="50"/>
                <c:pt idx="0">
                  <c:v>13.138875575788147</c:v>
                </c:pt>
                <c:pt idx="1">
                  <c:v>13.138875575788147</c:v>
                </c:pt>
                <c:pt idx="2">
                  <c:v>13.138875575788147</c:v>
                </c:pt>
                <c:pt idx="3">
                  <c:v>13.138875575788147</c:v>
                </c:pt>
                <c:pt idx="4">
                  <c:v>13.138875575788147</c:v>
                </c:pt>
                <c:pt idx="5">
                  <c:v>13.138875575788147</c:v>
                </c:pt>
                <c:pt idx="6">
                  <c:v>13.138875575788147</c:v>
                </c:pt>
                <c:pt idx="7">
                  <c:v>13.138875575788147</c:v>
                </c:pt>
                <c:pt idx="8">
                  <c:v>13.138875575788147</c:v>
                </c:pt>
                <c:pt idx="9">
                  <c:v>13.138875575788147</c:v>
                </c:pt>
                <c:pt idx="10">
                  <c:v>13.138875575788147</c:v>
                </c:pt>
                <c:pt idx="11">
                  <c:v>13.138875575788147</c:v>
                </c:pt>
                <c:pt idx="12">
                  <c:v>13.138875575788147</c:v>
                </c:pt>
                <c:pt idx="13">
                  <c:v>13.138875575788147</c:v>
                </c:pt>
                <c:pt idx="14">
                  <c:v>13.138875575788147</c:v>
                </c:pt>
                <c:pt idx="15">
                  <c:v>13.138875575788147</c:v>
                </c:pt>
                <c:pt idx="16">
                  <c:v>13.138875575788147</c:v>
                </c:pt>
                <c:pt idx="17">
                  <c:v>13.138875575788147</c:v>
                </c:pt>
                <c:pt idx="18">
                  <c:v>13.138875575788147</c:v>
                </c:pt>
                <c:pt idx="19">
                  <c:v>13.138875575788147</c:v>
                </c:pt>
                <c:pt idx="20">
                  <c:v>13.138875575788147</c:v>
                </c:pt>
                <c:pt idx="21">
                  <c:v>13.138875575788147</c:v>
                </c:pt>
                <c:pt idx="22">
                  <c:v>13.138875575788147</c:v>
                </c:pt>
                <c:pt idx="23">
                  <c:v>13.138875575788147</c:v>
                </c:pt>
                <c:pt idx="24">
                  <c:v>13.138875575788147</c:v>
                </c:pt>
                <c:pt idx="25">
                  <c:v>13.138875575788147</c:v>
                </c:pt>
                <c:pt idx="26">
                  <c:v>13.138875575788147</c:v>
                </c:pt>
                <c:pt idx="27">
                  <c:v>13.138875575788147</c:v>
                </c:pt>
                <c:pt idx="28">
                  <c:v>13.138875575788147</c:v>
                </c:pt>
                <c:pt idx="29">
                  <c:v>13.138875575788147</c:v>
                </c:pt>
                <c:pt idx="30">
                  <c:v>13.138875575788147</c:v>
                </c:pt>
                <c:pt idx="31">
                  <c:v>13.138875575788147</c:v>
                </c:pt>
                <c:pt idx="32">
                  <c:v>13.138875575788147</c:v>
                </c:pt>
                <c:pt idx="33">
                  <c:v>13.138875575788147</c:v>
                </c:pt>
                <c:pt idx="34">
                  <c:v>13.138875575788147</c:v>
                </c:pt>
                <c:pt idx="35">
                  <c:v>13.138875575788147</c:v>
                </c:pt>
                <c:pt idx="36">
                  <c:v>13.138875575788147</c:v>
                </c:pt>
                <c:pt idx="37">
                  <c:v>13.138875575788147</c:v>
                </c:pt>
                <c:pt idx="38">
                  <c:v>13.138875575788147</c:v>
                </c:pt>
                <c:pt idx="39">
                  <c:v>13.138875575788147</c:v>
                </c:pt>
                <c:pt idx="40">
                  <c:v>13.138875575788147</c:v>
                </c:pt>
                <c:pt idx="41">
                  <c:v>13.138875575788147</c:v>
                </c:pt>
                <c:pt idx="42">
                  <c:v>13.138875575788147</c:v>
                </c:pt>
                <c:pt idx="43">
                  <c:v>13.138875575788147</c:v>
                </c:pt>
                <c:pt idx="44">
                  <c:v>13.138875575788147</c:v>
                </c:pt>
                <c:pt idx="45">
                  <c:v>13.138875575788147</c:v>
                </c:pt>
                <c:pt idx="46">
                  <c:v>13.138875575788147</c:v>
                </c:pt>
                <c:pt idx="47">
                  <c:v>13.138875575788147</c:v>
                </c:pt>
                <c:pt idx="48">
                  <c:v>13.138875575788147</c:v>
                </c:pt>
                <c:pt idx="49">
                  <c:v>13.138875575788147</c:v>
                </c:pt>
              </c:numCache>
            </c:numRef>
          </c:yVal>
          <c:smooth val="0"/>
          <c:extLst>
            <c:ext xmlns:c16="http://schemas.microsoft.com/office/drawing/2014/chart" uri="{C3380CC4-5D6E-409C-BE32-E72D297353CC}">
              <c16:uniqueId val="{00000002-BADA-48B6-9F77-52A161EF8B80}"/>
            </c:ext>
          </c:extLst>
        </c:ser>
        <c:ser>
          <c:idx val="3"/>
          <c:order val="3"/>
          <c:tx>
            <c:strRef>
              <c:f>'ISO Ash 1'!$K$5</c:f>
              <c:strCache>
                <c:ptCount val="1"/>
                <c:pt idx="0">
                  <c:v></c:v>
                </c:pt>
              </c:strCache>
            </c:strRef>
          </c:tx>
          <c:spPr>
            <a:ln w="28575">
              <a:solidFill>
                <a:srgbClr val="00B050"/>
              </a:solidFill>
              <a:prstDash val="lgDashDotDot"/>
            </a:ln>
          </c:spPr>
          <c:marker>
            <c:symbol val="none"/>
          </c:marker>
          <c:xVal>
            <c:numRef>
              <c:f>'ISO Ash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'ISO Ash 1'!$K$6:$K$55</c:f>
              <c:numCache>
                <c:formatCode>0.000</c:formatCode>
                <c:ptCount val="50"/>
                <c:pt idx="0">
                  <c:v>13.865384615384617</c:v>
                </c:pt>
                <c:pt idx="1">
                  <c:v>13.865384615384617</c:v>
                </c:pt>
                <c:pt idx="2">
                  <c:v>13.865384615384617</c:v>
                </c:pt>
                <c:pt idx="3">
                  <c:v>13.865384615384617</c:v>
                </c:pt>
                <c:pt idx="4">
                  <c:v>13.865384615384617</c:v>
                </c:pt>
                <c:pt idx="5">
                  <c:v>13.865384615384617</c:v>
                </c:pt>
                <c:pt idx="6">
                  <c:v>13.865384615384617</c:v>
                </c:pt>
                <c:pt idx="7">
                  <c:v>13.865384615384617</c:v>
                </c:pt>
                <c:pt idx="8">
                  <c:v>13.865384615384617</c:v>
                </c:pt>
                <c:pt idx="9">
                  <c:v>13.865384615384617</c:v>
                </c:pt>
                <c:pt idx="10">
                  <c:v>13.865384615384617</c:v>
                </c:pt>
                <c:pt idx="11">
                  <c:v>13.865384615384617</c:v>
                </c:pt>
                <c:pt idx="12">
                  <c:v>13.865384615384617</c:v>
                </c:pt>
                <c:pt idx="13">
                  <c:v>13.865384615384617</c:v>
                </c:pt>
                <c:pt idx="14">
                  <c:v>13.865384615384617</c:v>
                </c:pt>
                <c:pt idx="15">
                  <c:v>13.865384615384617</c:v>
                </c:pt>
                <c:pt idx="16">
                  <c:v>13.865384615384617</c:v>
                </c:pt>
                <c:pt idx="17">
                  <c:v>13.865384615384617</c:v>
                </c:pt>
                <c:pt idx="18">
                  <c:v>13.865384615384617</c:v>
                </c:pt>
                <c:pt idx="19">
                  <c:v>13.865384615384617</c:v>
                </c:pt>
                <c:pt idx="20">
                  <c:v>13.865384615384617</c:v>
                </c:pt>
                <c:pt idx="21">
                  <c:v>13.865384615384617</c:v>
                </c:pt>
                <c:pt idx="22">
                  <c:v>13.865384615384617</c:v>
                </c:pt>
                <c:pt idx="23">
                  <c:v>13.865384615384617</c:v>
                </c:pt>
                <c:pt idx="24">
                  <c:v>13.865384615384617</c:v>
                </c:pt>
                <c:pt idx="25">
                  <c:v>13.865384615384617</c:v>
                </c:pt>
                <c:pt idx="26">
                  <c:v>13.865384615384617</c:v>
                </c:pt>
                <c:pt idx="27">
                  <c:v>13.865384615384617</c:v>
                </c:pt>
                <c:pt idx="28">
                  <c:v>13.865384615384617</c:v>
                </c:pt>
                <c:pt idx="29">
                  <c:v>13.865384615384617</c:v>
                </c:pt>
                <c:pt idx="30">
                  <c:v>13.865384615384617</c:v>
                </c:pt>
                <c:pt idx="31">
                  <c:v>13.865384615384617</c:v>
                </c:pt>
                <c:pt idx="32">
                  <c:v>13.865384615384617</c:v>
                </c:pt>
                <c:pt idx="33">
                  <c:v>13.865384615384617</c:v>
                </c:pt>
                <c:pt idx="34">
                  <c:v>13.865384615384617</c:v>
                </c:pt>
                <c:pt idx="35">
                  <c:v>13.865384615384617</c:v>
                </c:pt>
                <c:pt idx="36">
                  <c:v>13.865384615384617</c:v>
                </c:pt>
                <c:pt idx="37">
                  <c:v>13.865384615384617</c:v>
                </c:pt>
                <c:pt idx="38">
                  <c:v>13.865384615384617</c:v>
                </c:pt>
                <c:pt idx="39">
                  <c:v>13.865384615384617</c:v>
                </c:pt>
                <c:pt idx="40">
                  <c:v>13.865384615384617</c:v>
                </c:pt>
                <c:pt idx="41">
                  <c:v>13.865384615384617</c:v>
                </c:pt>
                <c:pt idx="42">
                  <c:v>13.865384615384617</c:v>
                </c:pt>
                <c:pt idx="43">
                  <c:v>13.865384615384617</c:v>
                </c:pt>
                <c:pt idx="44">
                  <c:v>13.865384615384617</c:v>
                </c:pt>
                <c:pt idx="45">
                  <c:v>13.865384615384617</c:v>
                </c:pt>
                <c:pt idx="46">
                  <c:v>13.865384615384617</c:v>
                </c:pt>
                <c:pt idx="47">
                  <c:v>13.865384615384617</c:v>
                </c:pt>
                <c:pt idx="48">
                  <c:v>13.865384615384617</c:v>
                </c:pt>
                <c:pt idx="49">
                  <c:v>13.865384615384617</c:v>
                </c:pt>
              </c:numCache>
            </c:numRef>
          </c:yVal>
          <c:smooth val="0"/>
          <c:extLst>
            <c:ext xmlns:c16="http://schemas.microsoft.com/office/drawing/2014/chart" uri="{C3380CC4-5D6E-409C-BE32-E72D297353CC}">
              <c16:uniqueId val="{00000003-BADA-48B6-9F77-52A161EF8B80}"/>
            </c:ext>
          </c:extLst>
        </c:ser>
        <c:ser>
          <c:idx val="4"/>
          <c:order val="4"/>
          <c:tx>
            <c:strRef>
              <c:f>'ISO Ash 1'!$L$5</c:f>
              <c:strCache>
                <c:ptCount val="1"/>
                <c:pt idx="0">
                  <c:v>+2s</c:v>
                </c:pt>
              </c:strCache>
            </c:strRef>
          </c:tx>
          <c:spPr>
            <a:ln w="28575">
              <a:solidFill>
                <a:schemeClr val="tx2">
                  <a:lumMod val="60000"/>
                  <a:lumOff val="40000"/>
                </a:schemeClr>
              </a:solidFill>
              <a:prstDash val="dashDot"/>
            </a:ln>
          </c:spPr>
          <c:marker>
            <c:symbol val="none"/>
          </c:marker>
          <c:xVal>
            <c:numRef>
              <c:f>'ISO Ash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'ISO Ash 1'!$L$6:$L$55</c:f>
              <c:numCache>
                <c:formatCode>0.000</c:formatCode>
                <c:ptCount val="50"/>
                <c:pt idx="0">
                  <c:v>14.591893654981087</c:v>
                </c:pt>
                <c:pt idx="1">
                  <c:v>14.591893654981087</c:v>
                </c:pt>
                <c:pt idx="2">
                  <c:v>14.591893654981087</c:v>
                </c:pt>
                <c:pt idx="3">
                  <c:v>14.591893654981087</c:v>
                </c:pt>
                <c:pt idx="4">
                  <c:v>14.591893654981087</c:v>
                </c:pt>
                <c:pt idx="5">
                  <c:v>14.591893654981087</c:v>
                </c:pt>
                <c:pt idx="6">
                  <c:v>14.591893654981087</c:v>
                </c:pt>
                <c:pt idx="7">
                  <c:v>14.591893654981087</c:v>
                </c:pt>
                <c:pt idx="8">
                  <c:v>14.591893654981087</c:v>
                </c:pt>
                <c:pt idx="9">
                  <c:v>14.591893654981087</c:v>
                </c:pt>
                <c:pt idx="10">
                  <c:v>14.591893654981087</c:v>
                </c:pt>
                <c:pt idx="11">
                  <c:v>14.591893654981087</c:v>
                </c:pt>
                <c:pt idx="12">
                  <c:v>14.591893654981087</c:v>
                </c:pt>
                <c:pt idx="13">
                  <c:v>14.591893654981087</c:v>
                </c:pt>
                <c:pt idx="14">
                  <c:v>14.591893654981087</c:v>
                </c:pt>
                <c:pt idx="15">
                  <c:v>14.591893654981087</c:v>
                </c:pt>
                <c:pt idx="16">
                  <c:v>14.591893654981087</c:v>
                </c:pt>
                <c:pt idx="17">
                  <c:v>14.591893654981087</c:v>
                </c:pt>
                <c:pt idx="18">
                  <c:v>14.591893654981087</c:v>
                </c:pt>
                <c:pt idx="19">
                  <c:v>14.591893654981087</c:v>
                </c:pt>
                <c:pt idx="20">
                  <c:v>14.591893654981087</c:v>
                </c:pt>
                <c:pt idx="21">
                  <c:v>14.591893654981087</c:v>
                </c:pt>
                <c:pt idx="22">
                  <c:v>14.591893654981087</c:v>
                </c:pt>
                <c:pt idx="23">
                  <c:v>14.591893654981087</c:v>
                </c:pt>
                <c:pt idx="24">
                  <c:v>14.591893654981087</c:v>
                </c:pt>
                <c:pt idx="25">
                  <c:v>14.591893654981087</c:v>
                </c:pt>
                <c:pt idx="26">
                  <c:v>14.591893654981087</c:v>
                </c:pt>
                <c:pt idx="27">
                  <c:v>14.591893654981087</c:v>
                </c:pt>
                <c:pt idx="28">
                  <c:v>14.591893654981087</c:v>
                </c:pt>
                <c:pt idx="29">
                  <c:v>14.591893654981087</c:v>
                </c:pt>
                <c:pt idx="30">
                  <c:v>14.591893654981087</c:v>
                </c:pt>
                <c:pt idx="31">
                  <c:v>14.591893654981087</c:v>
                </c:pt>
                <c:pt idx="32">
                  <c:v>14.591893654981087</c:v>
                </c:pt>
                <c:pt idx="33">
                  <c:v>14.591893654981087</c:v>
                </c:pt>
                <c:pt idx="34">
                  <c:v>14.591893654981087</c:v>
                </c:pt>
                <c:pt idx="35">
                  <c:v>14.591893654981087</c:v>
                </c:pt>
                <c:pt idx="36">
                  <c:v>14.591893654981087</c:v>
                </c:pt>
                <c:pt idx="37">
                  <c:v>14.591893654981087</c:v>
                </c:pt>
                <c:pt idx="38">
                  <c:v>14.591893654981087</c:v>
                </c:pt>
                <c:pt idx="39">
                  <c:v>14.591893654981087</c:v>
                </c:pt>
                <c:pt idx="40">
                  <c:v>14.591893654981087</c:v>
                </c:pt>
                <c:pt idx="41">
                  <c:v>14.591893654981087</c:v>
                </c:pt>
                <c:pt idx="42">
                  <c:v>14.591893654981087</c:v>
                </c:pt>
                <c:pt idx="43">
                  <c:v>14.591893654981087</c:v>
                </c:pt>
                <c:pt idx="44">
                  <c:v>14.591893654981087</c:v>
                </c:pt>
                <c:pt idx="45">
                  <c:v>14.591893654981087</c:v>
                </c:pt>
                <c:pt idx="46">
                  <c:v>14.591893654981087</c:v>
                </c:pt>
                <c:pt idx="47">
                  <c:v>14.591893654981087</c:v>
                </c:pt>
                <c:pt idx="48">
                  <c:v>14.591893654981087</c:v>
                </c:pt>
                <c:pt idx="49">
                  <c:v>14.591893654981087</c:v>
                </c:pt>
              </c:numCache>
            </c:numRef>
          </c:yVal>
          <c:smooth val="0"/>
          <c:extLst>
            <c:ext xmlns:c16="http://schemas.microsoft.com/office/drawing/2014/chart" uri="{C3380CC4-5D6E-409C-BE32-E72D297353CC}">
              <c16:uniqueId val="{00000004-BADA-48B6-9F77-52A161EF8B80}"/>
            </c:ext>
          </c:extLst>
        </c:ser>
        <c:ser>
          <c:idx val="5"/>
          <c:order val="5"/>
          <c:tx>
            <c:strRef>
              <c:f>'ISO Ash 1'!$M$5</c:f>
              <c:strCache>
                <c:ptCount val="1"/>
                <c:pt idx="0">
                  <c:v>+3s</c:v>
                </c:pt>
              </c:strCache>
            </c:strRef>
          </c:tx>
          <c:spPr>
            <a:ln w="28575">
              <a:solidFill>
                <a:srgbClr val="FF0000"/>
              </a:solidFill>
              <a:prstDash val="solid"/>
            </a:ln>
          </c:spPr>
          <c:marker>
            <c:symbol val="none"/>
          </c:marker>
          <c:xVal>
            <c:numRef>
              <c:f>'ISO Ash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'ISO Ash 1'!$M$6:$M$55</c:f>
              <c:numCache>
                <c:formatCode>0.000</c:formatCode>
                <c:ptCount val="50"/>
                <c:pt idx="0">
                  <c:v>14.955148174779321</c:v>
                </c:pt>
                <c:pt idx="1">
                  <c:v>14.955148174779321</c:v>
                </c:pt>
                <c:pt idx="2">
                  <c:v>14.955148174779321</c:v>
                </c:pt>
                <c:pt idx="3">
                  <c:v>14.955148174779321</c:v>
                </c:pt>
                <c:pt idx="4">
                  <c:v>14.955148174779321</c:v>
                </c:pt>
                <c:pt idx="5">
                  <c:v>14.955148174779321</c:v>
                </c:pt>
                <c:pt idx="6">
                  <c:v>14.955148174779321</c:v>
                </c:pt>
                <c:pt idx="7">
                  <c:v>14.955148174779321</c:v>
                </c:pt>
                <c:pt idx="8">
                  <c:v>14.955148174779321</c:v>
                </c:pt>
                <c:pt idx="9">
                  <c:v>14.955148174779321</c:v>
                </c:pt>
                <c:pt idx="10">
                  <c:v>14.955148174779321</c:v>
                </c:pt>
                <c:pt idx="11">
                  <c:v>14.955148174779321</c:v>
                </c:pt>
                <c:pt idx="12">
                  <c:v>14.955148174779321</c:v>
                </c:pt>
                <c:pt idx="13">
                  <c:v>14.955148174779321</c:v>
                </c:pt>
                <c:pt idx="14">
                  <c:v>14.955148174779321</c:v>
                </c:pt>
                <c:pt idx="15">
                  <c:v>14.955148174779321</c:v>
                </c:pt>
                <c:pt idx="16">
                  <c:v>14.955148174779321</c:v>
                </c:pt>
                <c:pt idx="17">
                  <c:v>14.955148174779321</c:v>
                </c:pt>
                <c:pt idx="18">
                  <c:v>14.955148174779321</c:v>
                </c:pt>
                <c:pt idx="19">
                  <c:v>14.955148174779321</c:v>
                </c:pt>
                <c:pt idx="20">
                  <c:v>14.955148174779321</c:v>
                </c:pt>
                <c:pt idx="21">
                  <c:v>14.955148174779321</c:v>
                </c:pt>
                <c:pt idx="22">
                  <c:v>14.955148174779321</c:v>
                </c:pt>
                <c:pt idx="23">
                  <c:v>14.955148174779321</c:v>
                </c:pt>
                <c:pt idx="24">
                  <c:v>14.955148174779321</c:v>
                </c:pt>
                <c:pt idx="25">
                  <c:v>14.955148174779321</c:v>
                </c:pt>
                <c:pt idx="26">
                  <c:v>14.955148174779321</c:v>
                </c:pt>
                <c:pt idx="27">
                  <c:v>14.955148174779321</c:v>
                </c:pt>
                <c:pt idx="28">
                  <c:v>14.955148174779321</c:v>
                </c:pt>
                <c:pt idx="29">
                  <c:v>14.955148174779321</c:v>
                </c:pt>
                <c:pt idx="30">
                  <c:v>14.955148174779321</c:v>
                </c:pt>
                <c:pt idx="31">
                  <c:v>14.955148174779321</c:v>
                </c:pt>
                <c:pt idx="32">
                  <c:v>14.955148174779321</c:v>
                </c:pt>
                <c:pt idx="33">
                  <c:v>14.955148174779321</c:v>
                </c:pt>
                <c:pt idx="34">
                  <c:v>14.955148174779321</c:v>
                </c:pt>
                <c:pt idx="35">
                  <c:v>14.955148174779321</c:v>
                </c:pt>
                <c:pt idx="36">
                  <c:v>14.955148174779321</c:v>
                </c:pt>
                <c:pt idx="37">
                  <c:v>14.955148174779321</c:v>
                </c:pt>
                <c:pt idx="38">
                  <c:v>14.955148174779321</c:v>
                </c:pt>
                <c:pt idx="39">
                  <c:v>14.955148174779321</c:v>
                </c:pt>
                <c:pt idx="40">
                  <c:v>14.955148174779321</c:v>
                </c:pt>
                <c:pt idx="41">
                  <c:v>14.955148174779321</c:v>
                </c:pt>
                <c:pt idx="42">
                  <c:v>14.955148174779321</c:v>
                </c:pt>
                <c:pt idx="43">
                  <c:v>14.955148174779321</c:v>
                </c:pt>
                <c:pt idx="44">
                  <c:v>14.955148174779321</c:v>
                </c:pt>
                <c:pt idx="45">
                  <c:v>14.955148174779321</c:v>
                </c:pt>
                <c:pt idx="46">
                  <c:v>14.955148174779321</c:v>
                </c:pt>
                <c:pt idx="47">
                  <c:v>14.955148174779321</c:v>
                </c:pt>
                <c:pt idx="48">
                  <c:v>14.955148174779321</c:v>
                </c:pt>
                <c:pt idx="49">
                  <c:v>14.955148174779321</c:v>
                </c:pt>
              </c:numCache>
            </c:numRef>
          </c:yVal>
          <c:smooth val="0"/>
          <c:extLst>
            <c:ext xmlns:c16="http://schemas.microsoft.com/office/drawing/2014/chart" uri="{C3380CC4-5D6E-409C-BE32-E72D297353CC}">
              <c16:uniqueId val="{00000005-BADA-48B6-9F77-52A161EF8B80}"/>
            </c:ext>
          </c:extLst>
        </c:ser>
        <c:dLbls>
          <c:showLegendKey val="0"/>
          <c:showVal val="0"/>
          <c:showCatName val="0"/>
          <c:showSerName val="0"/>
          <c:showPercent val="0"/>
          <c:showBubbleSize val="0"/>
        </c:dLbls>
        <c:axId val="565997000"/>
        <c:axId val="565994648"/>
      </c:scatterChart>
      <c:valAx>
        <c:axId val="565997000"/>
        <c:scaling>
          <c:orientation val="minMax"/>
          <c:max val="50"/>
        </c:scaling>
        <c:delete val="0"/>
        <c:axPos val="b"/>
        <c:numFmt formatCode="0" sourceLinked="1"/>
        <c:majorTickMark val="out"/>
        <c:minorTickMark val="none"/>
        <c:tickLblPos val="nextTo"/>
        <c:crossAx val="565994648"/>
        <c:crosses val="autoZero"/>
        <c:crossBetween val="midCat"/>
      </c:valAx>
      <c:valAx>
        <c:axId val="565994648"/>
        <c:scaling>
          <c:orientation val="minMax"/>
        </c:scaling>
        <c:delete val="0"/>
        <c:axPos val="l"/>
        <c:majorGridlines/>
        <c:numFmt formatCode="0.00" sourceLinked="1"/>
        <c:majorTickMark val="out"/>
        <c:minorTickMark val="none"/>
        <c:tickLblPos val="nextTo"/>
        <c:crossAx val="565997000"/>
        <c:crosses val="autoZero"/>
        <c:crossBetween val="midCat"/>
      </c:valAx>
    </c:plotArea>
    <c:plotVisOnly val="1"/>
    <c:dispBlanksAs val="gap"/>
    <c:showDLblsOverMax val="0"/>
  </c:chart>
  <c:spPr>
    <a:ln w="22225" cmpd="sng">
      <a:solidFill>
        <a:schemeClr val="tx1"/>
      </a:solidFill>
    </a:ln>
  </c:spPr>
  <c:printSettings>
    <c:headerFooter/>
    <c:pageMargins b="0.75000000000000278" l="0.70000000000000062" r="0.70000000000000062" t="0.75000000000000278"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464536123596142E-2"/>
          <c:y val="3.5351304244051911E-2"/>
          <c:w val="0.91273351612370046"/>
          <c:h val="0.88488224171223884"/>
        </c:manualLayout>
      </c:layout>
      <c:scatterChart>
        <c:scatterStyle val="lineMarker"/>
        <c:varyColors val="0"/>
        <c:ser>
          <c:idx val="0"/>
          <c:order val="0"/>
          <c:tx>
            <c:strRef>
              <c:f>'ISO Ash 1'!$N$5</c:f>
              <c:strCache>
                <c:ptCount val="1"/>
                <c:pt idx="0">
                  <c:v>Range Limit</c:v>
                </c:pt>
              </c:strCache>
            </c:strRef>
          </c:tx>
          <c:spPr>
            <a:ln w="28575">
              <a:solidFill>
                <a:srgbClr val="FF0000"/>
              </a:solidFill>
            </a:ln>
          </c:spPr>
          <c:marker>
            <c:symbol val="none"/>
          </c:marker>
          <c:xVal>
            <c:numRef>
              <c:f>'ISO Ash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'ISO Ash 1'!$N$6:$N$55</c:f>
              <c:numCache>
                <c:formatCode>0.000</c:formatCode>
                <c:ptCount val="50"/>
                <c:pt idx="0">
                  <c:v>0.27730769230769237</c:v>
                </c:pt>
                <c:pt idx="1">
                  <c:v>0.27730769230769237</c:v>
                </c:pt>
                <c:pt idx="2">
                  <c:v>0.27730769230769237</c:v>
                </c:pt>
                <c:pt idx="3">
                  <c:v>0.27730769230769237</c:v>
                </c:pt>
                <c:pt idx="4">
                  <c:v>0.27730769230769237</c:v>
                </c:pt>
                <c:pt idx="5">
                  <c:v>0.27730769230769237</c:v>
                </c:pt>
                <c:pt idx="6">
                  <c:v>0.27730769230769237</c:v>
                </c:pt>
                <c:pt idx="7">
                  <c:v>0.27730769230769237</c:v>
                </c:pt>
                <c:pt idx="8">
                  <c:v>0.27730769230769237</c:v>
                </c:pt>
                <c:pt idx="9">
                  <c:v>0.27730769230769237</c:v>
                </c:pt>
                <c:pt idx="10">
                  <c:v>0.27730769230769237</c:v>
                </c:pt>
                <c:pt idx="11">
                  <c:v>0.27730769230769237</c:v>
                </c:pt>
                <c:pt idx="12">
                  <c:v>0.27730769230769237</c:v>
                </c:pt>
                <c:pt idx="13">
                  <c:v>0.27730769230769237</c:v>
                </c:pt>
                <c:pt idx="14">
                  <c:v>0.27730769230769237</c:v>
                </c:pt>
                <c:pt idx="15">
                  <c:v>0.27730769230769237</c:v>
                </c:pt>
                <c:pt idx="16">
                  <c:v>0.27730769230769237</c:v>
                </c:pt>
                <c:pt idx="17">
                  <c:v>0.27730769230769237</c:v>
                </c:pt>
                <c:pt idx="18">
                  <c:v>0.27730769230769237</c:v>
                </c:pt>
                <c:pt idx="19">
                  <c:v>0.27730769230769237</c:v>
                </c:pt>
                <c:pt idx="20">
                  <c:v>0.27730769230769237</c:v>
                </c:pt>
                <c:pt idx="21">
                  <c:v>0.27730769230769237</c:v>
                </c:pt>
                <c:pt idx="22">
                  <c:v>0.27730769230769237</c:v>
                </c:pt>
                <c:pt idx="23">
                  <c:v>0.27730769230769237</c:v>
                </c:pt>
                <c:pt idx="24">
                  <c:v>0.27730769230769237</c:v>
                </c:pt>
                <c:pt idx="25">
                  <c:v>0.27730769230769237</c:v>
                </c:pt>
                <c:pt idx="26">
                  <c:v>0.27730769230769237</c:v>
                </c:pt>
                <c:pt idx="27">
                  <c:v>0.27730769230769237</c:v>
                </c:pt>
                <c:pt idx="28">
                  <c:v>0.27730769230769237</c:v>
                </c:pt>
                <c:pt idx="29">
                  <c:v>0.27730769230769237</c:v>
                </c:pt>
                <c:pt idx="30">
                  <c:v>0.27730769230769237</c:v>
                </c:pt>
                <c:pt idx="31">
                  <c:v>0.27730769230769237</c:v>
                </c:pt>
                <c:pt idx="32">
                  <c:v>0.27730769230769237</c:v>
                </c:pt>
                <c:pt idx="33">
                  <c:v>0.27730769230769237</c:v>
                </c:pt>
                <c:pt idx="34">
                  <c:v>0.27730769230769237</c:v>
                </c:pt>
                <c:pt idx="35">
                  <c:v>0.27730769230769237</c:v>
                </c:pt>
                <c:pt idx="36">
                  <c:v>0.27730769230769237</c:v>
                </c:pt>
                <c:pt idx="37">
                  <c:v>0.27730769230769237</c:v>
                </c:pt>
                <c:pt idx="38">
                  <c:v>0.27730769230769237</c:v>
                </c:pt>
                <c:pt idx="39">
                  <c:v>0.27730769230769237</c:v>
                </c:pt>
                <c:pt idx="40">
                  <c:v>0.27730769230769237</c:v>
                </c:pt>
                <c:pt idx="41">
                  <c:v>0.27730769230769237</c:v>
                </c:pt>
                <c:pt idx="42">
                  <c:v>0.27730769230769237</c:v>
                </c:pt>
                <c:pt idx="43">
                  <c:v>0.27730769230769237</c:v>
                </c:pt>
                <c:pt idx="44">
                  <c:v>0.27730769230769237</c:v>
                </c:pt>
                <c:pt idx="45">
                  <c:v>0.27730769230769237</c:v>
                </c:pt>
                <c:pt idx="46">
                  <c:v>0.27730769230769237</c:v>
                </c:pt>
                <c:pt idx="47">
                  <c:v>0.27730769230769237</c:v>
                </c:pt>
                <c:pt idx="48">
                  <c:v>0.27730769230769237</c:v>
                </c:pt>
                <c:pt idx="49">
                  <c:v>0.27730769230769237</c:v>
                </c:pt>
              </c:numCache>
            </c:numRef>
          </c:yVal>
          <c:smooth val="0"/>
          <c:extLst>
            <c:ext xmlns:c16="http://schemas.microsoft.com/office/drawing/2014/chart" uri="{C3380CC4-5D6E-409C-BE32-E72D297353CC}">
              <c16:uniqueId val="{00000000-C7C9-40C0-AC3A-DD5DA723ED0B}"/>
            </c:ext>
          </c:extLst>
        </c:ser>
        <c:ser>
          <c:idx val="1"/>
          <c:order val="1"/>
          <c:tx>
            <c:strRef>
              <c:f>'ISO Ash 1'!$H$5</c:f>
              <c:strCache>
                <c:ptCount val="1"/>
                <c:pt idx="0">
                  <c:v>Range (actual)</c:v>
                </c:pt>
              </c:strCache>
            </c:strRef>
          </c:tx>
          <c:spPr>
            <a:ln w="22225">
              <a:solidFill>
                <a:schemeClr val="tx2"/>
              </a:solidFill>
            </a:ln>
          </c:spPr>
          <c:marker>
            <c:symbol val="star"/>
            <c:size val="9"/>
            <c:spPr>
              <a:noFill/>
            </c:spPr>
          </c:marker>
          <c:xVal>
            <c:numRef>
              <c:f>'ISO Ash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'ISO Ash 1'!$H$6:$H$55</c:f>
              <c:numCache>
                <c:formatCode>0.00</c:formatCode>
                <c:ptCount val="50"/>
                <c:pt idx="0">
                  <c:v>9.9999999999997868E-2</c:v>
                </c:pt>
                <c:pt idx="1">
                  <c:v>0.39999999999999858</c:v>
                </c:pt>
                <c:pt idx="2">
                  <c:v>0.30000000000000071</c:v>
                </c:pt>
                <c:pt idx="3">
                  <c:v>0.37999999999999901</c:v>
                </c:pt>
                <c:pt idx="4">
                  <c:v>5.0000000000000711E-2</c:v>
                </c:pt>
                <c:pt idx="5">
                  <c:v>0.19999999999999929</c:v>
                </c:pt>
                <c:pt idx="6">
                  <c:v>1.0000000000001563E-2</c:v>
                </c:pt>
                <c:pt idx="7">
                  <c:v>0.30000000000000071</c:v>
                </c:pt>
                <c:pt idx="8">
                  <c:v>0.37999999999999901</c:v>
                </c:pt>
                <c:pt idx="9">
                  <c:v>5.0000000000000711E-2</c:v>
                </c:pt>
                <c:pt idx="10">
                  <c:v>0.19999999999999929</c:v>
                </c:pt>
                <c:pt idx="11">
                  <c:v>1.0000000000001563E-2</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numCache>
            </c:numRef>
          </c:yVal>
          <c:smooth val="0"/>
          <c:extLst>
            <c:ext xmlns:c16="http://schemas.microsoft.com/office/drawing/2014/chart" uri="{C3380CC4-5D6E-409C-BE32-E72D297353CC}">
              <c16:uniqueId val="{00000001-C7C9-40C0-AC3A-DD5DA723ED0B}"/>
            </c:ext>
          </c:extLst>
        </c:ser>
        <c:dLbls>
          <c:showLegendKey val="0"/>
          <c:showVal val="0"/>
          <c:showCatName val="0"/>
          <c:showSerName val="0"/>
          <c:showPercent val="0"/>
          <c:showBubbleSize val="0"/>
        </c:dLbls>
        <c:axId val="625233976"/>
        <c:axId val="625235936"/>
      </c:scatterChart>
      <c:valAx>
        <c:axId val="625233976"/>
        <c:scaling>
          <c:orientation val="minMax"/>
          <c:max val="50"/>
        </c:scaling>
        <c:delete val="0"/>
        <c:axPos val="b"/>
        <c:numFmt formatCode="0" sourceLinked="1"/>
        <c:majorTickMark val="out"/>
        <c:minorTickMark val="none"/>
        <c:tickLblPos val="nextTo"/>
        <c:crossAx val="625235936"/>
        <c:crosses val="autoZero"/>
        <c:crossBetween val="midCat"/>
      </c:valAx>
      <c:valAx>
        <c:axId val="625235936"/>
        <c:scaling>
          <c:orientation val="minMax"/>
        </c:scaling>
        <c:delete val="0"/>
        <c:axPos val="l"/>
        <c:majorGridlines/>
        <c:numFmt formatCode="0.000" sourceLinked="1"/>
        <c:majorTickMark val="out"/>
        <c:minorTickMark val="none"/>
        <c:tickLblPos val="nextTo"/>
        <c:crossAx val="625233976"/>
        <c:crosses val="autoZero"/>
        <c:crossBetween val="midCat"/>
      </c:valAx>
    </c:plotArea>
    <c:plotVisOnly val="1"/>
    <c:dispBlanksAs val="gap"/>
    <c:showDLblsOverMax val="0"/>
  </c:chart>
  <c:spPr>
    <a:ln w="22225">
      <a:solidFill>
        <a:schemeClr val="tx1"/>
      </a:solidFill>
    </a:ln>
  </c:spPr>
  <c:printSettings>
    <c:headerFooter/>
    <c:pageMargins b="0.75000000000000189" l="0.70000000000000062" r="0.70000000000000062" t="0.75000000000000189"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892709180583196"/>
          <c:y val="0.14457717383076141"/>
          <c:w val="0.81564283305597485"/>
          <c:h val="0.7222831183970998"/>
        </c:manualLayout>
      </c:layout>
      <c:scatterChart>
        <c:scatterStyle val="lineMarker"/>
        <c:varyColors val="0"/>
        <c:ser>
          <c:idx val="0"/>
          <c:order val="0"/>
          <c:tx>
            <c:strRef>
              <c:f>'Q Ash 1'!$G$5</c:f>
              <c:strCache>
                <c:ptCount val="1"/>
                <c:pt idx="0">
                  <c:v>Average Result</c:v>
                </c:pt>
              </c:strCache>
            </c:strRef>
          </c:tx>
          <c:spPr>
            <a:ln w="6350">
              <a:solidFill>
                <a:sysClr val="windowText" lastClr="000000"/>
              </a:solidFill>
            </a:ln>
          </c:spPr>
          <c:marker>
            <c:symbol val="star"/>
            <c:size val="7"/>
            <c:spPr>
              <a:noFill/>
              <a:ln w="15875">
                <a:solidFill>
                  <a:schemeClr val="tx1"/>
                </a:solidFill>
              </a:ln>
            </c:spPr>
          </c:marker>
          <c:xVal>
            <c:numRef>
              <c:f>'Q Ash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'Q Ash 1'!$G$6:$G$55</c:f>
              <c:numCache>
                <c:formatCode>0.00</c:formatCode>
                <c:ptCount val="50"/>
                <c:pt idx="0">
                  <c:v>16.850000000000001</c:v>
                </c:pt>
                <c:pt idx="1">
                  <c:v>17.2</c:v>
                </c:pt>
                <c:pt idx="2">
                  <c:v>16.950000000000003</c:v>
                </c:pt>
                <c:pt idx="3">
                  <c:v>16.96</c:v>
                </c:pt>
                <c:pt idx="4">
                  <c:v>17.024999999999999</c:v>
                </c:pt>
                <c:pt idx="5">
                  <c:v>17.100000000000001</c:v>
                </c:pt>
                <c:pt idx="6">
                  <c:v>16.994999999999997</c:v>
                </c:pt>
                <c:pt idx="7">
                  <c:v>16.950000000000003</c:v>
                </c:pt>
                <c:pt idx="8">
                  <c:v>16.96</c:v>
                </c:pt>
                <c:pt idx="9">
                  <c:v>17.024999999999999</c:v>
                </c:pt>
                <c:pt idx="10">
                  <c:v>17.100000000000001</c:v>
                </c:pt>
                <c:pt idx="11">
                  <c:v>16.994999999999997</c:v>
                </c:pt>
                <c:pt idx="12">
                  <c:v>17.310000000000002</c:v>
                </c:pt>
                <c:pt idx="13">
                  <c:v>17.100000000000001</c:v>
                </c:pt>
                <c:pt idx="14">
                  <c:v>17.37</c:v>
                </c:pt>
                <c:pt idx="15">
                  <c:v>16.66</c:v>
                </c:pt>
                <c:pt idx="16">
                  <c:v>17.45</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numCache>
            </c:numRef>
          </c:yVal>
          <c:smooth val="0"/>
          <c:extLst>
            <c:ext xmlns:c16="http://schemas.microsoft.com/office/drawing/2014/chart" uri="{C3380CC4-5D6E-409C-BE32-E72D297353CC}">
              <c16:uniqueId val="{00000000-7BE9-4E3B-B7DF-33AB0A0DBF0E}"/>
            </c:ext>
          </c:extLst>
        </c:ser>
        <c:ser>
          <c:idx val="1"/>
          <c:order val="1"/>
          <c:tx>
            <c:strRef>
              <c:f>'Q Ash 1'!$I$5</c:f>
              <c:strCache>
                <c:ptCount val="1"/>
                <c:pt idx="0">
                  <c:v>-3s</c:v>
                </c:pt>
              </c:strCache>
            </c:strRef>
          </c:tx>
          <c:spPr>
            <a:ln w="28575">
              <a:solidFill>
                <a:srgbClr val="FF0000"/>
              </a:solidFill>
            </a:ln>
          </c:spPr>
          <c:marker>
            <c:symbol val="none"/>
          </c:marker>
          <c:xVal>
            <c:numRef>
              <c:f>'Q Ash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'Q Ash 1'!$I$6:$I$55</c:f>
              <c:numCache>
                <c:formatCode>0.000</c:formatCode>
                <c:ptCount val="50"/>
                <c:pt idx="0">
                  <c:v>21.692864141671475</c:v>
                </c:pt>
                <c:pt idx="1">
                  <c:v>21.692864141671475</c:v>
                </c:pt>
                <c:pt idx="2">
                  <c:v>21.692864141671475</c:v>
                </c:pt>
                <c:pt idx="3">
                  <c:v>21.692864141671475</c:v>
                </c:pt>
                <c:pt idx="4">
                  <c:v>21.692864141671475</c:v>
                </c:pt>
                <c:pt idx="5">
                  <c:v>21.692864141671475</c:v>
                </c:pt>
                <c:pt idx="6">
                  <c:v>21.692864141671475</c:v>
                </c:pt>
                <c:pt idx="7">
                  <c:v>21.692864141671475</c:v>
                </c:pt>
                <c:pt idx="8">
                  <c:v>21.692864141671475</c:v>
                </c:pt>
                <c:pt idx="9">
                  <c:v>21.692864141671475</c:v>
                </c:pt>
                <c:pt idx="10">
                  <c:v>21.692864141671475</c:v>
                </c:pt>
                <c:pt idx="11">
                  <c:v>21.692864141671475</c:v>
                </c:pt>
                <c:pt idx="12">
                  <c:v>21.692864141671475</c:v>
                </c:pt>
                <c:pt idx="13">
                  <c:v>21.692864141671475</c:v>
                </c:pt>
                <c:pt idx="14">
                  <c:v>21.692864141671475</c:v>
                </c:pt>
                <c:pt idx="15">
                  <c:v>21.692864141671475</c:v>
                </c:pt>
                <c:pt idx="16">
                  <c:v>21.692864141671475</c:v>
                </c:pt>
                <c:pt idx="17">
                  <c:v>21.692864141671475</c:v>
                </c:pt>
                <c:pt idx="18">
                  <c:v>21.692864141671475</c:v>
                </c:pt>
                <c:pt idx="19">
                  <c:v>21.692864141671475</c:v>
                </c:pt>
                <c:pt idx="20">
                  <c:v>21.692864141671475</c:v>
                </c:pt>
                <c:pt idx="21">
                  <c:v>21.692864141671475</c:v>
                </c:pt>
                <c:pt idx="22">
                  <c:v>21.692864141671475</c:v>
                </c:pt>
                <c:pt idx="23">
                  <c:v>21.692864141671475</c:v>
                </c:pt>
                <c:pt idx="24">
                  <c:v>21.692864141671475</c:v>
                </c:pt>
                <c:pt idx="25">
                  <c:v>21.692864141671475</c:v>
                </c:pt>
                <c:pt idx="26">
                  <c:v>21.692864141671475</c:v>
                </c:pt>
                <c:pt idx="27">
                  <c:v>21.692864141671475</c:v>
                </c:pt>
                <c:pt idx="28">
                  <c:v>21.692864141671475</c:v>
                </c:pt>
                <c:pt idx="29">
                  <c:v>21.692864141671475</c:v>
                </c:pt>
                <c:pt idx="30">
                  <c:v>21.692864141671475</c:v>
                </c:pt>
                <c:pt idx="31">
                  <c:v>21.692864141671475</c:v>
                </c:pt>
                <c:pt idx="32">
                  <c:v>21.692864141671475</c:v>
                </c:pt>
                <c:pt idx="33">
                  <c:v>21.692864141671475</c:v>
                </c:pt>
                <c:pt idx="34">
                  <c:v>21.692864141671475</c:v>
                </c:pt>
                <c:pt idx="35">
                  <c:v>21.692864141671475</c:v>
                </c:pt>
                <c:pt idx="36">
                  <c:v>21.692864141671475</c:v>
                </c:pt>
                <c:pt idx="37">
                  <c:v>21.692864141671475</c:v>
                </c:pt>
                <c:pt idx="38">
                  <c:v>21.692864141671475</c:v>
                </c:pt>
                <c:pt idx="39">
                  <c:v>21.692864141671475</c:v>
                </c:pt>
                <c:pt idx="40">
                  <c:v>21.692864141671475</c:v>
                </c:pt>
                <c:pt idx="41">
                  <c:v>21.692864141671475</c:v>
                </c:pt>
                <c:pt idx="42">
                  <c:v>21.692864141671475</c:v>
                </c:pt>
                <c:pt idx="43">
                  <c:v>21.692864141671475</c:v>
                </c:pt>
                <c:pt idx="44">
                  <c:v>21.692864141671475</c:v>
                </c:pt>
                <c:pt idx="45">
                  <c:v>21.692864141671475</c:v>
                </c:pt>
                <c:pt idx="46">
                  <c:v>21.692864141671475</c:v>
                </c:pt>
                <c:pt idx="47">
                  <c:v>21.692864141671475</c:v>
                </c:pt>
                <c:pt idx="48">
                  <c:v>21.692864141671475</c:v>
                </c:pt>
                <c:pt idx="49">
                  <c:v>21.692864141671475</c:v>
                </c:pt>
              </c:numCache>
            </c:numRef>
          </c:yVal>
          <c:smooth val="0"/>
          <c:extLst>
            <c:ext xmlns:c16="http://schemas.microsoft.com/office/drawing/2014/chart" uri="{C3380CC4-5D6E-409C-BE32-E72D297353CC}">
              <c16:uniqueId val="{00000001-7BE9-4E3B-B7DF-33AB0A0DBF0E}"/>
            </c:ext>
          </c:extLst>
        </c:ser>
        <c:ser>
          <c:idx val="2"/>
          <c:order val="2"/>
          <c:tx>
            <c:strRef>
              <c:f>'Q Ash 1'!$J$5</c:f>
              <c:strCache>
                <c:ptCount val="1"/>
                <c:pt idx="0">
                  <c:v>-2s</c:v>
                </c:pt>
              </c:strCache>
            </c:strRef>
          </c:tx>
          <c:spPr>
            <a:ln w="28575">
              <a:solidFill>
                <a:schemeClr val="tx2">
                  <a:lumMod val="60000"/>
                  <a:lumOff val="40000"/>
                </a:schemeClr>
              </a:solidFill>
              <a:prstDash val="dashDot"/>
            </a:ln>
          </c:spPr>
          <c:marker>
            <c:symbol val="none"/>
          </c:marker>
          <c:xVal>
            <c:numRef>
              <c:f>'Q Ash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'Q Ash 1'!$J$6:$J$55</c:f>
              <c:numCache>
                <c:formatCode>0.000</c:formatCode>
                <c:ptCount val="50"/>
                <c:pt idx="0">
                  <c:v>21.858099903971461</c:v>
                </c:pt>
                <c:pt idx="1">
                  <c:v>21.858099903971461</c:v>
                </c:pt>
                <c:pt idx="2">
                  <c:v>21.858099903971461</c:v>
                </c:pt>
                <c:pt idx="3">
                  <c:v>21.858099903971461</c:v>
                </c:pt>
                <c:pt idx="4">
                  <c:v>21.858099903971461</c:v>
                </c:pt>
                <c:pt idx="5">
                  <c:v>21.858099903971461</c:v>
                </c:pt>
                <c:pt idx="6">
                  <c:v>21.858099903971461</c:v>
                </c:pt>
                <c:pt idx="7">
                  <c:v>21.858099903971461</c:v>
                </c:pt>
                <c:pt idx="8">
                  <c:v>21.858099903971461</c:v>
                </c:pt>
                <c:pt idx="9">
                  <c:v>21.858099903971461</c:v>
                </c:pt>
                <c:pt idx="10">
                  <c:v>21.858099903971461</c:v>
                </c:pt>
                <c:pt idx="11">
                  <c:v>21.858099903971461</c:v>
                </c:pt>
                <c:pt idx="12">
                  <c:v>21.858099903971461</c:v>
                </c:pt>
                <c:pt idx="13">
                  <c:v>21.858099903971461</c:v>
                </c:pt>
                <c:pt idx="14">
                  <c:v>21.858099903971461</c:v>
                </c:pt>
                <c:pt idx="15">
                  <c:v>21.858099903971461</c:v>
                </c:pt>
                <c:pt idx="16">
                  <c:v>21.858099903971461</c:v>
                </c:pt>
                <c:pt idx="17">
                  <c:v>21.858099903971461</c:v>
                </c:pt>
                <c:pt idx="18">
                  <c:v>21.858099903971461</c:v>
                </c:pt>
                <c:pt idx="19">
                  <c:v>21.858099903971461</c:v>
                </c:pt>
                <c:pt idx="20">
                  <c:v>21.858099903971461</c:v>
                </c:pt>
                <c:pt idx="21">
                  <c:v>21.858099903971461</c:v>
                </c:pt>
                <c:pt idx="22">
                  <c:v>21.858099903971461</c:v>
                </c:pt>
                <c:pt idx="23">
                  <c:v>21.858099903971461</c:v>
                </c:pt>
                <c:pt idx="24">
                  <c:v>21.858099903971461</c:v>
                </c:pt>
                <c:pt idx="25">
                  <c:v>21.858099903971461</c:v>
                </c:pt>
                <c:pt idx="26">
                  <c:v>21.858099903971461</c:v>
                </c:pt>
                <c:pt idx="27">
                  <c:v>21.858099903971461</c:v>
                </c:pt>
                <c:pt idx="28">
                  <c:v>21.858099903971461</c:v>
                </c:pt>
                <c:pt idx="29">
                  <c:v>21.858099903971461</c:v>
                </c:pt>
                <c:pt idx="30">
                  <c:v>21.858099903971461</c:v>
                </c:pt>
                <c:pt idx="31">
                  <c:v>21.858099903971461</c:v>
                </c:pt>
                <c:pt idx="32">
                  <c:v>21.858099903971461</c:v>
                </c:pt>
                <c:pt idx="33">
                  <c:v>21.858099903971461</c:v>
                </c:pt>
                <c:pt idx="34">
                  <c:v>21.858099903971461</c:v>
                </c:pt>
                <c:pt idx="35">
                  <c:v>21.858099903971461</c:v>
                </c:pt>
                <c:pt idx="36">
                  <c:v>21.858099903971461</c:v>
                </c:pt>
                <c:pt idx="37">
                  <c:v>21.858099903971461</c:v>
                </c:pt>
                <c:pt idx="38">
                  <c:v>21.858099903971461</c:v>
                </c:pt>
                <c:pt idx="39">
                  <c:v>21.858099903971461</c:v>
                </c:pt>
                <c:pt idx="40">
                  <c:v>21.858099903971461</c:v>
                </c:pt>
                <c:pt idx="41">
                  <c:v>21.858099903971461</c:v>
                </c:pt>
                <c:pt idx="42">
                  <c:v>21.858099903971461</c:v>
                </c:pt>
                <c:pt idx="43">
                  <c:v>21.858099903971461</c:v>
                </c:pt>
                <c:pt idx="44">
                  <c:v>21.858099903971461</c:v>
                </c:pt>
                <c:pt idx="45">
                  <c:v>21.858099903971461</c:v>
                </c:pt>
                <c:pt idx="46">
                  <c:v>21.858099903971461</c:v>
                </c:pt>
                <c:pt idx="47">
                  <c:v>21.858099903971461</c:v>
                </c:pt>
                <c:pt idx="48">
                  <c:v>21.858099903971461</c:v>
                </c:pt>
                <c:pt idx="49">
                  <c:v>21.858099903971461</c:v>
                </c:pt>
              </c:numCache>
            </c:numRef>
          </c:yVal>
          <c:smooth val="0"/>
          <c:extLst>
            <c:ext xmlns:c16="http://schemas.microsoft.com/office/drawing/2014/chart" uri="{C3380CC4-5D6E-409C-BE32-E72D297353CC}">
              <c16:uniqueId val="{00000002-7BE9-4E3B-B7DF-33AB0A0DBF0E}"/>
            </c:ext>
          </c:extLst>
        </c:ser>
        <c:ser>
          <c:idx val="3"/>
          <c:order val="3"/>
          <c:tx>
            <c:strRef>
              <c:f>'Q Ash 1'!$K$5</c:f>
              <c:strCache>
                <c:ptCount val="1"/>
                <c:pt idx="0">
                  <c:v></c:v>
                </c:pt>
              </c:strCache>
            </c:strRef>
          </c:tx>
          <c:spPr>
            <a:ln w="28575">
              <a:solidFill>
                <a:srgbClr val="00B050"/>
              </a:solidFill>
              <a:prstDash val="lgDashDotDot"/>
            </a:ln>
          </c:spPr>
          <c:marker>
            <c:symbol val="none"/>
          </c:marker>
          <c:xVal>
            <c:numRef>
              <c:f>'Q Ash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'Q Ash 1'!$K$6:$K$55</c:f>
              <c:numCache>
                <c:formatCode>0.000</c:formatCode>
                <c:ptCount val="50"/>
                <c:pt idx="0">
                  <c:v>22.188571428571429</c:v>
                </c:pt>
                <c:pt idx="1">
                  <c:v>22.188571428571429</c:v>
                </c:pt>
                <c:pt idx="2">
                  <c:v>22.188571428571429</c:v>
                </c:pt>
                <c:pt idx="3">
                  <c:v>22.188571428571429</c:v>
                </c:pt>
                <c:pt idx="4">
                  <c:v>22.188571428571429</c:v>
                </c:pt>
                <c:pt idx="5">
                  <c:v>22.188571428571429</c:v>
                </c:pt>
                <c:pt idx="6">
                  <c:v>22.188571428571429</c:v>
                </c:pt>
                <c:pt idx="7">
                  <c:v>22.188571428571429</c:v>
                </c:pt>
                <c:pt idx="8">
                  <c:v>22.188571428571429</c:v>
                </c:pt>
                <c:pt idx="9">
                  <c:v>22.188571428571429</c:v>
                </c:pt>
                <c:pt idx="10">
                  <c:v>22.188571428571429</c:v>
                </c:pt>
                <c:pt idx="11">
                  <c:v>22.188571428571429</c:v>
                </c:pt>
                <c:pt idx="12">
                  <c:v>22.188571428571429</c:v>
                </c:pt>
                <c:pt idx="13">
                  <c:v>22.188571428571429</c:v>
                </c:pt>
                <c:pt idx="14">
                  <c:v>22.188571428571429</c:v>
                </c:pt>
                <c:pt idx="15">
                  <c:v>22.188571428571429</c:v>
                </c:pt>
                <c:pt idx="16">
                  <c:v>22.188571428571429</c:v>
                </c:pt>
                <c:pt idx="17">
                  <c:v>22.188571428571429</c:v>
                </c:pt>
                <c:pt idx="18">
                  <c:v>22.188571428571429</c:v>
                </c:pt>
                <c:pt idx="19">
                  <c:v>22.188571428571429</c:v>
                </c:pt>
                <c:pt idx="20">
                  <c:v>22.188571428571429</c:v>
                </c:pt>
                <c:pt idx="21">
                  <c:v>22.188571428571429</c:v>
                </c:pt>
                <c:pt idx="22">
                  <c:v>22.188571428571429</c:v>
                </c:pt>
                <c:pt idx="23">
                  <c:v>22.188571428571429</c:v>
                </c:pt>
                <c:pt idx="24">
                  <c:v>22.188571428571429</c:v>
                </c:pt>
                <c:pt idx="25">
                  <c:v>22.188571428571429</c:v>
                </c:pt>
                <c:pt idx="26">
                  <c:v>22.188571428571429</c:v>
                </c:pt>
                <c:pt idx="27">
                  <c:v>22.188571428571429</c:v>
                </c:pt>
                <c:pt idx="28">
                  <c:v>22.188571428571429</c:v>
                </c:pt>
                <c:pt idx="29">
                  <c:v>22.188571428571429</c:v>
                </c:pt>
                <c:pt idx="30">
                  <c:v>22.188571428571429</c:v>
                </c:pt>
                <c:pt idx="31">
                  <c:v>22.188571428571429</c:v>
                </c:pt>
                <c:pt idx="32">
                  <c:v>22.188571428571429</c:v>
                </c:pt>
                <c:pt idx="33">
                  <c:v>22.188571428571429</c:v>
                </c:pt>
                <c:pt idx="34">
                  <c:v>22.188571428571429</c:v>
                </c:pt>
                <c:pt idx="35">
                  <c:v>22.188571428571429</c:v>
                </c:pt>
                <c:pt idx="36">
                  <c:v>22.188571428571429</c:v>
                </c:pt>
                <c:pt idx="37">
                  <c:v>22.188571428571429</c:v>
                </c:pt>
                <c:pt idx="38">
                  <c:v>22.188571428571429</c:v>
                </c:pt>
                <c:pt idx="39">
                  <c:v>22.188571428571429</c:v>
                </c:pt>
                <c:pt idx="40">
                  <c:v>22.188571428571429</c:v>
                </c:pt>
                <c:pt idx="41">
                  <c:v>22.188571428571429</c:v>
                </c:pt>
                <c:pt idx="42">
                  <c:v>22.188571428571429</c:v>
                </c:pt>
                <c:pt idx="43">
                  <c:v>22.188571428571429</c:v>
                </c:pt>
                <c:pt idx="44">
                  <c:v>22.188571428571429</c:v>
                </c:pt>
                <c:pt idx="45">
                  <c:v>22.188571428571429</c:v>
                </c:pt>
                <c:pt idx="46">
                  <c:v>22.188571428571429</c:v>
                </c:pt>
                <c:pt idx="47">
                  <c:v>22.188571428571429</c:v>
                </c:pt>
                <c:pt idx="48">
                  <c:v>22.188571428571429</c:v>
                </c:pt>
                <c:pt idx="49">
                  <c:v>22.188571428571429</c:v>
                </c:pt>
              </c:numCache>
            </c:numRef>
          </c:yVal>
          <c:smooth val="0"/>
          <c:extLst>
            <c:ext xmlns:c16="http://schemas.microsoft.com/office/drawing/2014/chart" uri="{C3380CC4-5D6E-409C-BE32-E72D297353CC}">
              <c16:uniqueId val="{00000003-7BE9-4E3B-B7DF-33AB0A0DBF0E}"/>
            </c:ext>
          </c:extLst>
        </c:ser>
        <c:ser>
          <c:idx val="4"/>
          <c:order val="4"/>
          <c:tx>
            <c:strRef>
              <c:f>'Q Ash 1'!$L$5</c:f>
              <c:strCache>
                <c:ptCount val="1"/>
                <c:pt idx="0">
                  <c:v>+2s</c:v>
                </c:pt>
              </c:strCache>
            </c:strRef>
          </c:tx>
          <c:spPr>
            <a:ln w="28575">
              <a:solidFill>
                <a:schemeClr val="tx2">
                  <a:lumMod val="60000"/>
                  <a:lumOff val="40000"/>
                </a:schemeClr>
              </a:solidFill>
              <a:prstDash val="dashDot"/>
            </a:ln>
          </c:spPr>
          <c:marker>
            <c:symbol val="none"/>
          </c:marker>
          <c:xVal>
            <c:numRef>
              <c:f>'Q Ash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'Q Ash 1'!$L$6:$L$55</c:f>
              <c:numCache>
                <c:formatCode>0.000</c:formatCode>
                <c:ptCount val="50"/>
                <c:pt idx="0">
                  <c:v>22.519042953171397</c:v>
                </c:pt>
                <c:pt idx="1">
                  <c:v>22.519042953171397</c:v>
                </c:pt>
                <c:pt idx="2">
                  <c:v>22.519042953171397</c:v>
                </c:pt>
                <c:pt idx="3">
                  <c:v>22.519042953171397</c:v>
                </c:pt>
                <c:pt idx="4">
                  <c:v>22.519042953171397</c:v>
                </c:pt>
                <c:pt idx="5">
                  <c:v>22.519042953171397</c:v>
                </c:pt>
                <c:pt idx="6">
                  <c:v>22.519042953171397</c:v>
                </c:pt>
                <c:pt idx="7">
                  <c:v>22.519042953171397</c:v>
                </c:pt>
                <c:pt idx="8">
                  <c:v>22.519042953171397</c:v>
                </c:pt>
                <c:pt idx="9">
                  <c:v>22.519042953171397</c:v>
                </c:pt>
                <c:pt idx="10">
                  <c:v>22.519042953171397</c:v>
                </c:pt>
                <c:pt idx="11">
                  <c:v>22.519042953171397</c:v>
                </c:pt>
                <c:pt idx="12">
                  <c:v>22.519042953171397</c:v>
                </c:pt>
                <c:pt idx="13">
                  <c:v>22.519042953171397</c:v>
                </c:pt>
                <c:pt idx="14">
                  <c:v>22.519042953171397</c:v>
                </c:pt>
                <c:pt idx="15">
                  <c:v>22.519042953171397</c:v>
                </c:pt>
                <c:pt idx="16">
                  <c:v>22.519042953171397</c:v>
                </c:pt>
                <c:pt idx="17">
                  <c:v>22.519042953171397</c:v>
                </c:pt>
                <c:pt idx="18">
                  <c:v>22.519042953171397</c:v>
                </c:pt>
                <c:pt idx="19">
                  <c:v>22.519042953171397</c:v>
                </c:pt>
                <c:pt idx="20">
                  <c:v>22.519042953171397</c:v>
                </c:pt>
                <c:pt idx="21">
                  <c:v>22.519042953171397</c:v>
                </c:pt>
                <c:pt idx="22">
                  <c:v>22.519042953171397</c:v>
                </c:pt>
                <c:pt idx="23">
                  <c:v>22.519042953171397</c:v>
                </c:pt>
                <c:pt idx="24">
                  <c:v>22.519042953171397</c:v>
                </c:pt>
                <c:pt idx="25">
                  <c:v>22.519042953171397</c:v>
                </c:pt>
                <c:pt idx="26">
                  <c:v>22.519042953171397</c:v>
                </c:pt>
                <c:pt idx="27">
                  <c:v>22.519042953171397</c:v>
                </c:pt>
                <c:pt idx="28">
                  <c:v>22.519042953171397</c:v>
                </c:pt>
                <c:pt idx="29">
                  <c:v>22.519042953171397</c:v>
                </c:pt>
                <c:pt idx="30">
                  <c:v>22.519042953171397</c:v>
                </c:pt>
                <c:pt idx="31">
                  <c:v>22.519042953171397</c:v>
                </c:pt>
                <c:pt idx="32">
                  <c:v>22.519042953171397</c:v>
                </c:pt>
                <c:pt idx="33">
                  <c:v>22.519042953171397</c:v>
                </c:pt>
                <c:pt idx="34">
                  <c:v>22.519042953171397</c:v>
                </c:pt>
                <c:pt idx="35">
                  <c:v>22.519042953171397</c:v>
                </c:pt>
                <c:pt idx="36">
                  <c:v>22.519042953171397</c:v>
                </c:pt>
                <c:pt idx="37">
                  <c:v>22.519042953171397</c:v>
                </c:pt>
                <c:pt idx="38">
                  <c:v>22.519042953171397</c:v>
                </c:pt>
                <c:pt idx="39">
                  <c:v>22.519042953171397</c:v>
                </c:pt>
                <c:pt idx="40">
                  <c:v>22.519042953171397</c:v>
                </c:pt>
                <c:pt idx="41">
                  <c:v>22.519042953171397</c:v>
                </c:pt>
                <c:pt idx="42">
                  <c:v>22.519042953171397</c:v>
                </c:pt>
                <c:pt idx="43">
                  <c:v>22.519042953171397</c:v>
                </c:pt>
                <c:pt idx="44">
                  <c:v>22.519042953171397</c:v>
                </c:pt>
                <c:pt idx="45">
                  <c:v>22.519042953171397</c:v>
                </c:pt>
                <c:pt idx="46">
                  <c:v>22.519042953171397</c:v>
                </c:pt>
                <c:pt idx="47">
                  <c:v>22.519042953171397</c:v>
                </c:pt>
                <c:pt idx="48">
                  <c:v>22.519042953171397</c:v>
                </c:pt>
                <c:pt idx="49">
                  <c:v>22.519042953171397</c:v>
                </c:pt>
              </c:numCache>
            </c:numRef>
          </c:yVal>
          <c:smooth val="0"/>
          <c:extLst>
            <c:ext xmlns:c16="http://schemas.microsoft.com/office/drawing/2014/chart" uri="{C3380CC4-5D6E-409C-BE32-E72D297353CC}">
              <c16:uniqueId val="{00000004-7BE9-4E3B-B7DF-33AB0A0DBF0E}"/>
            </c:ext>
          </c:extLst>
        </c:ser>
        <c:ser>
          <c:idx val="5"/>
          <c:order val="5"/>
          <c:tx>
            <c:strRef>
              <c:f>'Q Ash 1'!$M$5</c:f>
              <c:strCache>
                <c:ptCount val="1"/>
                <c:pt idx="0">
                  <c:v>+3s</c:v>
                </c:pt>
              </c:strCache>
            </c:strRef>
          </c:tx>
          <c:spPr>
            <a:ln w="28575">
              <a:solidFill>
                <a:srgbClr val="FF0000"/>
              </a:solidFill>
              <a:prstDash val="solid"/>
            </a:ln>
          </c:spPr>
          <c:marker>
            <c:symbol val="none"/>
          </c:marker>
          <c:xVal>
            <c:numRef>
              <c:f>'Q Ash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'Q Ash 1'!$M$6:$M$55</c:f>
              <c:numCache>
                <c:formatCode>0.000</c:formatCode>
                <c:ptCount val="50"/>
                <c:pt idx="0">
                  <c:v>22.684278715471383</c:v>
                </c:pt>
                <c:pt idx="1">
                  <c:v>22.684278715471383</c:v>
                </c:pt>
                <c:pt idx="2">
                  <c:v>22.684278715471383</c:v>
                </c:pt>
                <c:pt idx="3">
                  <c:v>22.684278715471383</c:v>
                </c:pt>
                <c:pt idx="4">
                  <c:v>22.684278715471383</c:v>
                </c:pt>
                <c:pt idx="5">
                  <c:v>22.684278715471383</c:v>
                </c:pt>
                <c:pt idx="6">
                  <c:v>22.684278715471383</c:v>
                </c:pt>
                <c:pt idx="7">
                  <c:v>22.684278715471383</c:v>
                </c:pt>
                <c:pt idx="8">
                  <c:v>22.684278715471383</c:v>
                </c:pt>
                <c:pt idx="9">
                  <c:v>22.684278715471383</c:v>
                </c:pt>
                <c:pt idx="10">
                  <c:v>22.684278715471383</c:v>
                </c:pt>
                <c:pt idx="11">
                  <c:v>22.684278715471383</c:v>
                </c:pt>
                <c:pt idx="12">
                  <c:v>22.684278715471383</c:v>
                </c:pt>
                <c:pt idx="13">
                  <c:v>22.684278715471383</c:v>
                </c:pt>
                <c:pt idx="14">
                  <c:v>22.684278715471383</c:v>
                </c:pt>
                <c:pt idx="15">
                  <c:v>22.684278715471383</c:v>
                </c:pt>
                <c:pt idx="16">
                  <c:v>22.684278715471383</c:v>
                </c:pt>
                <c:pt idx="17">
                  <c:v>22.684278715471383</c:v>
                </c:pt>
                <c:pt idx="18">
                  <c:v>22.684278715471383</c:v>
                </c:pt>
                <c:pt idx="19">
                  <c:v>22.684278715471383</c:v>
                </c:pt>
                <c:pt idx="20">
                  <c:v>22.684278715471383</c:v>
                </c:pt>
                <c:pt idx="21">
                  <c:v>22.684278715471383</c:v>
                </c:pt>
                <c:pt idx="22">
                  <c:v>22.684278715471383</c:v>
                </c:pt>
                <c:pt idx="23">
                  <c:v>22.684278715471383</c:v>
                </c:pt>
                <c:pt idx="24">
                  <c:v>22.684278715471383</c:v>
                </c:pt>
                <c:pt idx="25">
                  <c:v>22.684278715471383</c:v>
                </c:pt>
                <c:pt idx="26">
                  <c:v>22.684278715471383</c:v>
                </c:pt>
                <c:pt idx="27">
                  <c:v>22.684278715471383</c:v>
                </c:pt>
                <c:pt idx="28">
                  <c:v>22.684278715471383</c:v>
                </c:pt>
                <c:pt idx="29">
                  <c:v>22.684278715471383</c:v>
                </c:pt>
                <c:pt idx="30">
                  <c:v>22.684278715471383</c:v>
                </c:pt>
                <c:pt idx="31">
                  <c:v>22.684278715471383</c:v>
                </c:pt>
                <c:pt idx="32">
                  <c:v>22.684278715471383</c:v>
                </c:pt>
                <c:pt idx="33">
                  <c:v>22.684278715471383</c:v>
                </c:pt>
                <c:pt idx="34">
                  <c:v>22.684278715471383</c:v>
                </c:pt>
                <c:pt idx="35">
                  <c:v>22.684278715471383</c:v>
                </c:pt>
                <c:pt idx="36">
                  <c:v>22.684278715471383</c:v>
                </c:pt>
                <c:pt idx="37">
                  <c:v>22.684278715471383</c:v>
                </c:pt>
                <c:pt idx="38">
                  <c:v>22.684278715471383</c:v>
                </c:pt>
                <c:pt idx="39">
                  <c:v>22.684278715471383</c:v>
                </c:pt>
                <c:pt idx="40">
                  <c:v>22.684278715471383</c:v>
                </c:pt>
                <c:pt idx="41">
                  <c:v>22.684278715471383</c:v>
                </c:pt>
                <c:pt idx="42">
                  <c:v>22.684278715471383</c:v>
                </c:pt>
                <c:pt idx="43">
                  <c:v>22.684278715471383</c:v>
                </c:pt>
                <c:pt idx="44">
                  <c:v>22.684278715471383</c:v>
                </c:pt>
                <c:pt idx="45">
                  <c:v>22.684278715471383</c:v>
                </c:pt>
                <c:pt idx="46">
                  <c:v>22.684278715471383</c:v>
                </c:pt>
                <c:pt idx="47">
                  <c:v>22.684278715471383</c:v>
                </c:pt>
                <c:pt idx="48">
                  <c:v>22.684278715471383</c:v>
                </c:pt>
                <c:pt idx="49">
                  <c:v>22.684278715471383</c:v>
                </c:pt>
              </c:numCache>
            </c:numRef>
          </c:yVal>
          <c:smooth val="0"/>
          <c:extLst>
            <c:ext xmlns:c16="http://schemas.microsoft.com/office/drawing/2014/chart" uri="{C3380CC4-5D6E-409C-BE32-E72D297353CC}">
              <c16:uniqueId val="{00000005-7BE9-4E3B-B7DF-33AB0A0DBF0E}"/>
            </c:ext>
          </c:extLst>
        </c:ser>
        <c:dLbls>
          <c:showLegendKey val="0"/>
          <c:showVal val="0"/>
          <c:showCatName val="0"/>
          <c:showSerName val="0"/>
          <c:showPercent val="0"/>
          <c:showBubbleSize val="0"/>
        </c:dLbls>
        <c:axId val="625235152"/>
        <c:axId val="625237112"/>
      </c:scatterChart>
      <c:valAx>
        <c:axId val="625235152"/>
        <c:scaling>
          <c:orientation val="minMax"/>
          <c:max val="50"/>
        </c:scaling>
        <c:delete val="0"/>
        <c:axPos val="b"/>
        <c:numFmt formatCode="0" sourceLinked="1"/>
        <c:majorTickMark val="out"/>
        <c:minorTickMark val="none"/>
        <c:tickLblPos val="nextTo"/>
        <c:crossAx val="625237112"/>
        <c:crosses val="autoZero"/>
        <c:crossBetween val="midCat"/>
      </c:valAx>
      <c:valAx>
        <c:axId val="625237112"/>
        <c:scaling>
          <c:orientation val="minMax"/>
        </c:scaling>
        <c:delete val="0"/>
        <c:axPos val="l"/>
        <c:majorGridlines/>
        <c:numFmt formatCode="0.00" sourceLinked="1"/>
        <c:majorTickMark val="out"/>
        <c:minorTickMark val="none"/>
        <c:tickLblPos val="nextTo"/>
        <c:crossAx val="625235152"/>
        <c:crosses val="autoZero"/>
        <c:crossBetween val="midCat"/>
      </c:valAx>
    </c:plotArea>
    <c:plotVisOnly val="1"/>
    <c:dispBlanksAs val="gap"/>
    <c:showDLblsOverMax val="0"/>
  </c:chart>
  <c:spPr>
    <a:ln w="22225" cmpd="sng">
      <a:solidFill>
        <a:schemeClr val="tx1"/>
      </a:solidFill>
    </a:ln>
  </c:spPr>
  <c:printSettings>
    <c:headerFooter/>
    <c:pageMargins b="0.750000000000003" l="0.70000000000000062" r="0.70000000000000062" t="0.75000000000000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464536123596177E-2"/>
          <c:y val="3.5351304244051911E-2"/>
          <c:w val="0.91273351612370079"/>
          <c:h val="0.88488224171223828"/>
        </c:manualLayout>
      </c:layout>
      <c:scatterChart>
        <c:scatterStyle val="lineMarker"/>
        <c:varyColors val="0"/>
        <c:ser>
          <c:idx val="0"/>
          <c:order val="0"/>
          <c:tx>
            <c:strRef>
              <c:f>'Q Ash 1'!$N$5</c:f>
              <c:strCache>
                <c:ptCount val="1"/>
                <c:pt idx="0">
                  <c:v>Range Limit</c:v>
                </c:pt>
              </c:strCache>
            </c:strRef>
          </c:tx>
          <c:spPr>
            <a:ln w="28575">
              <a:solidFill>
                <a:srgbClr val="FF0000"/>
              </a:solidFill>
            </a:ln>
          </c:spPr>
          <c:marker>
            <c:symbol val="none"/>
          </c:marker>
          <c:xVal>
            <c:numRef>
              <c:f>'Q Ash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'Q Ash 1'!$N$6:$N$55</c:f>
              <c:numCache>
                <c:formatCode>0.000</c:formatCode>
                <c:ptCount val="50"/>
                <c:pt idx="0">
                  <c:v>0.44377142857142859</c:v>
                </c:pt>
                <c:pt idx="1">
                  <c:v>0.44377142857142859</c:v>
                </c:pt>
                <c:pt idx="2">
                  <c:v>0.44377142857142859</c:v>
                </c:pt>
                <c:pt idx="3">
                  <c:v>0.44377142857142859</c:v>
                </c:pt>
                <c:pt idx="4">
                  <c:v>0.44377142857142859</c:v>
                </c:pt>
                <c:pt idx="5">
                  <c:v>0.44377142857142859</c:v>
                </c:pt>
                <c:pt idx="6">
                  <c:v>0.44377142857142859</c:v>
                </c:pt>
                <c:pt idx="7">
                  <c:v>0.44377142857142859</c:v>
                </c:pt>
                <c:pt idx="8">
                  <c:v>0.44377142857142859</c:v>
                </c:pt>
                <c:pt idx="9">
                  <c:v>0.44377142857142859</c:v>
                </c:pt>
                <c:pt idx="10">
                  <c:v>0.44377142857142859</c:v>
                </c:pt>
                <c:pt idx="11">
                  <c:v>0.44377142857142859</c:v>
                </c:pt>
                <c:pt idx="12">
                  <c:v>0.44377142857142859</c:v>
                </c:pt>
                <c:pt idx="13">
                  <c:v>0.44377142857142859</c:v>
                </c:pt>
                <c:pt idx="14">
                  <c:v>0.44377142857142859</c:v>
                </c:pt>
                <c:pt idx="15">
                  <c:v>0.44377142857142859</c:v>
                </c:pt>
                <c:pt idx="16">
                  <c:v>0.44377142857142859</c:v>
                </c:pt>
                <c:pt idx="17">
                  <c:v>0.44377142857142859</c:v>
                </c:pt>
                <c:pt idx="18">
                  <c:v>0.44377142857142859</c:v>
                </c:pt>
                <c:pt idx="19">
                  <c:v>0.44377142857142859</c:v>
                </c:pt>
                <c:pt idx="20">
                  <c:v>0.44377142857142859</c:v>
                </c:pt>
                <c:pt idx="21">
                  <c:v>0.44377142857142859</c:v>
                </c:pt>
                <c:pt idx="22">
                  <c:v>0.44377142857142859</c:v>
                </c:pt>
                <c:pt idx="23">
                  <c:v>0.44377142857142859</c:v>
                </c:pt>
                <c:pt idx="24">
                  <c:v>0.44377142857142859</c:v>
                </c:pt>
                <c:pt idx="25">
                  <c:v>0.44377142857142859</c:v>
                </c:pt>
                <c:pt idx="26">
                  <c:v>0.44377142857142859</c:v>
                </c:pt>
                <c:pt idx="27">
                  <c:v>0.44377142857142859</c:v>
                </c:pt>
                <c:pt idx="28">
                  <c:v>0.44377142857142859</c:v>
                </c:pt>
                <c:pt idx="29">
                  <c:v>0.44377142857142859</c:v>
                </c:pt>
                <c:pt idx="30">
                  <c:v>0.44377142857142859</c:v>
                </c:pt>
                <c:pt idx="31">
                  <c:v>0.44377142857142859</c:v>
                </c:pt>
                <c:pt idx="32">
                  <c:v>0.44377142857142859</c:v>
                </c:pt>
                <c:pt idx="33">
                  <c:v>0.44377142857142859</c:v>
                </c:pt>
                <c:pt idx="34">
                  <c:v>0.44377142857142859</c:v>
                </c:pt>
                <c:pt idx="35">
                  <c:v>0.44377142857142859</c:v>
                </c:pt>
                <c:pt idx="36">
                  <c:v>0.44377142857142859</c:v>
                </c:pt>
                <c:pt idx="37">
                  <c:v>0.44377142857142859</c:v>
                </c:pt>
                <c:pt idx="38">
                  <c:v>0.44377142857142859</c:v>
                </c:pt>
                <c:pt idx="39">
                  <c:v>0.44377142857142859</c:v>
                </c:pt>
                <c:pt idx="40">
                  <c:v>0.44377142857142859</c:v>
                </c:pt>
                <c:pt idx="41">
                  <c:v>0.44377142857142859</c:v>
                </c:pt>
                <c:pt idx="42">
                  <c:v>0.44377142857142859</c:v>
                </c:pt>
                <c:pt idx="43">
                  <c:v>0.44377142857142859</c:v>
                </c:pt>
                <c:pt idx="44">
                  <c:v>0.44377142857142859</c:v>
                </c:pt>
                <c:pt idx="45">
                  <c:v>0.44377142857142859</c:v>
                </c:pt>
                <c:pt idx="46">
                  <c:v>0.44377142857142859</c:v>
                </c:pt>
                <c:pt idx="47">
                  <c:v>0.44377142857142859</c:v>
                </c:pt>
                <c:pt idx="48">
                  <c:v>0.44377142857142859</c:v>
                </c:pt>
                <c:pt idx="49">
                  <c:v>0.44377142857142859</c:v>
                </c:pt>
              </c:numCache>
            </c:numRef>
          </c:yVal>
          <c:smooth val="0"/>
          <c:extLst>
            <c:ext xmlns:c16="http://schemas.microsoft.com/office/drawing/2014/chart" uri="{C3380CC4-5D6E-409C-BE32-E72D297353CC}">
              <c16:uniqueId val="{00000000-F26C-452F-B224-75D64344BA88}"/>
            </c:ext>
          </c:extLst>
        </c:ser>
        <c:ser>
          <c:idx val="1"/>
          <c:order val="1"/>
          <c:tx>
            <c:strRef>
              <c:f>'Q Ash 1'!$H$5</c:f>
              <c:strCache>
                <c:ptCount val="1"/>
                <c:pt idx="0">
                  <c:v>Range (actual)</c:v>
                </c:pt>
              </c:strCache>
            </c:strRef>
          </c:tx>
          <c:spPr>
            <a:ln w="22225">
              <a:solidFill>
                <a:schemeClr val="tx2"/>
              </a:solidFill>
            </a:ln>
          </c:spPr>
          <c:marker>
            <c:symbol val="star"/>
            <c:size val="9"/>
            <c:spPr>
              <a:noFill/>
            </c:spPr>
          </c:marker>
          <c:xVal>
            <c:numRef>
              <c:f>'Q Ash 1'!$B$6:$B$55</c:f>
              <c:numCache>
                <c:formatCode>0</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'Q Ash 1'!$H$6:$H$55</c:f>
              <c:numCache>
                <c:formatCode>0.00</c:formatCode>
                <c:ptCount val="50"/>
                <c:pt idx="0">
                  <c:v>9.9999999999997868E-2</c:v>
                </c:pt>
                <c:pt idx="1">
                  <c:v>0.39999999999999858</c:v>
                </c:pt>
                <c:pt idx="2">
                  <c:v>0.30000000000000071</c:v>
                </c:pt>
                <c:pt idx="3">
                  <c:v>0.37999999999999901</c:v>
                </c:pt>
                <c:pt idx="4">
                  <c:v>5.0000000000000711E-2</c:v>
                </c:pt>
                <c:pt idx="5">
                  <c:v>0.19999999999999929</c:v>
                </c:pt>
                <c:pt idx="6">
                  <c:v>1.0000000000001563E-2</c:v>
                </c:pt>
                <c:pt idx="7">
                  <c:v>0.30000000000000071</c:v>
                </c:pt>
                <c:pt idx="8">
                  <c:v>0.37999999999999901</c:v>
                </c:pt>
                <c:pt idx="9">
                  <c:v>5.0000000000000711E-2</c:v>
                </c:pt>
                <c:pt idx="10">
                  <c:v>0.19999999999999929</c:v>
                </c:pt>
                <c:pt idx="11">
                  <c:v>1.0000000000001563E-2</c:v>
                </c:pt>
                <c:pt idx="12">
                  <c:v>1.9999999999999574E-2</c:v>
                </c:pt>
                <c:pt idx="13">
                  <c:v>0.19999999999999929</c:v>
                </c:pt>
                <c:pt idx="14">
                  <c:v>3.9999999999999147E-2</c:v>
                </c:pt>
                <c:pt idx="15">
                  <c:v>0</c:v>
                </c:pt>
                <c:pt idx="16">
                  <c:v>0</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numCache>
            </c:numRef>
          </c:yVal>
          <c:smooth val="0"/>
          <c:extLst>
            <c:ext xmlns:c16="http://schemas.microsoft.com/office/drawing/2014/chart" uri="{C3380CC4-5D6E-409C-BE32-E72D297353CC}">
              <c16:uniqueId val="{00000001-F26C-452F-B224-75D64344BA88}"/>
            </c:ext>
          </c:extLst>
        </c:ser>
        <c:dLbls>
          <c:showLegendKey val="0"/>
          <c:showVal val="0"/>
          <c:showCatName val="0"/>
          <c:showSerName val="0"/>
          <c:showPercent val="0"/>
          <c:showBubbleSize val="0"/>
        </c:dLbls>
        <c:axId val="625237504"/>
        <c:axId val="625235544"/>
      </c:scatterChart>
      <c:valAx>
        <c:axId val="625237504"/>
        <c:scaling>
          <c:orientation val="minMax"/>
          <c:max val="50"/>
        </c:scaling>
        <c:delete val="0"/>
        <c:axPos val="b"/>
        <c:numFmt formatCode="0" sourceLinked="1"/>
        <c:majorTickMark val="out"/>
        <c:minorTickMark val="none"/>
        <c:tickLblPos val="nextTo"/>
        <c:crossAx val="625235544"/>
        <c:crosses val="autoZero"/>
        <c:crossBetween val="midCat"/>
      </c:valAx>
      <c:valAx>
        <c:axId val="625235544"/>
        <c:scaling>
          <c:orientation val="minMax"/>
        </c:scaling>
        <c:delete val="0"/>
        <c:axPos val="l"/>
        <c:majorGridlines/>
        <c:numFmt formatCode="0.000" sourceLinked="1"/>
        <c:majorTickMark val="out"/>
        <c:minorTickMark val="none"/>
        <c:tickLblPos val="nextTo"/>
        <c:crossAx val="625237504"/>
        <c:crosses val="autoZero"/>
        <c:crossBetween val="midCat"/>
      </c:valAx>
    </c:plotArea>
    <c:plotVisOnly val="1"/>
    <c:dispBlanksAs val="gap"/>
    <c:showDLblsOverMax val="0"/>
  </c:chart>
  <c:spPr>
    <a:ln w="22225">
      <a:solidFill>
        <a:schemeClr val="tx1"/>
      </a:solidFill>
    </a:ln>
  </c:spPr>
  <c:printSettings>
    <c:headerFooter/>
    <c:pageMargins b="0.75000000000000211" l="0.70000000000000062" r="0.70000000000000062" t="0.750000000000002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75617134055829"/>
          <c:y val="0.11548098104254588"/>
          <c:w val="0.76055560822484303"/>
          <c:h val="0.60053896728255507"/>
        </c:manualLayout>
      </c:layout>
      <c:lineChart>
        <c:grouping val="standard"/>
        <c:varyColors val="0"/>
        <c:ser>
          <c:idx val="0"/>
          <c:order val="0"/>
          <c:tx>
            <c:strRef>
              <c:f>'Rule 1 Fail Examples'!$C$9</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Examples'!$C$10:$C$20</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B04D-43D8-BD6C-D94F10C9F5D5}"/>
            </c:ext>
          </c:extLst>
        </c:ser>
        <c:ser>
          <c:idx val="1"/>
          <c:order val="1"/>
          <c:tx>
            <c:strRef>
              <c:f>'Rule 1 Fail Examples'!$D$9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Examples'!$D$10:$D$20</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B04D-43D8-BD6C-D94F10C9F5D5}"/>
            </c:ext>
          </c:extLst>
        </c:ser>
        <c:ser>
          <c:idx val="2"/>
          <c:order val="2"/>
          <c:tx>
            <c:strRef>
              <c:f>'Rule 1 Fail Examples'!$E$9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Examples'!$E$10:$E$20</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B04D-43D8-BD6C-D94F10C9F5D5}"/>
            </c:ext>
          </c:extLst>
        </c:ser>
        <c:ser>
          <c:idx val="3"/>
          <c:order val="3"/>
          <c:tx>
            <c:strRef>
              <c:f>'Rule 1 Fail Examples'!$F$9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Examples'!$F$10:$F$20</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B04D-43D8-BD6C-D94F10C9F5D5}"/>
            </c:ext>
          </c:extLst>
        </c:ser>
        <c:ser>
          <c:idx val="4"/>
          <c:order val="4"/>
          <c:tx>
            <c:strRef>
              <c:f>'Rule 1 Fail Examples'!$G$9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Examples'!$G$10:$G$20</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B04D-43D8-BD6C-D94F10C9F5D5}"/>
            </c:ext>
          </c:extLst>
        </c:ser>
        <c:ser>
          <c:idx val="5"/>
          <c:order val="5"/>
          <c:tx>
            <c:strRef>
              <c:f>'Rule 1 Fail Examples'!$I$9</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Examples'!$I$10:$I$20</c:f>
              <c:numCache>
                <c:formatCode>General</c:formatCode>
                <c:ptCount val="11"/>
                <c:pt idx="0">
                  <c:v>26.4</c:v>
                </c:pt>
                <c:pt idx="1">
                  <c:v>26.35</c:v>
                </c:pt>
                <c:pt idx="2">
                  <c:v>26.23</c:v>
                </c:pt>
                <c:pt idx="3">
                  <c:v>26.41</c:v>
                </c:pt>
                <c:pt idx="4">
                  <c:v>26.37</c:v>
                </c:pt>
                <c:pt idx="5">
                  <c:v>25.88</c:v>
                </c:pt>
                <c:pt idx="6">
                  <c:v>26.26</c:v>
                </c:pt>
              </c:numCache>
            </c:numRef>
          </c:val>
          <c:smooth val="0"/>
          <c:extLst>
            <c:ext xmlns:c16="http://schemas.microsoft.com/office/drawing/2014/chart" uri="{C3380CC4-5D6E-409C-BE32-E72D297353CC}">
              <c16:uniqueId val="{00000005-B04D-43D8-BD6C-D94F10C9F5D5}"/>
            </c:ext>
          </c:extLst>
        </c:ser>
        <c:dLbls>
          <c:showLegendKey val="0"/>
          <c:showVal val="0"/>
          <c:showCatName val="0"/>
          <c:showSerName val="0"/>
          <c:showPercent val="0"/>
          <c:showBubbleSize val="0"/>
        </c:dLbls>
        <c:smooth val="0"/>
        <c:axId val="712234656"/>
        <c:axId val="712236224"/>
      </c:lineChart>
      <c:catAx>
        <c:axId val="712234656"/>
        <c:scaling>
          <c:orientation val="minMax"/>
        </c:scaling>
        <c:delete val="0"/>
        <c:axPos val="b"/>
        <c:numFmt formatCode="General" sourceLinked="1"/>
        <c:majorTickMark val="out"/>
        <c:minorTickMark val="none"/>
        <c:tickLblPos val="nextTo"/>
        <c:crossAx val="712236224"/>
        <c:crosses val="autoZero"/>
        <c:auto val="1"/>
        <c:lblAlgn val="ctr"/>
        <c:lblOffset val="100"/>
        <c:noMultiLvlLbl val="0"/>
      </c:catAx>
      <c:valAx>
        <c:axId val="712236224"/>
        <c:scaling>
          <c:orientation val="minMax"/>
        </c:scaling>
        <c:delete val="1"/>
        <c:axPos val="l"/>
        <c:numFmt formatCode="0.00" sourceLinked="1"/>
        <c:majorTickMark val="out"/>
        <c:minorTickMark val="none"/>
        <c:tickLblPos val="none"/>
        <c:crossAx val="712234656"/>
        <c:crosses val="autoZero"/>
        <c:crossBetween val="between"/>
      </c:valAx>
      <c:spPr>
        <a:ln cmpd="sng"/>
      </c:spPr>
    </c:plotArea>
    <c:plotVisOnly val="1"/>
    <c:dispBlanksAs val="gap"/>
    <c:showDLblsOverMax val="0"/>
  </c:chart>
  <c:spPr>
    <a:ln>
      <a:solidFill>
        <a:schemeClr val="accent1"/>
      </a:solidFill>
    </a:ln>
  </c:spPr>
  <c:printSettings>
    <c:headerFooter/>
    <c:pageMargins b="0.75000000000000411" l="0.70000000000000062" r="0.70000000000000062" t="0.75000000000000411" header="0.31496062992126406" footer="0.31496062992126406"/>
    <c:pageSetup orientation="landscape"/>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01392860841502"/>
          <c:y val="0.11881177508413122"/>
          <c:w val="0.75111111111111162"/>
          <c:h val="0.60053896728255507"/>
        </c:manualLayout>
      </c:layout>
      <c:lineChart>
        <c:grouping val="standard"/>
        <c:varyColors val="0"/>
        <c:ser>
          <c:idx val="0"/>
          <c:order val="0"/>
          <c:tx>
            <c:strRef>
              <c:f>'Rule 1 Fail Examples'!$C$9</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Examples'!$C$10:$C$20</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2288-4FC2-99BF-AF5F88A76141}"/>
            </c:ext>
          </c:extLst>
        </c:ser>
        <c:ser>
          <c:idx val="1"/>
          <c:order val="1"/>
          <c:tx>
            <c:strRef>
              <c:f>'Rule 1 Fail Examples'!$D$9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Examples'!$D$10:$D$20</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2288-4FC2-99BF-AF5F88A76141}"/>
            </c:ext>
          </c:extLst>
        </c:ser>
        <c:ser>
          <c:idx val="2"/>
          <c:order val="2"/>
          <c:tx>
            <c:strRef>
              <c:f>'Rule 1 Fail Examples'!$E$9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Examples'!$E$10:$E$20</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2288-4FC2-99BF-AF5F88A76141}"/>
            </c:ext>
          </c:extLst>
        </c:ser>
        <c:ser>
          <c:idx val="3"/>
          <c:order val="3"/>
          <c:tx>
            <c:strRef>
              <c:f>'Rule 1 Fail Examples'!$F$9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Examples'!$F$10:$F$20</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2288-4FC2-99BF-AF5F88A76141}"/>
            </c:ext>
          </c:extLst>
        </c:ser>
        <c:ser>
          <c:idx val="4"/>
          <c:order val="4"/>
          <c:tx>
            <c:strRef>
              <c:f>'Rule 1 Fail Examples'!$G$9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Examples'!$G$10:$G$20</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2288-4FC2-99BF-AF5F88A76141}"/>
            </c:ext>
          </c:extLst>
        </c:ser>
        <c:ser>
          <c:idx val="5"/>
          <c:order val="5"/>
          <c:tx>
            <c:strRef>
              <c:f>'Rule 1 Fail Examples'!$J$9</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Examples'!$J$10:$J$20</c:f>
              <c:numCache>
                <c:formatCode>General</c:formatCode>
                <c:ptCount val="11"/>
                <c:pt idx="0">
                  <c:v>26.4</c:v>
                </c:pt>
                <c:pt idx="1">
                  <c:v>26.35</c:v>
                </c:pt>
                <c:pt idx="2">
                  <c:v>26.23</c:v>
                </c:pt>
                <c:pt idx="3">
                  <c:v>26.41</c:v>
                </c:pt>
                <c:pt idx="4">
                  <c:v>26.37</c:v>
                </c:pt>
                <c:pt idx="5">
                  <c:v>25.88</c:v>
                </c:pt>
                <c:pt idx="6">
                  <c:v>25.78</c:v>
                </c:pt>
                <c:pt idx="7">
                  <c:v>26.1</c:v>
                </c:pt>
              </c:numCache>
            </c:numRef>
          </c:val>
          <c:smooth val="0"/>
          <c:extLst>
            <c:ext xmlns:c16="http://schemas.microsoft.com/office/drawing/2014/chart" uri="{C3380CC4-5D6E-409C-BE32-E72D297353CC}">
              <c16:uniqueId val="{00000005-2288-4FC2-99BF-AF5F88A76141}"/>
            </c:ext>
          </c:extLst>
        </c:ser>
        <c:dLbls>
          <c:showLegendKey val="0"/>
          <c:showVal val="0"/>
          <c:showCatName val="0"/>
          <c:showSerName val="0"/>
          <c:showPercent val="0"/>
          <c:showBubbleSize val="0"/>
        </c:dLbls>
        <c:smooth val="0"/>
        <c:axId val="712233872"/>
        <c:axId val="712235440"/>
      </c:lineChart>
      <c:catAx>
        <c:axId val="712233872"/>
        <c:scaling>
          <c:orientation val="minMax"/>
        </c:scaling>
        <c:delete val="0"/>
        <c:axPos val="b"/>
        <c:numFmt formatCode="General" sourceLinked="1"/>
        <c:majorTickMark val="out"/>
        <c:minorTickMark val="none"/>
        <c:tickLblPos val="nextTo"/>
        <c:crossAx val="712235440"/>
        <c:crosses val="autoZero"/>
        <c:auto val="1"/>
        <c:lblAlgn val="ctr"/>
        <c:lblOffset val="100"/>
        <c:noMultiLvlLbl val="0"/>
      </c:catAx>
      <c:valAx>
        <c:axId val="712235440"/>
        <c:scaling>
          <c:orientation val="minMax"/>
        </c:scaling>
        <c:delete val="1"/>
        <c:axPos val="l"/>
        <c:numFmt formatCode="0.00" sourceLinked="1"/>
        <c:majorTickMark val="out"/>
        <c:minorTickMark val="none"/>
        <c:tickLblPos val="none"/>
        <c:crossAx val="712233872"/>
        <c:crosses val="autoZero"/>
        <c:crossBetween val="between"/>
      </c:valAx>
      <c:spPr>
        <a:ln cmpd="sng"/>
      </c:spPr>
    </c:plotArea>
    <c:plotVisOnly val="1"/>
    <c:dispBlanksAs val="gap"/>
    <c:showDLblsOverMax val="0"/>
  </c:chart>
  <c:printSettings>
    <c:headerFooter/>
    <c:pageMargins b="0.75000000000000466" l="0.70000000000000062" r="0.70000000000000062" t="0.75000000000000466" header="0.30000000000000032" footer="0.30000000000000032"/>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0503047567789"/>
          <c:y val="0.15332006355266523"/>
          <c:w val="0.7393059037270675"/>
          <c:h val="0.57857898730725199"/>
        </c:manualLayout>
      </c:layout>
      <c:lineChart>
        <c:grouping val="standard"/>
        <c:varyColors val="0"/>
        <c:ser>
          <c:idx val="0"/>
          <c:order val="0"/>
          <c:tx>
            <c:strRef>
              <c:f>'Rule 1 Fail Examples'!$C$9</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Examples'!$C$10:$C$20</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6582-4815-B776-7C20780864E0}"/>
            </c:ext>
          </c:extLst>
        </c:ser>
        <c:ser>
          <c:idx val="1"/>
          <c:order val="1"/>
          <c:tx>
            <c:strRef>
              <c:f>'Rule 1 Fail Examples'!$D$9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Examples'!$D$10:$D$20</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6582-4815-B776-7C20780864E0}"/>
            </c:ext>
          </c:extLst>
        </c:ser>
        <c:ser>
          <c:idx val="2"/>
          <c:order val="2"/>
          <c:tx>
            <c:strRef>
              <c:f>'Rule 1 Fail Examples'!$E$9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Examples'!$E$10:$E$20</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6582-4815-B776-7C20780864E0}"/>
            </c:ext>
          </c:extLst>
        </c:ser>
        <c:ser>
          <c:idx val="3"/>
          <c:order val="3"/>
          <c:tx>
            <c:strRef>
              <c:f>'Rule 1 Fail Examples'!$F$9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Examples'!$F$10:$F$20</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6582-4815-B776-7C20780864E0}"/>
            </c:ext>
          </c:extLst>
        </c:ser>
        <c:ser>
          <c:idx val="4"/>
          <c:order val="4"/>
          <c:tx>
            <c:strRef>
              <c:f>'Rule 1 Fail Examples'!$G$9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Examples'!$G$10:$G$20</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6582-4815-B776-7C20780864E0}"/>
            </c:ext>
          </c:extLst>
        </c:ser>
        <c:ser>
          <c:idx val="5"/>
          <c:order val="5"/>
          <c:tx>
            <c:strRef>
              <c:f>'Rule 1 Fail Examples'!$K$9</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Examples'!$K$10:$K$20</c:f>
              <c:numCache>
                <c:formatCode>General</c:formatCode>
                <c:ptCount val="11"/>
                <c:pt idx="0">
                  <c:v>26.4</c:v>
                </c:pt>
                <c:pt idx="1">
                  <c:v>26.35</c:v>
                </c:pt>
                <c:pt idx="2">
                  <c:v>26.23</c:v>
                </c:pt>
                <c:pt idx="3">
                  <c:v>26.41</c:v>
                </c:pt>
                <c:pt idx="4">
                  <c:v>26.37</c:v>
                </c:pt>
                <c:pt idx="5">
                  <c:v>25.88</c:v>
                </c:pt>
                <c:pt idx="6">
                  <c:v>25.78</c:v>
                </c:pt>
                <c:pt idx="7">
                  <c:v>25.62</c:v>
                </c:pt>
                <c:pt idx="8">
                  <c:v>26.38</c:v>
                </c:pt>
              </c:numCache>
            </c:numRef>
          </c:val>
          <c:smooth val="0"/>
          <c:extLst>
            <c:ext xmlns:c16="http://schemas.microsoft.com/office/drawing/2014/chart" uri="{C3380CC4-5D6E-409C-BE32-E72D297353CC}">
              <c16:uniqueId val="{00000005-6582-4815-B776-7C20780864E0}"/>
            </c:ext>
          </c:extLst>
        </c:ser>
        <c:dLbls>
          <c:showLegendKey val="0"/>
          <c:showVal val="0"/>
          <c:showCatName val="0"/>
          <c:showSerName val="0"/>
          <c:showPercent val="0"/>
          <c:showBubbleSize val="0"/>
        </c:dLbls>
        <c:smooth val="0"/>
        <c:axId val="712234264"/>
        <c:axId val="712232696"/>
      </c:lineChart>
      <c:catAx>
        <c:axId val="712234264"/>
        <c:scaling>
          <c:orientation val="minMax"/>
        </c:scaling>
        <c:delete val="0"/>
        <c:axPos val="b"/>
        <c:numFmt formatCode="General" sourceLinked="1"/>
        <c:majorTickMark val="out"/>
        <c:minorTickMark val="none"/>
        <c:tickLblPos val="nextTo"/>
        <c:crossAx val="712232696"/>
        <c:crosses val="autoZero"/>
        <c:auto val="1"/>
        <c:lblAlgn val="ctr"/>
        <c:lblOffset val="100"/>
        <c:noMultiLvlLbl val="0"/>
      </c:catAx>
      <c:valAx>
        <c:axId val="712232696"/>
        <c:scaling>
          <c:orientation val="minMax"/>
        </c:scaling>
        <c:delete val="1"/>
        <c:axPos val="l"/>
        <c:numFmt formatCode="0.00" sourceLinked="1"/>
        <c:majorTickMark val="out"/>
        <c:minorTickMark val="none"/>
        <c:tickLblPos val="none"/>
        <c:crossAx val="712234264"/>
        <c:crosses val="autoZero"/>
        <c:crossBetween val="between"/>
      </c:valAx>
      <c:spPr>
        <a:ln cmpd="sng"/>
      </c:spPr>
    </c:plotArea>
    <c:plotVisOnly val="1"/>
    <c:dispBlanksAs val="gap"/>
    <c:showDLblsOverMax val="0"/>
  </c:chart>
  <c:printSettings>
    <c:headerFooter/>
    <c:pageMargins b="0.75000000000000488" l="0.70000000000000062" r="0.70000000000000062" t="0.75000000000000488"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90934639222299"/>
          <c:y val="0.11881181244082545"/>
          <c:w val="0.75504137484754663"/>
          <c:h val="0.60053896728255507"/>
        </c:manualLayout>
      </c:layout>
      <c:lineChart>
        <c:grouping val="standard"/>
        <c:varyColors val="0"/>
        <c:ser>
          <c:idx val="0"/>
          <c:order val="0"/>
          <c:tx>
            <c:strRef>
              <c:f>'Rule 1 Fail Examples'!$C$9</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Examples'!$C$10:$C$20</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2484-44AB-832A-173230573335}"/>
            </c:ext>
          </c:extLst>
        </c:ser>
        <c:ser>
          <c:idx val="1"/>
          <c:order val="1"/>
          <c:tx>
            <c:strRef>
              <c:f>'Rule 1 Fail Examples'!$D$9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Examples'!$D$10:$D$20</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2484-44AB-832A-173230573335}"/>
            </c:ext>
          </c:extLst>
        </c:ser>
        <c:ser>
          <c:idx val="2"/>
          <c:order val="2"/>
          <c:tx>
            <c:strRef>
              <c:f>'Rule 1 Fail Examples'!$E$9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Examples'!$E$10:$E$20</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2484-44AB-832A-173230573335}"/>
            </c:ext>
          </c:extLst>
        </c:ser>
        <c:ser>
          <c:idx val="3"/>
          <c:order val="3"/>
          <c:tx>
            <c:strRef>
              <c:f>'Rule 1 Fail Examples'!$F$9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Examples'!$F$10:$F$20</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2484-44AB-832A-173230573335}"/>
            </c:ext>
          </c:extLst>
        </c:ser>
        <c:ser>
          <c:idx val="4"/>
          <c:order val="4"/>
          <c:tx>
            <c:strRef>
              <c:f>'Rule 1 Fail Examples'!$G$9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Examples'!$G$10:$G$20</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2484-44AB-832A-173230573335}"/>
            </c:ext>
          </c:extLst>
        </c:ser>
        <c:ser>
          <c:idx val="5"/>
          <c:order val="5"/>
          <c:tx>
            <c:strRef>
              <c:f>'Rule 1 Fail Examples'!$L$9</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Examples'!$L$10:$L$20</c:f>
              <c:numCache>
                <c:formatCode>General</c:formatCode>
                <c:ptCount val="11"/>
                <c:pt idx="0">
                  <c:v>26.4</c:v>
                </c:pt>
                <c:pt idx="1">
                  <c:v>26.35</c:v>
                </c:pt>
                <c:pt idx="2">
                  <c:v>26.23</c:v>
                </c:pt>
                <c:pt idx="3">
                  <c:v>26.41</c:v>
                </c:pt>
                <c:pt idx="4">
                  <c:v>26.37</c:v>
                </c:pt>
                <c:pt idx="5">
                  <c:v>25.88</c:v>
                </c:pt>
                <c:pt idx="6">
                  <c:v>25.78</c:v>
                </c:pt>
                <c:pt idx="7">
                  <c:v>25.62</c:v>
                </c:pt>
                <c:pt idx="8">
                  <c:v>25.82</c:v>
                </c:pt>
              </c:numCache>
            </c:numRef>
          </c:val>
          <c:smooth val="0"/>
          <c:extLst>
            <c:ext xmlns:c16="http://schemas.microsoft.com/office/drawing/2014/chart" uri="{C3380CC4-5D6E-409C-BE32-E72D297353CC}">
              <c16:uniqueId val="{00000005-2484-44AB-832A-173230573335}"/>
            </c:ext>
          </c:extLst>
        </c:ser>
        <c:dLbls>
          <c:showLegendKey val="0"/>
          <c:showVal val="0"/>
          <c:showCatName val="0"/>
          <c:showSerName val="0"/>
          <c:showPercent val="0"/>
          <c:showBubbleSize val="0"/>
        </c:dLbls>
        <c:smooth val="0"/>
        <c:axId val="565693560"/>
        <c:axId val="565690816"/>
      </c:lineChart>
      <c:catAx>
        <c:axId val="565693560"/>
        <c:scaling>
          <c:orientation val="minMax"/>
        </c:scaling>
        <c:delete val="0"/>
        <c:axPos val="b"/>
        <c:numFmt formatCode="General" sourceLinked="1"/>
        <c:majorTickMark val="out"/>
        <c:minorTickMark val="none"/>
        <c:tickLblPos val="nextTo"/>
        <c:crossAx val="565690816"/>
        <c:crosses val="autoZero"/>
        <c:auto val="1"/>
        <c:lblAlgn val="ctr"/>
        <c:lblOffset val="100"/>
        <c:noMultiLvlLbl val="0"/>
      </c:catAx>
      <c:valAx>
        <c:axId val="565690816"/>
        <c:scaling>
          <c:orientation val="minMax"/>
        </c:scaling>
        <c:delete val="1"/>
        <c:axPos val="l"/>
        <c:numFmt formatCode="0.00" sourceLinked="1"/>
        <c:majorTickMark val="out"/>
        <c:minorTickMark val="none"/>
        <c:tickLblPos val="none"/>
        <c:crossAx val="565693560"/>
        <c:crosses val="autoZero"/>
        <c:crossBetween val="between"/>
      </c:valAx>
      <c:spPr>
        <a:ln cmpd="sng"/>
      </c:spPr>
    </c:plotArea>
    <c:plotVisOnly val="1"/>
    <c:dispBlanksAs val="gap"/>
    <c:showDLblsOverMax val="0"/>
  </c:chart>
  <c:printSettings>
    <c:headerFooter/>
    <c:pageMargins b="0.75000000000000533" l="0.70000000000000062" r="0.70000000000000062" t="0.75000000000000533" header="0.30000000000000032" footer="0.30000000000000032"/>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75617134055829"/>
          <c:y val="0.11548098104254588"/>
          <c:w val="0.74845064214301482"/>
          <c:h val="0.60053896728255507"/>
        </c:manualLayout>
      </c:layout>
      <c:lineChart>
        <c:grouping val="standard"/>
        <c:varyColors val="0"/>
        <c:ser>
          <c:idx val="0"/>
          <c:order val="0"/>
          <c:tx>
            <c:strRef>
              <c:f>'Rule 1 Fail Examples'!$C$9</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Examples'!$C$10:$C$20</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3799-43BE-AE45-8385063EC16C}"/>
            </c:ext>
          </c:extLst>
        </c:ser>
        <c:ser>
          <c:idx val="1"/>
          <c:order val="1"/>
          <c:tx>
            <c:strRef>
              <c:f>'Rule 1 Fail Examples'!$D$9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Examples'!$D$10:$D$20</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3799-43BE-AE45-8385063EC16C}"/>
            </c:ext>
          </c:extLst>
        </c:ser>
        <c:ser>
          <c:idx val="2"/>
          <c:order val="2"/>
          <c:tx>
            <c:strRef>
              <c:f>'Rule 1 Fail Examples'!$E$9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Examples'!$E$10:$E$20</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3799-43BE-AE45-8385063EC16C}"/>
            </c:ext>
          </c:extLst>
        </c:ser>
        <c:ser>
          <c:idx val="3"/>
          <c:order val="3"/>
          <c:tx>
            <c:strRef>
              <c:f>'Rule 1 Fail Examples'!$F$9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Examples'!$F$10:$F$20</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3799-43BE-AE45-8385063EC16C}"/>
            </c:ext>
          </c:extLst>
        </c:ser>
        <c:ser>
          <c:idx val="4"/>
          <c:order val="4"/>
          <c:tx>
            <c:strRef>
              <c:f>'Rule 1 Fail Examples'!$G$9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Examples'!$G$10:$G$20</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3799-43BE-AE45-8385063EC16C}"/>
            </c:ext>
          </c:extLst>
        </c:ser>
        <c:ser>
          <c:idx val="5"/>
          <c:order val="5"/>
          <c:tx>
            <c:strRef>
              <c:f>'Rule 1 Fail Examples'!$N$9</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Examples'!$N$10:$N$20</c:f>
              <c:numCache>
                <c:formatCode>0.00</c:formatCode>
                <c:ptCount val="11"/>
                <c:pt idx="0">
                  <c:v>26.4</c:v>
                </c:pt>
                <c:pt idx="1">
                  <c:v>26.35</c:v>
                </c:pt>
                <c:pt idx="2">
                  <c:v>26.23</c:v>
                </c:pt>
                <c:pt idx="3">
                  <c:v>26.41</c:v>
                </c:pt>
                <c:pt idx="4">
                  <c:v>26.1</c:v>
                </c:pt>
                <c:pt idx="5">
                  <c:v>26.65</c:v>
                </c:pt>
                <c:pt idx="6">
                  <c:v>26.46</c:v>
                </c:pt>
              </c:numCache>
            </c:numRef>
          </c:val>
          <c:smooth val="0"/>
          <c:extLst>
            <c:ext xmlns:c16="http://schemas.microsoft.com/office/drawing/2014/chart" uri="{C3380CC4-5D6E-409C-BE32-E72D297353CC}">
              <c16:uniqueId val="{00000005-3799-43BE-AE45-8385063EC16C}"/>
            </c:ext>
          </c:extLst>
        </c:ser>
        <c:dLbls>
          <c:showLegendKey val="0"/>
          <c:showVal val="0"/>
          <c:showCatName val="0"/>
          <c:showSerName val="0"/>
          <c:showPercent val="0"/>
          <c:showBubbleSize val="0"/>
        </c:dLbls>
        <c:smooth val="0"/>
        <c:axId val="565691992"/>
        <c:axId val="565693168"/>
      </c:lineChart>
      <c:catAx>
        <c:axId val="565691992"/>
        <c:scaling>
          <c:orientation val="minMax"/>
        </c:scaling>
        <c:delete val="0"/>
        <c:axPos val="b"/>
        <c:numFmt formatCode="General" sourceLinked="1"/>
        <c:majorTickMark val="out"/>
        <c:minorTickMark val="none"/>
        <c:tickLblPos val="nextTo"/>
        <c:crossAx val="565693168"/>
        <c:crosses val="autoZero"/>
        <c:auto val="1"/>
        <c:lblAlgn val="ctr"/>
        <c:lblOffset val="100"/>
        <c:noMultiLvlLbl val="0"/>
      </c:catAx>
      <c:valAx>
        <c:axId val="565693168"/>
        <c:scaling>
          <c:orientation val="minMax"/>
        </c:scaling>
        <c:delete val="1"/>
        <c:axPos val="l"/>
        <c:numFmt formatCode="0.00" sourceLinked="1"/>
        <c:majorTickMark val="out"/>
        <c:minorTickMark val="none"/>
        <c:tickLblPos val="none"/>
        <c:crossAx val="565691992"/>
        <c:crosses val="autoZero"/>
        <c:crossBetween val="between"/>
      </c:valAx>
      <c:spPr>
        <a:ln cmpd="sng"/>
      </c:spPr>
    </c:plotArea>
    <c:plotVisOnly val="1"/>
    <c:dispBlanksAs val="gap"/>
    <c:showDLblsOverMax val="0"/>
  </c:chart>
  <c:spPr>
    <a:ln>
      <a:solidFill>
        <a:schemeClr val="accent1"/>
      </a:solidFill>
    </a:ln>
  </c:spPr>
  <c:printSettings>
    <c:headerFooter/>
    <c:pageMargins b="0.75000000000000433" l="0.70000000000000062" r="0.70000000000000062" t="0.75000000000000433" header="0.31496062992126428" footer="0.31496062992126428"/>
    <c:pageSetup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01392860841502"/>
          <c:y val="0.11881177508413122"/>
          <c:w val="0.75111111111111162"/>
          <c:h val="0.60053896728255507"/>
        </c:manualLayout>
      </c:layout>
      <c:lineChart>
        <c:grouping val="standard"/>
        <c:varyColors val="0"/>
        <c:ser>
          <c:idx val="0"/>
          <c:order val="0"/>
          <c:tx>
            <c:strRef>
              <c:f>'Rule 1 Fail Examples'!$C$9</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Examples'!$C$10:$C$20</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CAFD-4DD6-A47F-93F75019BD2B}"/>
            </c:ext>
          </c:extLst>
        </c:ser>
        <c:ser>
          <c:idx val="1"/>
          <c:order val="1"/>
          <c:tx>
            <c:strRef>
              <c:f>'Rule 1 Fail Examples'!$D$9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Examples'!$D$10:$D$20</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CAFD-4DD6-A47F-93F75019BD2B}"/>
            </c:ext>
          </c:extLst>
        </c:ser>
        <c:ser>
          <c:idx val="2"/>
          <c:order val="2"/>
          <c:tx>
            <c:strRef>
              <c:f>'Rule 1 Fail Examples'!$E$9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Examples'!$E$10:$E$20</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CAFD-4DD6-A47F-93F75019BD2B}"/>
            </c:ext>
          </c:extLst>
        </c:ser>
        <c:ser>
          <c:idx val="3"/>
          <c:order val="3"/>
          <c:tx>
            <c:strRef>
              <c:f>'Rule 1 Fail Examples'!$F$9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Examples'!$F$10:$F$20</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CAFD-4DD6-A47F-93F75019BD2B}"/>
            </c:ext>
          </c:extLst>
        </c:ser>
        <c:ser>
          <c:idx val="4"/>
          <c:order val="4"/>
          <c:tx>
            <c:strRef>
              <c:f>'Rule 1 Fail Examples'!$G$9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Examples'!$G$10:$G$20</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CAFD-4DD6-A47F-93F75019BD2B}"/>
            </c:ext>
          </c:extLst>
        </c:ser>
        <c:ser>
          <c:idx val="5"/>
          <c:order val="5"/>
          <c:tx>
            <c:strRef>
              <c:f>'Rule 1 Fail Examples'!$O$9</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Examples'!$O$10:$O$20</c:f>
              <c:numCache>
                <c:formatCode>0.00</c:formatCode>
                <c:ptCount val="11"/>
                <c:pt idx="0">
                  <c:v>26.4</c:v>
                </c:pt>
                <c:pt idx="1">
                  <c:v>26.35</c:v>
                </c:pt>
                <c:pt idx="2">
                  <c:v>26.23</c:v>
                </c:pt>
                <c:pt idx="3">
                  <c:v>26.41</c:v>
                </c:pt>
                <c:pt idx="4">
                  <c:v>26.1</c:v>
                </c:pt>
                <c:pt idx="5">
                  <c:v>26.65</c:v>
                </c:pt>
                <c:pt idx="6">
                  <c:v>26.7</c:v>
                </c:pt>
                <c:pt idx="7">
                  <c:v>26.1</c:v>
                </c:pt>
              </c:numCache>
            </c:numRef>
          </c:val>
          <c:smooth val="0"/>
          <c:extLst>
            <c:ext xmlns:c16="http://schemas.microsoft.com/office/drawing/2014/chart" uri="{C3380CC4-5D6E-409C-BE32-E72D297353CC}">
              <c16:uniqueId val="{00000005-CAFD-4DD6-A47F-93F75019BD2B}"/>
            </c:ext>
          </c:extLst>
        </c:ser>
        <c:dLbls>
          <c:showLegendKey val="0"/>
          <c:showVal val="0"/>
          <c:showCatName val="0"/>
          <c:showSerName val="0"/>
          <c:showPercent val="0"/>
          <c:showBubbleSize val="0"/>
        </c:dLbls>
        <c:smooth val="0"/>
        <c:axId val="565691208"/>
        <c:axId val="565693952"/>
      </c:lineChart>
      <c:catAx>
        <c:axId val="565691208"/>
        <c:scaling>
          <c:orientation val="minMax"/>
        </c:scaling>
        <c:delete val="0"/>
        <c:axPos val="b"/>
        <c:numFmt formatCode="General" sourceLinked="1"/>
        <c:majorTickMark val="out"/>
        <c:minorTickMark val="none"/>
        <c:tickLblPos val="nextTo"/>
        <c:crossAx val="565693952"/>
        <c:crosses val="autoZero"/>
        <c:auto val="1"/>
        <c:lblAlgn val="ctr"/>
        <c:lblOffset val="100"/>
        <c:noMultiLvlLbl val="0"/>
      </c:catAx>
      <c:valAx>
        <c:axId val="565693952"/>
        <c:scaling>
          <c:orientation val="minMax"/>
        </c:scaling>
        <c:delete val="1"/>
        <c:axPos val="l"/>
        <c:numFmt formatCode="0.00" sourceLinked="1"/>
        <c:majorTickMark val="out"/>
        <c:minorTickMark val="none"/>
        <c:tickLblPos val="none"/>
        <c:crossAx val="565691208"/>
        <c:crosses val="autoZero"/>
        <c:crossBetween val="between"/>
      </c:valAx>
      <c:spPr>
        <a:ln cmpd="sng"/>
      </c:spPr>
    </c:plotArea>
    <c:plotVisOnly val="1"/>
    <c:dispBlanksAs val="gap"/>
    <c:showDLblsOverMax val="0"/>
  </c:chart>
  <c:printSettings>
    <c:headerFooter/>
    <c:pageMargins b="0.75000000000000488" l="0.70000000000000062" r="0.70000000000000062" t="0.75000000000000488" header="0.30000000000000032" footer="0.30000000000000032"/>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0503047567789"/>
          <c:y val="0.15332006355266534"/>
          <c:w val="0.75111111111111162"/>
          <c:h val="0.60053896728255507"/>
        </c:manualLayout>
      </c:layout>
      <c:lineChart>
        <c:grouping val="standard"/>
        <c:varyColors val="0"/>
        <c:ser>
          <c:idx val="6"/>
          <c:order val="6"/>
          <c:tx>
            <c:strRef>
              <c:f>'Rule 1 Fail Examples'!$C$9</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Examples'!$C$10:$C$20</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F57F-4CA4-8AB6-3AFB210AA1A9}"/>
            </c:ext>
          </c:extLst>
        </c:ser>
        <c:ser>
          <c:idx val="7"/>
          <c:order val="7"/>
          <c:tx>
            <c:strRef>
              <c:f>'Rule 1 Fail Examples'!$D$9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Examples'!$D$10:$D$20</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F57F-4CA4-8AB6-3AFB210AA1A9}"/>
            </c:ext>
          </c:extLst>
        </c:ser>
        <c:ser>
          <c:idx val="8"/>
          <c:order val="8"/>
          <c:tx>
            <c:strRef>
              <c:f>'Rule 1 Fail Examples'!$E$9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Examples'!$E$10:$E$20</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F57F-4CA4-8AB6-3AFB210AA1A9}"/>
            </c:ext>
          </c:extLst>
        </c:ser>
        <c:ser>
          <c:idx val="9"/>
          <c:order val="9"/>
          <c:tx>
            <c:strRef>
              <c:f>'Rule 1 Fail Examples'!$F$9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Examples'!$F$10:$F$20</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F57F-4CA4-8AB6-3AFB210AA1A9}"/>
            </c:ext>
          </c:extLst>
        </c:ser>
        <c:ser>
          <c:idx val="10"/>
          <c:order val="10"/>
          <c:tx>
            <c:strRef>
              <c:f>'Rule 1 Fail Examples'!$G$9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Examples'!$G$10:$G$20</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F57F-4CA4-8AB6-3AFB210AA1A9}"/>
            </c:ext>
          </c:extLst>
        </c:ser>
        <c:ser>
          <c:idx val="11"/>
          <c:order val="11"/>
          <c:tx>
            <c:strRef>
              <c:f>'Rule 1 Fail Examples'!$P$9</c:f>
              <c:strCache>
                <c:ptCount val="1"/>
                <c:pt idx="0">
                  <c:v>Results</c:v>
                </c:pt>
              </c:strCache>
            </c:strRef>
          </c:tx>
          <c:spPr>
            <a:ln w="19050">
              <a:solidFill>
                <a:schemeClr val="tx2"/>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Examples'!$P$10:$P$20</c:f>
              <c:numCache>
                <c:formatCode>0.00</c:formatCode>
                <c:ptCount val="11"/>
                <c:pt idx="0">
                  <c:v>26.4</c:v>
                </c:pt>
                <c:pt idx="1">
                  <c:v>26.35</c:v>
                </c:pt>
                <c:pt idx="2">
                  <c:v>26.23</c:v>
                </c:pt>
                <c:pt idx="3">
                  <c:v>26.41</c:v>
                </c:pt>
                <c:pt idx="4">
                  <c:v>26.1</c:v>
                </c:pt>
                <c:pt idx="5">
                  <c:v>26.65</c:v>
                </c:pt>
                <c:pt idx="6">
                  <c:v>26.7</c:v>
                </c:pt>
                <c:pt idx="7">
                  <c:v>26.63</c:v>
                </c:pt>
                <c:pt idx="8">
                  <c:v>26.35</c:v>
                </c:pt>
              </c:numCache>
            </c:numRef>
          </c:val>
          <c:smooth val="0"/>
          <c:extLst>
            <c:ext xmlns:c16="http://schemas.microsoft.com/office/drawing/2014/chart" uri="{C3380CC4-5D6E-409C-BE32-E72D297353CC}">
              <c16:uniqueId val="{00000005-F57F-4CA4-8AB6-3AFB210AA1A9}"/>
            </c:ext>
          </c:extLst>
        </c:ser>
        <c:ser>
          <c:idx val="0"/>
          <c:order val="0"/>
          <c:tx>
            <c:strRef>
              <c:f>'Rule 1 Fail Examples'!$C$9</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Examples'!$C$10:$C$20</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6-F57F-4CA4-8AB6-3AFB210AA1A9}"/>
            </c:ext>
          </c:extLst>
        </c:ser>
        <c:ser>
          <c:idx val="1"/>
          <c:order val="1"/>
          <c:tx>
            <c:strRef>
              <c:f>'Rule 1 Fail Examples'!$D$9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Examples'!$D$10:$D$20</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7-F57F-4CA4-8AB6-3AFB210AA1A9}"/>
            </c:ext>
          </c:extLst>
        </c:ser>
        <c:ser>
          <c:idx val="2"/>
          <c:order val="2"/>
          <c:tx>
            <c:strRef>
              <c:f>'Rule 1 Fail Examples'!$E$9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Examples'!$E$10:$E$20</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8-F57F-4CA4-8AB6-3AFB210AA1A9}"/>
            </c:ext>
          </c:extLst>
        </c:ser>
        <c:ser>
          <c:idx val="3"/>
          <c:order val="3"/>
          <c:tx>
            <c:strRef>
              <c:f>'Rule 1 Fail Examples'!$F$9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Examples'!$F$10:$F$20</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9-F57F-4CA4-8AB6-3AFB210AA1A9}"/>
            </c:ext>
          </c:extLst>
        </c:ser>
        <c:ser>
          <c:idx val="4"/>
          <c:order val="4"/>
          <c:tx>
            <c:strRef>
              <c:f>'Rule 1 Fail Examples'!$G$9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Examples'!$G$10:$G$20</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A-F57F-4CA4-8AB6-3AFB210AA1A9}"/>
            </c:ext>
          </c:extLst>
        </c:ser>
        <c:ser>
          <c:idx val="5"/>
          <c:order val="5"/>
          <c:tx>
            <c:strRef>
              <c:f>'Rule 1 Fail Examples'!$P$9</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Examples'!$P$10:$P$20</c:f>
              <c:numCache>
                <c:formatCode>0.00</c:formatCode>
                <c:ptCount val="11"/>
                <c:pt idx="0">
                  <c:v>26.4</c:v>
                </c:pt>
                <c:pt idx="1">
                  <c:v>26.35</c:v>
                </c:pt>
                <c:pt idx="2">
                  <c:v>26.23</c:v>
                </c:pt>
                <c:pt idx="3">
                  <c:v>26.41</c:v>
                </c:pt>
                <c:pt idx="4">
                  <c:v>26.1</c:v>
                </c:pt>
                <c:pt idx="5">
                  <c:v>26.65</c:v>
                </c:pt>
                <c:pt idx="6">
                  <c:v>26.7</c:v>
                </c:pt>
                <c:pt idx="7">
                  <c:v>26.63</c:v>
                </c:pt>
                <c:pt idx="8">
                  <c:v>26.35</c:v>
                </c:pt>
              </c:numCache>
            </c:numRef>
          </c:val>
          <c:smooth val="0"/>
          <c:extLst>
            <c:ext xmlns:c16="http://schemas.microsoft.com/office/drawing/2014/chart" uri="{C3380CC4-5D6E-409C-BE32-E72D297353CC}">
              <c16:uniqueId val="{0000000B-F57F-4CA4-8AB6-3AFB210AA1A9}"/>
            </c:ext>
          </c:extLst>
        </c:ser>
        <c:dLbls>
          <c:showLegendKey val="0"/>
          <c:showVal val="0"/>
          <c:showCatName val="0"/>
          <c:showSerName val="0"/>
          <c:showPercent val="0"/>
          <c:showBubbleSize val="0"/>
        </c:dLbls>
        <c:smooth val="0"/>
        <c:axId val="565690424"/>
        <c:axId val="714336192"/>
      </c:lineChart>
      <c:catAx>
        <c:axId val="565690424"/>
        <c:scaling>
          <c:orientation val="minMax"/>
        </c:scaling>
        <c:delete val="0"/>
        <c:axPos val="b"/>
        <c:numFmt formatCode="General" sourceLinked="1"/>
        <c:majorTickMark val="out"/>
        <c:minorTickMark val="none"/>
        <c:tickLblPos val="nextTo"/>
        <c:crossAx val="714336192"/>
        <c:crosses val="autoZero"/>
        <c:auto val="1"/>
        <c:lblAlgn val="ctr"/>
        <c:lblOffset val="100"/>
        <c:noMultiLvlLbl val="0"/>
      </c:catAx>
      <c:valAx>
        <c:axId val="714336192"/>
        <c:scaling>
          <c:orientation val="minMax"/>
        </c:scaling>
        <c:delete val="1"/>
        <c:axPos val="l"/>
        <c:numFmt formatCode="0.00" sourceLinked="1"/>
        <c:majorTickMark val="out"/>
        <c:minorTickMark val="none"/>
        <c:tickLblPos val="none"/>
        <c:crossAx val="565690424"/>
        <c:crosses val="autoZero"/>
        <c:crossBetween val="between"/>
      </c:valAx>
      <c:spPr>
        <a:ln cmpd="sng"/>
      </c:spPr>
    </c:plotArea>
    <c:plotVisOnly val="1"/>
    <c:dispBlanksAs val="gap"/>
    <c:showDLblsOverMax val="0"/>
  </c:chart>
  <c:printSettings>
    <c:headerFooter/>
    <c:pageMargins b="0.75000000000000533" l="0.70000000000000062" r="0.70000000000000062" t="0.75000000000000533" header="0.30000000000000032" footer="0.30000000000000032"/>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05025403934601"/>
          <c:y val="0.1627314307056599"/>
          <c:w val="0.75111111111111162"/>
          <c:h val="0.57230474253858954"/>
        </c:manualLayout>
      </c:layout>
      <c:lineChart>
        <c:grouping val="standard"/>
        <c:varyColors val="0"/>
        <c:ser>
          <c:idx val="0"/>
          <c:order val="0"/>
          <c:tx>
            <c:strRef>
              <c:f>'Rule 1 Fail Examples'!$C$9</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Examples'!$C$10:$C$20</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9D5B-46C1-90A0-A1619628D499}"/>
            </c:ext>
          </c:extLst>
        </c:ser>
        <c:ser>
          <c:idx val="1"/>
          <c:order val="1"/>
          <c:tx>
            <c:strRef>
              <c:f>'Rule 1 Fail Examples'!$D$9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Examples'!$D$10:$D$20</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9D5B-46C1-90A0-A1619628D499}"/>
            </c:ext>
          </c:extLst>
        </c:ser>
        <c:ser>
          <c:idx val="2"/>
          <c:order val="2"/>
          <c:tx>
            <c:strRef>
              <c:f>'Rule 1 Fail Examples'!$E$9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Examples'!$E$10:$E$20</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9D5B-46C1-90A0-A1619628D499}"/>
            </c:ext>
          </c:extLst>
        </c:ser>
        <c:ser>
          <c:idx val="3"/>
          <c:order val="3"/>
          <c:tx>
            <c:strRef>
              <c:f>'Rule 1 Fail Examples'!$F$9</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Examples'!$F$10:$F$20</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9D5B-46C1-90A0-A1619628D499}"/>
            </c:ext>
          </c:extLst>
        </c:ser>
        <c:ser>
          <c:idx val="4"/>
          <c:order val="4"/>
          <c:tx>
            <c:strRef>
              <c:f>'Rule 1 Fail Examples'!$G$9</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Examples'!$G$10:$G$20</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9D5B-46C1-90A0-A1619628D499}"/>
            </c:ext>
          </c:extLst>
        </c:ser>
        <c:ser>
          <c:idx val="5"/>
          <c:order val="5"/>
          <c:tx>
            <c:strRef>
              <c:f>'Rule 1 Fail Examples'!$Q$9</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1 Fail Examples'!$Q$10:$Q$20</c:f>
              <c:numCache>
                <c:formatCode>0.00</c:formatCode>
                <c:ptCount val="11"/>
                <c:pt idx="0">
                  <c:v>26.4</c:v>
                </c:pt>
                <c:pt idx="1">
                  <c:v>26.35</c:v>
                </c:pt>
                <c:pt idx="2">
                  <c:v>26.23</c:v>
                </c:pt>
                <c:pt idx="3">
                  <c:v>26.41</c:v>
                </c:pt>
                <c:pt idx="4">
                  <c:v>26.1</c:v>
                </c:pt>
                <c:pt idx="5">
                  <c:v>26.65</c:v>
                </c:pt>
                <c:pt idx="6">
                  <c:v>26.7</c:v>
                </c:pt>
                <c:pt idx="7">
                  <c:v>26.63</c:v>
                </c:pt>
                <c:pt idx="8">
                  <c:v>26.7</c:v>
                </c:pt>
              </c:numCache>
            </c:numRef>
          </c:val>
          <c:smooth val="0"/>
          <c:extLst>
            <c:ext xmlns:c16="http://schemas.microsoft.com/office/drawing/2014/chart" uri="{C3380CC4-5D6E-409C-BE32-E72D297353CC}">
              <c16:uniqueId val="{00000005-9D5B-46C1-90A0-A1619628D499}"/>
            </c:ext>
          </c:extLst>
        </c:ser>
        <c:dLbls>
          <c:showLegendKey val="0"/>
          <c:showVal val="0"/>
          <c:showCatName val="0"/>
          <c:showSerName val="0"/>
          <c:showPercent val="0"/>
          <c:showBubbleSize val="0"/>
        </c:dLbls>
        <c:smooth val="0"/>
        <c:axId val="714336584"/>
        <c:axId val="714335800"/>
      </c:lineChart>
      <c:catAx>
        <c:axId val="714336584"/>
        <c:scaling>
          <c:orientation val="minMax"/>
        </c:scaling>
        <c:delete val="0"/>
        <c:axPos val="b"/>
        <c:numFmt formatCode="General" sourceLinked="1"/>
        <c:majorTickMark val="out"/>
        <c:minorTickMark val="none"/>
        <c:tickLblPos val="nextTo"/>
        <c:crossAx val="714335800"/>
        <c:crosses val="autoZero"/>
        <c:auto val="1"/>
        <c:lblAlgn val="ctr"/>
        <c:lblOffset val="100"/>
        <c:noMultiLvlLbl val="0"/>
      </c:catAx>
      <c:valAx>
        <c:axId val="714335800"/>
        <c:scaling>
          <c:orientation val="minMax"/>
        </c:scaling>
        <c:delete val="1"/>
        <c:axPos val="l"/>
        <c:numFmt formatCode="0.00" sourceLinked="1"/>
        <c:majorTickMark val="out"/>
        <c:minorTickMark val="none"/>
        <c:tickLblPos val="none"/>
        <c:crossAx val="714336584"/>
        <c:crosses val="autoZero"/>
        <c:crossBetween val="between"/>
      </c:valAx>
      <c:spPr>
        <a:ln cmpd="sng"/>
      </c:spPr>
    </c:plotArea>
    <c:plotVisOnly val="1"/>
    <c:dispBlanksAs val="gap"/>
    <c:showDLblsOverMax val="0"/>
  </c:chart>
  <c:printSettings>
    <c:headerFooter/>
    <c:pageMargins b="0.75000000000000533" l="0.70000000000000062" r="0.70000000000000062" t="0.75000000000000533" header="0.30000000000000032" footer="0.30000000000000032"/>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75617134055829"/>
          <c:y val="0.11548098104254588"/>
          <c:w val="0.76055560822484325"/>
          <c:h val="0.60053896728255507"/>
        </c:manualLayout>
      </c:layout>
      <c:lineChart>
        <c:grouping val="standard"/>
        <c:varyColors val="0"/>
        <c:ser>
          <c:idx val="0"/>
          <c:order val="0"/>
          <c:tx>
            <c:strRef>
              <c:f>'Rule 2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B151-437C-A3B6-C8B28DA9485D}"/>
            </c:ext>
          </c:extLst>
        </c:ser>
        <c:ser>
          <c:idx val="1"/>
          <c:order val="1"/>
          <c:tx>
            <c:strRef>
              <c:f>'Rule 2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B151-437C-A3B6-C8B28DA9485D}"/>
            </c:ext>
          </c:extLst>
        </c:ser>
        <c:ser>
          <c:idx val="2"/>
          <c:order val="2"/>
          <c:tx>
            <c:strRef>
              <c:f>'Rule 2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B151-437C-A3B6-C8B28DA9485D}"/>
            </c:ext>
          </c:extLst>
        </c:ser>
        <c:ser>
          <c:idx val="3"/>
          <c:order val="3"/>
          <c:tx>
            <c:strRef>
              <c:f>'Rule 2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B151-437C-A3B6-C8B28DA9485D}"/>
            </c:ext>
          </c:extLst>
        </c:ser>
        <c:ser>
          <c:idx val="4"/>
          <c:order val="4"/>
          <c:tx>
            <c:strRef>
              <c:f>'Rule 2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B151-437C-A3B6-C8B28DA9485D}"/>
            </c:ext>
          </c:extLst>
        </c:ser>
        <c:ser>
          <c:idx val="5"/>
          <c:order val="5"/>
          <c:tx>
            <c:strRef>
              <c:f>'Rule 2 Fail Examples'!$I$7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Examples'!$I$8:$I$18</c:f>
              <c:numCache>
                <c:formatCode>General</c:formatCode>
                <c:ptCount val="11"/>
                <c:pt idx="0">
                  <c:v>26.4</c:v>
                </c:pt>
                <c:pt idx="1">
                  <c:v>26.35</c:v>
                </c:pt>
                <c:pt idx="2">
                  <c:v>26.23</c:v>
                </c:pt>
                <c:pt idx="3">
                  <c:v>26.41</c:v>
                </c:pt>
                <c:pt idx="4">
                  <c:v>26.22</c:v>
                </c:pt>
                <c:pt idx="5">
                  <c:v>25.94</c:v>
                </c:pt>
                <c:pt idx="6">
                  <c:v>26.12</c:v>
                </c:pt>
                <c:pt idx="7">
                  <c:v>25.94</c:v>
                </c:pt>
                <c:pt idx="8">
                  <c:v>26.55</c:v>
                </c:pt>
              </c:numCache>
            </c:numRef>
          </c:val>
          <c:smooth val="0"/>
          <c:extLst>
            <c:ext xmlns:c16="http://schemas.microsoft.com/office/drawing/2014/chart" uri="{C3380CC4-5D6E-409C-BE32-E72D297353CC}">
              <c16:uniqueId val="{00000005-B151-437C-A3B6-C8B28DA9485D}"/>
            </c:ext>
          </c:extLst>
        </c:ser>
        <c:dLbls>
          <c:showLegendKey val="0"/>
          <c:showVal val="0"/>
          <c:showCatName val="0"/>
          <c:showSerName val="0"/>
          <c:showPercent val="0"/>
          <c:showBubbleSize val="0"/>
        </c:dLbls>
        <c:smooth val="0"/>
        <c:axId val="693772768"/>
        <c:axId val="693773552"/>
      </c:lineChart>
      <c:catAx>
        <c:axId val="693772768"/>
        <c:scaling>
          <c:orientation val="minMax"/>
        </c:scaling>
        <c:delete val="0"/>
        <c:axPos val="b"/>
        <c:numFmt formatCode="General" sourceLinked="1"/>
        <c:majorTickMark val="out"/>
        <c:minorTickMark val="none"/>
        <c:tickLblPos val="nextTo"/>
        <c:crossAx val="693773552"/>
        <c:crosses val="autoZero"/>
        <c:auto val="1"/>
        <c:lblAlgn val="ctr"/>
        <c:lblOffset val="100"/>
        <c:noMultiLvlLbl val="0"/>
      </c:catAx>
      <c:valAx>
        <c:axId val="693773552"/>
        <c:scaling>
          <c:orientation val="minMax"/>
        </c:scaling>
        <c:delete val="1"/>
        <c:axPos val="l"/>
        <c:numFmt formatCode="0.00" sourceLinked="1"/>
        <c:majorTickMark val="out"/>
        <c:minorTickMark val="none"/>
        <c:tickLblPos val="none"/>
        <c:crossAx val="693772768"/>
        <c:crosses val="autoZero"/>
        <c:crossBetween val="between"/>
      </c:valAx>
      <c:spPr>
        <a:ln cmpd="sng"/>
      </c:spPr>
    </c:plotArea>
    <c:plotVisOnly val="1"/>
    <c:dispBlanksAs val="gap"/>
    <c:showDLblsOverMax val="0"/>
  </c:chart>
  <c:spPr>
    <a:ln>
      <a:solidFill>
        <a:schemeClr val="accent1"/>
      </a:solidFill>
    </a:ln>
  </c:spPr>
  <c:printSettings>
    <c:headerFooter/>
    <c:pageMargins b="0.75000000000000433" l="0.70000000000000062" r="0.70000000000000062" t="0.75000000000000433" header="0.31496062992126428" footer="0.31496062992126428"/>
    <c:pageSetup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01392860841502"/>
          <c:y val="0.11881177508413122"/>
          <c:w val="0.75111111111111162"/>
          <c:h val="0.60053896728255507"/>
        </c:manualLayout>
      </c:layout>
      <c:lineChart>
        <c:grouping val="standard"/>
        <c:varyColors val="0"/>
        <c:ser>
          <c:idx val="0"/>
          <c:order val="0"/>
          <c:tx>
            <c:strRef>
              <c:f>'Rule 2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1ACA-4D72-B8A6-DE44767317DA}"/>
            </c:ext>
          </c:extLst>
        </c:ser>
        <c:ser>
          <c:idx val="1"/>
          <c:order val="1"/>
          <c:tx>
            <c:strRef>
              <c:f>'Rule 2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1ACA-4D72-B8A6-DE44767317DA}"/>
            </c:ext>
          </c:extLst>
        </c:ser>
        <c:ser>
          <c:idx val="2"/>
          <c:order val="2"/>
          <c:tx>
            <c:strRef>
              <c:f>'Rule 2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1ACA-4D72-B8A6-DE44767317DA}"/>
            </c:ext>
          </c:extLst>
        </c:ser>
        <c:ser>
          <c:idx val="3"/>
          <c:order val="3"/>
          <c:tx>
            <c:strRef>
              <c:f>'Rule 2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1ACA-4D72-B8A6-DE44767317DA}"/>
            </c:ext>
          </c:extLst>
        </c:ser>
        <c:ser>
          <c:idx val="4"/>
          <c:order val="4"/>
          <c:tx>
            <c:strRef>
              <c:f>'Rule 2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1ACA-4D72-B8A6-DE44767317DA}"/>
            </c:ext>
          </c:extLst>
        </c:ser>
        <c:ser>
          <c:idx val="5"/>
          <c:order val="5"/>
          <c:tx>
            <c:strRef>
              <c:f>'Rule 2 Fail Examples'!$J$7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Examples'!$J$8:$J$18</c:f>
              <c:numCache>
                <c:formatCode>General</c:formatCode>
                <c:ptCount val="11"/>
                <c:pt idx="0">
                  <c:v>26.4</c:v>
                </c:pt>
                <c:pt idx="1">
                  <c:v>26.35</c:v>
                </c:pt>
                <c:pt idx="2">
                  <c:v>26.23</c:v>
                </c:pt>
                <c:pt idx="3">
                  <c:v>26.41</c:v>
                </c:pt>
                <c:pt idx="4">
                  <c:v>26.22</c:v>
                </c:pt>
                <c:pt idx="5">
                  <c:v>25.94</c:v>
                </c:pt>
                <c:pt idx="6">
                  <c:v>26.12</c:v>
                </c:pt>
                <c:pt idx="7">
                  <c:v>25.94</c:v>
                </c:pt>
                <c:pt idx="8">
                  <c:v>25.91</c:v>
                </c:pt>
                <c:pt idx="9">
                  <c:v>26.33</c:v>
                </c:pt>
              </c:numCache>
            </c:numRef>
          </c:val>
          <c:smooth val="0"/>
          <c:extLst>
            <c:ext xmlns:c16="http://schemas.microsoft.com/office/drawing/2014/chart" uri="{C3380CC4-5D6E-409C-BE32-E72D297353CC}">
              <c16:uniqueId val="{00000005-1ACA-4D72-B8A6-DE44767317DA}"/>
            </c:ext>
          </c:extLst>
        </c:ser>
        <c:dLbls>
          <c:showLegendKey val="0"/>
          <c:showVal val="0"/>
          <c:showCatName val="0"/>
          <c:showSerName val="0"/>
          <c:showPercent val="0"/>
          <c:showBubbleSize val="0"/>
        </c:dLbls>
        <c:smooth val="0"/>
        <c:axId val="693773944"/>
        <c:axId val="693772376"/>
      </c:lineChart>
      <c:catAx>
        <c:axId val="693773944"/>
        <c:scaling>
          <c:orientation val="minMax"/>
        </c:scaling>
        <c:delete val="0"/>
        <c:axPos val="b"/>
        <c:numFmt formatCode="General" sourceLinked="1"/>
        <c:majorTickMark val="out"/>
        <c:minorTickMark val="none"/>
        <c:tickLblPos val="nextTo"/>
        <c:crossAx val="693772376"/>
        <c:crosses val="autoZero"/>
        <c:auto val="1"/>
        <c:lblAlgn val="ctr"/>
        <c:lblOffset val="100"/>
        <c:noMultiLvlLbl val="0"/>
      </c:catAx>
      <c:valAx>
        <c:axId val="693772376"/>
        <c:scaling>
          <c:orientation val="minMax"/>
        </c:scaling>
        <c:delete val="1"/>
        <c:axPos val="l"/>
        <c:numFmt formatCode="0.00" sourceLinked="1"/>
        <c:majorTickMark val="out"/>
        <c:minorTickMark val="none"/>
        <c:tickLblPos val="none"/>
        <c:crossAx val="693773944"/>
        <c:crosses val="autoZero"/>
        <c:crossBetween val="between"/>
      </c:valAx>
      <c:spPr>
        <a:ln cmpd="sng"/>
      </c:spPr>
    </c:plotArea>
    <c:plotVisOnly val="1"/>
    <c:dispBlanksAs val="gap"/>
    <c:showDLblsOverMax val="0"/>
  </c:chart>
  <c:printSettings>
    <c:headerFooter/>
    <c:pageMargins b="0.75000000000000488" l="0.70000000000000062" r="0.70000000000000062" t="0.75000000000000488" header="0.30000000000000032" footer="0.30000000000000032"/>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0503047567789"/>
          <c:y val="0.15332006355266528"/>
          <c:w val="0.7393059037270675"/>
          <c:h val="0.57857898730725177"/>
        </c:manualLayout>
      </c:layout>
      <c:lineChart>
        <c:grouping val="standard"/>
        <c:varyColors val="0"/>
        <c:ser>
          <c:idx val="0"/>
          <c:order val="0"/>
          <c:tx>
            <c:strRef>
              <c:f>'Rule 2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47D9-4232-BA60-B06FD28E620F}"/>
            </c:ext>
          </c:extLst>
        </c:ser>
        <c:ser>
          <c:idx val="1"/>
          <c:order val="1"/>
          <c:tx>
            <c:strRef>
              <c:f>'Rule 2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47D9-4232-BA60-B06FD28E620F}"/>
            </c:ext>
          </c:extLst>
        </c:ser>
        <c:ser>
          <c:idx val="2"/>
          <c:order val="2"/>
          <c:tx>
            <c:strRef>
              <c:f>'Rule 2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47D9-4232-BA60-B06FD28E620F}"/>
            </c:ext>
          </c:extLst>
        </c:ser>
        <c:ser>
          <c:idx val="3"/>
          <c:order val="3"/>
          <c:tx>
            <c:strRef>
              <c:f>'Rule 2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47D9-4232-BA60-B06FD28E620F}"/>
            </c:ext>
          </c:extLst>
        </c:ser>
        <c:ser>
          <c:idx val="4"/>
          <c:order val="4"/>
          <c:tx>
            <c:strRef>
              <c:f>'Rule 2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47D9-4232-BA60-B06FD28E620F}"/>
            </c:ext>
          </c:extLst>
        </c:ser>
        <c:ser>
          <c:idx val="5"/>
          <c:order val="5"/>
          <c:tx>
            <c:strRef>
              <c:f>'Rule 2 Fail Examples'!$K$7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Examples'!$K$8:$K$18</c:f>
              <c:numCache>
                <c:formatCode>General</c:formatCode>
                <c:ptCount val="11"/>
                <c:pt idx="0">
                  <c:v>26.4</c:v>
                </c:pt>
                <c:pt idx="1">
                  <c:v>26.35</c:v>
                </c:pt>
                <c:pt idx="2">
                  <c:v>26.23</c:v>
                </c:pt>
                <c:pt idx="3">
                  <c:v>26.41</c:v>
                </c:pt>
                <c:pt idx="4">
                  <c:v>26.22</c:v>
                </c:pt>
                <c:pt idx="5">
                  <c:v>25.94</c:v>
                </c:pt>
                <c:pt idx="6">
                  <c:v>26.12</c:v>
                </c:pt>
                <c:pt idx="7">
                  <c:v>25.94</c:v>
                </c:pt>
                <c:pt idx="8">
                  <c:v>25.91</c:v>
                </c:pt>
                <c:pt idx="9">
                  <c:v>25.94</c:v>
                </c:pt>
                <c:pt idx="10">
                  <c:v>26.33</c:v>
                </c:pt>
              </c:numCache>
            </c:numRef>
          </c:val>
          <c:smooth val="0"/>
          <c:extLst>
            <c:ext xmlns:c16="http://schemas.microsoft.com/office/drawing/2014/chart" uri="{C3380CC4-5D6E-409C-BE32-E72D297353CC}">
              <c16:uniqueId val="{00000005-47D9-4232-BA60-B06FD28E620F}"/>
            </c:ext>
          </c:extLst>
        </c:ser>
        <c:dLbls>
          <c:showLegendKey val="0"/>
          <c:showVal val="0"/>
          <c:showCatName val="0"/>
          <c:showSerName val="0"/>
          <c:showPercent val="0"/>
          <c:showBubbleSize val="0"/>
        </c:dLbls>
        <c:smooth val="0"/>
        <c:axId val="561126360"/>
        <c:axId val="561127536"/>
      </c:lineChart>
      <c:catAx>
        <c:axId val="561126360"/>
        <c:scaling>
          <c:orientation val="minMax"/>
        </c:scaling>
        <c:delete val="0"/>
        <c:axPos val="b"/>
        <c:numFmt formatCode="General" sourceLinked="1"/>
        <c:majorTickMark val="out"/>
        <c:minorTickMark val="none"/>
        <c:tickLblPos val="nextTo"/>
        <c:crossAx val="561127536"/>
        <c:crosses val="autoZero"/>
        <c:auto val="1"/>
        <c:lblAlgn val="ctr"/>
        <c:lblOffset val="100"/>
        <c:noMultiLvlLbl val="0"/>
      </c:catAx>
      <c:valAx>
        <c:axId val="561127536"/>
        <c:scaling>
          <c:orientation val="minMax"/>
        </c:scaling>
        <c:delete val="1"/>
        <c:axPos val="l"/>
        <c:numFmt formatCode="0.00" sourceLinked="1"/>
        <c:majorTickMark val="out"/>
        <c:minorTickMark val="none"/>
        <c:tickLblPos val="none"/>
        <c:crossAx val="561126360"/>
        <c:crosses val="autoZero"/>
        <c:crossBetween val="between"/>
      </c:valAx>
      <c:spPr>
        <a:ln cmpd="sng"/>
      </c:spPr>
    </c:plotArea>
    <c:plotVisOnly val="1"/>
    <c:dispBlanksAs val="gap"/>
    <c:showDLblsOverMax val="0"/>
  </c:chart>
  <c:printSettings>
    <c:headerFooter/>
    <c:pageMargins b="0.75000000000000511" l="0.70000000000000062" r="0.70000000000000062" t="0.75000000000000511" header="0.30000000000000032" footer="0.30000000000000032"/>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9093463922231"/>
          <c:y val="0.11881181244082545"/>
          <c:w val="0.75504137484754663"/>
          <c:h val="0.60053896728255507"/>
        </c:manualLayout>
      </c:layout>
      <c:lineChart>
        <c:grouping val="standard"/>
        <c:varyColors val="0"/>
        <c:ser>
          <c:idx val="0"/>
          <c:order val="0"/>
          <c:tx>
            <c:strRef>
              <c:f>'Rule 2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D81A-4D2B-91FF-9F28440A0D40}"/>
            </c:ext>
          </c:extLst>
        </c:ser>
        <c:ser>
          <c:idx val="1"/>
          <c:order val="1"/>
          <c:tx>
            <c:strRef>
              <c:f>'Rule 2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D81A-4D2B-91FF-9F28440A0D40}"/>
            </c:ext>
          </c:extLst>
        </c:ser>
        <c:ser>
          <c:idx val="2"/>
          <c:order val="2"/>
          <c:tx>
            <c:strRef>
              <c:f>'Rule 2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D81A-4D2B-91FF-9F28440A0D40}"/>
            </c:ext>
          </c:extLst>
        </c:ser>
        <c:ser>
          <c:idx val="3"/>
          <c:order val="3"/>
          <c:tx>
            <c:strRef>
              <c:f>'Rule 2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D81A-4D2B-91FF-9F28440A0D40}"/>
            </c:ext>
          </c:extLst>
        </c:ser>
        <c:ser>
          <c:idx val="4"/>
          <c:order val="4"/>
          <c:tx>
            <c:strRef>
              <c:f>'Rule 2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D81A-4D2B-91FF-9F28440A0D40}"/>
            </c:ext>
          </c:extLst>
        </c:ser>
        <c:ser>
          <c:idx val="5"/>
          <c:order val="5"/>
          <c:tx>
            <c:strRef>
              <c:f>'Rule 2 Fail Examples'!$L$7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Examples'!$L$8:$L$18</c:f>
              <c:numCache>
                <c:formatCode>General</c:formatCode>
                <c:ptCount val="11"/>
                <c:pt idx="0">
                  <c:v>26.4</c:v>
                </c:pt>
                <c:pt idx="1">
                  <c:v>26.35</c:v>
                </c:pt>
                <c:pt idx="2">
                  <c:v>26.23</c:v>
                </c:pt>
                <c:pt idx="3">
                  <c:v>26.41</c:v>
                </c:pt>
                <c:pt idx="4">
                  <c:v>26.22</c:v>
                </c:pt>
                <c:pt idx="5">
                  <c:v>25.94</c:v>
                </c:pt>
                <c:pt idx="6">
                  <c:v>26.12</c:v>
                </c:pt>
                <c:pt idx="7">
                  <c:v>25.94</c:v>
                </c:pt>
                <c:pt idx="8">
                  <c:v>25.91</c:v>
                </c:pt>
                <c:pt idx="9" formatCode="0.00">
                  <c:v>25.94</c:v>
                </c:pt>
                <c:pt idx="10" formatCode="0.00">
                  <c:v>25.9</c:v>
                </c:pt>
              </c:numCache>
            </c:numRef>
          </c:val>
          <c:smooth val="0"/>
          <c:extLst>
            <c:ext xmlns:c16="http://schemas.microsoft.com/office/drawing/2014/chart" uri="{C3380CC4-5D6E-409C-BE32-E72D297353CC}">
              <c16:uniqueId val="{00000005-D81A-4D2B-91FF-9F28440A0D40}"/>
            </c:ext>
          </c:extLst>
        </c:ser>
        <c:dLbls>
          <c:showLegendKey val="0"/>
          <c:showVal val="0"/>
          <c:showCatName val="0"/>
          <c:showSerName val="0"/>
          <c:showPercent val="0"/>
          <c:showBubbleSize val="0"/>
        </c:dLbls>
        <c:smooth val="0"/>
        <c:axId val="561127144"/>
        <c:axId val="422748000"/>
      </c:lineChart>
      <c:catAx>
        <c:axId val="561127144"/>
        <c:scaling>
          <c:orientation val="minMax"/>
        </c:scaling>
        <c:delete val="0"/>
        <c:axPos val="b"/>
        <c:numFmt formatCode="General" sourceLinked="1"/>
        <c:majorTickMark val="out"/>
        <c:minorTickMark val="none"/>
        <c:tickLblPos val="nextTo"/>
        <c:crossAx val="422748000"/>
        <c:crosses val="autoZero"/>
        <c:auto val="1"/>
        <c:lblAlgn val="ctr"/>
        <c:lblOffset val="100"/>
        <c:noMultiLvlLbl val="0"/>
      </c:catAx>
      <c:valAx>
        <c:axId val="422748000"/>
        <c:scaling>
          <c:orientation val="minMax"/>
        </c:scaling>
        <c:delete val="1"/>
        <c:axPos val="l"/>
        <c:numFmt formatCode="0.00" sourceLinked="1"/>
        <c:majorTickMark val="out"/>
        <c:minorTickMark val="none"/>
        <c:tickLblPos val="none"/>
        <c:crossAx val="561127144"/>
        <c:crosses val="autoZero"/>
        <c:crossBetween val="between"/>
      </c:valAx>
      <c:spPr>
        <a:ln cmpd="sng"/>
      </c:spPr>
    </c:plotArea>
    <c:plotVisOnly val="1"/>
    <c:dispBlanksAs val="gap"/>
    <c:showDLblsOverMax val="0"/>
  </c:chart>
  <c:printSettings>
    <c:headerFooter/>
    <c:pageMargins b="0.75000000000000555" l="0.70000000000000062" r="0.70000000000000062" t="0.75000000000000555" header="0.30000000000000032" footer="0.30000000000000032"/>
    <c:pageSetup/>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75617134055829"/>
          <c:y val="0.11548098104254588"/>
          <c:w val="0.74845064214301504"/>
          <c:h val="0.60053896728255507"/>
        </c:manualLayout>
      </c:layout>
      <c:lineChart>
        <c:grouping val="standard"/>
        <c:varyColors val="0"/>
        <c:ser>
          <c:idx val="0"/>
          <c:order val="0"/>
          <c:tx>
            <c:strRef>
              <c:f>'Rule 2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A763-4F4B-BB40-1233E6FCC57A}"/>
            </c:ext>
          </c:extLst>
        </c:ser>
        <c:ser>
          <c:idx val="1"/>
          <c:order val="1"/>
          <c:tx>
            <c:strRef>
              <c:f>'Rule 2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A763-4F4B-BB40-1233E6FCC57A}"/>
            </c:ext>
          </c:extLst>
        </c:ser>
        <c:ser>
          <c:idx val="2"/>
          <c:order val="2"/>
          <c:tx>
            <c:strRef>
              <c:f>'Rule 2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A763-4F4B-BB40-1233E6FCC57A}"/>
            </c:ext>
          </c:extLst>
        </c:ser>
        <c:ser>
          <c:idx val="3"/>
          <c:order val="3"/>
          <c:tx>
            <c:strRef>
              <c:f>'Rule 2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A763-4F4B-BB40-1233E6FCC57A}"/>
            </c:ext>
          </c:extLst>
        </c:ser>
        <c:ser>
          <c:idx val="4"/>
          <c:order val="4"/>
          <c:tx>
            <c:strRef>
              <c:f>'Rule 2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A763-4F4B-BB40-1233E6FCC57A}"/>
            </c:ext>
          </c:extLst>
        </c:ser>
        <c:ser>
          <c:idx val="5"/>
          <c:order val="5"/>
          <c:tx>
            <c:strRef>
              <c:f>'Rule 2 Fail Examples'!$N$7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Examples'!$N$8:$N$18</c:f>
              <c:numCache>
                <c:formatCode>0.00</c:formatCode>
                <c:ptCount val="11"/>
                <c:pt idx="0">
                  <c:v>26.4</c:v>
                </c:pt>
                <c:pt idx="1">
                  <c:v>26.35</c:v>
                </c:pt>
                <c:pt idx="2">
                  <c:v>26.23</c:v>
                </c:pt>
                <c:pt idx="3">
                  <c:v>26.41</c:v>
                </c:pt>
                <c:pt idx="4">
                  <c:v>26.37</c:v>
                </c:pt>
                <c:pt idx="5">
                  <c:v>26.54</c:v>
                </c:pt>
                <c:pt idx="6">
                  <c:v>26.26</c:v>
                </c:pt>
                <c:pt idx="7">
                  <c:v>26.55</c:v>
                </c:pt>
                <c:pt idx="8">
                  <c:v>26.22</c:v>
                </c:pt>
              </c:numCache>
            </c:numRef>
          </c:val>
          <c:smooth val="0"/>
          <c:extLst>
            <c:ext xmlns:c16="http://schemas.microsoft.com/office/drawing/2014/chart" uri="{C3380CC4-5D6E-409C-BE32-E72D297353CC}">
              <c16:uniqueId val="{00000005-A763-4F4B-BB40-1233E6FCC57A}"/>
            </c:ext>
          </c:extLst>
        </c:ser>
        <c:dLbls>
          <c:showLegendKey val="0"/>
          <c:showVal val="0"/>
          <c:showCatName val="0"/>
          <c:showSerName val="0"/>
          <c:showPercent val="0"/>
          <c:showBubbleSize val="0"/>
        </c:dLbls>
        <c:smooth val="0"/>
        <c:axId val="422747216"/>
        <c:axId val="422748392"/>
      </c:lineChart>
      <c:catAx>
        <c:axId val="422747216"/>
        <c:scaling>
          <c:orientation val="minMax"/>
        </c:scaling>
        <c:delete val="0"/>
        <c:axPos val="b"/>
        <c:numFmt formatCode="General" sourceLinked="1"/>
        <c:majorTickMark val="out"/>
        <c:minorTickMark val="none"/>
        <c:tickLblPos val="nextTo"/>
        <c:crossAx val="422748392"/>
        <c:crosses val="autoZero"/>
        <c:auto val="1"/>
        <c:lblAlgn val="ctr"/>
        <c:lblOffset val="100"/>
        <c:noMultiLvlLbl val="0"/>
      </c:catAx>
      <c:valAx>
        <c:axId val="422748392"/>
        <c:scaling>
          <c:orientation val="minMax"/>
        </c:scaling>
        <c:delete val="1"/>
        <c:axPos val="l"/>
        <c:numFmt formatCode="0.00" sourceLinked="1"/>
        <c:majorTickMark val="out"/>
        <c:minorTickMark val="none"/>
        <c:tickLblPos val="none"/>
        <c:crossAx val="422747216"/>
        <c:crosses val="autoZero"/>
        <c:crossBetween val="between"/>
      </c:valAx>
      <c:spPr>
        <a:ln cmpd="sng"/>
      </c:spPr>
    </c:plotArea>
    <c:plotVisOnly val="1"/>
    <c:dispBlanksAs val="gap"/>
    <c:showDLblsOverMax val="0"/>
  </c:chart>
  <c:spPr>
    <a:ln>
      <a:solidFill>
        <a:schemeClr val="accent1"/>
      </a:solidFill>
    </a:ln>
  </c:spPr>
  <c:printSettings>
    <c:headerFooter/>
    <c:pageMargins b="0.75000000000000455" l="0.70000000000000062" r="0.70000000000000062" t="0.75000000000000455" header="0.3149606299212645" footer="0.3149606299212645"/>
    <c:pageSetup orientation="landscape"/>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01392860841502"/>
          <c:y val="0.11881177508413122"/>
          <c:w val="0.75111111111111162"/>
          <c:h val="0.60053896728255507"/>
        </c:manualLayout>
      </c:layout>
      <c:lineChart>
        <c:grouping val="standard"/>
        <c:varyColors val="0"/>
        <c:ser>
          <c:idx val="0"/>
          <c:order val="0"/>
          <c:tx>
            <c:strRef>
              <c:f>'Rule 2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E0F5-4B25-8D18-342FC0795D5A}"/>
            </c:ext>
          </c:extLst>
        </c:ser>
        <c:ser>
          <c:idx val="1"/>
          <c:order val="1"/>
          <c:tx>
            <c:strRef>
              <c:f>'Rule 2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E0F5-4B25-8D18-342FC0795D5A}"/>
            </c:ext>
          </c:extLst>
        </c:ser>
        <c:ser>
          <c:idx val="2"/>
          <c:order val="2"/>
          <c:tx>
            <c:strRef>
              <c:f>'Rule 2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E0F5-4B25-8D18-342FC0795D5A}"/>
            </c:ext>
          </c:extLst>
        </c:ser>
        <c:ser>
          <c:idx val="3"/>
          <c:order val="3"/>
          <c:tx>
            <c:strRef>
              <c:f>'Rule 2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E0F5-4B25-8D18-342FC0795D5A}"/>
            </c:ext>
          </c:extLst>
        </c:ser>
        <c:ser>
          <c:idx val="4"/>
          <c:order val="4"/>
          <c:tx>
            <c:strRef>
              <c:f>'Rule 2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E0F5-4B25-8D18-342FC0795D5A}"/>
            </c:ext>
          </c:extLst>
        </c:ser>
        <c:ser>
          <c:idx val="5"/>
          <c:order val="5"/>
          <c:tx>
            <c:strRef>
              <c:f>'Rule 2 Fail Examples'!$O$7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Examples'!$O$8:$O$18</c:f>
              <c:numCache>
                <c:formatCode>0.00</c:formatCode>
                <c:ptCount val="11"/>
                <c:pt idx="0">
                  <c:v>26.4</c:v>
                </c:pt>
                <c:pt idx="1">
                  <c:v>26.35</c:v>
                </c:pt>
                <c:pt idx="2">
                  <c:v>26.23</c:v>
                </c:pt>
                <c:pt idx="3">
                  <c:v>26.41</c:v>
                </c:pt>
                <c:pt idx="4">
                  <c:v>26.37</c:v>
                </c:pt>
                <c:pt idx="5">
                  <c:v>26.54</c:v>
                </c:pt>
                <c:pt idx="6">
                  <c:v>26.26</c:v>
                </c:pt>
                <c:pt idx="7">
                  <c:v>26.55</c:v>
                </c:pt>
                <c:pt idx="8">
                  <c:v>26.58</c:v>
                </c:pt>
                <c:pt idx="9">
                  <c:v>26.33</c:v>
                </c:pt>
              </c:numCache>
            </c:numRef>
          </c:val>
          <c:smooth val="0"/>
          <c:extLst>
            <c:ext xmlns:c16="http://schemas.microsoft.com/office/drawing/2014/chart" uri="{C3380CC4-5D6E-409C-BE32-E72D297353CC}">
              <c16:uniqueId val="{00000005-E0F5-4B25-8D18-342FC0795D5A}"/>
            </c:ext>
          </c:extLst>
        </c:ser>
        <c:dLbls>
          <c:showLegendKey val="0"/>
          <c:showVal val="0"/>
          <c:showCatName val="0"/>
          <c:showSerName val="0"/>
          <c:showPercent val="0"/>
          <c:showBubbleSize val="0"/>
        </c:dLbls>
        <c:smooth val="0"/>
        <c:axId val="615710648"/>
        <c:axId val="615711040"/>
      </c:lineChart>
      <c:catAx>
        <c:axId val="615710648"/>
        <c:scaling>
          <c:orientation val="minMax"/>
        </c:scaling>
        <c:delete val="0"/>
        <c:axPos val="b"/>
        <c:numFmt formatCode="General" sourceLinked="1"/>
        <c:majorTickMark val="out"/>
        <c:minorTickMark val="none"/>
        <c:tickLblPos val="nextTo"/>
        <c:crossAx val="615711040"/>
        <c:crosses val="autoZero"/>
        <c:auto val="1"/>
        <c:lblAlgn val="ctr"/>
        <c:lblOffset val="100"/>
        <c:noMultiLvlLbl val="0"/>
      </c:catAx>
      <c:valAx>
        <c:axId val="615711040"/>
        <c:scaling>
          <c:orientation val="minMax"/>
        </c:scaling>
        <c:delete val="1"/>
        <c:axPos val="l"/>
        <c:numFmt formatCode="0.00" sourceLinked="1"/>
        <c:majorTickMark val="out"/>
        <c:minorTickMark val="none"/>
        <c:tickLblPos val="none"/>
        <c:crossAx val="615710648"/>
        <c:crosses val="autoZero"/>
        <c:crossBetween val="between"/>
      </c:valAx>
      <c:spPr>
        <a:ln cmpd="sng"/>
      </c:spPr>
    </c:plotArea>
    <c:plotVisOnly val="1"/>
    <c:dispBlanksAs val="gap"/>
    <c:showDLblsOverMax val="0"/>
  </c:chart>
  <c:printSettings>
    <c:headerFooter/>
    <c:pageMargins b="0.75000000000000511" l="0.70000000000000062" r="0.70000000000000062" t="0.75000000000000511" header="0.30000000000000032" footer="0.30000000000000032"/>
    <c:pageSetup/>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0503047567789"/>
          <c:y val="0.15332006355266539"/>
          <c:w val="0.75111111111111162"/>
          <c:h val="0.5809934651185279"/>
        </c:manualLayout>
      </c:layout>
      <c:lineChart>
        <c:grouping val="standard"/>
        <c:varyColors val="0"/>
        <c:ser>
          <c:idx val="6"/>
          <c:order val="6"/>
          <c:tx>
            <c:strRef>
              <c:f>'Rule 2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2E78-4DDF-90AA-920E60D5F6A1}"/>
            </c:ext>
          </c:extLst>
        </c:ser>
        <c:ser>
          <c:idx val="7"/>
          <c:order val="7"/>
          <c:tx>
            <c:strRef>
              <c:f>'Rule 2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2E78-4DDF-90AA-920E60D5F6A1}"/>
            </c:ext>
          </c:extLst>
        </c:ser>
        <c:ser>
          <c:idx val="8"/>
          <c:order val="8"/>
          <c:tx>
            <c:strRef>
              <c:f>'Rule 2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2E78-4DDF-90AA-920E60D5F6A1}"/>
            </c:ext>
          </c:extLst>
        </c:ser>
        <c:ser>
          <c:idx val="9"/>
          <c:order val="9"/>
          <c:tx>
            <c:strRef>
              <c:f>'Rule 2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2E78-4DDF-90AA-920E60D5F6A1}"/>
            </c:ext>
          </c:extLst>
        </c:ser>
        <c:ser>
          <c:idx val="10"/>
          <c:order val="10"/>
          <c:tx>
            <c:strRef>
              <c:f>'Rule 2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2E78-4DDF-90AA-920E60D5F6A1}"/>
            </c:ext>
          </c:extLst>
        </c:ser>
        <c:ser>
          <c:idx val="11"/>
          <c:order val="11"/>
          <c:tx>
            <c:strRef>
              <c:f>'Rule 2 Fail Examples'!$P$7</c:f>
              <c:strCache>
                <c:ptCount val="1"/>
                <c:pt idx="0">
                  <c:v>Results</c:v>
                </c:pt>
              </c:strCache>
            </c:strRef>
          </c:tx>
          <c:spPr>
            <a:ln w="19050">
              <a:solidFill>
                <a:schemeClr val="tx2"/>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Examples'!$P$8:$P$18</c:f>
              <c:numCache>
                <c:formatCode>0.00</c:formatCode>
                <c:ptCount val="11"/>
                <c:pt idx="0">
                  <c:v>26.4</c:v>
                </c:pt>
                <c:pt idx="1">
                  <c:v>26.35</c:v>
                </c:pt>
                <c:pt idx="2">
                  <c:v>26.23</c:v>
                </c:pt>
                <c:pt idx="3">
                  <c:v>26.41</c:v>
                </c:pt>
                <c:pt idx="4">
                  <c:v>26.37</c:v>
                </c:pt>
                <c:pt idx="5">
                  <c:v>26.54</c:v>
                </c:pt>
                <c:pt idx="6">
                  <c:v>26.26</c:v>
                </c:pt>
                <c:pt idx="7">
                  <c:v>26.55</c:v>
                </c:pt>
                <c:pt idx="8">
                  <c:v>26.58</c:v>
                </c:pt>
                <c:pt idx="9">
                  <c:v>26.55</c:v>
                </c:pt>
                <c:pt idx="10">
                  <c:v>26.33</c:v>
                </c:pt>
              </c:numCache>
            </c:numRef>
          </c:val>
          <c:smooth val="0"/>
          <c:extLst>
            <c:ext xmlns:c16="http://schemas.microsoft.com/office/drawing/2014/chart" uri="{C3380CC4-5D6E-409C-BE32-E72D297353CC}">
              <c16:uniqueId val="{00000005-2E78-4DDF-90AA-920E60D5F6A1}"/>
            </c:ext>
          </c:extLst>
        </c:ser>
        <c:ser>
          <c:idx val="0"/>
          <c:order val="0"/>
          <c:tx>
            <c:strRef>
              <c:f>'Rule 2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6-2E78-4DDF-90AA-920E60D5F6A1}"/>
            </c:ext>
          </c:extLst>
        </c:ser>
        <c:ser>
          <c:idx val="1"/>
          <c:order val="1"/>
          <c:tx>
            <c:strRef>
              <c:f>'Rule 2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7-2E78-4DDF-90AA-920E60D5F6A1}"/>
            </c:ext>
          </c:extLst>
        </c:ser>
        <c:ser>
          <c:idx val="2"/>
          <c:order val="2"/>
          <c:tx>
            <c:strRef>
              <c:f>'Rule 2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8-2E78-4DDF-90AA-920E60D5F6A1}"/>
            </c:ext>
          </c:extLst>
        </c:ser>
        <c:ser>
          <c:idx val="3"/>
          <c:order val="3"/>
          <c:tx>
            <c:strRef>
              <c:f>'Rule 2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9-2E78-4DDF-90AA-920E60D5F6A1}"/>
            </c:ext>
          </c:extLst>
        </c:ser>
        <c:ser>
          <c:idx val="4"/>
          <c:order val="4"/>
          <c:tx>
            <c:strRef>
              <c:f>'Rule 2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A-2E78-4DDF-90AA-920E60D5F6A1}"/>
            </c:ext>
          </c:extLst>
        </c:ser>
        <c:ser>
          <c:idx val="5"/>
          <c:order val="5"/>
          <c:tx>
            <c:strRef>
              <c:f>'Rule 2 Fail Examples'!$P$7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Examples'!$P$8:$P$18</c:f>
              <c:numCache>
                <c:formatCode>0.00</c:formatCode>
                <c:ptCount val="11"/>
                <c:pt idx="0">
                  <c:v>26.4</c:v>
                </c:pt>
                <c:pt idx="1">
                  <c:v>26.35</c:v>
                </c:pt>
                <c:pt idx="2">
                  <c:v>26.23</c:v>
                </c:pt>
                <c:pt idx="3">
                  <c:v>26.41</c:v>
                </c:pt>
                <c:pt idx="4">
                  <c:v>26.37</c:v>
                </c:pt>
                <c:pt idx="5">
                  <c:v>26.54</c:v>
                </c:pt>
                <c:pt idx="6">
                  <c:v>26.26</c:v>
                </c:pt>
                <c:pt idx="7">
                  <c:v>26.55</c:v>
                </c:pt>
                <c:pt idx="8">
                  <c:v>26.58</c:v>
                </c:pt>
                <c:pt idx="9">
                  <c:v>26.55</c:v>
                </c:pt>
                <c:pt idx="10">
                  <c:v>26.33</c:v>
                </c:pt>
              </c:numCache>
            </c:numRef>
          </c:val>
          <c:smooth val="0"/>
          <c:extLst>
            <c:ext xmlns:c16="http://schemas.microsoft.com/office/drawing/2014/chart" uri="{C3380CC4-5D6E-409C-BE32-E72D297353CC}">
              <c16:uniqueId val="{0000000B-2E78-4DDF-90AA-920E60D5F6A1}"/>
            </c:ext>
          </c:extLst>
        </c:ser>
        <c:dLbls>
          <c:showLegendKey val="0"/>
          <c:showVal val="0"/>
          <c:showCatName val="0"/>
          <c:showSerName val="0"/>
          <c:showPercent val="0"/>
          <c:showBubbleSize val="0"/>
        </c:dLbls>
        <c:smooth val="0"/>
        <c:axId val="615709864"/>
        <c:axId val="615710256"/>
      </c:lineChart>
      <c:catAx>
        <c:axId val="615709864"/>
        <c:scaling>
          <c:orientation val="minMax"/>
        </c:scaling>
        <c:delete val="0"/>
        <c:axPos val="b"/>
        <c:numFmt formatCode="General" sourceLinked="1"/>
        <c:majorTickMark val="out"/>
        <c:minorTickMark val="none"/>
        <c:tickLblPos val="nextTo"/>
        <c:crossAx val="615710256"/>
        <c:crosses val="autoZero"/>
        <c:auto val="1"/>
        <c:lblAlgn val="ctr"/>
        <c:lblOffset val="100"/>
        <c:noMultiLvlLbl val="0"/>
      </c:catAx>
      <c:valAx>
        <c:axId val="615710256"/>
        <c:scaling>
          <c:orientation val="minMax"/>
        </c:scaling>
        <c:delete val="1"/>
        <c:axPos val="l"/>
        <c:numFmt formatCode="0.00" sourceLinked="1"/>
        <c:majorTickMark val="out"/>
        <c:minorTickMark val="none"/>
        <c:tickLblPos val="none"/>
        <c:crossAx val="615709864"/>
        <c:crosses val="autoZero"/>
        <c:crossBetween val="between"/>
      </c:valAx>
      <c:spPr>
        <a:ln cmpd="sng"/>
      </c:spPr>
    </c:plotArea>
    <c:plotVisOnly val="1"/>
    <c:dispBlanksAs val="gap"/>
    <c:showDLblsOverMax val="0"/>
  </c:chart>
  <c:printSettings>
    <c:headerFooter/>
    <c:pageMargins b="0.75000000000000555" l="0.70000000000000062" r="0.70000000000000062" t="0.75000000000000555" header="0.30000000000000032" footer="0.30000000000000032"/>
    <c:pageSetup/>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05025403934601"/>
          <c:y val="0.1627314307056599"/>
          <c:w val="0.75111111111111162"/>
          <c:h val="0.57230474253858998"/>
        </c:manualLayout>
      </c:layout>
      <c:lineChart>
        <c:grouping val="standard"/>
        <c:varyColors val="0"/>
        <c:ser>
          <c:idx val="0"/>
          <c:order val="0"/>
          <c:tx>
            <c:strRef>
              <c:f>'Rule 2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078B-4CAC-B2E0-DBF35F1E51AF}"/>
            </c:ext>
          </c:extLst>
        </c:ser>
        <c:ser>
          <c:idx val="1"/>
          <c:order val="1"/>
          <c:tx>
            <c:strRef>
              <c:f>'Rule 2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078B-4CAC-B2E0-DBF35F1E51AF}"/>
            </c:ext>
          </c:extLst>
        </c:ser>
        <c:ser>
          <c:idx val="2"/>
          <c:order val="2"/>
          <c:tx>
            <c:strRef>
              <c:f>'Rule 2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078B-4CAC-B2E0-DBF35F1E51AF}"/>
            </c:ext>
          </c:extLst>
        </c:ser>
        <c:ser>
          <c:idx val="3"/>
          <c:order val="3"/>
          <c:tx>
            <c:strRef>
              <c:f>'Rule 2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078B-4CAC-B2E0-DBF35F1E51AF}"/>
            </c:ext>
          </c:extLst>
        </c:ser>
        <c:ser>
          <c:idx val="4"/>
          <c:order val="4"/>
          <c:tx>
            <c:strRef>
              <c:f>'Rule 2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078B-4CAC-B2E0-DBF35F1E51AF}"/>
            </c:ext>
          </c:extLst>
        </c:ser>
        <c:ser>
          <c:idx val="5"/>
          <c:order val="5"/>
          <c:tx>
            <c:strRef>
              <c:f>'Rule 2 Fail Examples'!$Q$7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2 Fail Examples'!$Q$8:$Q$18</c:f>
              <c:numCache>
                <c:formatCode>0.00</c:formatCode>
                <c:ptCount val="11"/>
                <c:pt idx="0">
                  <c:v>26.4</c:v>
                </c:pt>
                <c:pt idx="1">
                  <c:v>26.35</c:v>
                </c:pt>
                <c:pt idx="2">
                  <c:v>26.23</c:v>
                </c:pt>
                <c:pt idx="3">
                  <c:v>26.41</c:v>
                </c:pt>
                <c:pt idx="4">
                  <c:v>26.37</c:v>
                </c:pt>
                <c:pt idx="5">
                  <c:v>26.54</c:v>
                </c:pt>
                <c:pt idx="6">
                  <c:v>26.26</c:v>
                </c:pt>
                <c:pt idx="7">
                  <c:v>26.55</c:v>
                </c:pt>
                <c:pt idx="8">
                  <c:v>26.58</c:v>
                </c:pt>
                <c:pt idx="9">
                  <c:v>26.52</c:v>
                </c:pt>
                <c:pt idx="10">
                  <c:v>26.59</c:v>
                </c:pt>
              </c:numCache>
            </c:numRef>
          </c:val>
          <c:smooth val="0"/>
          <c:extLst>
            <c:ext xmlns:c16="http://schemas.microsoft.com/office/drawing/2014/chart" uri="{C3380CC4-5D6E-409C-BE32-E72D297353CC}">
              <c16:uniqueId val="{00000005-078B-4CAC-B2E0-DBF35F1E51AF}"/>
            </c:ext>
          </c:extLst>
        </c:ser>
        <c:dLbls>
          <c:showLegendKey val="0"/>
          <c:showVal val="0"/>
          <c:showCatName val="0"/>
          <c:showSerName val="0"/>
          <c:showPercent val="0"/>
          <c:showBubbleSize val="0"/>
        </c:dLbls>
        <c:smooth val="0"/>
        <c:axId val="723650424"/>
        <c:axId val="723651208"/>
      </c:lineChart>
      <c:catAx>
        <c:axId val="723650424"/>
        <c:scaling>
          <c:orientation val="minMax"/>
        </c:scaling>
        <c:delete val="0"/>
        <c:axPos val="b"/>
        <c:numFmt formatCode="General" sourceLinked="1"/>
        <c:majorTickMark val="out"/>
        <c:minorTickMark val="none"/>
        <c:tickLblPos val="nextTo"/>
        <c:crossAx val="723651208"/>
        <c:crosses val="autoZero"/>
        <c:auto val="1"/>
        <c:lblAlgn val="ctr"/>
        <c:lblOffset val="100"/>
        <c:noMultiLvlLbl val="0"/>
      </c:catAx>
      <c:valAx>
        <c:axId val="723651208"/>
        <c:scaling>
          <c:orientation val="minMax"/>
        </c:scaling>
        <c:delete val="1"/>
        <c:axPos val="l"/>
        <c:numFmt formatCode="0.00" sourceLinked="1"/>
        <c:majorTickMark val="out"/>
        <c:minorTickMark val="none"/>
        <c:tickLblPos val="none"/>
        <c:crossAx val="723650424"/>
        <c:crosses val="autoZero"/>
        <c:crossBetween val="between"/>
      </c:valAx>
      <c:spPr>
        <a:ln cmpd="sng"/>
      </c:spPr>
    </c:plotArea>
    <c:plotVisOnly val="1"/>
    <c:dispBlanksAs val="gap"/>
    <c:showDLblsOverMax val="0"/>
  </c:chart>
  <c:printSettings>
    <c:headerFooter/>
    <c:pageMargins b="0.75000000000000555" l="0.70000000000000062" r="0.70000000000000062" t="0.75000000000000555" header="0.30000000000000032" footer="0.30000000000000032"/>
    <c:pageSetup/>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75617134055829"/>
          <c:y val="0.11548098104254588"/>
          <c:w val="0.76055560822484358"/>
          <c:h val="0.60053896728255507"/>
        </c:manualLayout>
      </c:layout>
      <c:lineChart>
        <c:grouping val="standard"/>
        <c:varyColors val="0"/>
        <c:ser>
          <c:idx val="0"/>
          <c:order val="0"/>
          <c:tx>
            <c:strRef>
              <c:f>'Rule 3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6C94-465A-9162-1E56B35FA35B}"/>
            </c:ext>
          </c:extLst>
        </c:ser>
        <c:ser>
          <c:idx val="1"/>
          <c:order val="1"/>
          <c:tx>
            <c:strRef>
              <c:f>'Rule 3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6C94-465A-9162-1E56B35FA35B}"/>
            </c:ext>
          </c:extLst>
        </c:ser>
        <c:ser>
          <c:idx val="2"/>
          <c:order val="2"/>
          <c:tx>
            <c:strRef>
              <c:f>'Rule 3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6C94-465A-9162-1E56B35FA35B}"/>
            </c:ext>
          </c:extLst>
        </c:ser>
        <c:ser>
          <c:idx val="3"/>
          <c:order val="3"/>
          <c:tx>
            <c:strRef>
              <c:f>'Rule 3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6C94-465A-9162-1E56B35FA35B}"/>
            </c:ext>
          </c:extLst>
        </c:ser>
        <c:ser>
          <c:idx val="4"/>
          <c:order val="4"/>
          <c:tx>
            <c:strRef>
              <c:f>'Rule 3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6C94-465A-9162-1E56B35FA35B}"/>
            </c:ext>
          </c:extLst>
        </c:ser>
        <c:ser>
          <c:idx val="5"/>
          <c:order val="5"/>
          <c:tx>
            <c:strRef>
              <c:f>'Rule 3 Fail Examples'!$I$7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Examples'!$I$8:$I$18</c:f>
              <c:numCache>
                <c:formatCode>General</c:formatCode>
                <c:ptCount val="11"/>
                <c:pt idx="0">
                  <c:v>26.4</c:v>
                </c:pt>
                <c:pt idx="1">
                  <c:v>26.35</c:v>
                </c:pt>
                <c:pt idx="2">
                  <c:v>26.23</c:v>
                </c:pt>
                <c:pt idx="3">
                  <c:v>26.41</c:v>
                </c:pt>
                <c:pt idx="4">
                  <c:v>26.22</c:v>
                </c:pt>
                <c:pt idx="5">
                  <c:v>25.94</c:v>
                </c:pt>
                <c:pt idx="6">
                  <c:v>26.12</c:v>
                </c:pt>
                <c:pt idx="7">
                  <c:v>25.94</c:v>
                </c:pt>
                <c:pt idx="8">
                  <c:v>26.55</c:v>
                </c:pt>
              </c:numCache>
            </c:numRef>
          </c:val>
          <c:smooth val="0"/>
          <c:extLst>
            <c:ext xmlns:c16="http://schemas.microsoft.com/office/drawing/2014/chart" uri="{C3380CC4-5D6E-409C-BE32-E72D297353CC}">
              <c16:uniqueId val="{00000005-6C94-465A-9162-1E56B35FA35B}"/>
            </c:ext>
          </c:extLst>
        </c:ser>
        <c:dLbls>
          <c:showLegendKey val="0"/>
          <c:showVal val="0"/>
          <c:showCatName val="0"/>
          <c:showSerName val="0"/>
          <c:showPercent val="0"/>
          <c:showBubbleSize val="0"/>
        </c:dLbls>
        <c:smooth val="0"/>
        <c:axId val="723650032"/>
        <c:axId val="687072448"/>
      </c:lineChart>
      <c:catAx>
        <c:axId val="723650032"/>
        <c:scaling>
          <c:orientation val="minMax"/>
        </c:scaling>
        <c:delete val="0"/>
        <c:axPos val="b"/>
        <c:numFmt formatCode="General" sourceLinked="1"/>
        <c:majorTickMark val="out"/>
        <c:minorTickMark val="none"/>
        <c:tickLblPos val="nextTo"/>
        <c:crossAx val="687072448"/>
        <c:crosses val="autoZero"/>
        <c:auto val="1"/>
        <c:lblAlgn val="ctr"/>
        <c:lblOffset val="100"/>
        <c:noMultiLvlLbl val="0"/>
      </c:catAx>
      <c:valAx>
        <c:axId val="687072448"/>
        <c:scaling>
          <c:orientation val="minMax"/>
        </c:scaling>
        <c:delete val="1"/>
        <c:axPos val="l"/>
        <c:numFmt formatCode="0.00" sourceLinked="1"/>
        <c:majorTickMark val="out"/>
        <c:minorTickMark val="none"/>
        <c:tickLblPos val="none"/>
        <c:crossAx val="723650032"/>
        <c:crosses val="autoZero"/>
        <c:crossBetween val="between"/>
      </c:valAx>
      <c:spPr>
        <a:ln cmpd="sng"/>
      </c:spPr>
    </c:plotArea>
    <c:plotVisOnly val="1"/>
    <c:dispBlanksAs val="gap"/>
    <c:showDLblsOverMax val="0"/>
  </c:chart>
  <c:spPr>
    <a:ln>
      <a:solidFill>
        <a:schemeClr val="accent1"/>
      </a:solidFill>
    </a:ln>
  </c:spPr>
  <c:printSettings>
    <c:headerFooter/>
    <c:pageMargins b="0.75000000000000455" l="0.70000000000000062" r="0.70000000000000062" t="0.75000000000000455" header="0.3149606299212645" footer="0.3149606299212645"/>
    <c:pageSetup orientation="landscape"/>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01392860841502"/>
          <c:y val="0.11881177508413122"/>
          <c:w val="0.75111111111111162"/>
          <c:h val="0.60053896728255507"/>
        </c:manualLayout>
      </c:layout>
      <c:lineChart>
        <c:grouping val="standard"/>
        <c:varyColors val="0"/>
        <c:ser>
          <c:idx val="0"/>
          <c:order val="0"/>
          <c:tx>
            <c:strRef>
              <c:f>'Rule 3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EFD4-4B8C-949A-13A9713EFF9B}"/>
            </c:ext>
          </c:extLst>
        </c:ser>
        <c:ser>
          <c:idx val="1"/>
          <c:order val="1"/>
          <c:tx>
            <c:strRef>
              <c:f>'Rule 3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EFD4-4B8C-949A-13A9713EFF9B}"/>
            </c:ext>
          </c:extLst>
        </c:ser>
        <c:ser>
          <c:idx val="2"/>
          <c:order val="2"/>
          <c:tx>
            <c:strRef>
              <c:f>'Rule 3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EFD4-4B8C-949A-13A9713EFF9B}"/>
            </c:ext>
          </c:extLst>
        </c:ser>
        <c:ser>
          <c:idx val="3"/>
          <c:order val="3"/>
          <c:tx>
            <c:strRef>
              <c:f>'Rule 3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EFD4-4B8C-949A-13A9713EFF9B}"/>
            </c:ext>
          </c:extLst>
        </c:ser>
        <c:ser>
          <c:idx val="4"/>
          <c:order val="4"/>
          <c:tx>
            <c:strRef>
              <c:f>'Rule 3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EFD4-4B8C-949A-13A9713EFF9B}"/>
            </c:ext>
          </c:extLst>
        </c:ser>
        <c:ser>
          <c:idx val="5"/>
          <c:order val="5"/>
          <c:tx>
            <c:strRef>
              <c:f>'Rule 3 Fail Examples'!$J$7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Examples'!$J$8:$J$18</c:f>
              <c:numCache>
                <c:formatCode>General</c:formatCode>
                <c:ptCount val="11"/>
                <c:pt idx="0">
                  <c:v>26.4</c:v>
                </c:pt>
                <c:pt idx="1">
                  <c:v>26.35</c:v>
                </c:pt>
                <c:pt idx="2">
                  <c:v>26.23</c:v>
                </c:pt>
                <c:pt idx="3">
                  <c:v>26.41</c:v>
                </c:pt>
                <c:pt idx="4">
                  <c:v>26.22</c:v>
                </c:pt>
                <c:pt idx="5">
                  <c:v>25.94</c:v>
                </c:pt>
                <c:pt idx="6">
                  <c:v>26.12</c:v>
                </c:pt>
                <c:pt idx="7">
                  <c:v>25.94</c:v>
                </c:pt>
                <c:pt idx="8">
                  <c:v>25.91</c:v>
                </c:pt>
                <c:pt idx="9">
                  <c:v>26.33</c:v>
                </c:pt>
              </c:numCache>
            </c:numRef>
          </c:val>
          <c:smooth val="0"/>
          <c:extLst>
            <c:ext xmlns:c16="http://schemas.microsoft.com/office/drawing/2014/chart" uri="{C3380CC4-5D6E-409C-BE32-E72D297353CC}">
              <c16:uniqueId val="{00000005-EFD4-4B8C-949A-13A9713EFF9B}"/>
            </c:ext>
          </c:extLst>
        </c:ser>
        <c:dLbls>
          <c:showLegendKey val="0"/>
          <c:showVal val="0"/>
          <c:showCatName val="0"/>
          <c:showSerName val="0"/>
          <c:showPercent val="0"/>
          <c:showBubbleSize val="0"/>
        </c:dLbls>
        <c:smooth val="0"/>
        <c:axId val="687077152"/>
        <c:axId val="687074800"/>
      </c:lineChart>
      <c:catAx>
        <c:axId val="687077152"/>
        <c:scaling>
          <c:orientation val="minMax"/>
        </c:scaling>
        <c:delete val="0"/>
        <c:axPos val="b"/>
        <c:numFmt formatCode="General" sourceLinked="1"/>
        <c:majorTickMark val="out"/>
        <c:minorTickMark val="none"/>
        <c:tickLblPos val="nextTo"/>
        <c:crossAx val="687074800"/>
        <c:crosses val="autoZero"/>
        <c:auto val="1"/>
        <c:lblAlgn val="ctr"/>
        <c:lblOffset val="100"/>
        <c:noMultiLvlLbl val="0"/>
      </c:catAx>
      <c:valAx>
        <c:axId val="687074800"/>
        <c:scaling>
          <c:orientation val="minMax"/>
        </c:scaling>
        <c:delete val="1"/>
        <c:axPos val="l"/>
        <c:numFmt formatCode="0.00" sourceLinked="1"/>
        <c:majorTickMark val="out"/>
        <c:minorTickMark val="none"/>
        <c:tickLblPos val="none"/>
        <c:crossAx val="687077152"/>
        <c:crosses val="autoZero"/>
        <c:crossBetween val="between"/>
      </c:valAx>
      <c:spPr>
        <a:ln cmpd="sng"/>
      </c:spPr>
    </c:plotArea>
    <c:plotVisOnly val="1"/>
    <c:dispBlanksAs val="gap"/>
    <c:showDLblsOverMax val="0"/>
  </c:chart>
  <c:printSettings>
    <c:headerFooter/>
    <c:pageMargins b="0.75000000000000511" l="0.70000000000000062" r="0.70000000000000062" t="0.75000000000000511" header="0.30000000000000032" footer="0.30000000000000032"/>
    <c:pageSetup/>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0503047567789"/>
          <c:y val="0.15332006355266534"/>
          <c:w val="0.7393059037270675"/>
          <c:h val="0.57857898730725155"/>
        </c:manualLayout>
      </c:layout>
      <c:lineChart>
        <c:grouping val="standard"/>
        <c:varyColors val="0"/>
        <c:ser>
          <c:idx val="0"/>
          <c:order val="0"/>
          <c:tx>
            <c:strRef>
              <c:f>'Rule 3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84CB-4F9C-A23A-F4908059534A}"/>
            </c:ext>
          </c:extLst>
        </c:ser>
        <c:ser>
          <c:idx val="1"/>
          <c:order val="1"/>
          <c:tx>
            <c:strRef>
              <c:f>'Rule 3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84CB-4F9C-A23A-F4908059534A}"/>
            </c:ext>
          </c:extLst>
        </c:ser>
        <c:ser>
          <c:idx val="2"/>
          <c:order val="2"/>
          <c:tx>
            <c:strRef>
              <c:f>'Rule 3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84CB-4F9C-A23A-F4908059534A}"/>
            </c:ext>
          </c:extLst>
        </c:ser>
        <c:ser>
          <c:idx val="3"/>
          <c:order val="3"/>
          <c:tx>
            <c:strRef>
              <c:f>'Rule 3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84CB-4F9C-A23A-F4908059534A}"/>
            </c:ext>
          </c:extLst>
        </c:ser>
        <c:ser>
          <c:idx val="4"/>
          <c:order val="4"/>
          <c:tx>
            <c:strRef>
              <c:f>'Rule 3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84CB-4F9C-A23A-F4908059534A}"/>
            </c:ext>
          </c:extLst>
        </c:ser>
        <c:ser>
          <c:idx val="5"/>
          <c:order val="5"/>
          <c:tx>
            <c:strRef>
              <c:f>'Rule 3 Fail Examples'!$K$7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Examples'!$K$8:$K$18</c:f>
              <c:numCache>
                <c:formatCode>General</c:formatCode>
                <c:ptCount val="11"/>
                <c:pt idx="0">
                  <c:v>26.4</c:v>
                </c:pt>
                <c:pt idx="1">
                  <c:v>26.35</c:v>
                </c:pt>
                <c:pt idx="2">
                  <c:v>26.23</c:v>
                </c:pt>
                <c:pt idx="3">
                  <c:v>26.41</c:v>
                </c:pt>
                <c:pt idx="4">
                  <c:v>26.22</c:v>
                </c:pt>
                <c:pt idx="5">
                  <c:v>25.94</c:v>
                </c:pt>
                <c:pt idx="6">
                  <c:v>26.12</c:v>
                </c:pt>
                <c:pt idx="7">
                  <c:v>25.94</c:v>
                </c:pt>
                <c:pt idx="8">
                  <c:v>25.91</c:v>
                </c:pt>
                <c:pt idx="9">
                  <c:v>25.94</c:v>
                </c:pt>
                <c:pt idx="10">
                  <c:v>26.33</c:v>
                </c:pt>
              </c:numCache>
            </c:numRef>
          </c:val>
          <c:smooth val="0"/>
          <c:extLst>
            <c:ext xmlns:c16="http://schemas.microsoft.com/office/drawing/2014/chart" uri="{C3380CC4-5D6E-409C-BE32-E72D297353CC}">
              <c16:uniqueId val="{00000005-84CB-4F9C-A23A-F4908059534A}"/>
            </c:ext>
          </c:extLst>
        </c:ser>
        <c:dLbls>
          <c:showLegendKey val="0"/>
          <c:showVal val="0"/>
          <c:showCatName val="0"/>
          <c:showSerName val="0"/>
          <c:showPercent val="0"/>
          <c:showBubbleSize val="0"/>
        </c:dLbls>
        <c:smooth val="0"/>
        <c:axId val="687075584"/>
        <c:axId val="687075192"/>
      </c:lineChart>
      <c:catAx>
        <c:axId val="687075584"/>
        <c:scaling>
          <c:orientation val="minMax"/>
        </c:scaling>
        <c:delete val="0"/>
        <c:axPos val="b"/>
        <c:numFmt formatCode="General" sourceLinked="1"/>
        <c:majorTickMark val="out"/>
        <c:minorTickMark val="none"/>
        <c:tickLblPos val="nextTo"/>
        <c:crossAx val="687075192"/>
        <c:crosses val="autoZero"/>
        <c:auto val="1"/>
        <c:lblAlgn val="ctr"/>
        <c:lblOffset val="100"/>
        <c:noMultiLvlLbl val="0"/>
      </c:catAx>
      <c:valAx>
        <c:axId val="687075192"/>
        <c:scaling>
          <c:orientation val="minMax"/>
        </c:scaling>
        <c:delete val="1"/>
        <c:axPos val="l"/>
        <c:numFmt formatCode="0.00" sourceLinked="1"/>
        <c:majorTickMark val="out"/>
        <c:minorTickMark val="none"/>
        <c:tickLblPos val="none"/>
        <c:crossAx val="687075584"/>
        <c:crosses val="autoZero"/>
        <c:crossBetween val="between"/>
      </c:valAx>
      <c:spPr>
        <a:ln cmpd="sng"/>
      </c:spPr>
    </c:plotArea>
    <c:plotVisOnly val="1"/>
    <c:dispBlanksAs val="gap"/>
    <c:showDLblsOverMax val="0"/>
  </c:chart>
  <c:printSettings>
    <c:headerFooter/>
    <c:pageMargins b="0.75000000000000533" l="0.70000000000000062" r="0.70000000000000062" t="0.75000000000000533" header="0.30000000000000032" footer="0.30000000000000032"/>
    <c:pageSetup/>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90934639222326"/>
          <c:y val="0.11881181244082545"/>
          <c:w val="0.75504137484754663"/>
          <c:h val="0.60053896728255507"/>
        </c:manualLayout>
      </c:layout>
      <c:lineChart>
        <c:grouping val="standard"/>
        <c:varyColors val="0"/>
        <c:ser>
          <c:idx val="0"/>
          <c:order val="0"/>
          <c:tx>
            <c:strRef>
              <c:f>'Rule 3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8DF5-4F42-9B4E-E7BCC0683925}"/>
            </c:ext>
          </c:extLst>
        </c:ser>
        <c:ser>
          <c:idx val="1"/>
          <c:order val="1"/>
          <c:tx>
            <c:strRef>
              <c:f>'Rule 3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8DF5-4F42-9B4E-E7BCC0683925}"/>
            </c:ext>
          </c:extLst>
        </c:ser>
        <c:ser>
          <c:idx val="2"/>
          <c:order val="2"/>
          <c:tx>
            <c:strRef>
              <c:f>'Rule 3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8DF5-4F42-9B4E-E7BCC0683925}"/>
            </c:ext>
          </c:extLst>
        </c:ser>
        <c:ser>
          <c:idx val="3"/>
          <c:order val="3"/>
          <c:tx>
            <c:strRef>
              <c:f>'Rule 3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8DF5-4F42-9B4E-E7BCC0683925}"/>
            </c:ext>
          </c:extLst>
        </c:ser>
        <c:ser>
          <c:idx val="4"/>
          <c:order val="4"/>
          <c:tx>
            <c:strRef>
              <c:f>'Rule 3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8DF5-4F42-9B4E-E7BCC0683925}"/>
            </c:ext>
          </c:extLst>
        </c:ser>
        <c:ser>
          <c:idx val="5"/>
          <c:order val="5"/>
          <c:tx>
            <c:strRef>
              <c:f>'Rule 3 Fail Examples'!$L$7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Examples'!$L$8:$L$18</c:f>
              <c:numCache>
                <c:formatCode>General</c:formatCode>
                <c:ptCount val="11"/>
                <c:pt idx="0">
                  <c:v>26.4</c:v>
                </c:pt>
                <c:pt idx="1">
                  <c:v>26.35</c:v>
                </c:pt>
                <c:pt idx="2">
                  <c:v>26.23</c:v>
                </c:pt>
                <c:pt idx="3">
                  <c:v>26.41</c:v>
                </c:pt>
                <c:pt idx="4">
                  <c:v>26.22</c:v>
                </c:pt>
                <c:pt idx="5">
                  <c:v>25.94</c:v>
                </c:pt>
                <c:pt idx="6">
                  <c:v>26.12</c:v>
                </c:pt>
                <c:pt idx="7">
                  <c:v>25.94</c:v>
                </c:pt>
                <c:pt idx="8">
                  <c:v>25.91</c:v>
                </c:pt>
                <c:pt idx="9" formatCode="0.00">
                  <c:v>25.94</c:v>
                </c:pt>
                <c:pt idx="10" formatCode="0.00">
                  <c:v>25.9</c:v>
                </c:pt>
              </c:numCache>
            </c:numRef>
          </c:val>
          <c:smooth val="0"/>
          <c:extLst>
            <c:ext xmlns:c16="http://schemas.microsoft.com/office/drawing/2014/chart" uri="{C3380CC4-5D6E-409C-BE32-E72D297353CC}">
              <c16:uniqueId val="{00000005-8DF5-4F42-9B4E-E7BCC0683925}"/>
            </c:ext>
          </c:extLst>
        </c:ser>
        <c:dLbls>
          <c:showLegendKey val="0"/>
          <c:showVal val="0"/>
          <c:showCatName val="0"/>
          <c:showSerName val="0"/>
          <c:showPercent val="0"/>
          <c:showBubbleSize val="0"/>
        </c:dLbls>
        <c:smooth val="0"/>
        <c:axId val="687075976"/>
        <c:axId val="687076368"/>
      </c:lineChart>
      <c:catAx>
        <c:axId val="687075976"/>
        <c:scaling>
          <c:orientation val="minMax"/>
        </c:scaling>
        <c:delete val="0"/>
        <c:axPos val="b"/>
        <c:numFmt formatCode="General" sourceLinked="1"/>
        <c:majorTickMark val="out"/>
        <c:minorTickMark val="none"/>
        <c:tickLblPos val="nextTo"/>
        <c:crossAx val="687076368"/>
        <c:crosses val="autoZero"/>
        <c:auto val="1"/>
        <c:lblAlgn val="ctr"/>
        <c:lblOffset val="100"/>
        <c:noMultiLvlLbl val="0"/>
      </c:catAx>
      <c:valAx>
        <c:axId val="687076368"/>
        <c:scaling>
          <c:orientation val="minMax"/>
        </c:scaling>
        <c:delete val="1"/>
        <c:axPos val="l"/>
        <c:numFmt formatCode="0.00" sourceLinked="1"/>
        <c:majorTickMark val="out"/>
        <c:minorTickMark val="none"/>
        <c:tickLblPos val="none"/>
        <c:crossAx val="687075976"/>
        <c:crosses val="autoZero"/>
        <c:crossBetween val="between"/>
      </c:valAx>
      <c:spPr>
        <a:ln cmpd="sng"/>
      </c:spPr>
    </c:plotArea>
    <c:plotVisOnly val="1"/>
    <c:dispBlanksAs val="gap"/>
    <c:showDLblsOverMax val="0"/>
  </c:chart>
  <c:printSettings>
    <c:headerFooter/>
    <c:pageMargins b="0.75000000000000577" l="0.70000000000000062" r="0.70000000000000062" t="0.75000000000000577" header="0.30000000000000032" footer="0.30000000000000032"/>
    <c:pageSetup/>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75617134055829"/>
          <c:y val="0.11548098104254588"/>
          <c:w val="0.74845064214301527"/>
          <c:h val="0.60053896728255507"/>
        </c:manualLayout>
      </c:layout>
      <c:lineChart>
        <c:grouping val="standard"/>
        <c:varyColors val="0"/>
        <c:ser>
          <c:idx val="0"/>
          <c:order val="0"/>
          <c:tx>
            <c:strRef>
              <c:f>'Rule 3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9131-40FC-A097-F788B522C967}"/>
            </c:ext>
          </c:extLst>
        </c:ser>
        <c:ser>
          <c:idx val="1"/>
          <c:order val="1"/>
          <c:tx>
            <c:strRef>
              <c:f>'Rule 3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9131-40FC-A097-F788B522C967}"/>
            </c:ext>
          </c:extLst>
        </c:ser>
        <c:ser>
          <c:idx val="2"/>
          <c:order val="2"/>
          <c:tx>
            <c:strRef>
              <c:f>'Rule 3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9131-40FC-A097-F788B522C967}"/>
            </c:ext>
          </c:extLst>
        </c:ser>
        <c:ser>
          <c:idx val="3"/>
          <c:order val="3"/>
          <c:tx>
            <c:strRef>
              <c:f>'Rule 3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9131-40FC-A097-F788B522C967}"/>
            </c:ext>
          </c:extLst>
        </c:ser>
        <c:ser>
          <c:idx val="4"/>
          <c:order val="4"/>
          <c:tx>
            <c:strRef>
              <c:f>'Rule 3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9131-40FC-A097-F788B522C967}"/>
            </c:ext>
          </c:extLst>
        </c:ser>
        <c:ser>
          <c:idx val="5"/>
          <c:order val="5"/>
          <c:tx>
            <c:strRef>
              <c:f>'Rule 3 Fail Examples'!$N$7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Examples'!$N$8:$N$18</c:f>
              <c:numCache>
                <c:formatCode>0.00</c:formatCode>
                <c:ptCount val="11"/>
                <c:pt idx="0">
                  <c:v>26.4</c:v>
                </c:pt>
                <c:pt idx="1">
                  <c:v>26.35</c:v>
                </c:pt>
                <c:pt idx="2">
                  <c:v>26.44</c:v>
                </c:pt>
                <c:pt idx="3">
                  <c:v>26.32</c:v>
                </c:pt>
                <c:pt idx="4">
                  <c:v>26.37</c:v>
                </c:pt>
                <c:pt idx="5">
                  <c:v>26.44</c:v>
                </c:pt>
                <c:pt idx="6">
                  <c:v>26.34</c:v>
                </c:pt>
                <c:pt idx="7">
                  <c:v>26.47</c:v>
                </c:pt>
                <c:pt idx="8">
                  <c:v>26.22</c:v>
                </c:pt>
              </c:numCache>
            </c:numRef>
          </c:val>
          <c:smooth val="0"/>
          <c:extLst>
            <c:ext xmlns:c16="http://schemas.microsoft.com/office/drawing/2014/chart" uri="{C3380CC4-5D6E-409C-BE32-E72D297353CC}">
              <c16:uniqueId val="{00000005-9131-40FC-A097-F788B522C967}"/>
            </c:ext>
          </c:extLst>
        </c:ser>
        <c:dLbls>
          <c:showLegendKey val="0"/>
          <c:showVal val="0"/>
          <c:showCatName val="0"/>
          <c:showSerName val="0"/>
          <c:showPercent val="0"/>
          <c:showBubbleSize val="0"/>
        </c:dLbls>
        <c:smooth val="0"/>
        <c:axId val="687076760"/>
        <c:axId val="687069704"/>
      </c:lineChart>
      <c:catAx>
        <c:axId val="687076760"/>
        <c:scaling>
          <c:orientation val="minMax"/>
        </c:scaling>
        <c:delete val="0"/>
        <c:axPos val="b"/>
        <c:numFmt formatCode="General" sourceLinked="1"/>
        <c:majorTickMark val="out"/>
        <c:minorTickMark val="none"/>
        <c:tickLblPos val="nextTo"/>
        <c:crossAx val="687069704"/>
        <c:crosses val="autoZero"/>
        <c:auto val="1"/>
        <c:lblAlgn val="ctr"/>
        <c:lblOffset val="100"/>
        <c:noMultiLvlLbl val="0"/>
      </c:catAx>
      <c:valAx>
        <c:axId val="687069704"/>
        <c:scaling>
          <c:orientation val="minMax"/>
        </c:scaling>
        <c:delete val="1"/>
        <c:axPos val="l"/>
        <c:numFmt formatCode="0.00" sourceLinked="1"/>
        <c:majorTickMark val="out"/>
        <c:minorTickMark val="none"/>
        <c:tickLblPos val="none"/>
        <c:crossAx val="687076760"/>
        <c:crosses val="autoZero"/>
        <c:crossBetween val="between"/>
      </c:valAx>
      <c:spPr>
        <a:ln cmpd="sng"/>
      </c:spPr>
    </c:plotArea>
    <c:plotVisOnly val="1"/>
    <c:dispBlanksAs val="gap"/>
    <c:showDLblsOverMax val="0"/>
  </c:chart>
  <c:spPr>
    <a:ln>
      <a:solidFill>
        <a:schemeClr val="accent1"/>
      </a:solidFill>
    </a:ln>
  </c:spPr>
  <c:printSettings>
    <c:headerFooter/>
    <c:pageMargins b="0.75000000000000477" l="0.70000000000000062" r="0.70000000000000062" t="0.75000000000000477" header="0.31496062992126472" footer="0.31496062992126472"/>
    <c:pageSetup orientation="landscape"/>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01392860841502"/>
          <c:y val="0.11881177508413122"/>
          <c:w val="0.75111111111111162"/>
          <c:h val="0.60053896728255507"/>
        </c:manualLayout>
      </c:layout>
      <c:lineChart>
        <c:grouping val="standard"/>
        <c:varyColors val="0"/>
        <c:ser>
          <c:idx val="0"/>
          <c:order val="0"/>
          <c:tx>
            <c:strRef>
              <c:f>'Rule 3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E3D3-46BA-8C63-23379F9EC74D}"/>
            </c:ext>
          </c:extLst>
        </c:ser>
        <c:ser>
          <c:idx val="1"/>
          <c:order val="1"/>
          <c:tx>
            <c:strRef>
              <c:f>'Rule 3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E3D3-46BA-8C63-23379F9EC74D}"/>
            </c:ext>
          </c:extLst>
        </c:ser>
        <c:ser>
          <c:idx val="2"/>
          <c:order val="2"/>
          <c:tx>
            <c:strRef>
              <c:f>'Rule 3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E3D3-46BA-8C63-23379F9EC74D}"/>
            </c:ext>
          </c:extLst>
        </c:ser>
        <c:ser>
          <c:idx val="3"/>
          <c:order val="3"/>
          <c:tx>
            <c:strRef>
              <c:f>'Rule 3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E3D3-46BA-8C63-23379F9EC74D}"/>
            </c:ext>
          </c:extLst>
        </c:ser>
        <c:ser>
          <c:idx val="4"/>
          <c:order val="4"/>
          <c:tx>
            <c:strRef>
              <c:f>'Rule 3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E3D3-46BA-8C63-23379F9EC74D}"/>
            </c:ext>
          </c:extLst>
        </c:ser>
        <c:ser>
          <c:idx val="5"/>
          <c:order val="5"/>
          <c:tx>
            <c:strRef>
              <c:f>'Rule 3 Fail Examples'!$O$7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Examples'!$O$8:$O$18</c:f>
              <c:numCache>
                <c:formatCode>0.00</c:formatCode>
                <c:ptCount val="11"/>
                <c:pt idx="0">
                  <c:v>26.4</c:v>
                </c:pt>
                <c:pt idx="1">
                  <c:v>26.35</c:v>
                </c:pt>
                <c:pt idx="2">
                  <c:v>26.44</c:v>
                </c:pt>
                <c:pt idx="3">
                  <c:v>26.32</c:v>
                </c:pt>
                <c:pt idx="4">
                  <c:v>26.37</c:v>
                </c:pt>
                <c:pt idx="5">
                  <c:v>26.44</c:v>
                </c:pt>
                <c:pt idx="6">
                  <c:v>26.34</c:v>
                </c:pt>
                <c:pt idx="7">
                  <c:v>26.47</c:v>
                </c:pt>
                <c:pt idx="8">
                  <c:v>26.35</c:v>
                </c:pt>
                <c:pt idx="9">
                  <c:v>26.2</c:v>
                </c:pt>
              </c:numCache>
            </c:numRef>
          </c:val>
          <c:smooth val="0"/>
          <c:extLst>
            <c:ext xmlns:c16="http://schemas.microsoft.com/office/drawing/2014/chart" uri="{C3380CC4-5D6E-409C-BE32-E72D297353CC}">
              <c16:uniqueId val="{00000005-E3D3-46BA-8C63-23379F9EC74D}"/>
            </c:ext>
          </c:extLst>
        </c:ser>
        <c:dLbls>
          <c:showLegendKey val="0"/>
          <c:showVal val="0"/>
          <c:showCatName val="0"/>
          <c:showSerName val="0"/>
          <c:showPercent val="0"/>
          <c:showBubbleSize val="0"/>
        </c:dLbls>
        <c:smooth val="0"/>
        <c:axId val="687073624"/>
        <c:axId val="687070488"/>
      </c:lineChart>
      <c:catAx>
        <c:axId val="687073624"/>
        <c:scaling>
          <c:orientation val="minMax"/>
        </c:scaling>
        <c:delete val="0"/>
        <c:axPos val="b"/>
        <c:numFmt formatCode="General" sourceLinked="1"/>
        <c:majorTickMark val="out"/>
        <c:minorTickMark val="none"/>
        <c:tickLblPos val="nextTo"/>
        <c:crossAx val="687070488"/>
        <c:crosses val="autoZero"/>
        <c:auto val="1"/>
        <c:lblAlgn val="ctr"/>
        <c:lblOffset val="100"/>
        <c:noMultiLvlLbl val="0"/>
      </c:catAx>
      <c:valAx>
        <c:axId val="687070488"/>
        <c:scaling>
          <c:orientation val="minMax"/>
        </c:scaling>
        <c:delete val="1"/>
        <c:axPos val="l"/>
        <c:numFmt formatCode="0.00" sourceLinked="1"/>
        <c:majorTickMark val="out"/>
        <c:minorTickMark val="none"/>
        <c:tickLblPos val="none"/>
        <c:crossAx val="687073624"/>
        <c:crosses val="autoZero"/>
        <c:crossBetween val="between"/>
      </c:valAx>
      <c:spPr>
        <a:ln cmpd="sng"/>
      </c:spPr>
    </c:plotArea>
    <c:plotVisOnly val="1"/>
    <c:dispBlanksAs val="gap"/>
    <c:showDLblsOverMax val="0"/>
  </c:chart>
  <c:printSettings>
    <c:headerFooter/>
    <c:pageMargins b="0.75000000000000533" l="0.70000000000000062" r="0.70000000000000062" t="0.75000000000000533" header="0.30000000000000032" footer="0.30000000000000032"/>
    <c:pageSetup/>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0503371488794"/>
          <c:y val="0.15657757609942191"/>
          <c:w val="0.75111111111111162"/>
          <c:h val="0.5809934651185279"/>
        </c:manualLayout>
      </c:layout>
      <c:lineChart>
        <c:grouping val="standard"/>
        <c:varyColors val="0"/>
        <c:ser>
          <c:idx val="6"/>
          <c:order val="6"/>
          <c:tx>
            <c:strRef>
              <c:f>'Rule 3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CC7E-4BA6-BA34-7F3C2BCC7F5C}"/>
            </c:ext>
          </c:extLst>
        </c:ser>
        <c:ser>
          <c:idx val="7"/>
          <c:order val="7"/>
          <c:tx>
            <c:strRef>
              <c:f>'Rule 3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CC7E-4BA6-BA34-7F3C2BCC7F5C}"/>
            </c:ext>
          </c:extLst>
        </c:ser>
        <c:ser>
          <c:idx val="8"/>
          <c:order val="8"/>
          <c:tx>
            <c:strRef>
              <c:f>'Rule 3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CC7E-4BA6-BA34-7F3C2BCC7F5C}"/>
            </c:ext>
          </c:extLst>
        </c:ser>
        <c:ser>
          <c:idx val="9"/>
          <c:order val="9"/>
          <c:tx>
            <c:strRef>
              <c:f>'Rule 3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CC7E-4BA6-BA34-7F3C2BCC7F5C}"/>
            </c:ext>
          </c:extLst>
        </c:ser>
        <c:ser>
          <c:idx val="10"/>
          <c:order val="10"/>
          <c:tx>
            <c:strRef>
              <c:f>'Rule 3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CC7E-4BA6-BA34-7F3C2BCC7F5C}"/>
            </c:ext>
          </c:extLst>
        </c:ser>
        <c:ser>
          <c:idx val="11"/>
          <c:order val="11"/>
          <c:tx>
            <c:strRef>
              <c:f>'Rule 3 Fail Examples'!$P$7</c:f>
              <c:strCache>
                <c:ptCount val="1"/>
                <c:pt idx="0">
                  <c:v>Results</c:v>
                </c:pt>
              </c:strCache>
            </c:strRef>
          </c:tx>
          <c:spPr>
            <a:ln w="19050">
              <a:solidFill>
                <a:schemeClr val="tx2"/>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Examples'!$P$8:$P$18</c:f>
              <c:numCache>
                <c:formatCode>0.00</c:formatCode>
                <c:ptCount val="11"/>
                <c:pt idx="0">
                  <c:v>26.4</c:v>
                </c:pt>
                <c:pt idx="1">
                  <c:v>26.35</c:v>
                </c:pt>
                <c:pt idx="2">
                  <c:v>26.44</c:v>
                </c:pt>
                <c:pt idx="3">
                  <c:v>26.32</c:v>
                </c:pt>
                <c:pt idx="4">
                  <c:v>26.37</c:v>
                </c:pt>
                <c:pt idx="5">
                  <c:v>26.44</c:v>
                </c:pt>
                <c:pt idx="6">
                  <c:v>26.34</c:v>
                </c:pt>
                <c:pt idx="7">
                  <c:v>26.47</c:v>
                </c:pt>
                <c:pt idx="8">
                  <c:v>26.35</c:v>
                </c:pt>
                <c:pt idx="9">
                  <c:v>26.4</c:v>
                </c:pt>
                <c:pt idx="10">
                  <c:v>26.24</c:v>
                </c:pt>
              </c:numCache>
            </c:numRef>
          </c:val>
          <c:smooth val="0"/>
          <c:extLst>
            <c:ext xmlns:c16="http://schemas.microsoft.com/office/drawing/2014/chart" uri="{C3380CC4-5D6E-409C-BE32-E72D297353CC}">
              <c16:uniqueId val="{00000005-CC7E-4BA6-BA34-7F3C2BCC7F5C}"/>
            </c:ext>
          </c:extLst>
        </c:ser>
        <c:ser>
          <c:idx val="0"/>
          <c:order val="0"/>
          <c:tx>
            <c:strRef>
              <c:f>'Rule 3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6-CC7E-4BA6-BA34-7F3C2BCC7F5C}"/>
            </c:ext>
          </c:extLst>
        </c:ser>
        <c:ser>
          <c:idx val="1"/>
          <c:order val="1"/>
          <c:tx>
            <c:strRef>
              <c:f>'Rule 3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7-CC7E-4BA6-BA34-7F3C2BCC7F5C}"/>
            </c:ext>
          </c:extLst>
        </c:ser>
        <c:ser>
          <c:idx val="2"/>
          <c:order val="2"/>
          <c:tx>
            <c:strRef>
              <c:f>'Rule 3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8-CC7E-4BA6-BA34-7F3C2BCC7F5C}"/>
            </c:ext>
          </c:extLst>
        </c:ser>
        <c:ser>
          <c:idx val="3"/>
          <c:order val="3"/>
          <c:tx>
            <c:strRef>
              <c:f>'Rule 3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9-CC7E-4BA6-BA34-7F3C2BCC7F5C}"/>
            </c:ext>
          </c:extLst>
        </c:ser>
        <c:ser>
          <c:idx val="4"/>
          <c:order val="4"/>
          <c:tx>
            <c:strRef>
              <c:f>'Rule 3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A-CC7E-4BA6-BA34-7F3C2BCC7F5C}"/>
            </c:ext>
          </c:extLst>
        </c:ser>
        <c:ser>
          <c:idx val="5"/>
          <c:order val="5"/>
          <c:tx>
            <c:strRef>
              <c:f>'Rule 3 Fail Examples'!$P$7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Examples'!$P$8:$P$18</c:f>
              <c:numCache>
                <c:formatCode>0.00</c:formatCode>
                <c:ptCount val="11"/>
                <c:pt idx="0">
                  <c:v>26.4</c:v>
                </c:pt>
                <c:pt idx="1">
                  <c:v>26.35</c:v>
                </c:pt>
                <c:pt idx="2">
                  <c:v>26.44</c:v>
                </c:pt>
                <c:pt idx="3">
                  <c:v>26.32</c:v>
                </c:pt>
                <c:pt idx="4">
                  <c:v>26.37</c:v>
                </c:pt>
                <c:pt idx="5">
                  <c:v>26.44</c:v>
                </c:pt>
                <c:pt idx="6">
                  <c:v>26.34</c:v>
                </c:pt>
                <c:pt idx="7">
                  <c:v>26.47</c:v>
                </c:pt>
                <c:pt idx="8">
                  <c:v>26.35</c:v>
                </c:pt>
                <c:pt idx="9">
                  <c:v>26.4</c:v>
                </c:pt>
                <c:pt idx="10">
                  <c:v>26.24</c:v>
                </c:pt>
              </c:numCache>
            </c:numRef>
          </c:val>
          <c:smooth val="0"/>
          <c:extLst>
            <c:ext xmlns:c16="http://schemas.microsoft.com/office/drawing/2014/chart" uri="{C3380CC4-5D6E-409C-BE32-E72D297353CC}">
              <c16:uniqueId val="{0000000B-CC7E-4BA6-BA34-7F3C2BCC7F5C}"/>
            </c:ext>
          </c:extLst>
        </c:ser>
        <c:dLbls>
          <c:showLegendKey val="0"/>
          <c:showVal val="0"/>
          <c:showCatName val="0"/>
          <c:showSerName val="0"/>
          <c:showPercent val="0"/>
          <c:showBubbleSize val="0"/>
        </c:dLbls>
        <c:smooth val="0"/>
        <c:axId val="687070880"/>
        <c:axId val="687074016"/>
      </c:lineChart>
      <c:catAx>
        <c:axId val="687070880"/>
        <c:scaling>
          <c:orientation val="minMax"/>
        </c:scaling>
        <c:delete val="0"/>
        <c:axPos val="b"/>
        <c:numFmt formatCode="General" sourceLinked="1"/>
        <c:majorTickMark val="out"/>
        <c:minorTickMark val="none"/>
        <c:tickLblPos val="nextTo"/>
        <c:crossAx val="687074016"/>
        <c:crosses val="autoZero"/>
        <c:auto val="1"/>
        <c:lblAlgn val="ctr"/>
        <c:lblOffset val="100"/>
        <c:noMultiLvlLbl val="0"/>
      </c:catAx>
      <c:valAx>
        <c:axId val="687074016"/>
        <c:scaling>
          <c:orientation val="minMax"/>
        </c:scaling>
        <c:delete val="1"/>
        <c:axPos val="l"/>
        <c:numFmt formatCode="0.00" sourceLinked="1"/>
        <c:majorTickMark val="out"/>
        <c:minorTickMark val="none"/>
        <c:tickLblPos val="none"/>
        <c:crossAx val="687070880"/>
        <c:crosses val="autoZero"/>
        <c:crossBetween val="between"/>
      </c:valAx>
      <c:spPr>
        <a:ln cmpd="sng"/>
      </c:spPr>
    </c:plotArea>
    <c:plotVisOnly val="1"/>
    <c:dispBlanksAs val="gap"/>
    <c:showDLblsOverMax val="0"/>
  </c:chart>
  <c:printSettings>
    <c:headerFooter/>
    <c:pageMargins b="0.75000000000000577" l="0.70000000000000062" r="0.70000000000000062" t="0.75000000000000577" header="0.30000000000000032" footer="0.30000000000000032"/>
    <c:pageSetup/>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0501775404436"/>
          <c:y val="0.15332006355266514"/>
          <c:w val="0.75111111111111162"/>
          <c:h val="0.57230474253859043"/>
        </c:manualLayout>
      </c:layout>
      <c:lineChart>
        <c:grouping val="standard"/>
        <c:varyColors val="0"/>
        <c:ser>
          <c:idx val="0"/>
          <c:order val="0"/>
          <c:tx>
            <c:strRef>
              <c:f>'Rule 3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1E60-452A-8753-1103C1E8482F}"/>
            </c:ext>
          </c:extLst>
        </c:ser>
        <c:ser>
          <c:idx val="1"/>
          <c:order val="1"/>
          <c:tx>
            <c:strRef>
              <c:f>'Rule 3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1E60-452A-8753-1103C1E8482F}"/>
            </c:ext>
          </c:extLst>
        </c:ser>
        <c:ser>
          <c:idx val="2"/>
          <c:order val="2"/>
          <c:tx>
            <c:strRef>
              <c:f>'Rule 3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1E60-452A-8753-1103C1E8482F}"/>
            </c:ext>
          </c:extLst>
        </c:ser>
        <c:ser>
          <c:idx val="3"/>
          <c:order val="3"/>
          <c:tx>
            <c:strRef>
              <c:f>'Rule 3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1E60-452A-8753-1103C1E8482F}"/>
            </c:ext>
          </c:extLst>
        </c:ser>
        <c:ser>
          <c:idx val="4"/>
          <c:order val="4"/>
          <c:tx>
            <c:strRef>
              <c:f>'Rule 3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1E60-452A-8753-1103C1E8482F}"/>
            </c:ext>
          </c:extLst>
        </c:ser>
        <c:ser>
          <c:idx val="5"/>
          <c:order val="5"/>
          <c:tx>
            <c:strRef>
              <c:f>'Rule 3 Fail Examples'!$Q$7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3 Fail Examples'!$Q$8:$Q$18</c:f>
              <c:numCache>
                <c:formatCode>0.00</c:formatCode>
                <c:ptCount val="11"/>
                <c:pt idx="0">
                  <c:v>26.4</c:v>
                </c:pt>
                <c:pt idx="1">
                  <c:v>26.35</c:v>
                </c:pt>
                <c:pt idx="2">
                  <c:v>26.44</c:v>
                </c:pt>
                <c:pt idx="3">
                  <c:v>26.32</c:v>
                </c:pt>
                <c:pt idx="4">
                  <c:v>26.37</c:v>
                </c:pt>
                <c:pt idx="5">
                  <c:v>26.44</c:v>
                </c:pt>
                <c:pt idx="6">
                  <c:v>26.34</c:v>
                </c:pt>
                <c:pt idx="7">
                  <c:v>26.47</c:v>
                </c:pt>
                <c:pt idx="8">
                  <c:v>26.35</c:v>
                </c:pt>
                <c:pt idx="9">
                  <c:v>26.4</c:v>
                </c:pt>
                <c:pt idx="10">
                  <c:v>26.33</c:v>
                </c:pt>
              </c:numCache>
            </c:numRef>
          </c:val>
          <c:smooth val="0"/>
          <c:extLst>
            <c:ext xmlns:c16="http://schemas.microsoft.com/office/drawing/2014/chart" uri="{C3380CC4-5D6E-409C-BE32-E72D297353CC}">
              <c16:uniqueId val="{00000005-1E60-452A-8753-1103C1E8482F}"/>
            </c:ext>
          </c:extLst>
        </c:ser>
        <c:dLbls>
          <c:showLegendKey val="0"/>
          <c:showVal val="0"/>
          <c:showCatName val="0"/>
          <c:showSerName val="0"/>
          <c:showPercent val="0"/>
          <c:showBubbleSize val="0"/>
        </c:dLbls>
        <c:smooth val="0"/>
        <c:axId val="711794952"/>
        <c:axId val="711794168"/>
      </c:lineChart>
      <c:catAx>
        <c:axId val="711794952"/>
        <c:scaling>
          <c:orientation val="minMax"/>
        </c:scaling>
        <c:delete val="0"/>
        <c:axPos val="b"/>
        <c:numFmt formatCode="General" sourceLinked="1"/>
        <c:majorTickMark val="out"/>
        <c:minorTickMark val="none"/>
        <c:tickLblPos val="nextTo"/>
        <c:crossAx val="711794168"/>
        <c:crosses val="autoZero"/>
        <c:auto val="1"/>
        <c:lblAlgn val="ctr"/>
        <c:lblOffset val="100"/>
        <c:noMultiLvlLbl val="0"/>
      </c:catAx>
      <c:valAx>
        <c:axId val="711794168"/>
        <c:scaling>
          <c:orientation val="minMax"/>
        </c:scaling>
        <c:delete val="1"/>
        <c:axPos val="l"/>
        <c:numFmt formatCode="0.00" sourceLinked="1"/>
        <c:majorTickMark val="out"/>
        <c:minorTickMark val="none"/>
        <c:tickLblPos val="none"/>
        <c:crossAx val="711794952"/>
        <c:crosses val="autoZero"/>
        <c:crossBetween val="between"/>
      </c:valAx>
      <c:spPr>
        <a:ln cmpd="sng"/>
      </c:spPr>
    </c:plotArea>
    <c:plotVisOnly val="1"/>
    <c:dispBlanksAs val="gap"/>
    <c:showDLblsOverMax val="0"/>
  </c:chart>
  <c:printSettings>
    <c:headerFooter/>
    <c:pageMargins b="0.75000000000000577" l="0.70000000000000062" r="0.70000000000000062" t="0.75000000000000577" header="0.30000000000000032" footer="0.30000000000000032"/>
    <c:pageSetup/>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75617134055829"/>
          <c:y val="0.11548098104254588"/>
          <c:w val="0.76055560822484392"/>
          <c:h val="0.60053896728255507"/>
        </c:manualLayout>
      </c:layout>
      <c:lineChart>
        <c:grouping val="standard"/>
        <c:varyColors val="0"/>
        <c:ser>
          <c:idx val="0"/>
          <c:order val="0"/>
          <c:tx>
            <c:strRef>
              <c:f>'Rule 4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8F8B-4805-AAA5-0C8B8EB6517F}"/>
            </c:ext>
          </c:extLst>
        </c:ser>
        <c:ser>
          <c:idx val="1"/>
          <c:order val="1"/>
          <c:tx>
            <c:strRef>
              <c:f>'Rule 4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8F8B-4805-AAA5-0C8B8EB6517F}"/>
            </c:ext>
          </c:extLst>
        </c:ser>
        <c:ser>
          <c:idx val="2"/>
          <c:order val="2"/>
          <c:tx>
            <c:strRef>
              <c:f>'Rule 4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8F8B-4805-AAA5-0C8B8EB6517F}"/>
            </c:ext>
          </c:extLst>
        </c:ser>
        <c:ser>
          <c:idx val="3"/>
          <c:order val="3"/>
          <c:tx>
            <c:strRef>
              <c:f>'Rule 4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8F8B-4805-AAA5-0C8B8EB6517F}"/>
            </c:ext>
          </c:extLst>
        </c:ser>
        <c:ser>
          <c:idx val="4"/>
          <c:order val="4"/>
          <c:tx>
            <c:strRef>
              <c:f>'Rule 4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8F8B-4805-AAA5-0C8B8EB6517F}"/>
            </c:ext>
          </c:extLst>
        </c:ser>
        <c:ser>
          <c:idx val="5"/>
          <c:order val="5"/>
          <c:tx>
            <c:strRef>
              <c:f>'Rule 4 Fail Examples'!$I$7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Examples'!$I$8:$I$18</c:f>
              <c:numCache>
                <c:formatCode>0.00</c:formatCode>
                <c:ptCount val="11"/>
                <c:pt idx="0">
                  <c:v>26.3</c:v>
                </c:pt>
                <c:pt idx="1">
                  <c:v>26.48</c:v>
                </c:pt>
                <c:pt idx="2">
                  <c:v>26.4</c:v>
                </c:pt>
                <c:pt idx="3">
                  <c:v>26.36</c:v>
                </c:pt>
                <c:pt idx="4">
                  <c:v>26.32</c:v>
                </c:pt>
                <c:pt idx="5">
                  <c:v>26.2</c:v>
                </c:pt>
                <c:pt idx="6">
                  <c:v>26.12</c:v>
                </c:pt>
                <c:pt idx="7">
                  <c:v>26.07</c:v>
                </c:pt>
                <c:pt idx="8">
                  <c:v>26.15</c:v>
                </c:pt>
              </c:numCache>
            </c:numRef>
          </c:val>
          <c:smooth val="0"/>
          <c:extLst>
            <c:ext xmlns:c16="http://schemas.microsoft.com/office/drawing/2014/chart" uri="{C3380CC4-5D6E-409C-BE32-E72D297353CC}">
              <c16:uniqueId val="{00000005-8F8B-4805-AAA5-0C8B8EB6517F}"/>
            </c:ext>
          </c:extLst>
        </c:ser>
        <c:dLbls>
          <c:showLegendKey val="0"/>
          <c:showVal val="0"/>
          <c:showCatName val="0"/>
          <c:showSerName val="0"/>
          <c:showPercent val="0"/>
          <c:showBubbleSize val="0"/>
        </c:dLbls>
        <c:smooth val="0"/>
        <c:axId val="711789072"/>
        <c:axId val="711790640"/>
      </c:lineChart>
      <c:catAx>
        <c:axId val="711789072"/>
        <c:scaling>
          <c:orientation val="minMax"/>
        </c:scaling>
        <c:delete val="0"/>
        <c:axPos val="b"/>
        <c:numFmt formatCode="General" sourceLinked="1"/>
        <c:majorTickMark val="out"/>
        <c:minorTickMark val="none"/>
        <c:tickLblPos val="nextTo"/>
        <c:crossAx val="711790640"/>
        <c:crosses val="autoZero"/>
        <c:auto val="1"/>
        <c:lblAlgn val="ctr"/>
        <c:lblOffset val="100"/>
        <c:noMultiLvlLbl val="0"/>
      </c:catAx>
      <c:valAx>
        <c:axId val="711790640"/>
        <c:scaling>
          <c:orientation val="minMax"/>
        </c:scaling>
        <c:delete val="1"/>
        <c:axPos val="l"/>
        <c:numFmt formatCode="0.00" sourceLinked="1"/>
        <c:majorTickMark val="out"/>
        <c:minorTickMark val="none"/>
        <c:tickLblPos val="none"/>
        <c:crossAx val="711789072"/>
        <c:crosses val="autoZero"/>
        <c:crossBetween val="between"/>
      </c:valAx>
      <c:spPr>
        <a:ln cmpd="sng"/>
      </c:spPr>
    </c:plotArea>
    <c:plotVisOnly val="1"/>
    <c:dispBlanksAs val="gap"/>
    <c:showDLblsOverMax val="0"/>
  </c:chart>
  <c:spPr>
    <a:ln>
      <a:solidFill>
        <a:schemeClr val="accent1"/>
      </a:solidFill>
    </a:ln>
  </c:spPr>
  <c:printSettings>
    <c:headerFooter/>
    <c:pageMargins b="0.75000000000000477" l="0.70000000000000062" r="0.70000000000000062" t="0.75000000000000477" header="0.31496062992126472" footer="0.31496062992126472"/>
    <c:pageSetup orientation="landscape"/>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01392860841502"/>
          <c:y val="0.11881177508413122"/>
          <c:w val="0.75111111111111162"/>
          <c:h val="0.60053896728255507"/>
        </c:manualLayout>
      </c:layout>
      <c:lineChart>
        <c:grouping val="standard"/>
        <c:varyColors val="0"/>
        <c:ser>
          <c:idx val="0"/>
          <c:order val="0"/>
          <c:tx>
            <c:strRef>
              <c:f>'Rule 4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90DA-4C8C-9496-BF2C753B04C0}"/>
            </c:ext>
          </c:extLst>
        </c:ser>
        <c:ser>
          <c:idx val="1"/>
          <c:order val="1"/>
          <c:tx>
            <c:strRef>
              <c:f>'Rule 4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90DA-4C8C-9496-BF2C753B04C0}"/>
            </c:ext>
          </c:extLst>
        </c:ser>
        <c:ser>
          <c:idx val="2"/>
          <c:order val="2"/>
          <c:tx>
            <c:strRef>
              <c:f>'Rule 4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90DA-4C8C-9496-BF2C753B04C0}"/>
            </c:ext>
          </c:extLst>
        </c:ser>
        <c:ser>
          <c:idx val="3"/>
          <c:order val="3"/>
          <c:tx>
            <c:strRef>
              <c:f>'Rule 4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90DA-4C8C-9496-BF2C753B04C0}"/>
            </c:ext>
          </c:extLst>
        </c:ser>
        <c:ser>
          <c:idx val="4"/>
          <c:order val="4"/>
          <c:tx>
            <c:strRef>
              <c:f>'Rule 4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90DA-4C8C-9496-BF2C753B04C0}"/>
            </c:ext>
          </c:extLst>
        </c:ser>
        <c:ser>
          <c:idx val="5"/>
          <c:order val="5"/>
          <c:tx>
            <c:strRef>
              <c:f>'Rule 4 Fail Examples'!$J$7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Examples'!$J$8:$J$18</c:f>
              <c:numCache>
                <c:formatCode>0.00</c:formatCode>
                <c:ptCount val="11"/>
                <c:pt idx="0">
                  <c:v>26.3</c:v>
                </c:pt>
                <c:pt idx="1">
                  <c:v>26.48</c:v>
                </c:pt>
                <c:pt idx="2">
                  <c:v>26.4</c:v>
                </c:pt>
                <c:pt idx="3">
                  <c:v>26.36</c:v>
                </c:pt>
                <c:pt idx="4">
                  <c:v>26.32</c:v>
                </c:pt>
                <c:pt idx="5">
                  <c:v>26.2</c:v>
                </c:pt>
                <c:pt idx="6">
                  <c:v>26.12</c:v>
                </c:pt>
                <c:pt idx="7">
                  <c:v>26.07</c:v>
                </c:pt>
                <c:pt idx="8">
                  <c:v>26</c:v>
                </c:pt>
                <c:pt idx="9">
                  <c:v>26.23</c:v>
                </c:pt>
              </c:numCache>
            </c:numRef>
          </c:val>
          <c:smooth val="0"/>
          <c:extLst>
            <c:ext xmlns:c16="http://schemas.microsoft.com/office/drawing/2014/chart" uri="{C3380CC4-5D6E-409C-BE32-E72D297353CC}">
              <c16:uniqueId val="{00000005-90DA-4C8C-9496-BF2C753B04C0}"/>
            </c:ext>
          </c:extLst>
        </c:ser>
        <c:dLbls>
          <c:showLegendKey val="0"/>
          <c:showVal val="0"/>
          <c:showCatName val="0"/>
          <c:showSerName val="0"/>
          <c:showPercent val="0"/>
          <c:showBubbleSize val="0"/>
        </c:dLbls>
        <c:smooth val="0"/>
        <c:axId val="711792208"/>
        <c:axId val="711789464"/>
      </c:lineChart>
      <c:catAx>
        <c:axId val="711792208"/>
        <c:scaling>
          <c:orientation val="minMax"/>
        </c:scaling>
        <c:delete val="0"/>
        <c:axPos val="b"/>
        <c:numFmt formatCode="General" sourceLinked="1"/>
        <c:majorTickMark val="out"/>
        <c:minorTickMark val="none"/>
        <c:tickLblPos val="nextTo"/>
        <c:crossAx val="711789464"/>
        <c:crosses val="autoZero"/>
        <c:auto val="1"/>
        <c:lblAlgn val="ctr"/>
        <c:lblOffset val="100"/>
        <c:noMultiLvlLbl val="0"/>
      </c:catAx>
      <c:valAx>
        <c:axId val="711789464"/>
        <c:scaling>
          <c:orientation val="minMax"/>
        </c:scaling>
        <c:delete val="1"/>
        <c:axPos val="l"/>
        <c:numFmt formatCode="0.00" sourceLinked="1"/>
        <c:majorTickMark val="out"/>
        <c:minorTickMark val="none"/>
        <c:tickLblPos val="none"/>
        <c:crossAx val="711792208"/>
        <c:crosses val="autoZero"/>
        <c:crossBetween val="between"/>
      </c:valAx>
      <c:spPr>
        <a:ln cmpd="sng"/>
      </c:spPr>
    </c:plotArea>
    <c:plotVisOnly val="1"/>
    <c:dispBlanksAs val="gap"/>
    <c:showDLblsOverMax val="0"/>
  </c:chart>
  <c:printSettings>
    <c:headerFooter/>
    <c:pageMargins b="0.75000000000000533" l="0.70000000000000062" r="0.70000000000000062" t="0.75000000000000533" header="0.30000000000000032" footer="0.30000000000000032"/>
    <c:pageSetup/>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0503047567789"/>
          <c:y val="0.15332006355266539"/>
          <c:w val="0.7393059037270675"/>
          <c:h val="0.57857898730725132"/>
        </c:manualLayout>
      </c:layout>
      <c:lineChart>
        <c:grouping val="standard"/>
        <c:varyColors val="0"/>
        <c:ser>
          <c:idx val="0"/>
          <c:order val="0"/>
          <c:tx>
            <c:strRef>
              <c:f>'Rule 4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Examples'!$C$8:$C$19</c:f>
              <c:numCache>
                <c:formatCode>0.00</c:formatCode>
                <c:ptCount val="12"/>
                <c:pt idx="0">
                  <c:v>26.3</c:v>
                </c:pt>
                <c:pt idx="1">
                  <c:v>26.3</c:v>
                </c:pt>
                <c:pt idx="2">
                  <c:v>26.3</c:v>
                </c:pt>
                <c:pt idx="3">
                  <c:v>26.3</c:v>
                </c:pt>
                <c:pt idx="4">
                  <c:v>26.3</c:v>
                </c:pt>
                <c:pt idx="5">
                  <c:v>26.3</c:v>
                </c:pt>
                <c:pt idx="6">
                  <c:v>26.3</c:v>
                </c:pt>
                <c:pt idx="7">
                  <c:v>26.3</c:v>
                </c:pt>
                <c:pt idx="8">
                  <c:v>26.3</c:v>
                </c:pt>
                <c:pt idx="9">
                  <c:v>26.3</c:v>
                </c:pt>
                <c:pt idx="10">
                  <c:v>26.3</c:v>
                </c:pt>
                <c:pt idx="11">
                  <c:v>26.3</c:v>
                </c:pt>
              </c:numCache>
            </c:numRef>
          </c:val>
          <c:smooth val="0"/>
          <c:extLst>
            <c:ext xmlns:c16="http://schemas.microsoft.com/office/drawing/2014/chart" uri="{C3380CC4-5D6E-409C-BE32-E72D297353CC}">
              <c16:uniqueId val="{00000000-A158-42B7-8041-BA6E60248B9B}"/>
            </c:ext>
          </c:extLst>
        </c:ser>
        <c:ser>
          <c:idx val="1"/>
          <c:order val="1"/>
          <c:tx>
            <c:strRef>
              <c:f>'Rule 4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Examples'!$D$8:$D$19</c:f>
              <c:numCache>
                <c:formatCode>0.00</c:formatCode>
                <c:ptCount val="12"/>
                <c:pt idx="0">
                  <c:v>25.9</c:v>
                </c:pt>
                <c:pt idx="1">
                  <c:v>25.9</c:v>
                </c:pt>
                <c:pt idx="2">
                  <c:v>25.9</c:v>
                </c:pt>
                <c:pt idx="3">
                  <c:v>25.9</c:v>
                </c:pt>
                <c:pt idx="4">
                  <c:v>25.9</c:v>
                </c:pt>
                <c:pt idx="5">
                  <c:v>25.9</c:v>
                </c:pt>
                <c:pt idx="6">
                  <c:v>25.9</c:v>
                </c:pt>
                <c:pt idx="7">
                  <c:v>25.9</c:v>
                </c:pt>
                <c:pt idx="8">
                  <c:v>25.9</c:v>
                </c:pt>
                <c:pt idx="9">
                  <c:v>25.9</c:v>
                </c:pt>
                <c:pt idx="10">
                  <c:v>25.9</c:v>
                </c:pt>
                <c:pt idx="11">
                  <c:v>25.9</c:v>
                </c:pt>
              </c:numCache>
            </c:numRef>
          </c:val>
          <c:smooth val="0"/>
          <c:extLst>
            <c:ext xmlns:c16="http://schemas.microsoft.com/office/drawing/2014/chart" uri="{C3380CC4-5D6E-409C-BE32-E72D297353CC}">
              <c16:uniqueId val="{00000001-A158-42B7-8041-BA6E60248B9B}"/>
            </c:ext>
          </c:extLst>
        </c:ser>
        <c:ser>
          <c:idx val="2"/>
          <c:order val="2"/>
          <c:tx>
            <c:strRef>
              <c:f>'Rule 4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Examples'!$E$8:$E$19</c:f>
              <c:numCache>
                <c:formatCode>0.00</c:formatCode>
                <c:ptCount val="12"/>
                <c:pt idx="0">
                  <c:v>26</c:v>
                </c:pt>
                <c:pt idx="1">
                  <c:v>26</c:v>
                </c:pt>
                <c:pt idx="2">
                  <c:v>26</c:v>
                </c:pt>
                <c:pt idx="3">
                  <c:v>26</c:v>
                </c:pt>
                <c:pt idx="4">
                  <c:v>26</c:v>
                </c:pt>
                <c:pt idx="5">
                  <c:v>26</c:v>
                </c:pt>
                <c:pt idx="6">
                  <c:v>26</c:v>
                </c:pt>
                <c:pt idx="7">
                  <c:v>26</c:v>
                </c:pt>
                <c:pt idx="8">
                  <c:v>26</c:v>
                </c:pt>
                <c:pt idx="9">
                  <c:v>26</c:v>
                </c:pt>
                <c:pt idx="10">
                  <c:v>26</c:v>
                </c:pt>
                <c:pt idx="11">
                  <c:v>26</c:v>
                </c:pt>
              </c:numCache>
            </c:numRef>
          </c:val>
          <c:smooth val="0"/>
          <c:extLst>
            <c:ext xmlns:c16="http://schemas.microsoft.com/office/drawing/2014/chart" uri="{C3380CC4-5D6E-409C-BE32-E72D297353CC}">
              <c16:uniqueId val="{00000002-A158-42B7-8041-BA6E60248B9B}"/>
            </c:ext>
          </c:extLst>
        </c:ser>
        <c:ser>
          <c:idx val="3"/>
          <c:order val="3"/>
          <c:tx>
            <c:strRef>
              <c:f>'Rule 4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Examples'!$F$8:$F$19</c:f>
              <c:numCache>
                <c:formatCode>0.00</c:formatCode>
                <c:ptCount val="12"/>
                <c:pt idx="0">
                  <c:v>26.5</c:v>
                </c:pt>
                <c:pt idx="1">
                  <c:v>26.5</c:v>
                </c:pt>
                <c:pt idx="2">
                  <c:v>26.5</c:v>
                </c:pt>
                <c:pt idx="3">
                  <c:v>26.5</c:v>
                </c:pt>
                <c:pt idx="4">
                  <c:v>26.5</c:v>
                </c:pt>
                <c:pt idx="5">
                  <c:v>26.5</c:v>
                </c:pt>
                <c:pt idx="6">
                  <c:v>26.5</c:v>
                </c:pt>
                <c:pt idx="7">
                  <c:v>26.5</c:v>
                </c:pt>
                <c:pt idx="8">
                  <c:v>26.5</c:v>
                </c:pt>
                <c:pt idx="9">
                  <c:v>26.5</c:v>
                </c:pt>
                <c:pt idx="10">
                  <c:v>26.5</c:v>
                </c:pt>
                <c:pt idx="11">
                  <c:v>26.5</c:v>
                </c:pt>
              </c:numCache>
            </c:numRef>
          </c:val>
          <c:smooth val="0"/>
          <c:extLst>
            <c:ext xmlns:c16="http://schemas.microsoft.com/office/drawing/2014/chart" uri="{C3380CC4-5D6E-409C-BE32-E72D297353CC}">
              <c16:uniqueId val="{00000003-A158-42B7-8041-BA6E60248B9B}"/>
            </c:ext>
          </c:extLst>
        </c:ser>
        <c:ser>
          <c:idx val="4"/>
          <c:order val="4"/>
          <c:tx>
            <c:strRef>
              <c:f>'Rule 4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Examples'!$G$8:$G$19</c:f>
              <c:numCache>
                <c:formatCode>0.00</c:formatCode>
                <c:ptCount val="12"/>
                <c:pt idx="0">
                  <c:v>26.6</c:v>
                </c:pt>
                <c:pt idx="1">
                  <c:v>26.6</c:v>
                </c:pt>
                <c:pt idx="2">
                  <c:v>26.6</c:v>
                </c:pt>
                <c:pt idx="3">
                  <c:v>26.6</c:v>
                </c:pt>
                <c:pt idx="4">
                  <c:v>26.6</c:v>
                </c:pt>
                <c:pt idx="5">
                  <c:v>26.6</c:v>
                </c:pt>
                <c:pt idx="6">
                  <c:v>26.6</c:v>
                </c:pt>
                <c:pt idx="7">
                  <c:v>26.6</c:v>
                </c:pt>
                <c:pt idx="8">
                  <c:v>26.6</c:v>
                </c:pt>
                <c:pt idx="9">
                  <c:v>26.6</c:v>
                </c:pt>
                <c:pt idx="10">
                  <c:v>26.6</c:v>
                </c:pt>
                <c:pt idx="11">
                  <c:v>26.6</c:v>
                </c:pt>
              </c:numCache>
            </c:numRef>
          </c:val>
          <c:smooth val="0"/>
          <c:extLst>
            <c:ext xmlns:c16="http://schemas.microsoft.com/office/drawing/2014/chart" uri="{C3380CC4-5D6E-409C-BE32-E72D297353CC}">
              <c16:uniqueId val="{00000004-A158-42B7-8041-BA6E60248B9B}"/>
            </c:ext>
          </c:extLst>
        </c:ser>
        <c:ser>
          <c:idx val="5"/>
          <c:order val="5"/>
          <c:tx>
            <c:strRef>
              <c:f>'Rule 4 Fail Examples'!$K$7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Examples'!$K$8:$K$19</c:f>
              <c:numCache>
                <c:formatCode>0.00</c:formatCode>
                <c:ptCount val="12"/>
                <c:pt idx="0">
                  <c:v>26.3</c:v>
                </c:pt>
                <c:pt idx="1">
                  <c:v>26.48</c:v>
                </c:pt>
                <c:pt idx="2">
                  <c:v>26.4</c:v>
                </c:pt>
                <c:pt idx="3">
                  <c:v>26.36</c:v>
                </c:pt>
                <c:pt idx="4">
                  <c:v>26.32</c:v>
                </c:pt>
                <c:pt idx="5">
                  <c:v>26.2</c:v>
                </c:pt>
                <c:pt idx="6">
                  <c:v>26.12</c:v>
                </c:pt>
                <c:pt idx="7">
                  <c:v>26.07</c:v>
                </c:pt>
                <c:pt idx="8">
                  <c:v>26</c:v>
                </c:pt>
                <c:pt idx="9">
                  <c:v>25.98</c:v>
                </c:pt>
                <c:pt idx="10">
                  <c:v>26.24</c:v>
                </c:pt>
              </c:numCache>
            </c:numRef>
          </c:val>
          <c:smooth val="0"/>
          <c:extLst>
            <c:ext xmlns:c16="http://schemas.microsoft.com/office/drawing/2014/chart" uri="{C3380CC4-5D6E-409C-BE32-E72D297353CC}">
              <c16:uniqueId val="{00000005-A158-42B7-8041-BA6E60248B9B}"/>
            </c:ext>
          </c:extLst>
        </c:ser>
        <c:dLbls>
          <c:showLegendKey val="0"/>
          <c:showVal val="0"/>
          <c:showCatName val="0"/>
          <c:showSerName val="0"/>
          <c:showPercent val="0"/>
          <c:showBubbleSize val="0"/>
        </c:dLbls>
        <c:smooth val="0"/>
        <c:axId val="711791032"/>
        <c:axId val="711790248"/>
      </c:lineChart>
      <c:catAx>
        <c:axId val="711791032"/>
        <c:scaling>
          <c:orientation val="minMax"/>
        </c:scaling>
        <c:delete val="0"/>
        <c:axPos val="b"/>
        <c:numFmt formatCode="General" sourceLinked="1"/>
        <c:majorTickMark val="out"/>
        <c:minorTickMark val="none"/>
        <c:tickLblPos val="nextTo"/>
        <c:crossAx val="711790248"/>
        <c:crosses val="autoZero"/>
        <c:auto val="1"/>
        <c:lblAlgn val="ctr"/>
        <c:lblOffset val="100"/>
        <c:noMultiLvlLbl val="0"/>
      </c:catAx>
      <c:valAx>
        <c:axId val="711790248"/>
        <c:scaling>
          <c:orientation val="minMax"/>
        </c:scaling>
        <c:delete val="1"/>
        <c:axPos val="l"/>
        <c:numFmt formatCode="0.00" sourceLinked="1"/>
        <c:majorTickMark val="out"/>
        <c:minorTickMark val="none"/>
        <c:tickLblPos val="none"/>
        <c:crossAx val="711791032"/>
        <c:crosses val="autoZero"/>
        <c:crossBetween val="between"/>
      </c:valAx>
      <c:spPr>
        <a:ln cmpd="sng"/>
      </c:spPr>
    </c:plotArea>
    <c:plotVisOnly val="1"/>
    <c:dispBlanksAs val="gap"/>
    <c:showDLblsOverMax val="0"/>
  </c:chart>
  <c:printSettings>
    <c:headerFooter/>
    <c:pageMargins b="0.75000000000000555" l="0.70000000000000062" r="0.70000000000000062" t="0.75000000000000555" header="0.30000000000000032" footer="0.30000000000000032"/>
    <c:pageSetup/>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9093463922234"/>
          <c:y val="0.11881181244082545"/>
          <c:w val="0.75504137484754663"/>
          <c:h val="0.60053896728255507"/>
        </c:manualLayout>
      </c:layout>
      <c:lineChart>
        <c:grouping val="standard"/>
        <c:varyColors val="0"/>
        <c:ser>
          <c:idx val="0"/>
          <c:order val="0"/>
          <c:tx>
            <c:strRef>
              <c:f>'Rule 4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31A2-440C-B46D-9B789FD88554}"/>
            </c:ext>
          </c:extLst>
        </c:ser>
        <c:ser>
          <c:idx val="1"/>
          <c:order val="1"/>
          <c:tx>
            <c:strRef>
              <c:f>'Rule 4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31A2-440C-B46D-9B789FD88554}"/>
            </c:ext>
          </c:extLst>
        </c:ser>
        <c:ser>
          <c:idx val="2"/>
          <c:order val="2"/>
          <c:tx>
            <c:strRef>
              <c:f>'Rule 4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31A2-440C-B46D-9B789FD88554}"/>
            </c:ext>
          </c:extLst>
        </c:ser>
        <c:ser>
          <c:idx val="3"/>
          <c:order val="3"/>
          <c:tx>
            <c:strRef>
              <c:f>'Rule 4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31A2-440C-B46D-9B789FD88554}"/>
            </c:ext>
          </c:extLst>
        </c:ser>
        <c:ser>
          <c:idx val="4"/>
          <c:order val="4"/>
          <c:tx>
            <c:strRef>
              <c:f>'Rule 4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31A2-440C-B46D-9B789FD88554}"/>
            </c:ext>
          </c:extLst>
        </c:ser>
        <c:ser>
          <c:idx val="5"/>
          <c:order val="5"/>
          <c:tx>
            <c:strRef>
              <c:f>'Rule 4 Fail Examples'!$L$7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Examples'!$L$8:$L$18</c:f>
              <c:numCache>
                <c:formatCode>0.00</c:formatCode>
                <c:ptCount val="11"/>
                <c:pt idx="0">
                  <c:v>26.3</c:v>
                </c:pt>
                <c:pt idx="1">
                  <c:v>26.48</c:v>
                </c:pt>
                <c:pt idx="2">
                  <c:v>26.4</c:v>
                </c:pt>
                <c:pt idx="3">
                  <c:v>26.36</c:v>
                </c:pt>
                <c:pt idx="4">
                  <c:v>26.32</c:v>
                </c:pt>
                <c:pt idx="5">
                  <c:v>26.2</c:v>
                </c:pt>
                <c:pt idx="6">
                  <c:v>26.12</c:v>
                </c:pt>
                <c:pt idx="7">
                  <c:v>26.07</c:v>
                </c:pt>
                <c:pt idx="8">
                  <c:v>26</c:v>
                </c:pt>
                <c:pt idx="9">
                  <c:v>25.98</c:v>
                </c:pt>
                <c:pt idx="10">
                  <c:v>25.93</c:v>
                </c:pt>
              </c:numCache>
            </c:numRef>
          </c:val>
          <c:smooth val="0"/>
          <c:extLst>
            <c:ext xmlns:c16="http://schemas.microsoft.com/office/drawing/2014/chart" uri="{C3380CC4-5D6E-409C-BE32-E72D297353CC}">
              <c16:uniqueId val="{00000005-31A2-440C-B46D-9B789FD88554}"/>
            </c:ext>
          </c:extLst>
        </c:ser>
        <c:dLbls>
          <c:showLegendKey val="0"/>
          <c:showVal val="0"/>
          <c:showCatName val="0"/>
          <c:showSerName val="0"/>
          <c:showPercent val="0"/>
          <c:showBubbleSize val="0"/>
        </c:dLbls>
        <c:smooth val="0"/>
        <c:axId val="711795344"/>
        <c:axId val="711792992"/>
      </c:lineChart>
      <c:catAx>
        <c:axId val="711795344"/>
        <c:scaling>
          <c:orientation val="minMax"/>
        </c:scaling>
        <c:delete val="0"/>
        <c:axPos val="b"/>
        <c:numFmt formatCode="General" sourceLinked="1"/>
        <c:majorTickMark val="out"/>
        <c:minorTickMark val="none"/>
        <c:tickLblPos val="nextTo"/>
        <c:crossAx val="711792992"/>
        <c:crosses val="autoZero"/>
        <c:auto val="1"/>
        <c:lblAlgn val="ctr"/>
        <c:lblOffset val="100"/>
        <c:noMultiLvlLbl val="0"/>
      </c:catAx>
      <c:valAx>
        <c:axId val="711792992"/>
        <c:scaling>
          <c:orientation val="minMax"/>
        </c:scaling>
        <c:delete val="1"/>
        <c:axPos val="l"/>
        <c:numFmt formatCode="0.00" sourceLinked="1"/>
        <c:majorTickMark val="out"/>
        <c:minorTickMark val="none"/>
        <c:tickLblPos val="none"/>
        <c:crossAx val="711795344"/>
        <c:crosses val="autoZero"/>
        <c:crossBetween val="between"/>
      </c:valAx>
      <c:spPr>
        <a:ln cmpd="sng"/>
      </c:spPr>
    </c:plotArea>
    <c:plotVisOnly val="1"/>
    <c:dispBlanksAs val="gap"/>
    <c:showDLblsOverMax val="0"/>
  </c:chart>
  <c:printSettings>
    <c:headerFooter/>
    <c:pageMargins b="0.750000000000006" l="0.70000000000000062" r="0.70000000000000062" t="0.750000000000006" header="0.30000000000000032" footer="0.30000000000000032"/>
    <c:pageSetup/>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75617134055829"/>
          <c:y val="0.11548098104254588"/>
          <c:w val="0.74845064214301571"/>
          <c:h val="0.60053896728255507"/>
        </c:manualLayout>
      </c:layout>
      <c:lineChart>
        <c:grouping val="standard"/>
        <c:varyColors val="0"/>
        <c:ser>
          <c:idx val="0"/>
          <c:order val="0"/>
          <c:tx>
            <c:strRef>
              <c:f>'Rule 4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E25C-4BDB-B85C-8CFC90CC6187}"/>
            </c:ext>
          </c:extLst>
        </c:ser>
        <c:ser>
          <c:idx val="1"/>
          <c:order val="1"/>
          <c:tx>
            <c:strRef>
              <c:f>'Rule 4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E25C-4BDB-B85C-8CFC90CC6187}"/>
            </c:ext>
          </c:extLst>
        </c:ser>
        <c:ser>
          <c:idx val="2"/>
          <c:order val="2"/>
          <c:tx>
            <c:strRef>
              <c:f>'Rule 4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E25C-4BDB-B85C-8CFC90CC6187}"/>
            </c:ext>
          </c:extLst>
        </c:ser>
        <c:ser>
          <c:idx val="3"/>
          <c:order val="3"/>
          <c:tx>
            <c:strRef>
              <c:f>'Rule 4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E25C-4BDB-B85C-8CFC90CC6187}"/>
            </c:ext>
          </c:extLst>
        </c:ser>
        <c:ser>
          <c:idx val="4"/>
          <c:order val="4"/>
          <c:tx>
            <c:strRef>
              <c:f>'Rule 4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E25C-4BDB-B85C-8CFC90CC6187}"/>
            </c:ext>
          </c:extLst>
        </c:ser>
        <c:ser>
          <c:idx val="5"/>
          <c:order val="5"/>
          <c:tx>
            <c:strRef>
              <c:f>'Rule 4 Fail Examples'!$N$7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Examples'!$N$8:$N$18</c:f>
              <c:numCache>
                <c:formatCode>0.00</c:formatCode>
                <c:ptCount val="11"/>
                <c:pt idx="0">
                  <c:v>26.2</c:v>
                </c:pt>
                <c:pt idx="1">
                  <c:v>26.25</c:v>
                </c:pt>
                <c:pt idx="2">
                  <c:v>26.04</c:v>
                </c:pt>
                <c:pt idx="3">
                  <c:v>26.13</c:v>
                </c:pt>
                <c:pt idx="4">
                  <c:v>26.18</c:v>
                </c:pt>
                <c:pt idx="5">
                  <c:v>26.28</c:v>
                </c:pt>
                <c:pt idx="6">
                  <c:v>26.33</c:v>
                </c:pt>
                <c:pt idx="7">
                  <c:v>26.37</c:v>
                </c:pt>
                <c:pt idx="8">
                  <c:v>26.44</c:v>
                </c:pt>
                <c:pt idx="9">
                  <c:v>26.33</c:v>
                </c:pt>
              </c:numCache>
            </c:numRef>
          </c:val>
          <c:smooth val="0"/>
          <c:extLst>
            <c:ext xmlns:c16="http://schemas.microsoft.com/office/drawing/2014/chart" uri="{C3380CC4-5D6E-409C-BE32-E72D297353CC}">
              <c16:uniqueId val="{00000005-E25C-4BDB-B85C-8CFC90CC6187}"/>
            </c:ext>
          </c:extLst>
        </c:ser>
        <c:dLbls>
          <c:showLegendKey val="0"/>
          <c:showVal val="0"/>
          <c:showCatName val="0"/>
          <c:showSerName val="0"/>
          <c:showPercent val="0"/>
          <c:showBubbleSize val="0"/>
        </c:dLbls>
        <c:smooth val="0"/>
        <c:axId val="711795736"/>
        <c:axId val="711793384"/>
      </c:lineChart>
      <c:catAx>
        <c:axId val="711795736"/>
        <c:scaling>
          <c:orientation val="minMax"/>
        </c:scaling>
        <c:delete val="0"/>
        <c:axPos val="b"/>
        <c:numFmt formatCode="General" sourceLinked="1"/>
        <c:majorTickMark val="out"/>
        <c:minorTickMark val="none"/>
        <c:tickLblPos val="nextTo"/>
        <c:crossAx val="711793384"/>
        <c:crosses val="autoZero"/>
        <c:auto val="1"/>
        <c:lblAlgn val="ctr"/>
        <c:lblOffset val="100"/>
        <c:noMultiLvlLbl val="0"/>
      </c:catAx>
      <c:valAx>
        <c:axId val="711793384"/>
        <c:scaling>
          <c:orientation val="minMax"/>
        </c:scaling>
        <c:delete val="1"/>
        <c:axPos val="l"/>
        <c:numFmt formatCode="0.00" sourceLinked="1"/>
        <c:majorTickMark val="out"/>
        <c:minorTickMark val="none"/>
        <c:tickLblPos val="none"/>
        <c:crossAx val="711795736"/>
        <c:crosses val="autoZero"/>
        <c:crossBetween val="between"/>
      </c:valAx>
      <c:spPr>
        <a:ln cmpd="sng"/>
      </c:spPr>
    </c:plotArea>
    <c:plotVisOnly val="1"/>
    <c:dispBlanksAs val="gap"/>
    <c:showDLblsOverMax val="0"/>
  </c:chart>
  <c:spPr>
    <a:ln>
      <a:solidFill>
        <a:schemeClr val="accent1"/>
      </a:solidFill>
    </a:ln>
  </c:spPr>
  <c:printSettings>
    <c:headerFooter/>
    <c:pageMargins b="0.750000000000005" l="0.70000000000000062" r="0.70000000000000062" t="0.750000000000005" header="0.31496062992126495" footer="0.31496062992126495"/>
    <c:pageSetup orientation="landscape"/>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01392860841502"/>
          <c:y val="0.11881177508413122"/>
          <c:w val="0.75111111111111162"/>
          <c:h val="0.60053896728255507"/>
        </c:manualLayout>
      </c:layout>
      <c:lineChart>
        <c:grouping val="standard"/>
        <c:varyColors val="0"/>
        <c:ser>
          <c:idx val="0"/>
          <c:order val="0"/>
          <c:tx>
            <c:strRef>
              <c:f>'Rule 4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5167-4BA9-B419-ACA811B57908}"/>
            </c:ext>
          </c:extLst>
        </c:ser>
        <c:ser>
          <c:idx val="1"/>
          <c:order val="1"/>
          <c:tx>
            <c:strRef>
              <c:f>'Rule 4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5167-4BA9-B419-ACA811B57908}"/>
            </c:ext>
          </c:extLst>
        </c:ser>
        <c:ser>
          <c:idx val="2"/>
          <c:order val="2"/>
          <c:tx>
            <c:strRef>
              <c:f>'Rule 4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5167-4BA9-B419-ACA811B57908}"/>
            </c:ext>
          </c:extLst>
        </c:ser>
        <c:ser>
          <c:idx val="3"/>
          <c:order val="3"/>
          <c:tx>
            <c:strRef>
              <c:f>'Rule 4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5167-4BA9-B419-ACA811B57908}"/>
            </c:ext>
          </c:extLst>
        </c:ser>
        <c:ser>
          <c:idx val="4"/>
          <c:order val="4"/>
          <c:tx>
            <c:strRef>
              <c:f>'Rule 4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5167-4BA9-B419-ACA811B57908}"/>
            </c:ext>
          </c:extLst>
        </c:ser>
        <c:ser>
          <c:idx val="5"/>
          <c:order val="5"/>
          <c:tx>
            <c:strRef>
              <c:f>'Rule 4 Fail Examples'!$O$7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Examples'!$O$8:$O$18</c:f>
              <c:numCache>
                <c:formatCode>0.00</c:formatCode>
                <c:ptCount val="11"/>
                <c:pt idx="0">
                  <c:v>26.2</c:v>
                </c:pt>
                <c:pt idx="1">
                  <c:v>26.25</c:v>
                </c:pt>
                <c:pt idx="2">
                  <c:v>26.04</c:v>
                </c:pt>
                <c:pt idx="3">
                  <c:v>26.13</c:v>
                </c:pt>
                <c:pt idx="4">
                  <c:v>26.18</c:v>
                </c:pt>
                <c:pt idx="5">
                  <c:v>26.28</c:v>
                </c:pt>
                <c:pt idx="6">
                  <c:v>26.33</c:v>
                </c:pt>
                <c:pt idx="7">
                  <c:v>26.37</c:v>
                </c:pt>
                <c:pt idx="8">
                  <c:v>26.44</c:v>
                </c:pt>
                <c:pt idx="9">
                  <c:v>26.49</c:v>
                </c:pt>
                <c:pt idx="10">
                  <c:v>26.36</c:v>
                </c:pt>
              </c:numCache>
            </c:numRef>
          </c:val>
          <c:smooth val="0"/>
          <c:extLst>
            <c:ext xmlns:c16="http://schemas.microsoft.com/office/drawing/2014/chart" uri="{C3380CC4-5D6E-409C-BE32-E72D297353CC}">
              <c16:uniqueId val="{00000005-5167-4BA9-B419-ACA811B57908}"/>
            </c:ext>
          </c:extLst>
        </c:ser>
        <c:dLbls>
          <c:showLegendKey val="0"/>
          <c:showVal val="0"/>
          <c:showCatName val="0"/>
          <c:showSerName val="0"/>
          <c:showPercent val="0"/>
          <c:showBubbleSize val="0"/>
        </c:dLbls>
        <c:smooth val="0"/>
        <c:axId val="711788680"/>
        <c:axId val="716108488"/>
      </c:lineChart>
      <c:catAx>
        <c:axId val="711788680"/>
        <c:scaling>
          <c:orientation val="minMax"/>
        </c:scaling>
        <c:delete val="0"/>
        <c:axPos val="b"/>
        <c:numFmt formatCode="General" sourceLinked="1"/>
        <c:majorTickMark val="out"/>
        <c:minorTickMark val="none"/>
        <c:tickLblPos val="nextTo"/>
        <c:crossAx val="716108488"/>
        <c:crosses val="autoZero"/>
        <c:auto val="1"/>
        <c:lblAlgn val="ctr"/>
        <c:lblOffset val="100"/>
        <c:noMultiLvlLbl val="0"/>
      </c:catAx>
      <c:valAx>
        <c:axId val="716108488"/>
        <c:scaling>
          <c:orientation val="minMax"/>
        </c:scaling>
        <c:delete val="1"/>
        <c:axPos val="l"/>
        <c:numFmt formatCode="0.00" sourceLinked="1"/>
        <c:majorTickMark val="out"/>
        <c:minorTickMark val="none"/>
        <c:tickLblPos val="none"/>
        <c:crossAx val="711788680"/>
        <c:crosses val="autoZero"/>
        <c:crossBetween val="between"/>
      </c:valAx>
      <c:spPr>
        <a:ln cmpd="sng"/>
      </c:spPr>
    </c:plotArea>
    <c:plotVisOnly val="1"/>
    <c:dispBlanksAs val="gap"/>
    <c:showDLblsOverMax val="0"/>
  </c:chart>
  <c:printSettings>
    <c:headerFooter/>
    <c:pageMargins b="0.75000000000000555" l="0.70000000000000062" r="0.70000000000000062" t="0.75000000000000555" header="0.30000000000000032" footer="0.30000000000000032"/>
    <c:pageSetup/>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0503371488794"/>
          <c:y val="0.15657757609942191"/>
          <c:w val="0.75111111111111162"/>
          <c:h val="0.5809934651185279"/>
        </c:manualLayout>
      </c:layout>
      <c:lineChart>
        <c:grouping val="standard"/>
        <c:varyColors val="0"/>
        <c:ser>
          <c:idx val="6"/>
          <c:order val="6"/>
          <c:tx>
            <c:strRef>
              <c:f>'Rule 4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Examples'!$C$8:$C$18</c:f>
              <c:numCache>
                <c:formatCode>0.00</c:formatCode>
                <c:ptCount val="11"/>
                <c:pt idx="0">
                  <c:v>26.3</c:v>
                </c:pt>
                <c:pt idx="1">
                  <c:v>26.3</c:v>
                </c:pt>
                <c:pt idx="2">
                  <c:v>26.3</c:v>
                </c:pt>
                <c:pt idx="3">
                  <c:v>26.3</c:v>
                </c:pt>
                <c:pt idx="4">
                  <c:v>26.3</c:v>
                </c:pt>
                <c:pt idx="5">
                  <c:v>26.3</c:v>
                </c:pt>
                <c:pt idx="6">
                  <c:v>26.3</c:v>
                </c:pt>
                <c:pt idx="7">
                  <c:v>26.3</c:v>
                </c:pt>
                <c:pt idx="8">
                  <c:v>26.3</c:v>
                </c:pt>
                <c:pt idx="9">
                  <c:v>26.3</c:v>
                </c:pt>
                <c:pt idx="10">
                  <c:v>26.3</c:v>
                </c:pt>
              </c:numCache>
            </c:numRef>
          </c:val>
          <c:smooth val="0"/>
          <c:extLst>
            <c:ext xmlns:c16="http://schemas.microsoft.com/office/drawing/2014/chart" uri="{C3380CC4-5D6E-409C-BE32-E72D297353CC}">
              <c16:uniqueId val="{00000000-508A-48F1-92D9-1A87C03D95B9}"/>
            </c:ext>
          </c:extLst>
        </c:ser>
        <c:ser>
          <c:idx val="7"/>
          <c:order val="7"/>
          <c:tx>
            <c:strRef>
              <c:f>'Rule 4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Examples'!$D$8:$D$18</c:f>
              <c:numCache>
                <c:formatCode>0.00</c:formatCode>
                <c:ptCount val="11"/>
                <c:pt idx="0">
                  <c:v>25.9</c:v>
                </c:pt>
                <c:pt idx="1">
                  <c:v>25.9</c:v>
                </c:pt>
                <c:pt idx="2">
                  <c:v>25.9</c:v>
                </c:pt>
                <c:pt idx="3">
                  <c:v>25.9</c:v>
                </c:pt>
                <c:pt idx="4">
                  <c:v>25.9</c:v>
                </c:pt>
                <c:pt idx="5">
                  <c:v>25.9</c:v>
                </c:pt>
                <c:pt idx="6">
                  <c:v>25.9</c:v>
                </c:pt>
                <c:pt idx="7">
                  <c:v>25.9</c:v>
                </c:pt>
                <c:pt idx="8">
                  <c:v>25.9</c:v>
                </c:pt>
                <c:pt idx="9">
                  <c:v>25.9</c:v>
                </c:pt>
                <c:pt idx="10">
                  <c:v>25.9</c:v>
                </c:pt>
              </c:numCache>
            </c:numRef>
          </c:val>
          <c:smooth val="0"/>
          <c:extLst>
            <c:ext xmlns:c16="http://schemas.microsoft.com/office/drawing/2014/chart" uri="{C3380CC4-5D6E-409C-BE32-E72D297353CC}">
              <c16:uniqueId val="{00000001-508A-48F1-92D9-1A87C03D95B9}"/>
            </c:ext>
          </c:extLst>
        </c:ser>
        <c:ser>
          <c:idx val="8"/>
          <c:order val="8"/>
          <c:tx>
            <c:strRef>
              <c:f>'Rule 4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Examples'!$E$8:$E$18</c:f>
              <c:numCache>
                <c:formatCode>0.00</c:formatCode>
                <c:ptCount val="11"/>
                <c:pt idx="0">
                  <c:v>26</c:v>
                </c:pt>
                <c:pt idx="1">
                  <c:v>26</c:v>
                </c:pt>
                <c:pt idx="2">
                  <c:v>26</c:v>
                </c:pt>
                <c:pt idx="3">
                  <c:v>26</c:v>
                </c:pt>
                <c:pt idx="4">
                  <c:v>26</c:v>
                </c:pt>
                <c:pt idx="5">
                  <c:v>26</c:v>
                </c:pt>
                <c:pt idx="6">
                  <c:v>26</c:v>
                </c:pt>
                <c:pt idx="7">
                  <c:v>26</c:v>
                </c:pt>
                <c:pt idx="8">
                  <c:v>26</c:v>
                </c:pt>
                <c:pt idx="9">
                  <c:v>26</c:v>
                </c:pt>
                <c:pt idx="10">
                  <c:v>26</c:v>
                </c:pt>
              </c:numCache>
            </c:numRef>
          </c:val>
          <c:smooth val="0"/>
          <c:extLst>
            <c:ext xmlns:c16="http://schemas.microsoft.com/office/drawing/2014/chart" uri="{C3380CC4-5D6E-409C-BE32-E72D297353CC}">
              <c16:uniqueId val="{00000002-508A-48F1-92D9-1A87C03D95B9}"/>
            </c:ext>
          </c:extLst>
        </c:ser>
        <c:ser>
          <c:idx val="9"/>
          <c:order val="9"/>
          <c:tx>
            <c:strRef>
              <c:f>'Rule 4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Examples'!$F$8:$F$18</c:f>
              <c:numCache>
                <c:formatCode>0.00</c:formatCode>
                <c:ptCount val="11"/>
                <c:pt idx="0">
                  <c:v>26.5</c:v>
                </c:pt>
                <c:pt idx="1">
                  <c:v>26.5</c:v>
                </c:pt>
                <c:pt idx="2">
                  <c:v>26.5</c:v>
                </c:pt>
                <c:pt idx="3">
                  <c:v>26.5</c:v>
                </c:pt>
                <c:pt idx="4">
                  <c:v>26.5</c:v>
                </c:pt>
                <c:pt idx="5">
                  <c:v>26.5</c:v>
                </c:pt>
                <c:pt idx="6">
                  <c:v>26.5</c:v>
                </c:pt>
                <c:pt idx="7">
                  <c:v>26.5</c:v>
                </c:pt>
                <c:pt idx="8">
                  <c:v>26.5</c:v>
                </c:pt>
                <c:pt idx="9">
                  <c:v>26.5</c:v>
                </c:pt>
                <c:pt idx="10">
                  <c:v>26.5</c:v>
                </c:pt>
              </c:numCache>
            </c:numRef>
          </c:val>
          <c:smooth val="0"/>
          <c:extLst>
            <c:ext xmlns:c16="http://schemas.microsoft.com/office/drawing/2014/chart" uri="{C3380CC4-5D6E-409C-BE32-E72D297353CC}">
              <c16:uniqueId val="{00000003-508A-48F1-92D9-1A87C03D95B9}"/>
            </c:ext>
          </c:extLst>
        </c:ser>
        <c:ser>
          <c:idx val="10"/>
          <c:order val="10"/>
          <c:tx>
            <c:strRef>
              <c:f>'Rule 4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Examples'!$G$8:$G$18</c:f>
              <c:numCache>
                <c:formatCode>0.00</c:formatCode>
                <c:ptCount val="11"/>
                <c:pt idx="0">
                  <c:v>26.6</c:v>
                </c:pt>
                <c:pt idx="1">
                  <c:v>26.6</c:v>
                </c:pt>
                <c:pt idx="2">
                  <c:v>26.6</c:v>
                </c:pt>
                <c:pt idx="3">
                  <c:v>26.6</c:v>
                </c:pt>
                <c:pt idx="4">
                  <c:v>26.6</c:v>
                </c:pt>
                <c:pt idx="5">
                  <c:v>26.6</c:v>
                </c:pt>
                <c:pt idx="6">
                  <c:v>26.6</c:v>
                </c:pt>
                <c:pt idx="7">
                  <c:v>26.6</c:v>
                </c:pt>
                <c:pt idx="8">
                  <c:v>26.6</c:v>
                </c:pt>
                <c:pt idx="9">
                  <c:v>26.6</c:v>
                </c:pt>
                <c:pt idx="10">
                  <c:v>26.6</c:v>
                </c:pt>
              </c:numCache>
            </c:numRef>
          </c:val>
          <c:smooth val="0"/>
          <c:extLst>
            <c:ext xmlns:c16="http://schemas.microsoft.com/office/drawing/2014/chart" uri="{C3380CC4-5D6E-409C-BE32-E72D297353CC}">
              <c16:uniqueId val="{00000004-508A-48F1-92D9-1A87C03D95B9}"/>
            </c:ext>
          </c:extLst>
        </c:ser>
        <c:ser>
          <c:idx val="11"/>
          <c:order val="11"/>
          <c:tx>
            <c:strRef>
              <c:f>'Rule 4 Fail Examples'!$P$7</c:f>
              <c:strCache>
                <c:ptCount val="1"/>
                <c:pt idx="0">
                  <c:v>Results</c:v>
                </c:pt>
              </c:strCache>
            </c:strRef>
          </c:tx>
          <c:spPr>
            <a:ln w="19050">
              <a:solidFill>
                <a:schemeClr val="tx2"/>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Examples'!$P$8:$P$19</c:f>
              <c:numCache>
                <c:formatCode>0.00</c:formatCode>
                <c:ptCount val="12"/>
                <c:pt idx="0">
                  <c:v>26.2</c:v>
                </c:pt>
                <c:pt idx="1">
                  <c:v>26.25</c:v>
                </c:pt>
                <c:pt idx="2">
                  <c:v>26.04</c:v>
                </c:pt>
                <c:pt idx="3">
                  <c:v>26.13</c:v>
                </c:pt>
                <c:pt idx="4">
                  <c:v>26.18</c:v>
                </c:pt>
                <c:pt idx="5">
                  <c:v>26.28</c:v>
                </c:pt>
                <c:pt idx="6">
                  <c:v>26.33</c:v>
                </c:pt>
                <c:pt idx="7">
                  <c:v>26.37</c:v>
                </c:pt>
                <c:pt idx="8">
                  <c:v>26.44</c:v>
                </c:pt>
                <c:pt idx="9">
                  <c:v>26.49</c:v>
                </c:pt>
                <c:pt idx="10">
                  <c:v>26.52</c:v>
                </c:pt>
                <c:pt idx="11" formatCode="General">
                  <c:v>26.33</c:v>
                </c:pt>
              </c:numCache>
            </c:numRef>
          </c:val>
          <c:smooth val="0"/>
          <c:extLst>
            <c:ext xmlns:c16="http://schemas.microsoft.com/office/drawing/2014/chart" uri="{C3380CC4-5D6E-409C-BE32-E72D297353CC}">
              <c16:uniqueId val="{00000005-508A-48F1-92D9-1A87C03D95B9}"/>
            </c:ext>
          </c:extLst>
        </c:ser>
        <c:ser>
          <c:idx val="0"/>
          <c:order val="0"/>
          <c:tx>
            <c:strRef>
              <c:f>'Rule 4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Examples'!$C$8:$C$19</c:f>
              <c:numCache>
                <c:formatCode>0.00</c:formatCode>
                <c:ptCount val="12"/>
                <c:pt idx="0">
                  <c:v>26.3</c:v>
                </c:pt>
                <c:pt idx="1">
                  <c:v>26.3</c:v>
                </c:pt>
                <c:pt idx="2">
                  <c:v>26.3</c:v>
                </c:pt>
                <c:pt idx="3">
                  <c:v>26.3</c:v>
                </c:pt>
                <c:pt idx="4">
                  <c:v>26.3</c:v>
                </c:pt>
                <c:pt idx="5">
                  <c:v>26.3</c:v>
                </c:pt>
                <c:pt idx="6">
                  <c:v>26.3</c:v>
                </c:pt>
                <c:pt idx="7">
                  <c:v>26.3</c:v>
                </c:pt>
                <c:pt idx="8">
                  <c:v>26.3</c:v>
                </c:pt>
                <c:pt idx="9">
                  <c:v>26.3</c:v>
                </c:pt>
                <c:pt idx="10">
                  <c:v>26.3</c:v>
                </c:pt>
                <c:pt idx="11">
                  <c:v>26.3</c:v>
                </c:pt>
              </c:numCache>
            </c:numRef>
          </c:val>
          <c:smooth val="0"/>
          <c:extLst>
            <c:ext xmlns:c16="http://schemas.microsoft.com/office/drawing/2014/chart" uri="{C3380CC4-5D6E-409C-BE32-E72D297353CC}">
              <c16:uniqueId val="{00000006-508A-48F1-92D9-1A87C03D95B9}"/>
            </c:ext>
          </c:extLst>
        </c:ser>
        <c:ser>
          <c:idx val="1"/>
          <c:order val="1"/>
          <c:tx>
            <c:strRef>
              <c:f>'Rule 4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Examples'!$D$8:$D$19</c:f>
              <c:numCache>
                <c:formatCode>0.00</c:formatCode>
                <c:ptCount val="12"/>
                <c:pt idx="0">
                  <c:v>25.9</c:v>
                </c:pt>
                <c:pt idx="1">
                  <c:v>25.9</c:v>
                </c:pt>
                <c:pt idx="2">
                  <c:v>25.9</c:v>
                </c:pt>
                <c:pt idx="3">
                  <c:v>25.9</c:v>
                </c:pt>
                <c:pt idx="4">
                  <c:v>25.9</c:v>
                </c:pt>
                <c:pt idx="5">
                  <c:v>25.9</c:v>
                </c:pt>
                <c:pt idx="6">
                  <c:v>25.9</c:v>
                </c:pt>
                <c:pt idx="7">
                  <c:v>25.9</c:v>
                </c:pt>
                <c:pt idx="8">
                  <c:v>25.9</c:v>
                </c:pt>
                <c:pt idx="9">
                  <c:v>25.9</c:v>
                </c:pt>
                <c:pt idx="10">
                  <c:v>25.9</c:v>
                </c:pt>
                <c:pt idx="11">
                  <c:v>25.9</c:v>
                </c:pt>
              </c:numCache>
            </c:numRef>
          </c:val>
          <c:smooth val="0"/>
          <c:extLst>
            <c:ext xmlns:c16="http://schemas.microsoft.com/office/drawing/2014/chart" uri="{C3380CC4-5D6E-409C-BE32-E72D297353CC}">
              <c16:uniqueId val="{00000007-508A-48F1-92D9-1A87C03D95B9}"/>
            </c:ext>
          </c:extLst>
        </c:ser>
        <c:ser>
          <c:idx val="2"/>
          <c:order val="2"/>
          <c:tx>
            <c:strRef>
              <c:f>'Rule 4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Examples'!$E$8:$E$19</c:f>
              <c:numCache>
                <c:formatCode>0.00</c:formatCode>
                <c:ptCount val="12"/>
                <c:pt idx="0">
                  <c:v>26</c:v>
                </c:pt>
                <c:pt idx="1">
                  <c:v>26</c:v>
                </c:pt>
                <c:pt idx="2">
                  <c:v>26</c:v>
                </c:pt>
                <c:pt idx="3">
                  <c:v>26</c:v>
                </c:pt>
                <c:pt idx="4">
                  <c:v>26</c:v>
                </c:pt>
                <c:pt idx="5">
                  <c:v>26</c:v>
                </c:pt>
                <c:pt idx="6">
                  <c:v>26</c:v>
                </c:pt>
                <c:pt idx="7">
                  <c:v>26</c:v>
                </c:pt>
                <c:pt idx="8">
                  <c:v>26</c:v>
                </c:pt>
                <c:pt idx="9">
                  <c:v>26</c:v>
                </c:pt>
                <c:pt idx="10">
                  <c:v>26</c:v>
                </c:pt>
                <c:pt idx="11">
                  <c:v>26</c:v>
                </c:pt>
              </c:numCache>
            </c:numRef>
          </c:val>
          <c:smooth val="0"/>
          <c:extLst>
            <c:ext xmlns:c16="http://schemas.microsoft.com/office/drawing/2014/chart" uri="{C3380CC4-5D6E-409C-BE32-E72D297353CC}">
              <c16:uniqueId val="{00000008-508A-48F1-92D9-1A87C03D95B9}"/>
            </c:ext>
          </c:extLst>
        </c:ser>
        <c:ser>
          <c:idx val="3"/>
          <c:order val="3"/>
          <c:tx>
            <c:strRef>
              <c:f>'Rule 4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Examples'!$F$8:$F$19</c:f>
              <c:numCache>
                <c:formatCode>0.00</c:formatCode>
                <c:ptCount val="12"/>
                <c:pt idx="0">
                  <c:v>26.5</c:v>
                </c:pt>
                <c:pt idx="1">
                  <c:v>26.5</c:v>
                </c:pt>
                <c:pt idx="2">
                  <c:v>26.5</c:v>
                </c:pt>
                <c:pt idx="3">
                  <c:v>26.5</c:v>
                </c:pt>
                <c:pt idx="4">
                  <c:v>26.5</c:v>
                </c:pt>
                <c:pt idx="5">
                  <c:v>26.5</c:v>
                </c:pt>
                <c:pt idx="6">
                  <c:v>26.5</c:v>
                </c:pt>
                <c:pt idx="7">
                  <c:v>26.5</c:v>
                </c:pt>
                <c:pt idx="8">
                  <c:v>26.5</c:v>
                </c:pt>
                <c:pt idx="9">
                  <c:v>26.5</c:v>
                </c:pt>
                <c:pt idx="10">
                  <c:v>26.5</c:v>
                </c:pt>
                <c:pt idx="11">
                  <c:v>26.5</c:v>
                </c:pt>
              </c:numCache>
            </c:numRef>
          </c:val>
          <c:smooth val="0"/>
          <c:extLst>
            <c:ext xmlns:c16="http://schemas.microsoft.com/office/drawing/2014/chart" uri="{C3380CC4-5D6E-409C-BE32-E72D297353CC}">
              <c16:uniqueId val="{00000009-508A-48F1-92D9-1A87C03D95B9}"/>
            </c:ext>
          </c:extLst>
        </c:ser>
        <c:ser>
          <c:idx val="4"/>
          <c:order val="4"/>
          <c:tx>
            <c:strRef>
              <c:f>'Rule 4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Examples'!$G$8:$G$19</c:f>
              <c:numCache>
                <c:formatCode>0.00</c:formatCode>
                <c:ptCount val="12"/>
                <c:pt idx="0">
                  <c:v>26.6</c:v>
                </c:pt>
                <c:pt idx="1">
                  <c:v>26.6</c:v>
                </c:pt>
                <c:pt idx="2">
                  <c:v>26.6</c:v>
                </c:pt>
                <c:pt idx="3">
                  <c:v>26.6</c:v>
                </c:pt>
                <c:pt idx="4">
                  <c:v>26.6</c:v>
                </c:pt>
                <c:pt idx="5">
                  <c:v>26.6</c:v>
                </c:pt>
                <c:pt idx="6">
                  <c:v>26.6</c:v>
                </c:pt>
                <c:pt idx="7">
                  <c:v>26.6</c:v>
                </c:pt>
                <c:pt idx="8">
                  <c:v>26.6</c:v>
                </c:pt>
                <c:pt idx="9">
                  <c:v>26.6</c:v>
                </c:pt>
                <c:pt idx="10">
                  <c:v>26.6</c:v>
                </c:pt>
                <c:pt idx="11">
                  <c:v>26.6</c:v>
                </c:pt>
              </c:numCache>
            </c:numRef>
          </c:val>
          <c:smooth val="0"/>
          <c:extLst>
            <c:ext xmlns:c16="http://schemas.microsoft.com/office/drawing/2014/chart" uri="{C3380CC4-5D6E-409C-BE32-E72D297353CC}">
              <c16:uniqueId val="{0000000A-508A-48F1-92D9-1A87C03D95B9}"/>
            </c:ext>
          </c:extLst>
        </c:ser>
        <c:ser>
          <c:idx val="5"/>
          <c:order val="5"/>
          <c:tx>
            <c:strRef>
              <c:f>'Rule 4 Fail Examples'!$P$7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Examples'!$P$8:$P$19</c:f>
              <c:numCache>
                <c:formatCode>0.00</c:formatCode>
                <c:ptCount val="12"/>
                <c:pt idx="0">
                  <c:v>26.2</c:v>
                </c:pt>
                <c:pt idx="1">
                  <c:v>26.25</c:v>
                </c:pt>
                <c:pt idx="2">
                  <c:v>26.04</c:v>
                </c:pt>
                <c:pt idx="3">
                  <c:v>26.13</c:v>
                </c:pt>
                <c:pt idx="4">
                  <c:v>26.18</c:v>
                </c:pt>
                <c:pt idx="5">
                  <c:v>26.28</c:v>
                </c:pt>
                <c:pt idx="6">
                  <c:v>26.33</c:v>
                </c:pt>
                <c:pt idx="7">
                  <c:v>26.37</c:v>
                </c:pt>
                <c:pt idx="8">
                  <c:v>26.44</c:v>
                </c:pt>
                <c:pt idx="9">
                  <c:v>26.49</c:v>
                </c:pt>
                <c:pt idx="10">
                  <c:v>26.52</c:v>
                </c:pt>
                <c:pt idx="11" formatCode="General">
                  <c:v>26.33</c:v>
                </c:pt>
              </c:numCache>
            </c:numRef>
          </c:val>
          <c:smooth val="0"/>
          <c:extLst>
            <c:ext xmlns:c16="http://schemas.microsoft.com/office/drawing/2014/chart" uri="{C3380CC4-5D6E-409C-BE32-E72D297353CC}">
              <c16:uniqueId val="{0000000B-508A-48F1-92D9-1A87C03D95B9}"/>
            </c:ext>
          </c:extLst>
        </c:ser>
        <c:dLbls>
          <c:showLegendKey val="0"/>
          <c:showVal val="0"/>
          <c:showCatName val="0"/>
          <c:showSerName val="0"/>
          <c:showPercent val="0"/>
          <c:showBubbleSize val="0"/>
        </c:dLbls>
        <c:smooth val="0"/>
        <c:axId val="716111624"/>
        <c:axId val="716107312"/>
      </c:lineChart>
      <c:catAx>
        <c:axId val="716111624"/>
        <c:scaling>
          <c:orientation val="minMax"/>
        </c:scaling>
        <c:delete val="0"/>
        <c:axPos val="b"/>
        <c:numFmt formatCode="General" sourceLinked="1"/>
        <c:majorTickMark val="out"/>
        <c:minorTickMark val="none"/>
        <c:tickLblPos val="nextTo"/>
        <c:crossAx val="716107312"/>
        <c:crosses val="autoZero"/>
        <c:auto val="1"/>
        <c:lblAlgn val="ctr"/>
        <c:lblOffset val="100"/>
        <c:noMultiLvlLbl val="0"/>
      </c:catAx>
      <c:valAx>
        <c:axId val="716107312"/>
        <c:scaling>
          <c:orientation val="minMax"/>
        </c:scaling>
        <c:delete val="1"/>
        <c:axPos val="l"/>
        <c:numFmt formatCode="0.00" sourceLinked="1"/>
        <c:majorTickMark val="out"/>
        <c:minorTickMark val="none"/>
        <c:tickLblPos val="none"/>
        <c:crossAx val="716111624"/>
        <c:crosses val="autoZero"/>
        <c:crossBetween val="between"/>
      </c:valAx>
      <c:spPr>
        <a:ln cmpd="sng"/>
      </c:spPr>
    </c:plotArea>
    <c:plotVisOnly val="1"/>
    <c:dispBlanksAs val="gap"/>
    <c:showDLblsOverMax val="0"/>
  </c:chart>
  <c:printSettings>
    <c:headerFooter/>
    <c:pageMargins b="0.750000000000006" l="0.70000000000000062" r="0.70000000000000062" t="0.750000000000006" header="0.30000000000000032" footer="0.30000000000000032"/>
    <c:pageSetup/>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05017754044366"/>
          <c:y val="0.15332006355266523"/>
          <c:w val="0.75111111111111162"/>
          <c:h val="0.57230474253859076"/>
        </c:manualLayout>
      </c:layout>
      <c:lineChart>
        <c:grouping val="standard"/>
        <c:varyColors val="0"/>
        <c:ser>
          <c:idx val="0"/>
          <c:order val="0"/>
          <c:tx>
            <c:strRef>
              <c:f>'Rule 4 Fail Examples'!$C$7</c:f>
              <c:strCache>
                <c:ptCount val="1"/>
                <c:pt idx="0">
                  <c:v>x</c:v>
                </c:pt>
              </c:strCache>
            </c:strRef>
          </c:tx>
          <c:spPr>
            <a:ln w="22225">
              <a:solidFill>
                <a:srgbClr val="00B05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Examples'!$C$8:$C$19</c:f>
              <c:numCache>
                <c:formatCode>0.00</c:formatCode>
                <c:ptCount val="12"/>
                <c:pt idx="0">
                  <c:v>26.3</c:v>
                </c:pt>
                <c:pt idx="1">
                  <c:v>26.3</c:v>
                </c:pt>
                <c:pt idx="2">
                  <c:v>26.3</c:v>
                </c:pt>
                <c:pt idx="3">
                  <c:v>26.3</c:v>
                </c:pt>
                <c:pt idx="4">
                  <c:v>26.3</c:v>
                </c:pt>
                <c:pt idx="5">
                  <c:v>26.3</c:v>
                </c:pt>
                <c:pt idx="6">
                  <c:v>26.3</c:v>
                </c:pt>
                <c:pt idx="7">
                  <c:v>26.3</c:v>
                </c:pt>
                <c:pt idx="8">
                  <c:v>26.3</c:v>
                </c:pt>
                <c:pt idx="9">
                  <c:v>26.3</c:v>
                </c:pt>
                <c:pt idx="10">
                  <c:v>26.3</c:v>
                </c:pt>
                <c:pt idx="11">
                  <c:v>26.3</c:v>
                </c:pt>
              </c:numCache>
            </c:numRef>
          </c:val>
          <c:smooth val="0"/>
          <c:extLst>
            <c:ext xmlns:c16="http://schemas.microsoft.com/office/drawing/2014/chart" uri="{C3380CC4-5D6E-409C-BE32-E72D297353CC}">
              <c16:uniqueId val="{00000000-F9C8-44FF-AC53-CFB9BF811067}"/>
            </c:ext>
          </c:extLst>
        </c:ser>
        <c:ser>
          <c:idx val="1"/>
          <c:order val="1"/>
          <c:tx>
            <c:strRef>
              <c:f>'Rule 4 Fail Examples'!$D$7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Examples'!$D$8:$D$19</c:f>
              <c:numCache>
                <c:formatCode>0.00</c:formatCode>
                <c:ptCount val="12"/>
                <c:pt idx="0">
                  <c:v>25.9</c:v>
                </c:pt>
                <c:pt idx="1">
                  <c:v>25.9</c:v>
                </c:pt>
                <c:pt idx="2">
                  <c:v>25.9</c:v>
                </c:pt>
                <c:pt idx="3">
                  <c:v>25.9</c:v>
                </c:pt>
                <c:pt idx="4">
                  <c:v>25.9</c:v>
                </c:pt>
                <c:pt idx="5">
                  <c:v>25.9</c:v>
                </c:pt>
                <c:pt idx="6">
                  <c:v>25.9</c:v>
                </c:pt>
                <c:pt idx="7">
                  <c:v>25.9</c:v>
                </c:pt>
                <c:pt idx="8">
                  <c:v>25.9</c:v>
                </c:pt>
                <c:pt idx="9">
                  <c:v>25.9</c:v>
                </c:pt>
                <c:pt idx="10">
                  <c:v>25.9</c:v>
                </c:pt>
                <c:pt idx="11">
                  <c:v>25.9</c:v>
                </c:pt>
              </c:numCache>
            </c:numRef>
          </c:val>
          <c:smooth val="0"/>
          <c:extLst>
            <c:ext xmlns:c16="http://schemas.microsoft.com/office/drawing/2014/chart" uri="{C3380CC4-5D6E-409C-BE32-E72D297353CC}">
              <c16:uniqueId val="{00000001-F9C8-44FF-AC53-CFB9BF811067}"/>
            </c:ext>
          </c:extLst>
        </c:ser>
        <c:ser>
          <c:idx val="2"/>
          <c:order val="2"/>
          <c:tx>
            <c:strRef>
              <c:f>'Rule 4 Fail Examples'!$E$7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Examples'!$E$8:$E$19</c:f>
              <c:numCache>
                <c:formatCode>0.00</c:formatCode>
                <c:ptCount val="12"/>
                <c:pt idx="0">
                  <c:v>26</c:v>
                </c:pt>
                <c:pt idx="1">
                  <c:v>26</c:v>
                </c:pt>
                <c:pt idx="2">
                  <c:v>26</c:v>
                </c:pt>
                <c:pt idx="3">
                  <c:v>26</c:v>
                </c:pt>
                <c:pt idx="4">
                  <c:v>26</c:v>
                </c:pt>
                <c:pt idx="5">
                  <c:v>26</c:v>
                </c:pt>
                <c:pt idx="6">
                  <c:v>26</c:v>
                </c:pt>
                <c:pt idx="7">
                  <c:v>26</c:v>
                </c:pt>
                <c:pt idx="8">
                  <c:v>26</c:v>
                </c:pt>
                <c:pt idx="9">
                  <c:v>26</c:v>
                </c:pt>
                <c:pt idx="10">
                  <c:v>26</c:v>
                </c:pt>
                <c:pt idx="11">
                  <c:v>26</c:v>
                </c:pt>
              </c:numCache>
            </c:numRef>
          </c:val>
          <c:smooth val="0"/>
          <c:extLst>
            <c:ext xmlns:c16="http://schemas.microsoft.com/office/drawing/2014/chart" uri="{C3380CC4-5D6E-409C-BE32-E72D297353CC}">
              <c16:uniqueId val="{00000002-F9C8-44FF-AC53-CFB9BF811067}"/>
            </c:ext>
          </c:extLst>
        </c:ser>
        <c:ser>
          <c:idx val="3"/>
          <c:order val="3"/>
          <c:tx>
            <c:strRef>
              <c:f>'Rule 4 Fail Examples'!$F$7</c:f>
              <c:strCache>
                <c:ptCount val="1"/>
                <c:pt idx="0">
                  <c:v>+2s</c:v>
                </c:pt>
              </c:strCache>
            </c:strRef>
          </c:tx>
          <c:spPr>
            <a:ln w="22225">
              <a:solidFill>
                <a:srgbClr val="FFC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Examples'!$F$8:$F$19</c:f>
              <c:numCache>
                <c:formatCode>0.00</c:formatCode>
                <c:ptCount val="12"/>
                <c:pt idx="0">
                  <c:v>26.5</c:v>
                </c:pt>
                <c:pt idx="1">
                  <c:v>26.5</c:v>
                </c:pt>
                <c:pt idx="2">
                  <c:v>26.5</c:v>
                </c:pt>
                <c:pt idx="3">
                  <c:v>26.5</c:v>
                </c:pt>
                <c:pt idx="4">
                  <c:v>26.5</c:v>
                </c:pt>
                <c:pt idx="5">
                  <c:v>26.5</c:v>
                </c:pt>
                <c:pt idx="6">
                  <c:v>26.5</c:v>
                </c:pt>
                <c:pt idx="7">
                  <c:v>26.5</c:v>
                </c:pt>
                <c:pt idx="8">
                  <c:v>26.5</c:v>
                </c:pt>
                <c:pt idx="9">
                  <c:v>26.5</c:v>
                </c:pt>
                <c:pt idx="10">
                  <c:v>26.5</c:v>
                </c:pt>
                <c:pt idx="11">
                  <c:v>26.5</c:v>
                </c:pt>
              </c:numCache>
            </c:numRef>
          </c:val>
          <c:smooth val="0"/>
          <c:extLst>
            <c:ext xmlns:c16="http://schemas.microsoft.com/office/drawing/2014/chart" uri="{C3380CC4-5D6E-409C-BE32-E72D297353CC}">
              <c16:uniqueId val="{00000003-F9C8-44FF-AC53-CFB9BF811067}"/>
            </c:ext>
          </c:extLst>
        </c:ser>
        <c:ser>
          <c:idx val="4"/>
          <c:order val="4"/>
          <c:tx>
            <c:strRef>
              <c:f>'Rule 4 Fail Examples'!$G$7</c:f>
              <c:strCache>
                <c:ptCount val="1"/>
                <c:pt idx="0">
                  <c:v>+3s</c:v>
                </c:pt>
              </c:strCache>
            </c:strRef>
          </c:tx>
          <c:spPr>
            <a:ln w="22225">
              <a:solidFill>
                <a:srgbClr val="FF0000"/>
              </a:solidFill>
            </a:ln>
          </c:spPr>
          <c:marker>
            <c:symbol val="none"/>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Examples'!$G$8:$G$19</c:f>
              <c:numCache>
                <c:formatCode>0.00</c:formatCode>
                <c:ptCount val="12"/>
                <c:pt idx="0">
                  <c:v>26.6</c:v>
                </c:pt>
                <c:pt idx="1">
                  <c:v>26.6</c:v>
                </c:pt>
                <c:pt idx="2">
                  <c:v>26.6</c:v>
                </c:pt>
                <c:pt idx="3">
                  <c:v>26.6</c:v>
                </c:pt>
                <c:pt idx="4">
                  <c:v>26.6</c:v>
                </c:pt>
                <c:pt idx="5">
                  <c:v>26.6</c:v>
                </c:pt>
                <c:pt idx="6">
                  <c:v>26.6</c:v>
                </c:pt>
                <c:pt idx="7">
                  <c:v>26.6</c:v>
                </c:pt>
                <c:pt idx="8">
                  <c:v>26.6</c:v>
                </c:pt>
                <c:pt idx="9">
                  <c:v>26.6</c:v>
                </c:pt>
                <c:pt idx="10">
                  <c:v>26.6</c:v>
                </c:pt>
                <c:pt idx="11">
                  <c:v>26.6</c:v>
                </c:pt>
              </c:numCache>
            </c:numRef>
          </c:val>
          <c:smooth val="0"/>
          <c:extLst>
            <c:ext xmlns:c16="http://schemas.microsoft.com/office/drawing/2014/chart" uri="{C3380CC4-5D6E-409C-BE32-E72D297353CC}">
              <c16:uniqueId val="{00000004-F9C8-44FF-AC53-CFB9BF811067}"/>
            </c:ext>
          </c:extLst>
        </c:ser>
        <c:ser>
          <c:idx val="5"/>
          <c:order val="5"/>
          <c:tx>
            <c:strRef>
              <c:f>'Rule 4 Fail Examples'!$Q$7</c:f>
              <c:strCache>
                <c:ptCount val="1"/>
                <c:pt idx="0">
                  <c:v>Results</c:v>
                </c:pt>
              </c:strCache>
            </c:strRef>
          </c:tx>
          <c:spPr>
            <a:ln w="19050">
              <a:solidFill>
                <a:schemeClr val="tx2"/>
              </a:solidFill>
            </a:ln>
          </c:spPr>
          <c:marker>
            <c:symbol val="x"/>
            <c:size val="8"/>
            <c:spPr>
              <a:ln w="22225">
                <a:solidFill>
                  <a:schemeClr val="tx1">
                    <a:lumMod val="95000"/>
                    <a:lumOff val="5000"/>
                  </a:schemeClr>
                </a:solidFill>
              </a:ln>
            </c:spPr>
          </c:marker>
          <c:cat>
            <c:numRef>
              <c:f>'[1]Rule 1'!$A$3:$A$13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'Rule 4 Fail Examples'!$Q$8:$Q$19</c:f>
              <c:numCache>
                <c:formatCode>0.00</c:formatCode>
                <c:ptCount val="12"/>
                <c:pt idx="0">
                  <c:v>26.2</c:v>
                </c:pt>
                <c:pt idx="1">
                  <c:v>26.25</c:v>
                </c:pt>
                <c:pt idx="2">
                  <c:v>26.04</c:v>
                </c:pt>
                <c:pt idx="3">
                  <c:v>26.13</c:v>
                </c:pt>
                <c:pt idx="4">
                  <c:v>26.18</c:v>
                </c:pt>
                <c:pt idx="5">
                  <c:v>26.28</c:v>
                </c:pt>
                <c:pt idx="6">
                  <c:v>26.33</c:v>
                </c:pt>
                <c:pt idx="7">
                  <c:v>26.37</c:v>
                </c:pt>
                <c:pt idx="8">
                  <c:v>26.44</c:v>
                </c:pt>
                <c:pt idx="9">
                  <c:v>26.49</c:v>
                </c:pt>
                <c:pt idx="10">
                  <c:v>26.52</c:v>
                </c:pt>
                <c:pt idx="11" formatCode="General">
                  <c:v>26.55</c:v>
                </c:pt>
              </c:numCache>
            </c:numRef>
          </c:val>
          <c:smooth val="0"/>
          <c:extLst>
            <c:ext xmlns:c16="http://schemas.microsoft.com/office/drawing/2014/chart" uri="{C3380CC4-5D6E-409C-BE32-E72D297353CC}">
              <c16:uniqueId val="{00000005-F9C8-44FF-AC53-CFB9BF811067}"/>
            </c:ext>
          </c:extLst>
        </c:ser>
        <c:dLbls>
          <c:showLegendKey val="0"/>
          <c:showVal val="0"/>
          <c:showCatName val="0"/>
          <c:showSerName val="0"/>
          <c:showPercent val="0"/>
          <c:showBubbleSize val="0"/>
        </c:dLbls>
        <c:smooth val="0"/>
        <c:axId val="716107704"/>
        <c:axId val="716106528"/>
      </c:lineChart>
      <c:catAx>
        <c:axId val="716107704"/>
        <c:scaling>
          <c:orientation val="minMax"/>
        </c:scaling>
        <c:delete val="0"/>
        <c:axPos val="b"/>
        <c:numFmt formatCode="General" sourceLinked="1"/>
        <c:majorTickMark val="out"/>
        <c:minorTickMark val="none"/>
        <c:tickLblPos val="nextTo"/>
        <c:crossAx val="716106528"/>
        <c:crosses val="autoZero"/>
        <c:auto val="1"/>
        <c:lblAlgn val="ctr"/>
        <c:lblOffset val="100"/>
        <c:noMultiLvlLbl val="0"/>
      </c:catAx>
      <c:valAx>
        <c:axId val="716106528"/>
        <c:scaling>
          <c:orientation val="minMax"/>
        </c:scaling>
        <c:delete val="1"/>
        <c:axPos val="l"/>
        <c:numFmt formatCode="0.00" sourceLinked="1"/>
        <c:majorTickMark val="out"/>
        <c:minorTickMark val="none"/>
        <c:tickLblPos val="none"/>
        <c:crossAx val="716107704"/>
        <c:crosses val="autoZero"/>
        <c:crossBetween val="between"/>
      </c:valAx>
      <c:spPr>
        <a:ln cmpd="sng"/>
      </c:spPr>
    </c:plotArea>
    <c:plotVisOnly val="1"/>
    <c:dispBlanksAs val="gap"/>
    <c:showDLblsOverMax val="0"/>
  </c:chart>
  <c:printSettings>
    <c:headerFooter/>
    <c:pageMargins b="0.750000000000006" l="0.70000000000000062" r="0.70000000000000062" t="0.750000000000006" header="0.30000000000000032" footer="0.30000000000000032"/>
    <c:pageSetup/>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16885389326336"/>
          <c:y val="0.1236772358382732"/>
          <c:w val="0.81564283305597285"/>
          <c:h val="0.75108377116203751"/>
        </c:manualLayout>
      </c:layout>
      <c:scatterChart>
        <c:scatterStyle val="lineMarker"/>
        <c:varyColors val="0"/>
        <c:ser>
          <c:idx val="0"/>
          <c:order val="0"/>
          <c:tx>
            <c:strRef>
              <c:f>'CV Training Rule 1'!$AB$10</c:f>
              <c:strCache>
                <c:ptCount val="1"/>
                <c:pt idx="0">
                  <c:v>Average</c:v>
                </c:pt>
              </c:strCache>
            </c:strRef>
          </c:tx>
          <c:spPr>
            <a:ln w="0">
              <a:solidFill>
                <a:sysClr val="windowText" lastClr="000000"/>
              </a:solidFill>
            </a:ln>
          </c:spPr>
          <c:marker>
            <c:symbol val="x"/>
            <c:size val="6"/>
            <c:spPr>
              <a:noFill/>
              <a:ln w="15875">
                <a:solidFill>
                  <a:schemeClr val="tx1"/>
                </a:solidFill>
              </a:ln>
            </c:spPr>
          </c:marker>
          <c:xVal>
            <c:numRef>
              <c:f>'CV Training Rule 1'!$K$12:$P$13</c:f>
            </c:numRef>
          </c:xVal>
          <c:yVal>
            <c:numRef>
              <c:f>'CV Training Rule 1'!$AB$11:$AB$17</c:f>
              <c:numCache>
                <c:formatCode>0.00</c:formatCode>
                <c:ptCount val="7"/>
                <c:pt idx="0">
                  <c:v>26.994999999999997</c:v>
                </c:pt>
                <c:pt idx="1">
                  <c:v>27.29</c:v>
                </c:pt>
                <c:pt idx="2">
                  <c:v>27.055</c:v>
                </c:pt>
                <c:pt idx="3">
                  <c:v>27.02</c:v>
                </c:pt>
                <c:pt idx="4">
                  <c:v>27.07</c:v>
                </c:pt>
                <c:pt idx="5">
                  <c:v>27.045000000000002</c:v>
                </c:pt>
                <c:pt idx="6">
                  <c:v>26.99</c:v>
                </c:pt>
              </c:numCache>
            </c:numRef>
          </c:yVal>
          <c:smooth val="0"/>
          <c:extLst>
            <c:ext xmlns:c16="http://schemas.microsoft.com/office/drawing/2014/chart" uri="{C3380CC4-5D6E-409C-BE32-E72D297353CC}">
              <c16:uniqueId val="{00000000-FB04-4EA0-9E90-FB3EB20948A1}"/>
            </c:ext>
          </c:extLst>
        </c:ser>
        <c:ser>
          <c:idx val="1"/>
          <c:order val="1"/>
          <c:tx>
            <c:strRef>
              <c:f>'CV Training Rule 1'!$I$21</c:f>
              <c:strCache>
                <c:ptCount val="1"/>
                <c:pt idx="0">
                  <c:v>-3s</c:v>
                </c:pt>
              </c:strCache>
            </c:strRef>
          </c:tx>
          <c:spPr>
            <a:ln w="22225">
              <a:solidFill>
                <a:srgbClr val="FF0000"/>
              </a:solidFill>
            </a:ln>
          </c:spPr>
          <c:marker>
            <c:symbol val="none"/>
          </c:marker>
          <c:xVal>
            <c:numRef>
              <c:f>'CV Training Rule 1'!$B$22:$B$42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1'!$I$22:$I$42</c:f>
              <c:numCache>
                <c:formatCode>0.00</c:formatCode>
                <c:ptCount val="21"/>
                <c:pt idx="0">
                  <c:v>26.787537881918869</c:v>
                </c:pt>
                <c:pt idx="1">
                  <c:v>26.787537881918869</c:v>
                </c:pt>
                <c:pt idx="2">
                  <c:v>26.787537881918869</c:v>
                </c:pt>
                <c:pt idx="3">
                  <c:v>26.787537881918869</c:v>
                </c:pt>
                <c:pt idx="4">
                  <c:v>26.787537881918869</c:v>
                </c:pt>
                <c:pt idx="5">
                  <c:v>26.787537881918869</c:v>
                </c:pt>
                <c:pt idx="6">
                  <c:v>26.787537881918869</c:v>
                </c:pt>
                <c:pt idx="7">
                  <c:v>26.787537881918869</c:v>
                </c:pt>
                <c:pt idx="8">
                  <c:v>26.787537881918869</c:v>
                </c:pt>
                <c:pt idx="9">
                  <c:v>26.787537881918869</c:v>
                </c:pt>
                <c:pt idx="10">
                  <c:v>26.787537881918869</c:v>
                </c:pt>
                <c:pt idx="11">
                  <c:v>26.787537881918869</c:v>
                </c:pt>
                <c:pt idx="12">
                  <c:v>26.787537881918869</c:v>
                </c:pt>
                <c:pt idx="13">
                  <c:v>26.787537881918869</c:v>
                </c:pt>
                <c:pt idx="14">
                  <c:v>26.787537881918869</c:v>
                </c:pt>
                <c:pt idx="15">
                  <c:v>26.787537881918869</c:v>
                </c:pt>
                <c:pt idx="16">
                  <c:v>26.787537881918869</c:v>
                </c:pt>
                <c:pt idx="17">
                  <c:v>26.787537881918869</c:v>
                </c:pt>
                <c:pt idx="18">
                  <c:v>26.787537881918869</c:v>
                </c:pt>
                <c:pt idx="19">
                  <c:v>26.787537881918869</c:v>
                </c:pt>
                <c:pt idx="20">
                  <c:v>26.787537881918869</c:v>
                </c:pt>
              </c:numCache>
            </c:numRef>
          </c:yVal>
          <c:smooth val="0"/>
          <c:extLst>
            <c:ext xmlns:c16="http://schemas.microsoft.com/office/drawing/2014/chart" uri="{C3380CC4-5D6E-409C-BE32-E72D297353CC}">
              <c16:uniqueId val="{00000001-FB04-4EA0-9E90-FB3EB20948A1}"/>
            </c:ext>
          </c:extLst>
        </c:ser>
        <c:ser>
          <c:idx val="2"/>
          <c:order val="2"/>
          <c:tx>
            <c:strRef>
              <c:f>'CV Training Rule 1'!$J$21</c:f>
              <c:strCache>
                <c:ptCount val="1"/>
                <c:pt idx="0">
                  <c:v>-2s</c:v>
                </c:pt>
              </c:strCache>
            </c:strRef>
          </c:tx>
          <c:spPr>
            <a:ln w="22225">
              <a:solidFill>
                <a:schemeClr val="tx2">
                  <a:lumMod val="60000"/>
                  <a:lumOff val="40000"/>
                </a:schemeClr>
              </a:solidFill>
              <a:prstDash val="dashDot"/>
            </a:ln>
          </c:spPr>
          <c:marker>
            <c:symbol val="none"/>
          </c:marker>
          <c:xVal>
            <c:numRef>
              <c:f>'CV Training Rule 1'!$B$22:$B$42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1'!$J$22:$J$42</c:f>
              <c:numCache>
                <c:formatCode>0.00</c:formatCode>
                <c:ptCount val="21"/>
                <c:pt idx="0">
                  <c:v>26.863914143501468</c:v>
                </c:pt>
                <c:pt idx="1">
                  <c:v>26.863914143501468</c:v>
                </c:pt>
                <c:pt idx="2">
                  <c:v>26.863914143501468</c:v>
                </c:pt>
                <c:pt idx="3">
                  <c:v>26.863914143501468</c:v>
                </c:pt>
                <c:pt idx="4">
                  <c:v>26.863914143501468</c:v>
                </c:pt>
                <c:pt idx="5">
                  <c:v>26.863914143501468</c:v>
                </c:pt>
                <c:pt idx="6">
                  <c:v>26.863914143501468</c:v>
                </c:pt>
                <c:pt idx="7">
                  <c:v>26.863914143501468</c:v>
                </c:pt>
                <c:pt idx="8">
                  <c:v>26.863914143501468</c:v>
                </c:pt>
                <c:pt idx="9">
                  <c:v>26.863914143501468</c:v>
                </c:pt>
                <c:pt idx="10">
                  <c:v>26.863914143501468</c:v>
                </c:pt>
                <c:pt idx="11">
                  <c:v>26.863914143501468</c:v>
                </c:pt>
                <c:pt idx="12">
                  <c:v>26.863914143501468</c:v>
                </c:pt>
                <c:pt idx="13">
                  <c:v>26.863914143501468</c:v>
                </c:pt>
                <c:pt idx="14">
                  <c:v>26.863914143501468</c:v>
                </c:pt>
                <c:pt idx="15">
                  <c:v>26.863914143501468</c:v>
                </c:pt>
                <c:pt idx="16">
                  <c:v>26.863914143501468</c:v>
                </c:pt>
                <c:pt idx="17">
                  <c:v>26.863914143501468</c:v>
                </c:pt>
                <c:pt idx="18">
                  <c:v>26.863914143501468</c:v>
                </c:pt>
                <c:pt idx="19">
                  <c:v>26.863914143501468</c:v>
                </c:pt>
                <c:pt idx="20">
                  <c:v>26.863914143501468</c:v>
                </c:pt>
              </c:numCache>
            </c:numRef>
          </c:yVal>
          <c:smooth val="0"/>
          <c:extLst>
            <c:ext xmlns:c16="http://schemas.microsoft.com/office/drawing/2014/chart" uri="{C3380CC4-5D6E-409C-BE32-E72D297353CC}">
              <c16:uniqueId val="{00000002-FB04-4EA0-9E90-FB3EB20948A1}"/>
            </c:ext>
          </c:extLst>
        </c:ser>
        <c:ser>
          <c:idx val="3"/>
          <c:order val="3"/>
          <c:tx>
            <c:strRef>
              <c:f>'CV Training Rule 1'!$K$21</c:f>
              <c:strCache>
                <c:ptCount val="1"/>
                <c:pt idx="0">
                  <c:v></c:v>
                </c:pt>
              </c:strCache>
            </c:strRef>
          </c:tx>
          <c:spPr>
            <a:ln w="22225">
              <a:solidFill>
                <a:srgbClr val="00B050"/>
              </a:solidFill>
              <a:prstDash val="lgDashDotDot"/>
            </a:ln>
          </c:spPr>
          <c:marker>
            <c:symbol val="none"/>
          </c:marker>
          <c:xVal>
            <c:numRef>
              <c:f>'CV Training Rule 1'!$B$22:$B$42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1'!$K$22:$K$42</c:f>
              <c:numCache>
                <c:formatCode>0.00</c:formatCode>
                <c:ptCount val="21"/>
                <c:pt idx="0">
                  <c:v>27.016666666666666</c:v>
                </c:pt>
                <c:pt idx="1">
                  <c:v>27.016666666666666</c:v>
                </c:pt>
                <c:pt idx="2">
                  <c:v>27.016666666666666</c:v>
                </c:pt>
                <c:pt idx="3">
                  <c:v>27.016666666666666</c:v>
                </c:pt>
                <c:pt idx="4">
                  <c:v>27.016666666666666</c:v>
                </c:pt>
                <c:pt idx="5">
                  <c:v>27.016666666666666</c:v>
                </c:pt>
                <c:pt idx="6">
                  <c:v>27.016666666666666</c:v>
                </c:pt>
                <c:pt idx="7">
                  <c:v>27.016666666666666</c:v>
                </c:pt>
                <c:pt idx="8">
                  <c:v>27.016666666666666</c:v>
                </c:pt>
                <c:pt idx="9">
                  <c:v>27.016666666666666</c:v>
                </c:pt>
                <c:pt idx="10">
                  <c:v>27.016666666666666</c:v>
                </c:pt>
                <c:pt idx="11">
                  <c:v>27.016666666666666</c:v>
                </c:pt>
                <c:pt idx="12">
                  <c:v>27.016666666666666</c:v>
                </c:pt>
                <c:pt idx="13">
                  <c:v>27.016666666666666</c:v>
                </c:pt>
                <c:pt idx="14">
                  <c:v>27.016666666666666</c:v>
                </c:pt>
                <c:pt idx="15">
                  <c:v>27.016666666666666</c:v>
                </c:pt>
                <c:pt idx="16">
                  <c:v>27.016666666666666</c:v>
                </c:pt>
                <c:pt idx="17">
                  <c:v>27.016666666666666</c:v>
                </c:pt>
                <c:pt idx="18">
                  <c:v>27.016666666666666</c:v>
                </c:pt>
                <c:pt idx="19">
                  <c:v>27.016666666666666</c:v>
                </c:pt>
                <c:pt idx="20">
                  <c:v>27.016666666666666</c:v>
                </c:pt>
              </c:numCache>
            </c:numRef>
          </c:yVal>
          <c:smooth val="0"/>
          <c:extLst>
            <c:ext xmlns:c16="http://schemas.microsoft.com/office/drawing/2014/chart" uri="{C3380CC4-5D6E-409C-BE32-E72D297353CC}">
              <c16:uniqueId val="{00000003-FB04-4EA0-9E90-FB3EB20948A1}"/>
            </c:ext>
          </c:extLst>
        </c:ser>
        <c:ser>
          <c:idx val="4"/>
          <c:order val="4"/>
          <c:tx>
            <c:strRef>
              <c:f>'CV Training Rule 1'!$L$21</c:f>
              <c:strCache>
                <c:ptCount val="1"/>
                <c:pt idx="0">
                  <c:v>+2s</c:v>
                </c:pt>
              </c:strCache>
            </c:strRef>
          </c:tx>
          <c:spPr>
            <a:ln w="22225">
              <a:solidFill>
                <a:schemeClr val="tx2">
                  <a:lumMod val="60000"/>
                  <a:lumOff val="40000"/>
                </a:schemeClr>
              </a:solidFill>
              <a:prstDash val="dashDot"/>
            </a:ln>
          </c:spPr>
          <c:marker>
            <c:symbol val="none"/>
          </c:marker>
          <c:xVal>
            <c:numRef>
              <c:f>'CV Training Rule 1'!$B$22:$B$42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1'!$L$22:$L$42</c:f>
              <c:numCache>
                <c:formatCode>0.00</c:formatCode>
                <c:ptCount val="21"/>
                <c:pt idx="0">
                  <c:v>27.169419189831864</c:v>
                </c:pt>
                <c:pt idx="1">
                  <c:v>27.169419189831864</c:v>
                </c:pt>
                <c:pt idx="2">
                  <c:v>27.169419189831864</c:v>
                </c:pt>
                <c:pt idx="3">
                  <c:v>27.169419189831864</c:v>
                </c:pt>
                <c:pt idx="4">
                  <c:v>27.169419189831864</c:v>
                </c:pt>
                <c:pt idx="5">
                  <c:v>27.169419189831864</c:v>
                </c:pt>
                <c:pt idx="6">
                  <c:v>27.169419189831864</c:v>
                </c:pt>
                <c:pt idx="7">
                  <c:v>27.169419189831864</c:v>
                </c:pt>
                <c:pt idx="8">
                  <c:v>27.169419189831864</c:v>
                </c:pt>
                <c:pt idx="9">
                  <c:v>27.169419189831864</c:v>
                </c:pt>
                <c:pt idx="10">
                  <c:v>27.169419189831864</c:v>
                </c:pt>
                <c:pt idx="11">
                  <c:v>27.169419189831864</c:v>
                </c:pt>
                <c:pt idx="12">
                  <c:v>27.169419189831864</c:v>
                </c:pt>
                <c:pt idx="13">
                  <c:v>27.169419189831864</c:v>
                </c:pt>
                <c:pt idx="14">
                  <c:v>27.169419189831864</c:v>
                </c:pt>
                <c:pt idx="15">
                  <c:v>27.169419189831864</c:v>
                </c:pt>
                <c:pt idx="16">
                  <c:v>27.169419189831864</c:v>
                </c:pt>
                <c:pt idx="17">
                  <c:v>27.169419189831864</c:v>
                </c:pt>
                <c:pt idx="18">
                  <c:v>27.169419189831864</c:v>
                </c:pt>
                <c:pt idx="19">
                  <c:v>27.169419189831864</c:v>
                </c:pt>
                <c:pt idx="20">
                  <c:v>27.169419189831864</c:v>
                </c:pt>
              </c:numCache>
            </c:numRef>
          </c:yVal>
          <c:smooth val="0"/>
          <c:extLst>
            <c:ext xmlns:c16="http://schemas.microsoft.com/office/drawing/2014/chart" uri="{C3380CC4-5D6E-409C-BE32-E72D297353CC}">
              <c16:uniqueId val="{00000004-FB04-4EA0-9E90-FB3EB20948A1}"/>
            </c:ext>
          </c:extLst>
        </c:ser>
        <c:ser>
          <c:idx val="5"/>
          <c:order val="5"/>
          <c:tx>
            <c:strRef>
              <c:f>'CV Training Rule 1'!$M$21</c:f>
              <c:strCache>
                <c:ptCount val="1"/>
                <c:pt idx="0">
                  <c:v>+3s</c:v>
                </c:pt>
              </c:strCache>
            </c:strRef>
          </c:tx>
          <c:spPr>
            <a:ln w="22225">
              <a:solidFill>
                <a:srgbClr val="FF0000"/>
              </a:solidFill>
              <a:prstDash val="solid"/>
            </a:ln>
          </c:spPr>
          <c:marker>
            <c:symbol val="none"/>
          </c:marker>
          <c:xVal>
            <c:numRef>
              <c:f>'CV Training Rule 1'!$B$22:$B$42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1'!$M$22:$M$42</c:f>
              <c:numCache>
                <c:formatCode>0.00</c:formatCode>
                <c:ptCount val="21"/>
                <c:pt idx="0">
                  <c:v>27.245795451414462</c:v>
                </c:pt>
                <c:pt idx="1">
                  <c:v>27.245795451414462</c:v>
                </c:pt>
                <c:pt idx="2">
                  <c:v>27.245795451414462</c:v>
                </c:pt>
                <c:pt idx="3">
                  <c:v>27.245795451414462</c:v>
                </c:pt>
                <c:pt idx="4">
                  <c:v>27.245795451414462</c:v>
                </c:pt>
                <c:pt idx="5">
                  <c:v>27.245795451414462</c:v>
                </c:pt>
                <c:pt idx="6">
                  <c:v>27.245795451414462</c:v>
                </c:pt>
                <c:pt idx="7">
                  <c:v>27.245795451414462</c:v>
                </c:pt>
                <c:pt idx="8">
                  <c:v>27.245795451414462</c:v>
                </c:pt>
                <c:pt idx="9">
                  <c:v>27.245795451414462</c:v>
                </c:pt>
                <c:pt idx="10">
                  <c:v>27.245795451414462</c:v>
                </c:pt>
                <c:pt idx="11">
                  <c:v>27.245795451414462</c:v>
                </c:pt>
                <c:pt idx="12">
                  <c:v>27.245795451414462</c:v>
                </c:pt>
                <c:pt idx="13">
                  <c:v>27.245795451414462</c:v>
                </c:pt>
                <c:pt idx="14">
                  <c:v>27.245795451414462</c:v>
                </c:pt>
                <c:pt idx="15">
                  <c:v>27.245795451414462</c:v>
                </c:pt>
                <c:pt idx="16">
                  <c:v>27.245795451414462</c:v>
                </c:pt>
                <c:pt idx="17">
                  <c:v>27.245795451414462</c:v>
                </c:pt>
                <c:pt idx="18">
                  <c:v>27.245795451414462</c:v>
                </c:pt>
                <c:pt idx="19">
                  <c:v>27.245795451414462</c:v>
                </c:pt>
                <c:pt idx="20">
                  <c:v>27.245795451414462</c:v>
                </c:pt>
              </c:numCache>
            </c:numRef>
          </c:yVal>
          <c:smooth val="0"/>
          <c:extLst>
            <c:ext xmlns:c16="http://schemas.microsoft.com/office/drawing/2014/chart" uri="{C3380CC4-5D6E-409C-BE32-E72D297353CC}">
              <c16:uniqueId val="{00000005-FB04-4EA0-9E90-FB3EB20948A1}"/>
            </c:ext>
          </c:extLst>
        </c:ser>
        <c:dLbls>
          <c:showLegendKey val="0"/>
          <c:showVal val="0"/>
          <c:showCatName val="0"/>
          <c:showSerName val="0"/>
          <c:showPercent val="0"/>
          <c:showBubbleSize val="0"/>
        </c:dLbls>
        <c:axId val="716110056"/>
        <c:axId val="716106920"/>
      </c:scatterChart>
      <c:valAx>
        <c:axId val="716110056"/>
        <c:scaling>
          <c:orientation val="minMax"/>
          <c:max val="21"/>
          <c:min val="1"/>
        </c:scaling>
        <c:delete val="0"/>
        <c:axPos val="b"/>
        <c:numFmt formatCode="0" sourceLinked="1"/>
        <c:majorTickMark val="out"/>
        <c:minorTickMark val="none"/>
        <c:tickLblPos val="nextTo"/>
        <c:crossAx val="716106920"/>
        <c:crosses val="autoZero"/>
        <c:crossBetween val="midCat"/>
      </c:valAx>
      <c:valAx>
        <c:axId val="716106920"/>
        <c:scaling>
          <c:orientation val="minMax"/>
        </c:scaling>
        <c:delete val="0"/>
        <c:axPos val="l"/>
        <c:majorGridlines/>
        <c:numFmt formatCode="0.00" sourceLinked="1"/>
        <c:majorTickMark val="out"/>
        <c:minorTickMark val="none"/>
        <c:tickLblPos val="nextTo"/>
        <c:crossAx val="716110056"/>
        <c:crosses val="autoZero"/>
        <c:crossBetween val="midCat"/>
      </c:valAx>
    </c:plotArea>
    <c:plotVisOnly val="1"/>
    <c:dispBlanksAs val="gap"/>
    <c:showDLblsOverMax val="0"/>
  </c:chart>
  <c:printSettings>
    <c:headerFooter/>
    <c:pageMargins b="0.74803149606299335" l="0.70866141732283605" r="0.70866141732283605" t="0.74803149606299335" header="0.314960629921261" footer="0.314960629921261"/>
    <c:pageSetup orientation="landscape"/>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08849645464696"/>
          <c:y val="0.17632961957914792"/>
          <c:w val="0.83562551468258173"/>
          <c:h val="0.64932992998192229"/>
        </c:manualLayout>
      </c:layout>
      <c:scatterChart>
        <c:scatterStyle val="lineMarker"/>
        <c:varyColors val="0"/>
        <c:ser>
          <c:idx val="0"/>
          <c:order val="0"/>
          <c:tx>
            <c:strRef>
              <c:f>'CV Training Rule 1'!$AC$10</c:f>
              <c:strCache>
                <c:ptCount val="1"/>
                <c:pt idx="0">
                  <c:v>Range</c:v>
                </c:pt>
              </c:strCache>
            </c:strRef>
          </c:tx>
          <c:spPr>
            <a:ln w="12700">
              <a:solidFill>
                <a:sysClr val="windowText" lastClr="000000"/>
              </a:solidFill>
            </a:ln>
          </c:spPr>
          <c:marker>
            <c:symbol val="x"/>
            <c:size val="6"/>
            <c:spPr>
              <a:ln w="15875">
                <a:solidFill>
                  <a:sysClr val="windowText" lastClr="000000"/>
                </a:solidFill>
              </a:ln>
            </c:spPr>
          </c:marker>
          <c:xVal>
            <c:numRef>
              <c:f>'CV Training Rule 1'!$W$11:$W$17</c:f>
              <c:numCache>
                <c:formatCode>0</c:formatCode>
                <c:ptCount val="7"/>
                <c:pt idx="0">
                  <c:v>1</c:v>
                </c:pt>
                <c:pt idx="1">
                  <c:v>2</c:v>
                </c:pt>
                <c:pt idx="2">
                  <c:v>3</c:v>
                </c:pt>
                <c:pt idx="3">
                  <c:v>4</c:v>
                </c:pt>
                <c:pt idx="4">
                  <c:v>5</c:v>
                </c:pt>
                <c:pt idx="5">
                  <c:v>6</c:v>
                </c:pt>
                <c:pt idx="6">
                  <c:v>7</c:v>
                </c:pt>
              </c:numCache>
            </c:numRef>
          </c:xVal>
          <c:yVal>
            <c:numRef>
              <c:f>'CV Training Rule 1'!$AC$11:$AC$17</c:f>
              <c:numCache>
                <c:formatCode>0.00</c:formatCode>
                <c:ptCount val="7"/>
                <c:pt idx="0">
                  <c:v>1.0000000000001563E-2</c:v>
                </c:pt>
                <c:pt idx="1">
                  <c:v>7.9999999999998295E-2</c:v>
                </c:pt>
                <c:pt idx="2">
                  <c:v>0.10999999999999943</c:v>
                </c:pt>
                <c:pt idx="3">
                  <c:v>6.0000000000002274E-2</c:v>
                </c:pt>
                <c:pt idx="4">
                  <c:v>0.10000000000000142</c:v>
                </c:pt>
                <c:pt idx="5">
                  <c:v>0.11000000000000298</c:v>
                </c:pt>
                <c:pt idx="6">
                  <c:v>0</c:v>
                </c:pt>
              </c:numCache>
            </c:numRef>
          </c:yVal>
          <c:smooth val="0"/>
          <c:extLst>
            <c:ext xmlns:c16="http://schemas.microsoft.com/office/drawing/2014/chart" uri="{C3380CC4-5D6E-409C-BE32-E72D297353CC}">
              <c16:uniqueId val="{00000000-1328-42BF-A48C-ECA76D3F7189}"/>
            </c:ext>
          </c:extLst>
        </c:ser>
        <c:ser>
          <c:idx val="1"/>
          <c:order val="1"/>
          <c:tx>
            <c:strRef>
              <c:f>'CV Training Rule 1'!$N$21</c:f>
              <c:strCache>
                <c:ptCount val="1"/>
                <c:pt idx="0">
                  <c:v>Range Limit</c:v>
                </c:pt>
              </c:strCache>
            </c:strRef>
          </c:tx>
          <c:spPr>
            <a:ln w="22225">
              <a:solidFill>
                <a:srgbClr val="FF0000"/>
              </a:solidFill>
            </a:ln>
          </c:spPr>
          <c:marker>
            <c:symbol val="none"/>
          </c:marker>
          <c:xVal>
            <c:numRef>
              <c:f>'CV Training Rule 1'!$B$22:$B$42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1'!$N$22:$N$42</c:f>
              <c:numCache>
                <c:formatCode>0.00</c:formatCode>
                <c:ptCount val="21"/>
                <c:pt idx="0">
                  <c:v>0.12</c:v>
                </c:pt>
                <c:pt idx="1">
                  <c:v>0.12</c:v>
                </c:pt>
                <c:pt idx="2">
                  <c:v>0.12</c:v>
                </c:pt>
                <c:pt idx="3">
                  <c:v>0.12</c:v>
                </c:pt>
                <c:pt idx="4">
                  <c:v>0.12</c:v>
                </c:pt>
                <c:pt idx="5">
                  <c:v>0.12</c:v>
                </c:pt>
                <c:pt idx="6">
                  <c:v>0.12</c:v>
                </c:pt>
                <c:pt idx="7">
                  <c:v>0.12</c:v>
                </c:pt>
                <c:pt idx="8">
                  <c:v>0.12</c:v>
                </c:pt>
                <c:pt idx="9">
                  <c:v>0.12</c:v>
                </c:pt>
                <c:pt idx="10">
                  <c:v>0.12</c:v>
                </c:pt>
                <c:pt idx="11">
                  <c:v>0.12</c:v>
                </c:pt>
                <c:pt idx="12">
                  <c:v>0.12</c:v>
                </c:pt>
                <c:pt idx="13">
                  <c:v>0.12</c:v>
                </c:pt>
                <c:pt idx="14">
                  <c:v>0.12</c:v>
                </c:pt>
                <c:pt idx="15">
                  <c:v>0.12</c:v>
                </c:pt>
                <c:pt idx="16">
                  <c:v>0.12</c:v>
                </c:pt>
                <c:pt idx="17">
                  <c:v>0.12</c:v>
                </c:pt>
                <c:pt idx="18">
                  <c:v>0.12</c:v>
                </c:pt>
                <c:pt idx="19">
                  <c:v>0.12</c:v>
                </c:pt>
                <c:pt idx="20">
                  <c:v>0.12</c:v>
                </c:pt>
              </c:numCache>
            </c:numRef>
          </c:yVal>
          <c:smooth val="0"/>
          <c:extLst>
            <c:ext xmlns:c16="http://schemas.microsoft.com/office/drawing/2014/chart" uri="{C3380CC4-5D6E-409C-BE32-E72D297353CC}">
              <c16:uniqueId val="{00000001-1328-42BF-A48C-ECA76D3F7189}"/>
            </c:ext>
          </c:extLst>
        </c:ser>
        <c:dLbls>
          <c:showLegendKey val="0"/>
          <c:showVal val="0"/>
          <c:showCatName val="0"/>
          <c:showSerName val="0"/>
          <c:showPercent val="0"/>
          <c:showBubbleSize val="0"/>
        </c:dLbls>
        <c:axId val="716113192"/>
        <c:axId val="716108096"/>
      </c:scatterChart>
      <c:valAx>
        <c:axId val="716113192"/>
        <c:scaling>
          <c:orientation val="minMax"/>
          <c:max val="21"/>
          <c:min val="1"/>
        </c:scaling>
        <c:delete val="0"/>
        <c:axPos val="b"/>
        <c:numFmt formatCode="0" sourceLinked="1"/>
        <c:majorTickMark val="out"/>
        <c:minorTickMark val="none"/>
        <c:tickLblPos val="nextTo"/>
        <c:crossAx val="716108096"/>
        <c:crosses val="autoZero"/>
        <c:crossBetween val="midCat"/>
      </c:valAx>
      <c:valAx>
        <c:axId val="716108096"/>
        <c:scaling>
          <c:orientation val="minMax"/>
        </c:scaling>
        <c:delete val="0"/>
        <c:axPos val="l"/>
        <c:majorGridlines/>
        <c:numFmt formatCode="0.000" sourceLinked="0"/>
        <c:majorTickMark val="out"/>
        <c:minorTickMark val="none"/>
        <c:tickLblPos val="nextTo"/>
        <c:crossAx val="716113192"/>
        <c:crosses val="autoZero"/>
        <c:crossBetween val="midCat"/>
      </c:valAx>
    </c:plotArea>
    <c:plotVisOnly val="1"/>
    <c:dispBlanksAs val="gap"/>
    <c:showDLblsOverMax val="0"/>
  </c:chart>
  <c:printSettings>
    <c:headerFooter/>
    <c:pageMargins b="0.75000000000000167" l="0.70000000000000062" r="0.70000000000000062" t="0.75000000000000167" header="0.30000000000000032" footer="0.30000000000000032"/>
    <c:pageSetup orientation="portrait"/>
  </c:printSettings>
  <c:userShapes r:id="rId1"/>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16885389326336"/>
          <c:y val="0.12367723583827323"/>
          <c:w val="0.81564283305597318"/>
          <c:h val="0.75108377116203751"/>
        </c:manualLayout>
      </c:layout>
      <c:scatterChart>
        <c:scatterStyle val="lineMarker"/>
        <c:varyColors val="0"/>
        <c:ser>
          <c:idx val="0"/>
          <c:order val="0"/>
          <c:tx>
            <c:strRef>
              <c:f>'CV Training Rule 1'!$AV$10</c:f>
              <c:strCache>
                <c:ptCount val="1"/>
                <c:pt idx="0">
                  <c:v>Average</c:v>
                </c:pt>
              </c:strCache>
            </c:strRef>
          </c:tx>
          <c:spPr>
            <a:ln w="0">
              <a:solidFill>
                <a:sysClr val="windowText" lastClr="000000"/>
              </a:solidFill>
            </a:ln>
          </c:spPr>
          <c:marker>
            <c:symbol val="x"/>
            <c:size val="6"/>
            <c:spPr>
              <a:noFill/>
              <a:ln w="15875">
                <a:solidFill>
                  <a:schemeClr val="tx1"/>
                </a:solidFill>
              </a:ln>
            </c:spPr>
          </c:marker>
          <c:xVal>
            <c:numRef>
              <c:f>'CV Training Rule 1'!$AQ$11:$AQ$17</c:f>
              <c:numCache>
                <c:formatCode>0</c:formatCode>
                <c:ptCount val="7"/>
                <c:pt idx="0">
                  <c:v>1</c:v>
                </c:pt>
                <c:pt idx="1">
                  <c:v>2</c:v>
                </c:pt>
                <c:pt idx="2">
                  <c:v>3</c:v>
                </c:pt>
                <c:pt idx="3">
                  <c:v>4</c:v>
                </c:pt>
                <c:pt idx="4">
                  <c:v>5</c:v>
                </c:pt>
                <c:pt idx="5">
                  <c:v>6</c:v>
                </c:pt>
                <c:pt idx="6">
                  <c:v>7</c:v>
                </c:pt>
              </c:numCache>
            </c:numRef>
          </c:xVal>
          <c:yVal>
            <c:numRef>
              <c:f>'CV Training Rule 1'!$AV$11:$AV$17</c:f>
              <c:numCache>
                <c:formatCode>0.00</c:formatCode>
                <c:ptCount val="7"/>
                <c:pt idx="0">
                  <c:v>26.994999999999997</c:v>
                </c:pt>
                <c:pt idx="1">
                  <c:v>27</c:v>
                </c:pt>
                <c:pt idx="2">
                  <c:v>26.924999999999997</c:v>
                </c:pt>
                <c:pt idx="3">
                  <c:v>27.08</c:v>
                </c:pt>
                <c:pt idx="4">
                  <c:v>26.754999999999999</c:v>
                </c:pt>
                <c:pt idx="5">
                  <c:v>27.09</c:v>
                </c:pt>
                <c:pt idx="6">
                  <c:v>27.034999999999997</c:v>
                </c:pt>
              </c:numCache>
            </c:numRef>
          </c:yVal>
          <c:smooth val="0"/>
          <c:extLst>
            <c:ext xmlns:c16="http://schemas.microsoft.com/office/drawing/2014/chart" uri="{C3380CC4-5D6E-409C-BE32-E72D297353CC}">
              <c16:uniqueId val="{00000000-D46B-4150-9C0B-ADC5D0C1DFF0}"/>
            </c:ext>
          </c:extLst>
        </c:ser>
        <c:ser>
          <c:idx val="1"/>
          <c:order val="1"/>
          <c:tx>
            <c:strRef>
              <c:f>'CV Training Rule 1'!$I$21</c:f>
              <c:strCache>
                <c:ptCount val="1"/>
                <c:pt idx="0">
                  <c:v>-3s</c:v>
                </c:pt>
              </c:strCache>
            </c:strRef>
          </c:tx>
          <c:spPr>
            <a:ln w="22225">
              <a:solidFill>
                <a:srgbClr val="FF0000"/>
              </a:solidFill>
            </a:ln>
          </c:spPr>
          <c:marker>
            <c:symbol val="none"/>
          </c:marker>
          <c:xVal>
            <c:numRef>
              <c:f>'CV Training Rule 1'!$B$22:$B$42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1'!$I$22:$I$42</c:f>
              <c:numCache>
                <c:formatCode>0.00</c:formatCode>
                <c:ptCount val="21"/>
                <c:pt idx="0">
                  <c:v>26.787537881918869</c:v>
                </c:pt>
                <c:pt idx="1">
                  <c:v>26.787537881918869</c:v>
                </c:pt>
                <c:pt idx="2">
                  <c:v>26.787537881918869</c:v>
                </c:pt>
                <c:pt idx="3">
                  <c:v>26.787537881918869</c:v>
                </c:pt>
                <c:pt idx="4">
                  <c:v>26.787537881918869</c:v>
                </c:pt>
                <c:pt idx="5">
                  <c:v>26.787537881918869</c:v>
                </c:pt>
                <c:pt idx="6">
                  <c:v>26.787537881918869</c:v>
                </c:pt>
                <c:pt idx="7">
                  <c:v>26.787537881918869</c:v>
                </c:pt>
                <c:pt idx="8">
                  <c:v>26.787537881918869</c:v>
                </c:pt>
                <c:pt idx="9">
                  <c:v>26.787537881918869</c:v>
                </c:pt>
                <c:pt idx="10">
                  <c:v>26.787537881918869</c:v>
                </c:pt>
                <c:pt idx="11">
                  <c:v>26.787537881918869</c:v>
                </c:pt>
                <c:pt idx="12">
                  <c:v>26.787537881918869</c:v>
                </c:pt>
                <c:pt idx="13">
                  <c:v>26.787537881918869</c:v>
                </c:pt>
                <c:pt idx="14">
                  <c:v>26.787537881918869</c:v>
                </c:pt>
                <c:pt idx="15">
                  <c:v>26.787537881918869</c:v>
                </c:pt>
                <c:pt idx="16">
                  <c:v>26.787537881918869</c:v>
                </c:pt>
                <c:pt idx="17">
                  <c:v>26.787537881918869</c:v>
                </c:pt>
                <c:pt idx="18">
                  <c:v>26.787537881918869</c:v>
                </c:pt>
                <c:pt idx="19">
                  <c:v>26.787537881918869</c:v>
                </c:pt>
                <c:pt idx="20">
                  <c:v>26.787537881918869</c:v>
                </c:pt>
              </c:numCache>
            </c:numRef>
          </c:yVal>
          <c:smooth val="0"/>
          <c:extLst>
            <c:ext xmlns:c16="http://schemas.microsoft.com/office/drawing/2014/chart" uri="{C3380CC4-5D6E-409C-BE32-E72D297353CC}">
              <c16:uniqueId val="{00000001-D46B-4150-9C0B-ADC5D0C1DFF0}"/>
            </c:ext>
          </c:extLst>
        </c:ser>
        <c:ser>
          <c:idx val="2"/>
          <c:order val="2"/>
          <c:tx>
            <c:strRef>
              <c:f>'CV Training Rule 1'!$J$21</c:f>
              <c:strCache>
                <c:ptCount val="1"/>
                <c:pt idx="0">
                  <c:v>-2s</c:v>
                </c:pt>
              </c:strCache>
            </c:strRef>
          </c:tx>
          <c:spPr>
            <a:ln w="22225">
              <a:solidFill>
                <a:schemeClr val="tx2">
                  <a:lumMod val="60000"/>
                  <a:lumOff val="40000"/>
                </a:schemeClr>
              </a:solidFill>
              <a:prstDash val="dashDot"/>
            </a:ln>
          </c:spPr>
          <c:marker>
            <c:symbol val="none"/>
          </c:marker>
          <c:xVal>
            <c:numRef>
              <c:f>'CV Training Rule 1'!$B$22:$B$42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1'!$J$22:$J$42</c:f>
              <c:numCache>
                <c:formatCode>0.00</c:formatCode>
                <c:ptCount val="21"/>
                <c:pt idx="0">
                  <c:v>26.863914143501468</c:v>
                </c:pt>
                <c:pt idx="1">
                  <c:v>26.863914143501468</c:v>
                </c:pt>
                <c:pt idx="2">
                  <c:v>26.863914143501468</c:v>
                </c:pt>
                <c:pt idx="3">
                  <c:v>26.863914143501468</c:v>
                </c:pt>
                <c:pt idx="4">
                  <c:v>26.863914143501468</c:v>
                </c:pt>
                <c:pt idx="5">
                  <c:v>26.863914143501468</c:v>
                </c:pt>
                <c:pt idx="6">
                  <c:v>26.863914143501468</c:v>
                </c:pt>
                <c:pt idx="7">
                  <c:v>26.863914143501468</c:v>
                </c:pt>
                <c:pt idx="8">
                  <c:v>26.863914143501468</c:v>
                </c:pt>
                <c:pt idx="9">
                  <c:v>26.863914143501468</c:v>
                </c:pt>
                <c:pt idx="10">
                  <c:v>26.863914143501468</c:v>
                </c:pt>
                <c:pt idx="11">
                  <c:v>26.863914143501468</c:v>
                </c:pt>
                <c:pt idx="12">
                  <c:v>26.863914143501468</c:v>
                </c:pt>
                <c:pt idx="13">
                  <c:v>26.863914143501468</c:v>
                </c:pt>
                <c:pt idx="14">
                  <c:v>26.863914143501468</c:v>
                </c:pt>
                <c:pt idx="15">
                  <c:v>26.863914143501468</c:v>
                </c:pt>
                <c:pt idx="16">
                  <c:v>26.863914143501468</c:v>
                </c:pt>
                <c:pt idx="17">
                  <c:v>26.863914143501468</c:v>
                </c:pt>
                <c:pt idx="18">
                  <c:v>26.863914143501468</c:v>
                </c:pt>
                <c:pt idx="19">
                  <c:v>26.863914143501468</c:v>
                </c:pt>
                <c:pt idx="20">
                  <c:v>26.863914143501468</c:v>
                </c:pt>
              </c:numCache>
            </c:numRef>
          </c:yVal>
          <c:smooth val="0"/>
          <c:extLst>
            <c:ext xmlns:c16="http://schemas.microsoft.com/office/drawing/2014/chart" uri="{C3380CC4-5D6E-409C-BE32-E72D297353CC}">
              <c16:uniqueId val="{00000002-D46B-4150-9C0B-ADC5D0C1DFF0}"/>
            </c:ext>
          </c:extLst>
        </c:ser>
        <c:ser>
          <c:idx val="3"/>
          <c:order val="3"/>
          <c:tx>
            <c:strRef>
              <c:f>'CV Training Rule 1'!$K$21</c:f>
              <c:strCache>
                <c:ptCount val="1"/>
                <c:pt idx="0">
                  <c:v></c:v>
                </c:pt>
              </c:strCache>
            </c:strRef>
          </c:tx>
          <c:spPr>
            <a:ln w="22225">
              <a:solidFill>
                <a:srgbClr val="00B050"/>
              </a:solidFill>
              <a:prstDash val="lgDashDotDot"/>
            </a:ln>
          </c:spPr>
          <c:marker>
            <c:symbol val="none"/>
          </c:marker>
          <c:xVal>
            <c:numRef>
              <c:f>'CV Training Rule 1'!$B$22:$B$42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1'!$K$22:$K$42</c:f>
              <c:numCache>
                <c:formatCode>0.00</c:formatCode>
                <c:ptCount val="21"/>
                <c:pt idx="0">
                  <c:v>27.016666666666666</c:v>
                </c:pt>
                <c:pt idx="1">
                  <c:v>27.016666666666666</c:v>
                </c:pt>
                <c:pt idx="2">
                  <c:v>27.016666666666666</c:v>
                </c:pt>
                <c:pt idx="3">
                  <c:v>27.016666666666666</c:v>
                </c:pt>
                <c:pt idx="4">
                  <c:v>27.016666666666666</c:v>
                </c:pt>
                <c:pt idx="5">
                  <c:v>27.016666666666666</c:v>
                </c:pt>
                <c:pt idx="6">
                  <c:v>27.016666666666666</c:v>
                </c:pt>
                <c:pt idx="7">
                  <c:v>27.016666666666666</c:v>
                </c:pt>
                <c:pt idx="8">
                  <c:v>27.016666666666666</c:v>
                </c:pt>
                <c:pt idx="9">
                  <c:v>27.016666666666666</c:v>
                </c:pt>
                <c:pt idx="10">
                  <c:v>27.016666666666666</c:v>
                </c:pt>
                <c:pt idx="11">
                  <c:v>27.016666666666666</c:v>
                </c:pt>
                <c:pt idx="12">
                  <c:v>27.016666666666666</c:v>
                </c:pt>
                <c:pt idx="13">
                  <c:v>27.016666666666666</c:v>
                </c:pt>
                <c:pt idx="14">
                  <c:v>27.016666666666666</c:v>
                </c:pt>
                <c:pt idx="15">
                  <c:v>27.016666666666666</c:v>
                </c:pt>
                <c:pt idx="16">
                  <c:v>27.016666666666666</c:v>
                </c:pt>
                <c:pt idx="17">
                  <c:v>27.016666666666666</c:v>
                </c:pt>
                <c:pt idx="18">
                  <c:v>27.016666666666666</c:v>
                </c:pt>
                <c:pt idx="19">
                  <c:v>27.016666666666666</c:v>
                </c:pt>
                <c:pt idx="20">
                  <c:v>27.016666666666666</c:v>
                </c:pt>
              </c:numCache>
            </c:numRef>
          </c:yVal>
          <c:smooth val="0"/>
          <c:extLst>
            <c:ext xmlns:c16="http://schemas.microsoft.com/office/drawing/2014/chart" uri="{C3380CC4-5D6E-409C-BE32-E72D297353CC}">
              <c16:uniqueId val="{00000003-D46B-4150-9C0B-ADC5D0C1DFF0}"/>
            </c:ext>
          </c:extLst>
        </c:ser>
        <c:ser>
          <c:idx val="4"/>
          <c:order val="4"/>
          <c:tx>
            <c:strRef>
              <c:f>'CV Training Rule 1'!$L$21</c:f>
              <c:strCache>
                <c:ptCount val="1"/>
                <c:pt idx="0">
                  <c:v>+2s</c:v>
                </c:pt>
              </c:strCache>
            </c:strRef>
          </c:tx>
          <c:spPr>
            <a:ln w="22225">
              <a:solidFill>
                <a:schemeClr val="tx2">
                  <a:lumMod val="60000"/>
                  <a:lumOff val="40000"/>
                </a:schemeClr>
              </a:solidFill>
              <a:prstDash val="dashDot"/>
            </a:ln>
          </c:spPr>
          <c:marker>
            <c:symbol val="none"/>
          </c:marker>
          <c:xVal>
            <c:numRef>
              <c:f>'CV Training Rule 1'!$B$22:$B$42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1'!$L$22:$L$42</c:f>
              <c:numCache>
                <c:formatCode>0.00</c:formatCode>
                <c:ptCount val="21"/>
                <c:pt idx="0">
                  <c:v>27.169419189831864</c:v>
                </c:pt>
                <c:pt idx="1">
                  <c:v>27.169419189831864</c:v>
                </c:pt>
                <c:pt idx="2">
                  <c:v>27.169419189831864</c:v>
                </c:pt>
                <c:pt idx="3">
                  <c:v>27.169419189831864</c:v>
                </c:pt>
                <c:pt idx="4">
                  <c:v>27.169419189831864</c:v>
                </c:pt>
                <c:pt idx="5">
                  <c:v>27.169419189831864</c:v>
                </c:pt>
                <c:pt idx="6">
                  <c:v>27.169419189831864</c:v>
                </c:pt>
                <c:pt idx="7">
                  <c:v>27.169419189831864</c:v>
                </c:pt>
                <c:pt idx="8">
                  <c:v>27.169419189831864</c:v>
                </c:pt>
                <c:pt idx="9">
                  <c:v>27.169419189831864</c:v>
                </c:pt>
                <c:pt idx="10">
                  <c:v>27.169419189831864</c:v>
                </c:pt>
                <c:pt idx="11">
                  <c:v>27.169419189831864</c:v>
                </c:pt>
                <c:pt idx="12">
                  <c:v>27.169419189831864</c:v>
                </c:pt>
                <c:pt idx="13">
                  <c:v>27.169419189831864</c:v>
                </c:pt>
                <c:pt idx="14">
                  <c:v>27.169419189831864</c:v>
                </c:pt>
                <c:pt idx="15">
                  <c:v>27.169419189831864</c:v>
                </c:pt>
                <c:pt idx="16">
                  <c:v>27.169419189831864</c:v>
                </c:pt>
                <c:pt idx="17">
                  <c:v>27.169419189831864</c:v>
                </c:pt>
                <c:pt idx="18">
                  <c:v>27.169419189831864</c:v>
                </c:pt>
                <c:pt idx="19">
                  <c:v>27.169419189831864</c:v>
                </c:pt>
                <c:pt idx="20">
                  <c:v>27.169419189831864</c:v>
                </c:pt>
              </c:numCache>
            </c:numRef>
          </c:yVal>
          <c:smooth val="0"/>
          <c:extLst>
            <c:ext xmlns:c16="http://schemas.microsoft.com/office/drawing/2014/chart" uri="{C3380CC4-5D6E-409C-BE32-E72D297353CC}">
              <c16:uniqueId val="{00000004-D46B-4150-9C0B-ADC5D0C1DFF0}"/>
            </c:ext>
          </c:extLst>
        </c:ser>
        <c:ser>
          <c:idx val="5"/>
          <c:order val="5"/>
          <c:tx>
            <c:strRef>
              <c:f>'CV Training Rule 1'!$M$21</c:f>
              <c:strCache>
                <c:ptCount val="1"/>
                <c:pt idx="0">
                  <c:v>+3s</c:v>
                </c:pt>
              </c:strCache>
            </c:strRef>
          </c:tx>
          <c:spPr>
            <a:ln w="22225">
              <a:solidFill>
                <a:srgbClr val="FF0000"/>
              </a:solidFill>
              <a:prstDash val="solid"/>
            </a:ln>
          </c:spPr>
          <c:marker>
            <c:symbol val="none"/>
          </c:marker>
          <c:xVal>
            <c:numRef>
              <c:f>'CV Training Rule 1'!$B$22:$B$42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1'!$M$22:$M$42</c:f>
              <c:numCache>
                <c:formatCode>0.00</c:formatCode>
                <c:ptCount val="21"/>
                <c:pt idx="0">
                  <c:v>27.245795451414462</c:v>
                </c:pt>
                <c:pt idx="1">
                  <c:v>27.245795451414462</c:v>
                </c:pt>
                <c:pt idx="2">
                  <c:v>27.245795451414462</c:v>
                </c:pt>
                <c:pt idx="3">
                  <c:v>27.245795451414462</c:v>
                </c:pt>
                <c:pt idx="4">
                  <c:v>27.245795451414462</c:v>
                </c:pt>
                <c:pt idx="5">
                  <c:v>27.245795451414462</c:v>
                </c:pt>
                <c:pt idx="6">
                  <c:v>27.245795451414462</c:v>
                </c:pt>
                <c:pt idx="7">
                  <c:v>27.245795451414462</c:v>
                </c:pt>
                <c:pt idx="8">
                  <c:v>27.245795451414462</c:v>
                </c:pt>
                <c:pt idx="9">
                  <c:v>27.245795451414462</c:v>
                </c:pt>
                <c:pt idx="10">
                  <c:v>27.245795451414462</c:v>
                </c:pt>
                <c:pt idx="11">
                  <c:v>27.245795451414462</c:v>
                </c:pt>
                <c:pt idx="12">
                  <c:v>27.245795451414462</c:v>
                </c:pt>
                <c:pt idx="13">
                  <c:v>27.245795451414462</c:v>
                </c:pt>
                <c:pt idx="14">
                  <c:v>27.245795451414462</c:v>
                </c:pt>
                <c:pt idx="15">
                  <c:v>27.245795451414462</c:v>
                </c:pt>
                <c:pt idx="16">
                  <c:v>27.245795451414462</c:v>
                </c:pt>
                <c:pt idx="17">
                  <c:v>27.245795451414462</c:v>
                </c:pt>
                <c:pt idx="18">
                  <c:v>27.245795451414462</c:v>
                </c:pt>
                <c:pt idx="19">
                  <c:v>27.245795451414462</c:v>
                </c:pt>
                <c:pt idx="20">
                  <c:v>27.245795451414462</c:v>
                </c:pt>
              </c:numCache>
            </c:numRef>
          </c:yVal>
          <c:smooth val="0"/>
          <c:extLst>
            <c:ext xmlns:c16="http://schemas.microsoft.com/office/drawing/2014/chart" uri="{C3380CC4-5D6E-409C-BE32-E72D297353CC}">
              <c16:uniqueId val="{00000005-D46B-4150-9C0B-ADC5D0C1DFF0}"/>
            </c:ext>
          </c:extLst>
        </c:ser>
        <c:dLbls>
          <c:showLegendKey val="0"/>
          <c:showVal val="0"/>
          <c:showCatName val="0"/>
          <c:showSerName val="0"/>
          <c:showPercent val="0"/>
          <c:showBubbleSize val="0"/>
        </c:dLbls>
        <c:axId val="716113584"/>
        <c:axId val="716109272"/>
      </c:scatterChart>
      <c:valAx>
        <c:axId val="716113584"/>
        <c:scaling>
          <c:orientation val="minMax"/>
          <c:max val="21"/>
          <c:min val="1"/>
        </c:scaling>
        <c:delete val="0"/>
        <c:axPos val="b"/>
        <c:numFmt formatCode="0" sourceLinked="1"/>
        <c:majorTickMark val="out"/>
        <c:minorTickMark val="none"/>
        <c:tickLblPos val="nextTo"/>
        <c:crossAx val="716109272"/>
        <c:crosses val="autoZero"/>
        <c:crossBetween val="midCat"/>
      </c:valAx>
      <c:valAx>
        <c:axId val="716109272"/>
        <c:scaling>
          <c:orientation val="minMax"/>
        </c:scaling>
        <c:delete val="0"/>
        <c:axPos val="l"/>
        <c:majorGridlines/>
        <c:numFmt formatCode="0.00" sourceLinked="1"/>
        <c:majorTickMark val="out"/>
        <c:minorTickMark val="none"/>
        <c:tickLblPos val="nextTo"/>
        <c:crossAx val="716113584"/>
        <c:crosses val="autoZero"/>
        <c:crossBetween val="midCat"/>
      </c:valAx>
    </c:plotArea>
    <c:plotVisOnly val="1"/>
    <c:dispBlanksAs val="gap"/>
    <c:showDLblsOverMax val="0"/>
  </c:chart>
  <c:printSettings>
    <c:headerFooter/>
    <c:pageMargins b="0.74803149606299368" l="0.70866141732283638" r="0.70866141732283638" t="0.74803149606299368" header="0.31496062992126123" footer="0.31496062992126123"/>
    <c:pageSetup orientation="landscape"/>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08849645464696"/>
          <c:y val="0.17632961957914792"/>
          <c:w val="0.83562551468258217"/>
          <c:h val="0.64932992998192229"/>
        </c:manualLayout>
      </c:layout>
      <c:scatterChart>
        <c:scatterStyle val="lineMarker"/>
        <c:varyColors val="0"/>
        <c:ser>
          <c:idx val="0"/>
          <c:order val="0"/>
          <c:tx>
            <c:strRef>
              <c:f>'CV Training Rule 1'!$AC$10</c:f>
              <c:strCache>
                <c:ptCount val="1"/>
                <c:pt idx="0">
                  <c:v>Range</c:v>
                </c:pt>
              </c:strCache>
            </c:strRef>
          </c:tx>
          <c:spPr>
            <a:ln w="12700">
              <a:solidFill>
                <a:sysClr val="windowText" lastClr="000000"/>
              </a:solidFill>
            </a:ln>
          </c:spPr>
          <c:marker>
            <c:symbol val="x"/>
            <c:size val="6"/>
            <c:spPr>
              <a:ln w="15875">
                <a:solidFill>
                  <a:sysClr val="windowText" lastClr="000000"/>
                </a:solidFill>
              </a:ln>
            </c:spPr>
          </c:marker>
          <c:xVal>
            <c:numRef>
              <c:f>'CV Training Rule 1'!$W$11:$W$17</c:f>
              <c:numCache>
                <c:formatCode>0</c:formatCode>
                <c:ptCount val="7"/>
                <c:pt idx="0">
                  <c:v>1</c:v>
                </c:pt>
                <c:pt idx="1">
                  <c:v>2</c:v>
                </c:pt>
                <c:pt idx="2">
                  <c:v>3</c:v>
                </c:pt>
                <c:pt idx="3">
                  <c:v>4</c:v>
                </c:pt>
                <c:pt idx="4">
                  <c:v>5</c:v>
                </c:pt>
                <c:pt idx="5">
                  <c:v>6</c:v>
                </c:pt>
                <c:pt idx="6">
                  <c:v>7</c:v>
                </c:pt>
              </c:numCache>
            </c:numRef>
          </c:xVal>
          <c:yVal>
            <c:numRef>
              <c:f>'CV Training Rule 1'!$AC$11:$AC$17</c:f>
              <c:numCache>
                <c:formatCode>0.00</c:formatCode>
                <c:ptCount val="7"/>
                <c:pt idx="0">
                  <c:v>1.0000000000001563E-2</c:v>
                </c:pt>
                <c:pt idx="1">
                  <c:v>7.9999999999998295E-2</c:v>
                </c:pt>
                <c:pt idx="2">
                  <c:v>0.10999999999999943</c:v>
                </c:pt>
                <c:pt idx="3">
                  <c:v>6.0000000000002274E-2</c:v>
                </c:pt>
                <c:pt idx="4">
                  <c:v>0.10000000000000142</c:v>
                </c:pt>
                <c:pt idx="5">
                  <c:v>0.11000000000000298</c:v>
                </c:pt>
                <c:pt idx="6">
                  <c:v>0</c:v>
                </c:pt>
              </c:numCache>
            </c:numRef>
          </c:yVal>
          <c:smooth val="0"/>
          <c:extLst>
            <c:ext xmlns:c16="http://schemas.microsoft.com/office/drawing/2014/chart" uri="{C3380CC4-5D6E-409C-BE32-E72D297353CC}">
              <c16:uniqueId val="{00000000-DDB9-44B1-8045-4558D96BD506}"/>
            </c:ext>
          </c:extLst>
        </c:ser>
        <c:ser>
          <c:idx val="1"/>
          <c:order val="1"/>
          <c:tx>
            <c:strRef>
              <c:f>'CV Training Rule 1'!$N$21</c:f>
              <c:strCache>
                <c:ptCount val="1"/>
                <c:pt idx="0">
                  <c:v>Range Limit</c:v>
                </c:pt>
              </c:strCache>
            </c:strRef>
          </c:tx>
          <c:spPr>
            <a:ln w="22225">
              <a:solidFill>
                <a:srgbClr val="FF0000"/>
              </a:solidFill>
            </a:ln>
          </c:spPr>
          <c:marker>
            <c:symbol val="none"/>
          </c:marker>
          <c:xVal>
            <c:numRef>
              <c:f>'CV Training Rule 1'!$B$22:$B$42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1'!$N$22:$N$42</c:f>
              <c:numCache>
                <c:formatCode>0.00</c:formatCode>
                <c:ptCount val="21"/>
                <c:pt idx="0">
                  <c:v>0.12</c:v>
                </c:pt>
                <c:pt idx="1">
                  <c:v>0.12</c:v>
                </c:pt>
                <c:pt idx="2">
                  <c:v>0.12</c:v>
                </c:pt>
                <c:pt idx="3">
                  <c:v>0.12</c:v>
                </c:pt>
                <c:pt idx="4">
                  <c:v>0.12</c:v>
                </c:pt>
                <c:pt idx="5">
                  <c:v>0.12</c:v>
                </c:pt>
                <c:pt idx="6">
                  <c:v>0.12</c:v>
                </c:pt>
                <c:pt idx="7">
                  <c:v>0.12</c:v>
                </c:pt>
                <c:pt idx="8">
                  <c:v>0.12</c:v>
                </c:pt>
                <c:pt idx="9">
                  <c:v>0.12</c:v>
                </c:pt>
                <c:pt idx="10">
                  <c:v>0.12</c:v>
                </c:pt>
                <c:pt idx="11">
                  <c:v>0.12</c:v>
                </c:pt>
                <c:pt idx="12">
                  <c:v>0.12</c:v>
                </c:pt>
                <c:pt idx="13">
                  <c:v>0.12</c:v>
                </c:pt>
                <c:pt idx="14">
                  <c:v>0.12</c:v>
                </c:pt>
                <c:pt idx="15">
                  <c:v>0.12</c:v>
                </c:pt>
                <c:pt idx="16">
                  <c:v>0.12</c:v>
                </c:pt>
                <c:pt idx="17">
                  <c:v>0.12</c:v>
                </c:pt>
                <c:pt idx="18">
                  <c:v>0.12</c:v>
                </c:pt>
                <c:pt idx="19">
                  <c:v>0.12</c:v>
                </c:pt>
                <c:pt idx="20">
                  <c:v>0.12</c:v>
                </c:pt>
              </c:numCache>
            </c:numRef>
          </c:yVal>
          <c:smooth val="0"/>
          <c:extLst>
            <c:ext xmlns:c16="http://schemas.microsoft.com/office/drawing/2014/chart" uri="{C3380CC4-5D6E-409C-BE32-E72D297353CC}">
              <c16:uniqueId val="{00000001-DDB9-44B1-8045-4558D96BD506}"/>
            </c:ext>
          </c:extLst>
        </c:ser>
        <c:dLbls>
          <c:showLegendKey val="0"/>
          <c:showVal val="0"/>
          <c:showCatName val="0"/>
          <c:showSerName val="0"/>
          <c:showPercent val="0"/>
          <c:showBubbleSize val="0"/>
        </c:dLbls>
        <c:axId val="716109664"/>
        <c:axId val="716110840"/>
      </c:scatterChart>
      <c:valAx>
        <c:axId val="716109664"/>
        <c:scaling>
          <c:orientation val="minMax"/>
          <c:max val="21"/>
          <c:min val="1"/>
        </c:scaling>
        <c:delete val="0"/>
        <c:axPos val="b"/>
        <c:numFmt formatCode="0" sourceLinked="1"/>
        <c:majorTickMark val="out"/>
        <c:minorTickMark val="none"/>
        <c:tickLblPos val="nextTo"/>
        <c:crossAx val="716110840"/>
        <c:crosses val="autoZero"/>
        <c:crossBetween val="midCat"/>
      </c:valAx>
      <c:valAx>
        <c:axId val="716110840"/>
        <c:scaling>
          <c:orientation val="minMax"/>
        </c:scaling>
        <c:delete val="0"/>
        <c:axPos val="l"/>
        <c:majorGridlines/>
        <c:numFmt formatCode="0.000" sourceLinked="0"/>
        <c:majorTickMark val="out"/>
        <c:minorTickMark val="none"/>
        <c:tickLblPos val="nextTo"/>
        <c:crossAx val="716109664"/>
        <c:crosses val="autoZero"/>
        <c:crossBetween val="midCat"/>
      </c:valAx>
    </c:plotArea>
    <c:plotVisOnly val="1"/>
    <c:dispBlanksAs val="gap"/>
    <c:showDLblsOverMax val="0"/>
  </c:chart>
  <c:printSettings>
    <c:headerFooter/>
    <c:pageMargins b="0.75000000000000189" l="0.70000000000000062" r="0.70000000000000062" t="0.75000000000000189" header="0.30000000000000032" footer="0.30000000000000032"/>
    <c:pageSetup orientation="portrait"/>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16885389326336"/>
          <c:y val="0.12367723583827323"/>
          <c:w val="0.81564283305597318"/>
          <c:h val="0.75108377116203751"/>
        </c:manualLayout>
      </c:layout>
      <c:scatterChart>
        <c:scatterStyle val="lineMarker"/>
        <c:varyColors val="0"/>
        <c:ser>
          <c:idx val="0"/>
          <c:order val="0"/>
          <c:tx>
            <c:strRef>
              <c:f>'CV Training Rule 2'!$AB$10</c:f>
              <c:strCache>
                <c:ptCount val="1"/>
                <c:pt idx="0">
                  <c:v>Average</c:v>
                </c:pt>
              </c:strCache>
            </c:strRef>
          </c:tx>
          <c:spPr>
            <a:ln w="0">
              <a:solidFill>
                <a:sysClr val="windowText" lastClr="000000"/>
              </a:solidFill>
            </a:ln>
          </c:spPr>
          <c:marker>
            <c:symbol val="x"/>
            <c:size val="6"/>
            <c:spPr>
              <a:noFill/>
              <a:ln w="15875">
                <a:solidFill>
                  <a:schemeClr val="tx1"/>
                </a:solidFill>
              </a:ln>
            </c:spPr>
          </c:marker>
          <c:xVal>
            <c:numRef>
              <c:f>'CV Training Rule 1'!$K$12:$P$13</c:f>
            </c:numRef>
          </c:xVal>
          <c:yVal>
            <c:numRef>
              <c:f>'CV Training Rule 2'!$AB$11:$AB$17</c:f>
              <c:numCache>
                <c:formatCode>0.00</c:formatCode>
                <c:ptCount val="7"/>
                <c:pt idx="0">
                  <c:v>26.994999999999997</c:v>
                </c:pt>
                <c:pt idx="1">
                  <c:v>27.1</c:v>
                </c:pt>
                <c:pt idx="2">
                  <c:v>27.215</c:v>
                </c:pt>
                <c:pt idx="3">
                  <c:v>27.08</c:v>
                </c:pt>
                <c:pt idx="4">
                  <c:v>27.225000000000001</c:v>
                </c:pt>
                <c:pt idx="5">
                  <c:v>27.09</c:v>
                </c:pt>
                <c:pt idx="6">
                  <c:v>27.045000000000002</c:v>
                </c:pt>
              </c:numCache>
            </c:numRef>
          </c:yVal>
          <c:smooth val="0"/>
          <c:extLst>
            <c:ext xmlns:c16="http://schemas.microsoft.com/office/drawing/2014/chart" uri="{C3380CC4-5D6E-409C-BE32-E72D297353CC}">
              <c16:uniqueId val="{00000000-BDDB-462B-97A1-234FDE802438}"/>
            </c:ext>
          </c:extLst>
        </c:ser>
        <c:ser>
          <c:idx val="1"/>
          <c:order val="1"/>
          <c:tx>
            <c:strRef>
              <c:f>'CV Training Rule 2'!$I$21</c:f>
              <c:strCache>
                <c:ptCount val="1"/>
                <c:pt idx="0">
                  <c:v>-3s</c:v>
                </c:pt>
              </c:strCache>
            </c:strRef>
          </c:tx>
          <c:spPr>
            <a:ln w="22225">
              <a:solidFill>
                <a:srgbClr val="FF0000"/>
              </a:solidFill>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2'!$I$22:$I$42</c:f>
              <c:numCache>
                <c:formatCode>0.00</c:formatCode>
                <c:ptCount val="21"/>
                <c:pt idx="0">
                  <c:v>26.787537881918869</c:v>
                </c:pt>
                <c:pt idx="1">
                  <c:v>26.787537881918869</c:v>
                </c:pt>
                <c:pt idx="2">
                  <c:v>26.787537881918869</c:v>
                </c:pt>
                <c:pt idx="3">
                  <c:v>26.787537881918869</c:v>
                </c:pt>
                <c:pt idx="4">
                  <c:v>26.787537881918869</c:v>
                </c:pt>
                <c:pt idx="5">
                  <c:v>26.787537881918869</c:v>
                </c:pt>
                <c:pt idx="6">
                  <c:v>26.787537881918869</c:v>
                </c:pt>
                <c:pt idx="7">
                  <c:v>26.787537881918869</c:v>
                </c:pt>
                <c:pt idx="8">
                  <c:v>26.787537881918869</c:v>
                </c:pt>
                <c:pt idx="9">
                  <c:v>26.787537881918869</c:v>
                </c:pt>
                <c:pt idx="10">
                  <c:v>26.787537881918869</c:v>
                </c:pt>
                <c:pt idx="11">
                  <c:v>26.787537881918869</c:v>
                </c:pt>
                <c:pt idx="12">
                  <c:v>26.787537881918869</c:v>
                </c:pt>
                <c:pt idx="13">
                  <c:v>26.787537881918869</c:v>
                </c:pt>
                <c:pt idx="14">
                  <c:v>26.787537881918869</c:v>
                </c:pt>
                <c:pt idx="15">
                  <c:v>26.787537881918869</c:v>
                </c:pt>
                <c:pt idx="16">
                  <c:v>26.787537881918869</c:v>
                </c:pt>
                <c:pt idx="17">
                  <c:v>26.787537881918869</c:v>
                </c:pt>
                <c:pt idx="18">
                  <c:v>26.787537881918869</c:v>
                </c:pt>
                <c:pt idx="19">
                  <c:v>26.787537881918869</c:v>
                </c:pt>
                <c:pt idx="20">
                  <c:v>26.787537881918869</c:v>
                </c:pt>
              </c:numCache>
            </c:numRef>
          </c:yVal>
          <c:smooth val="0"/>
          <c:extLst>
            <c:ext xmlns:c16="http://schemas.microsoft.com/office/drawing/2014/chart" uri="{C3380CC4-5D6E-409C-BE32-E72D297353CC}">
              <c16:uniqueId val="{00000001-BDDB-462B-97A1-234FDE802438}"/>
            </c:ext>
          </c:extLst>
        </c:ser>
        <c:ser>
          <c:idx val="2"/>
          <c:order val="2"/>
          <c:tx>
            <c:strRef>
              <c:f>'CV Training Rule 2'!$J$21</c:f>
              <c:strCache>
                <c:ptCount val="1"/>
                <c:pt idx="0">
                  <c:v>-2s</c:v>
                </c:pt>
              </c:strCache>
            </c:strRef>
          </c:tx>
          <c:spPr>
            <a:ln w="22225">
              <a:solidFill>
                <a:schemeClr val="tx2">
                  <a:lumMod val="60000"/>
                  <a:lumOff val="40000"/>
                </a:schemeClr>
              </a:solidFill>
              <a:prstDash val="dashDot"/>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2'!$J$22:$J$42</c:f>
              <c:numCache>
                <c:formatCode>0.00</c:formatCode>
                <c:ptCount val="21"/>
                <c:pt idx="0">
                  <c:v>26.863914143501468</c:v>
                </c:pt>
                <c:pt idx="1">
                  <c:v>26.863914143501468</c:v>
                </c:pt>
                <c:pt idx="2">
                  <c:v>26.863914143501468</c:v>
                </c:pt>
                <c:pt idx="3">
                  <c:v>26.863914143501468</c:v>
                </c:pt>
                <c:pt idx="4">
                  <c:v>26.863914143501468</c:v>
                </c:pt>
                <c:pt idx="5">
                  <c:v>26.863914143501468</c:v>
                </c:pt>
                <c:pt idx="6">
                  <c:v>26.863914143501468</c:v>
                </c:pt>
                <c:pt idx="7">
                  <c:v>26.863914143501468</c:v>
                </c:pt>
                <c:pt idx="8">
                  <c:v>26.863914143501468</c:v>
                </c:pt>
                <c:pt idx="9">
                  <c:v>26.863914143501468</c:v>
                </c:pt>
                <c:pt idx="10">
                  <c:v>26.863914143501468</c:v>
                </c:pt>
                <c:pt idx="11">
                  <c:v>26.863914143501468</c:v>
                </c:pt>
                <c:pt idx="12">
                  <c:v>26.863914143501468</c:v>
                </c:pt>
                <c:pt idx="13">
                  <c:v>26.863914143501468</c:v>
                </c:pt>
                <c:pt idx="14">
                  <c:v>26.863914143501468</c:v>
                </c:pt>
                <c:pt idx="15">
                  <c:v>26.863914143501468</c:v>
                </c:pt>
                <c:pt idx="16">
                  <c:v>26.863914143501468</c:v>
                </c:pt>
                <c:pt idx="17">
                  <c:v>26.863914143501468</c:v>
                </c:pt>
                <c:pt idx="18">
                  <c:v>26.863914143501468</c:v>
                </c:pt>
                <c:pt idx="19">
                  <c:v>26.863914143501468</c:v>
                </c:pt>
                <c:pt idx="20">
                  <c:v>26.863914143501468</c:v>
                </c:pt>
              </c:numCache>
            </c:numRef>
          </c:yVal>
          <c:smooth val="0"/>
          <c:extLst>
            <c:ext xmlns:c16="http://schemas.microsoft.com/office/drawing/2014/chart" uri="{C3380CC4-5D6E-409C-BE32-E72D297353CC}">
              <c16:uniqueId val="{00000002-BDDB-462B-97A1-234FDE802438}"/>
            </c:ext>
          </c:extLst>
        </c:ser>
        <c:ser>
          <c:idx val="3"/>
          <c:order val="3"/>
          <c:tx>
            <c:strRef>
              <c:f>'CV Training Rule 2'!$K$21</c:f>
              <c:strCache>
                <c:ptCount val="1"/>
                <c:pt idx="0">
                  <c:v></c:v>
                </c:pt>
              </c:strCache>
            </c:strRef>
          </c:tx>
          <c:spPr>
            <a:ln w="22225">
              <a:solidFill>
                <a:srgbClr val="00B050"/>
              </a:solidFill>
              <a:prstDash val="lgDashDotDot"/>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2'!$K$22:$K$42</c:f>
              <c:numCache>
                <c:formatCode>0.00</c:formatCode>
                <c:ptCount val="21"/>
                <c:pt idx="0">
                  <c:v>27.016666666666666</c:v>
                </c:pt>
                <c:pt idx="1">
                  <c:v>27.016666666666666</c:v>
                </c:pt>
                <c:pt idx="2">
                  <c:v>27.016666666666666</c:v>
                </c:pt>
                <c:pt idx="3">
                  <c:v>27.016666666666666</c:v>
                </c:pt>
                <c:pt idx="4">
                  <c:v>27.016666666666666</c:v>
                </c:pt>
                <c:pt idx="5">
                  <c:v>27.016666666666666</c:v>
                </c:pt>
                <c:pt idx="6">
                  <c:v>27.016666666666666</c:v>
                </c:pt>
                <c:pt idx="7">
                  <c:v>27.016666666666666</c:v>
                </c:pt>
                <c:pt idx="8">
                  <c:v>27.016666666666666</c:v>
                </c:pt>
                <c:pt idx="9">
                  <c:v>27.016666666666666</c:v>
                </c:pt>
                <c:pt idx="10">
                  <c:v>27.016666666666666</c:v>
                </c:pt>
                <c:pt idx="11">
                  <c:v>27.016666666666666</c:v>
                </c:pt>
                <c:pt idx="12">
                  <c:v>27.016666666666666</c:v>
                </c:pt>
                <c:pt idx="13">
                  <c:v>27.016666666666666</c:v>
                </c:pt>
                <c:pt idx="14">
                  <c:v>27.016666666666666</c:v>
                </c:pt>
                <c:pt idx="15">
                  <c:v>27.016666666666666</c:v>
                </c:pt>
                <c:pt idx="16">
                  <c:v>27.016666666666666</c:v>
                </c:pt>
                <c:pt idx="17">
                  <c:v>27.016666666666666</c:v>
                </c:pt>
                <c:pt idx="18">
                  <c:v>27.016666666666666</c:v>
                </c:pt>
                <c:pt idx="19">
                  <c:v>27.016666666666666</c:v>
                </c:pt>
                <c:pt idx="20">
                  <c:v>27.016666666666666</c:v>
                </c:pt>
              </c:numCache>
            </c:numRef>
          </c:yVal>
          <c:smooth val="0"/>
          <c:extLst>
            <c:ext xmlns:c16="http://schemas.microsoft.com/office/drawing/2014/chart" uri="{C3380CC4-5D6E-409C-BE32-E72D297353CC}">
              <c16:uniqueId val="{00000003-BDDB-462B-97A1-234FDE802438}"/>
            </c:ext>
          </c:extLst>
        </c:ser>
        <c:ser>
          <c:idx val="4"/>
          <c:order val="4"/>
          <c:tx>
            <c:strRef>
              <c:f>'CV Training Rule 2'!$L$21</c:f>
              <c:strCache>
                <c:ptCount val="1"/>
                <c:pt idx="0">
                  <c:v>+2s</c:v>
                </c:pt>
              </c:strCache>
            </c:strRef>
          </c:tx>
          <c:spPr>
            <a:ln w="22225">
              <a:solidFill>
                <a:schemeClr val="tx2">
                  <a:lumMod val="60000"/>
                  <a:lumOff val="40000"/>
                </a:schemeClr>
              </a:solidFill>
              <a:prstDash val="dashDot"/>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2'!$L$22:$L$42</c:f>
              <c:numCache>
                <c:formatCode>0.00</c:formatCode>
                <c:ptCount val="21"/>
                <c:pt idx="0">
                  <c:v>27.169419189831864</c:v>
                </c:pt>
                <c:pt idx="1">
                  <c:v>27.169419189831864</c:v>
                </c:pt>
                <c:pt idx="2">
                  <c:v>27.169419189831864</c:v>
                </c:pt>
                <c:pt idx="3">
                  <c:v>27.169419189831864</c:v>
                </c:pt>
                <c:pt idx="4">
                  <c:v>27.169419189831864</c:v>
                </c:pt>
                <c:pt idx="5">
                  <c:v>27.169419189831864</c:v>
                </c:pt>
                <c:pt idx="6">
                  <c:v>27.169419189831864</c:v>
                </c:pt>
                <c:pt idx="7">
                  <c:v>27.169419189831864</c:v>
                </c:pt>
                <c:pt idx="8">
                  <c:v>27.169419189831864</c:v>
                </c:pt>
                <c:pt idx="9">
                  <c:v>27.169419189831864</c:v>
                </c:pt>
                <c:pt idx="10">
                  <c:v>27.169419189831864</c:v>
                </c:pt>
                <c:pt idx="11">
                  <c:v>27.169419189831864</c:v>
                </c:pt>
                <c:pt idx="12">
                  <c:v>27.169419189831864</c:v>
                </c:pt>
                <c:pt idx="13">
                  <c:v>27.169419189831864</c:v>
                </c:pt>
                <c:pt idx="14">
                  <c:v>27.169419189831864</c:v>
                </c:pt>
                <c:pt idx="15">
                  <c:v>27.169419189831864</c:v>
                </c:pt>
                <c:pt idx="16">
                  <c:v>27.169419189831864</c:v>
                </c:pt>
                <c:pt idx="17">
                  <c:v>27.169419189831864</c:v>
                </c:pt>
                <c:pt idx="18">
                  <c:v>27.169419189831864</c:v>
                </c:pt>
                <c:pt idx="19">
                  <c:v>27.169419189831864</c:v>
                </c:pt>
                <c:pt idx="20">
                  <c:v>27.169419189831864</c:v>
                </c:pt>
              </c:numCache>
            </c:numRef>
          </c:yVal>
          <c:smooth val="0"/>
          <c:extLst>
            <c:ext xmlns:c16="http://schemas.microsoft.com/office/drawing/2014/chart" uri="{C3380CC4-5D6E-409C-BE32-E72D297353CC}">
              <c16:uniqueId val="{00000004-BDDB-462B-97A1-234FDE802438}"/>
            </c:ext>
          </c:extLst>
        </c:ser>
        <c:ser>
          <c:idx val="5"/>
          <c:order val="5"/>
          <c:tx>
            <c:strRef>
              <c:f>'CV Training Rule 2'!$M$21</c:f>
              <c:strCache>
                <c:ptCount val="1"/>
                <c:pt idx="0">
                  <c:v>+3s</c:v>
                </c:pt>
              </c:strCache>
            </c:strRef>
          </c:tx>
          <c:spPr>
            <a:ln w="22225">
              <a:solidFill>
                <a:srgbClr val="FF0000"/>
              </a:solidFill>
              <a:prstDash val="solid"/>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2'!$M$22:$M$42</c:f>
              <c:numCache>
                <c:formatCode>0.00</c:formatCode>
                <c:ptCount val="21"/>
                <c:pt idx="0">
                  <c:v>27.245795451414462</c:v>
                </c:pt>
                <c:pt idx="1">
                  <c:v>27.245795451414462</c:v>
                </c:pt>
                <c:pt idx="2">
                  <c:v>27.245795451414462</c:v>
                </c:pt>
                <c:pt idx="3">
                  <c:v>27.245795451414462</c:v>
                </c:pt>
                <c:pt idx="4">
                  <c:v>27.245795451414462</c:v>
                </c:pt>
                <c:pt idx="5">
                  <c:v>27.245795451414462</c:v>
                </c:pt>
                <c:pt idx="6">
                  <c:v>27.245795451414462</c:v>
                </c:pt>
                <c:pt idx="7">
                  <c:v>27.245795451414462</c:v>
                </c:pt>
                <c:pt idx="8">
                  <c:v>27.245795451414462</c:v>
                </c:pt>
                <c:pt idx="9">
                  <c:v>27.245795451414462</c:v>
                </c:pt>
                <c:pt idx="10">
                  <c:v>27.245795451414462</c:v>
                </c:pt>
                <c:pt idx="11">
                  <c:v>27.245795451414462</c:v>
                </c:pt>
                <c:pt idx="12">
                  <c:v>27.245795451414462</c:v>
                </c:pt>
                <c:pt idx="13">
                  <c:v>27.245795451414462</c:v>
                </c:pt>
                <c:pt idx="14">
                  <c:v>27.245795451414462</c:v>
                </c:pt>
                <c:pt idx="15">
                  <c:v>27.245795451414462</c:v>
                </c:pt>
                <c:pt idx="16">
                  <c:v>27.245795451414462</c:v>
                </c:pt>
                <c:pt idx="17">
                  <c:v>27.245795451414462</c:v>
                </c:pt>
                <c:pt idx="18">
                  <c:v>27.245795451414462</c:v>
                </c:pt>
                <c:pt idx="19">
                  <c:v>27.245795451414462</c:v>
                </c:pt>
                <c:pt idx="20">
                  <c:v>27.245795451414462</c:v>
                </c:pt>
              </c:numCache>
            </c:numRef>
          </c:yVal>
          <c:smooth val="0"/>
          <c:extLst>
            <c:ext xmlns:c16="http://schemas.microsoft.com/office/drawing/2014/chart" uri="{C3380CC4-5D6E-409C-BE32-E72D297353CC}">
              <c16:uniqueId val="{00000005-BDDB-462B-97A1-234FDE802438}"/>
            </c:ext>
          </c:extLst>
        </c:ser>
        <c:dLbls>
          <c:showLegendKey val="0"/>
          <c:showVal val="0"/>
          <c:showCatName val="0"/>
          <c:showSerName val="0"/>
          <c:showPercent val="0"/>
          <c:showBubbleSize val="0"/>
        </c:dLbls>
        <c:axId val="719901656"/>
        <c:axId val="719899696"/>
      </c:scatterChart>
      <c:valAx>
        <c:axId val="719901656"/>
        <c:scaling>
          <c:orientation val="minMax"/>
          <c:max val="21"/>
          <c:min val="1"/>
        </c:scaling>
        <c:delete val="0"/>
        <c:axPos val="b"/>
        <c:numFmt formatCode="0" sourceLinked="1"/>
        <c:majorTickMark val="out"/>
        <c:minorTickMark val="none"/>
        <c:tickLblPos val="nextTo"/>
        <c:crossAx val="719899696"/>
        <c:crosses val="autoZero"/>
        <c:crossBetween val="midCat"/>
      </c:valAx>
      <c:valAx>
        <c:axId val="719899696"/>
        <c:scaling>
          <c:orientation val="minMax"/>
        </c:scaling>
        <c:delete val="0"/>
        <c:axPos val="l"/>
        <c:majorGridlines/>
        <c:numFmt formatCode="0.00" sourceLinked="1"/>
        <c:majorTickMark val="out"/>
        <c:minorTickMark val="none"/>
        <c:tickLblPos val="nextTo"/>
        <c:crossAx val="719901656"/>
        <c:crosses val="autoZero"/>
        <c:crossBetween val="midCat"/>
      </c:valAx>
    </c:plotArea>
    <c:plotVisOnly val="1"/>
    <c:dispBlanksAs val="gap"/>
    <c:showDLblsOverMax val="0"/>
  </c:chart>
  <c:printSettings>
    <c:headerFooter/>
    <c:pageMargins b="0.74803149606299368" l="0.70866141732283638" r="0.70866141732283638" t="0.74803149606299368" header="0.31496062992126123" footer="0.31496062992126123"/>
    <c:pageSetup orientation="landscape"/>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08849645464696"/>
          <c:y val="0.17632961957914792"/>
          <c:w val="0.83562551468258217"/>
          <c:h val="0.64932992998192229"/>
        </c:manualLayout>
      </c:layout>
      <c:scatterChart>
        <c:scatterStyle val="lineMarker"/>
        <c:varyColors val="0"/>
        <c:ser>
          <c:idx val="0"/>
          <c:order val="0"/>
          <c:tx>
            <c:strRef>
              <c:f>'CV Training Rule 2'!$AC$10</c:f>
              <c:strCache>
                <c:ptCount val="1"/>
                <c:pt idx="0">
                  <c:v>Range</c:v>
                </c:pt>
              </c:strCache>
            </c:strRef>
          </c:tx>
          <c:spPr>
            <a:ln w="12700">
              <a:solidFill>
                <a:sysClr val="windowText" lastClr="000000"/>
              </a:solidFill>
            </a:ln>
          </c:spPr>
          <c:marker>
            <c:symbol val="x"/>
            <c:size val="6"/>
            <c:spPr>
              <a:ln w="15875">
                <a:solidFill>
                  <a:sysClr val="windowText" lastClr="000000"/>
                </a:solidFill>
              </a:ln>
            </c:spPr>
          </c:marker>
          <c:xVal>
            <c:numRef>
              <c:f>'CV Training Rule 2'!$W$11:$W$17</c:f>
              <c:numCache>
                <c:formatCode>0</c:formatCode>
                <c:ptCount val="7"/>
                <c:pt idx="0">
                  <c:v>1</c:v>
                </c:pt>
                <c:pt idx="1">
                  <c:v>2</c:v>
                </c:pt>
                <c:pt idx="2">
                  <c:v>3</c:v>
                </c:pt>
                <c:pt idx="3">
                  <c:v>4</c:v>
                </c:pt>
                <c:pt idx="4">
                  <c:v>5</c:v>
                </c:pt>
                <c:pt idx="5">
                  <c:v>6</c:v>
                </c:pt>
                <c:pt idx="6">
                  <c:v>7</c:v>
                </c:pt>
              </c:numCache>
            </c:numRef>
          </c:xVal>
          <c:yVal>
            <c:numRef>
              <c:f>'CV Training Rule 2'!$AC$11:$AC$17</c:f>
              <c:numCache>
                <c:formatCode>0.00</c:formatCode>
                <c:ptCount val="7"/>
                <c:pt idx="0">
                  <c:v>1.0000000000001563E-2</c:v>
                </c:pt>
                <c:pt idx="1">
                  <c:v>9.9999999999997868E-2</c:v>
                </c:pt>
                <c:pt idx="2">
                  <c:v>3.0000000000001137E-2</c:v>
                </c:pt>
                <c:pt idx="3">
                  <c:v>5.9999999999998721E-2</c:v>
                </c:pt>
                <c:pt idx="4">
                  <c:v>1.0000000000001563E-2</c:v>
                </c:pt>
                <c:pt idx="5">
                  <c:v>6.0000000000002274E-2</c:v>
                </c:pt>
                <c:pt idx="6">
                  <c:v>0.11000000000000298</c:v>
                </c:pt>
              </c:numCache>
            </c:numRef>
          </c:yVal>
          <c:smooth val="0"/>
          <c:extLst>
            <c:ext xmlns:c16="http://schemas.microsoft.com/office/drawing/2014/chart" uri="{C3380CC4-5D6E-409C-BE32-E72D297353CC}">
              <c16:uniqueId val="{00000000-62FD-4170-AB2D-8787117DA1E5}"/>
            </c:ext>
          </c:extLst>
        </c:ser>
        <c:ser>
          <c:idx val="1"/>
          <c:order val="1"/>
          <c:tx>
            <c:strRef>
              <c:f>'CV Training Rule 2'!$N$21</c:f>
              <c:strCache>
                <c:ptCount val="1"/>
                <c:pt idx="0">
                  <c:v>Range Limit</c:v>
                </c:pt>
              </c:strCache>
            </c:strRef>
          </c:tx>
          <c:spPr>
            <a:ln w="22225">
              <a:solidFill>
                <a:srgbClr val="FF0000"/>
              </a:solidFill>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2'!$N$22:$N$42</c:f>
              <c:numCache>
                <c:formatCode>0.00</c:formatCode>
                <c:ptCount val="21"/>
                <c:pt idx="0">
                  <c:v>0.12</c:v>
                </c:pt>
                <c:pt idx="1">
                  <c:v>0.12</c:v>
                </c:pt>
                <c:pt idx="2">
                  <c:v>0.12</c:v>
                </c:pt>
                <c:pt idx="3">
                  <c:v>0.12</c:v>
                </c:pt>
                <c:pt idx="4">
                  <c:v>0.12</c:v>
                </c:pt>
                <c:pt idx="5">
                  <c:v>0.12</c:v>
                </c:pt>
                <c:pt idx="6">
                  <c:v>0.12</c:v>
                </c:pt>
                <c:pt idx="7">
                  <c:v>0.12</c:v>
                </c:pt>
                <c:pt idx="8">
                  <c:v>0.12</c:v>
                </c:pt>
                <c:pt idx="9">
                  <c:v>0.12</c:v>
                </c:pt>
                <c:pt idx="10">
                  <c:v>0.12</c:v>
                </c:pt>
                <c:pt idx="11">
                  <c:v>0.12</c:v>
                </c:pt>
                <c:pt idx="12">
                  <c:v>0.12</c:v>
                </c:pt>
                <c:pt idx="13">
                  <c:v>0.12</c:v>
                </c:pt>
                <c:pt idx="14">
                  <c:v>0.12</c:v>
                </c:pt>
                <c:pt idx="15">
                  <c:v>0.12</c:v>
                </c:pt>
                <c:pt idx="16">
                  <c:v>0.12</c:v>
                </c:pt>
                <c:pt idx="17">
                  <c:v>0.12</c:v>
                </c:pt>
                <c:pt idx="18">
                  <c:v>0.12</c:v>
                </c:pt>
                <c:pt idx="19">
                  <c:v>0.12</c:v>
                </c:pt>
                <c:pt idx="20">
                  <c:v>0.12</c:v>
                </c:pt>
              </c:numCache>
            </c:numRef>
          </c:yVal>
          <c:smooth val="0"/>
          <c:extLst>
            <c:ext xmlns:c16="http://schemas.microsoft.com/office/drawing/2014/chart" uri="{C3380CC4-5D6E-409C-BE32-E72D297353CC}">
              <c16:uniqueId val="{00000001-62FD-4170-AB2D-8787117DA1E5}"/>
            </c:ext>
          </c:extLst>
        </c:ser>
        <c:dLbls>
          <c:showLegendKey val="0"/>
          <c:showVal val="0"/>
          <c:showCatName val="0"/>
          <c:showSerName val="0"/>
          <c:showPercent val="0"/>
          <c:showBubbleSize val="0"/>
        </c:dLbls>
        <c:axId val="719900088"/>
        <c:axId val="719894600"/>
      </c:scatterChart>
      <c:valAx>
        <c:axId val="719900088"/>
        <c:scaling>
          <c:orientation val="minMax"/>
          <c:max val="21"/>
          <c:min val="1"/>
        </c:scaling>
        <c:delete val="0"/>
        <c:axPos val="b"/>
        <c:numFmt formatCode="0" sourceLinked="1"/>
        <c:majorTickMark val="out"/>
        <c:minorTickMark val="none"/>
        <c:tickLblPos val="nextTo"/>
        <c:crossAx val="719894600"/>
        <c:crosses val="autoZero"/>
        <c:crossBetween val="midCat"/>
      </c:valAx>
      <c:valAx>
        <c:axId val="719894600"/>
        <c:scaling>
          <c:orientation val="minMax"/>
        </c:scaling>
        <c:delete val="0"/>
        <c:axPos val="l"/>
        <c:majorGridlines/>
        <c:numFmt formatCode="0.000" sourceLinked="0"/>
        <c:majorTickMark val="out"/>
        <c:minorTickMark val="none"/>
        <c:tickLblPos val="nextTo"/>
        <c:crossAx val="719900088"/>
        <c:crosses val="autoZero"/>
        <c:crossBetween val="midCat"/>
      </c:valAx>
    </c:plotArea>
    <c:plotVisOnly val="1"/>
    <c:dispBlanksAs val="gap"/>
    <c:showDLblsOverMax val="0"/>
  </c:chart>
  <c:printSettings>
    <c:headerFooter/>
    <c:pageMargins b="0.75000000000000189" l="0.70000000000000062" r="0.70000000000000062" t="0.75000000000000189" header="0.30000000000000032" footer="0.30000000000000032"/>
    <c:pageSetup orientation="portrait"/>
  </c:printSettings>
  <c:userShapes r:id="rId1"/>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16885389326336"/>
          <c:y val="0.12367723583827325"/>
          <c:w val="0.81564283305597363"/>
          <c:h val="0.75108377116203751"/>
        </c:manualLayout>
      </c:layout>
      <c:scatterChart>
        <c:scatterStyle val="lineMarker"/>
        <c:varyColors val="0"/>
        <c:ser>
          <c:idx val="0"/>
          <c:order val="0"/>
          <c:tx>
            <c:strRef>
              <c:f>'CV Training Rule 2'!$AV$10</c:f>
              <c:strCache>
                <c:ptCount val="1"/>
                <c:pt idx="0">
                  <c:v>Average</c:v>
                </c:pt>
              </c:strCache>
            </c:strRef>
          </c:tx>
          <c:spPr>
            <a:ln w="0">
              <a:solidFill>
                <a:sysClr val="windowText" lastClr="000000"/>
              </a:solidFill>
            </a:ln>
          </c:spPr>
          <c:marker>
            <c:symbol val="x"/>
            <c:size val="6"/>
            <c:spPr>
              <a:noFill/>
              <a:ln w="15875">
                <a:solidFill>
                  <a:schemeClr val="tx1"/>
                </a:solidFill>
              </a:ln>
            </c:spPr>
          </c:marker>
          <c:xVal>
            <c:numRef>
              <c:f>'CV Training Rule 2'!$AQ$11:$AQ$17</c:f>
              <c:numCache>
                <c:formatCode>0</c:formatCode>
                <c:ptCount val="7"/>
                <c:pt idx="0">
                  <c:v>1</c:v>
                </c:pt>
                <c:pt idx="1">
                  <c:v>2</c:v>
                </c:pt>
                <c:pt idx="2">
                  <c:v>3</c:v>
                </c:pt>
                <c:pt idx="3">
                  <c:v>4</c:v>
                </c:pt>
                <c:pt idx="4">
                  <c:v>5</c:v>
                </c:pt>
                <c:pt idx="5">
                  <c:v>6</c:v>
                </c:pt>
                <c:pt idx="6">
                  <c:v>7</c:v>
                </c:pt>
              </c:numCache>
            </c:numRef>
          </c:xVal>
          <c:yVal>
            <c:numRef>
              <c:f>'CV Training Rule 2'!$AV$11:$AV$17</c:f>
              <c:numCache>
                <c:formatCode>0.00</c:formatCode>
                <c:ptCount val="7"/>
                <c:pt idx="0">
                  <c:v>27.045000000000002</c:v>
                </c:pt>
                <c:pt idx="1">
                  <c:v>27</c:v>
                </c:pt>
                <c:pt idx="2">
                  <c:v>27.09</c:v>
                </c:pt>
                <c:pt idx="3">
                  <c:v>26.805</c:v>
                </c:pt>
                <c:pt idx="4">
                  <c:v>26.96</c:v>
                </c:pt>
                <c:pt idx="5">
                  <c:v>26.825000000000003</c:v>
                </c:pt>
                <c:pt idx="6">
                  <c:v>27.034999999999997</c:v>
                </c:pt>
              </c:numCache>
            </c:numRef>
          </c:yVal>
          <c:smooth val="0"/>
          <c:extLst>
            <c:ext xmlns:c16="http://schemas.microsoft.com/office/drawing/2014/chart" uri="{C3380CC4-5D6E-409C-BE32-E72D297353CC}">
              <c16:uniqueId val="{00000000-511D-49CD-B7B4-2AFDF4F53D15}"/>
            </c:ext>
          </c:extLst>
        </c:ser>
        <c:ser>
          <c:idx val="1"/>
          <c:order val="1"/>
          <c:tx>
            <c:strRef>
              <c:f>'CV Training Rule 2'!$I$21</c:f>
              <c:strCache>
                <c:ptCount val="1"/>
                <c:pt idx="0">
                  <c:v>-3s</c:v>
                </c:pt>
              </c:strCache>
            </c:strRef>
          </c:tx>
          <c:spPr>
            <a:ln w="22225">
              <a:solidFill>
                <a:srgbClr val="FF0000"/>
              </a:solidFill>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2'!$I$22:$I$42</c:f>
              <c:numCache>
                <c:formatCode>0.00</c:formatCode>
                <c:ptCount val="21"/>
                <c:pt idx="0">
                  <c:v>26.787537881918869</c:v>
                </c:pt>
                <c:pt idx="1">
                  <c:v>26.787537881918869</c:v>
                </c:pt>
                <c:pt idx="2">
                  <c:v>26.787537881918869</c:v>
                </c:pt>
                <c:pt idx="3">
                  <c:v>26.787537881918869</c:v>
                </c:pt>
                <c:pt idx="4">
                  <c:v>26.787537881918869</c:v>
                </c:pt>
                <c:pt idx="5">
                  <c:v>26.787537881918869</c:v>
                </c:pt>
                <c:pt idx="6">
                  <c:v>26.787537881918869</c:v>
                </c:pt>
                <c:pt idx="7">
                  <c:v>26.787537881918869</c:v>
                </c:pt>
                <c:pt idx="8">
                  <c:v>26.787537881918869</c:v>
                </c:pt>
                <c:pt idx="9">
                  <c:v>26.787537881918869</c:v>
                </c:pt>
                <c:pt idx="10">
                  <c:v>26.787537881918869</c:v>
                </c:pt>
                <c:pt idx="11">
                  <c:v>26.787537881918869</c:v>
                </c:pt>
                <c:pt idx="12">
                  <c:v>26.787537881918869</c:v>
                </c:pt>
                <c:pt idx="13">
                  <c:v>26.787537881918869</c:v>
                </c:pt>
                <c:pt idx="14">
                  <c:v>26.787537881918869</c:v>
                </c:pt>
                <c:pt idx="15">
                  <c:v>26.787537881918869</c:v>
                </c:pt>
                <c:pt idx="16">
                  <c:v>26.787537881918869</c:v>
                </c:pt>
                <c:pt idx="17">
                  <c:v>26.787537881918869</c:v>
                </c:pt>
                <c:pt idx="18">
                  <c:v>26.787537881918869</c:v>
                </c:pt>
                <c:pt idx="19">
                  <c:v>26.787537881918869</c:v>
                </c:pt>
                <c:pt idx="20">
                  <c:v>26.787537881918869</c:v>
                </c:pt>
              </c:numCache>
            </c:numRef>
          </c:yVal>
          <c:smooth val="0"/>
          <c:extLst>
            <c:ext xmlns:c16="http://schemas.microsoft.com/office/drawing/2014/chart" uri="{C3380CC4-5D6E-409C-BE32-E72D297353CC}">
              <c16:uniqueId val="{00000001-511D-49CD-B7B4-2AFDF4F53D15}"/>
            </c:ext>
          </c:extLst>
        </c:ser>
        <c:ser>
          <c:idx val="2"/>
          <c:order val="2"/>
          <c:tx>
            <c:strRef>
              <c:f>'CV Training Rule 2'!$J$21</c:f>
              <c:strCache>
                <c:ptCount val="1"/>
                <c:pt idx="0">
                  <c:v>-2s</c:v>
                </c:pt>
              </c:strCache>
            </c:strRef>
          </c:tx>
          <c:spPr>
            <a:ln w="22225">
              <a:solidFill>
                <a:schemeClr val="tx2">
                  <a:lumMod val="60000"/>
                  <a:lumOff val="40000"/>
                </a:schemeClr>
              </a:solidFill>
              <a:prstDash val="dashDot"/>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2'!$J$22:$J$42</c:f>
              <c:numCache>
                <c:formatCode>0.00</c:formatCode>
                <c:ptCount val="21"/>
                <c:pt idx="0">
                  <c:v>26.863914143501468</c:v>
                </c:pt>
                <c:pt idx="1">
                  <c:v>26.863914143501468</c:v>
                </c:pt>
                <c:pt idx="2">
                  <c:v>26.863914143501468</c:v>
                </c:pt>
                <c:pt idx="3">
                  <c:v>26.863914143501468</c:v>
                </c:pt>
                <c:pt idx="4">
                  <c:v>26.863914143501468</c:v>
                </c:pt>
                <c:pt idx="5">
                  <c:v>26.863914143501468</c:v>
                </c:pt>
                <c:pt idx="6">
                  <c:v>26.863914143501468</c:v>
                </c:pt>
                <c:pt idx="7">
                  <c:v>26.863914143501468</c:v>
                </c:pt>
                <c:pt idx="8">
                  <c:v>26.863914143501468</c:v>
                </c:pt>
                <c:pt idx="9">
                  <c:v>26.863914143501468</c:v>
                </c:pt>
                <c:pt idx="10">
                  <c:v>26.863914143501468</c:v>
                </c:pt>
                <c:pt idx="11">
                  <c:v>26.863914143501468</c:v>
                </c:pt>
                <c:pt idx="12">
                  <c:v>26.863914143501468</c:v>
                </c:pt>
                <c:pt idx="13">
                  <c:v>26.863914143501468</c:v>
                </c:pt>
                <c:pt idx="14">
                  <c:v>26.863914143501468</c:v>
                </c:pt>
                <c:pt idx="15">
                  <c:v>26.863914143501468</c:v>
                </c:pt>
                <c:pt idx="16">
                  <c:v>26.863914143501468</c:v>
                </c:pt>
                <c:pt idx="17">
                  <c:v>26.863914143501468</c:v>
                </c:pt>
                <c:pt idx="18">
                  <c:v>26.863914143501468</c:v>
                </c:pt>
                <c:pt idx="19">
                  <c:v>26.863914143501468</c:v>
                </c:pt>
                <c:pt idx="20">
                  <c:v>26.863914143501468</c:v>
                </c:pt>
              </c:numCache>
            </c:numRef>
          </c:yVal>
          <c:smooth val="0"/>
          <c:extLst>
            <c:ext xmlns:c16="http://schemas.microsoft.com/office/drawing/2014/chart" uri="{C3380CC4-5D6E-409C-BE32-E72D297353CC}">
              <c16:uniqueId val="{00000002-511D-49CD-B7B4-2AFDF4F53D15}"/>
            </c:ext>
          </c:extLst>
        </c:ser>
        <c:ser>
          <c:idx val="3"/>
          <c:order val="3"/>
          <c:tx>
            <c:strRef>
              <c:f>'CV Training Rule 2'!$K$21</c:f>
              <c:strCache>
                <c:ptCount val="1"/>
                <c:pt idx="0">
                  <c:v></c:v>
                </c:pt>
              </c:strCache>
            </c:strRef>
          </c:tx>
          <c:spPr>
            <a:ln w="22225">
              <a:solidFill>
                <a:srgbClr val="00B050"/>
              </a:solidFill>
              <a:prstDash val="lgDashDotDot"/>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2'!$K$22:$K$42</c:f>
              <c:numCache>
                <c:formatCode>0.00</c:formatCode>
                <c:ptCount val="21"/>
                <c:pt idx="0">
                  <c:v>27.016666666666666</c:v>
                </c:pt>
                <c:pt idx="1">
                  <c:v>27.016666666666666</c:v>
                </c:pt>
                <c:pt idx="2">
                  <c:v>27.016666666666666</c:v>
                </c:pt>
                <c:pt idx="3">
                  <c:v>27.016666666666666</c:v>
                </c:pt>
                <c:pt idx="4">
                  <c:v>27.016666666666666</c:v>
                </c:pt>
                <c:pt idx="5">
                  <c:v>27.016666666666666</c:v>
                </c:pt>
                <c:pt idx="6">
                  <c:v>27.016666666666666</c:v>
                </c:pt>
                <c:pt idx="7">
                  <c:v>27.016666666666666</c:v>
                </c:pt>
                <c:pt idx="8">
                  <c:v>27.016666666666666</c:v>
                </c:pt>
                <c:pt idx="9">
                  <c:v>27.016666666666666</c:v>
                </c:pt>
                <c:pt idx="10">
                  <c:v>27.016666666666666</c:v>
                </c:pt>
                <c:pt idx="11">
                  <c:v>27.016666666666666</c:v>
                </c:pt>
                <c:pt idx="12">
                  <c:v>27.016666666666666</c:v>
                </c:pt>
                <c:pt idx="13">
                  <c:v>27.016666666666666</c:v>
                </c:pt>
                <c:pt idx="14">
                  <c:v>27.016666666666666</c:v>
                </c:pt>
                <c:pt idx="15">
                  <c:v>27.016666666666666</c:v>
                </c:pt>
                <c:pt idx="16">
                  <c:v>27.016666666666666</c:v>
                </c:pt>
                <c:pt idx="17">
                  <c:v>27.016666666666666</c:v>
                </c:pt>
                <c:pt idx="18">
                  <c:v>27.016666666666666</c:v>
                </c:pt>
                <c:pt idx="19">
                  <c:v>27.016666666666666</c:v>
                </c:pt>
                <c:pt idx="20">
                  <c:v>27.016666666666666</c:v>
                </c:pt>
              </c:numCache>
            </c:numRef>
          </c:yVal>
          <c:smooth val="0"/>
          <c:extLst>
            <c:ext xmlns:c16="http://schemas.microsoft.com/office/drawing/2014/chart" uri="{C3380CC4-5D6E-409C-BE32-E72D297353CC}">
              <c16:uniqueId val="{00000003-511D-49CD-B7B4-2AFDF4F53D15}"/>
            </c:ext>
          </c:extLst>
        </c:ser>
        <c:ser>
          <c:idx val="4"/>
          <c:order val="4"/>
          <c:tx>
            <c:strRef>
              <c:f>'CV Training Rule 2'!$L$21</c:f>
              <c:strCache>
                <c:ptCount val="1"/>
                <c:pt idx="0">
                  <c:v>+2s</c:v>
                </c:pt>
              </c:strCache>
            </c:strRef>
          </c:tx>
          <c:spPr>
            <a:ln w="22225">
              <a:solidFill>
                <a:schemeClr val="tx2">
                  <a:lumMod val="60000"/>
                  <a:lumOff val="40000"/>
                </a:schemeClr>
              </a:solidFill>
              <a:prstDash val="dashDot"/>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2'!$L$22:$L$42</c:f>
              <c:numCache>
                <c:formatCode>0.00</c:formatCode>
                <c:ptCount val="21"/>
                <c:pt idx="0">
                  <c:v>27.169419189831864</c:v>
                </c:pt>
                <c:pt idx="1">
                  <c:v>27.169419189831864</c:v>
                </c:pt>
                <c:pt idx="2">
                  <c:v>27.169419189831864</c:v>
                </c:pt>
                <c:pt idx="3">
                  <c:v>27.169419189831864</c:v>
                </c:pt>
                <c:pt idx="4">
                  <c:v>27.169419189831864</c:v>
                </c:pt>
                <c:pt idx="5">
                  <c:v>27.169419189831864</c:v>
                </c:pt>
                <c:pt idx="6">
                  <c:v>27.169419189831864</c:v>
                </c:pt>
                <c:pt idx="7">
                  <c:v>27.169419189831864</c:v>
                </c:pt>
                <c:pt idx="8">
                  <c:v>27.169419189831864</c:v>
                </c:pt>
                <c:pt idx="9">
                  <c:v>27.169419189831864</c:v>
                </c:pt>
                <c:pt idx="10">
                  <c:v>27.169419189831864</c:v>
                </c:pt>
                <c:pt idx="11">
                  <c:v>27.169419189831864</c:v>
                </c:pt>
                <c:pt idx="12">
                  <c:v>27.169419189831864</c:v>
                </c:pt>
                <c:pt idx="13">
                  <c:v>27.169419189831864</c:v>
                </c:pt>
                <c:pt idx="14">
                  <c:v>27.169419189831864</c:v>
                </c:pt>
                <c:pt idx="15">
                  <c:v>27.169419189831864</c:v>
                </c:pt>
                <c:pt idx="16">
                  <c:v>27.169419189831864</c:v>
                </c:pt>
                <c:pt idx="17">
                  <c:v>27.169419189831864</c:v>
                </c:pt>
                <c:pt idx="18">
                  <c:v>27.169419189831864</c:v>
                </c:pt>
                <c:pt idx="19">
                  <c:v>27.169419189831864</c:v>
                </c:pt>
                <c:pt idx="20">
                  <c:v>27.169419189831864</c:v>
                </c:pt>
              </c:numCache>
            </c:numRef>
          </c:yVal>
          <c:smooth val="0"/>
          <c:extLst>
            <c:ext xmlns:c16="http://schemas.microsoft.com/office/drawing/2014/chart" uri="{C3380CC4-5D6E-409C-BE32-E72D297353CC}">
              <c16:uniqueId val="{00000004-511D-49CD-B7B4-2AFDF4F53D15}"/>
            </c:ext>
          </c:extLst>
        </c:ser>
        <c:ser>
          <c:idx val="5"/>
          <c:order val="5"/>
          <c:tx>
            <c:strRef>
              <c:f>'CV Training Rule 2'!$M$21</c:f>
              <c:strCache>
                <c:ptCount val="1"/>
                <c:pt idx="0">
                  <c:v>+3s</c:v>
                </c:pt>
              </c:strCache>
            </c:strRef>
          </c:tx>
          <c:spPr>
            <a:ln w="22225">
              <a:solidFill>
                <a:srgbClr val="FF0000"/>
              </a:solidFill>
              <a:prstDash val="solid"/>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2'!$M$22:$M$42</c:f>
              <c:numCache>
                <c:formatCode>0.00</c:formatCode>
                <c:ptCount val="21"/>
                <c:pt idx="0">
                  <c:v>27.245795451414462</c:v>
                </c:pt>
                <c:pt idx="1">
                  <c:v>27.245795451414462</c:v>
                </c:pt>
                <c:pt idx="2">
                  <c:v>27.245795451414462</c:v>
                </c:pt>
                <c:pt idx="3">
                  <c:v>27.245795451414462</c:v>
                </c:pt>
                <c:pt idx="4">
                  <c:v>27.245795451414462</c:v>
                </c:pt>
                <c:pt idx="5">
                  <c:v>27.245795451414462</c:v>
                </c:pt>
                <c:pt idx="6">
                  <c:v>27.245795451414462</c:v>
                </c:pt>
                <c:pt idx="7">
                  <c:v>27.245795451414462</c:v>
                </c:pt>
                <c:pt idx="8">
                  <c:v>27.245795451414462</c:v>
                </c:pt>
                <c:pt idx="9">
                  <c:v>27.245795451414462</c:v>
                </c:pt>
                <c:pt idx="10">
                  <c:v>27.245795451414462</c:v>
                </c:pt>
                <c:pt idx="11">
                  <c:v>27.245795451414462</c:v>
                </c:pt>
                <c:pt idx="12">
                  <c:v>27.245795451414462</c:v>
                </c:pt>
                <c:pt idx="13">
                  <c:v>27.245795451414462</c:v>
                </c:pt>
                <c:pt idx="14">
                  <c:v>27.245795451414462</c:v>
                </c:pt>
                <c:pt idx="15">
                  <c:v>27.245795451414462</c:v>
                </c:pt>
                <c:pt idx="16">
                  <c:v>27.245795451414462</c:v>
                </c:pt>
                <c:pt idx="17">
                  <c:v>27.245795451414462</c:v>
                </c:pt>
                <c:pt idx="18">
                  <c:v>27.245795451414462</c:v>
                </c:pt>
                <c:pt idx="19">
                  <c:v>27.245795451414462</c:v>
                </c:pt>
                <c:pt idx="20">
                  <c:v>27.245795451414462</c:v>
                </c:pt>
              </c:numCache>
            </c:numRef>
          </c:yVal>
          <c:smooth val="0"/>
          <c:extLst>
            <c:ext xmlns:c16="http://schemas.microsoft.com/office/drawing/2014/chart" uri="{C3380CC4-5D6E-409C-BE32-E72D297353CC}">
              <c16:uniqueId val="{00000005-511D-49CD-B7B4-2AFDF4F53D15}"/>
            </c:ext>
          </c:extLst>
        </c:ser>
        <c:dLbls>
          <c:showLegendKey val="0"/>
          <c:showVal val="0"/>
          <c:showCatName val="0"/>
          <c:showSerName val="0"/>
          <c:showPercent val="0"/>
          <c:showBubbleSize val="0"/>
        </c:dLbls>
        <c:axId val="719898912"/>
        <c:axId val="719894992"/>
      </c:scatterChart>
      <c:valAx>
        <c:axId val="719898912"/>
        <c:scaling>
          <c:orientation val="minMax"/>
          <c:max val="21"/>
          <c:min val="1"/>
        </c:scaling>
        <c:delete val="0"/>
        <c:axPos val="b"/>
        <c:numFmt formatCode="0" sourceLinked="1"/>
        <c:majorTickMark val="out"/>
        <c:minorTickMark val="none"/>
        <c:tickLblPos val="nextTo"/>
        <c:crossAx val="719894992"/>
        <c:crosses val="autoZero"/>
        <c:crossBetween val="midCat"/>
      </c:valAx>
      <c:valAx>
        <c:axId val="719894992"/>
        <c:scaling>
          <c:orientation val="minMax"/>
        </c:scaling>
        <c:delete val="0"/>
        <c:axPos val="l"/>
        <c:majorGridlines/>
        <c:numFmt formatCode="0.00" sourceLinked="1"/>
        <c:majorTickMark val="out"/>
        <c:minorTickMark val="none"/>
        <c:tickLblPos val="nextTo"/>
        <c:crossAx val="719898912"/>
        <c:crosses val="autoZero"/>
        <c:crossBetween val="midCat"/>
      </c:valAx>
    </c:plotArea>
    <c:plotVisOnly val="1"/>
    <c:dispBlanksAs val="gap"/>
    <c:showDLblsOverMax val="0"/>
  </c:chart>
  <c:printSettings>
    <c:headerFooter/>
    <c:pageMargins b="0.74803149606299391" l="0.70866141732283672" r="0.70866141732283672" t="0.74803149606299391" header="0.3149606299212615" footer="0.3149606299212615"/>
    <c:pageSetup orientation="landscape"/>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08849645464696"/>
          <c:y val="0.17632961957914792"/>
          <c:w val="0.83562551468258284"/>
          <c:h val="0.64932992998192229"/>
        </c:manualLayout>
      </c:layout>
      <c:scatterChart>
        <c:scatterStyle val="lineMarker"/>
        <c:varyColors val="0"/>
        <c:ser>
          <c:idx val="0"/>
          <c:order val="0"/>
          <c:tx>
            <c:strRef>
              <c:f>'CV Training Rule 2'!$AW$10</c:f>
              <c:strCache>
                <c:ptCount val="1"/>
                <c:pt idx="0">
                  <c:v>Range</c:v>
                </c:pt>
              </c:strCache>
            </c:strRef>
          </c:tx>
          <c:spPr>
            <a:ln w="12700">
              <a:solidFill>
                <a:sysClr val="windowText" lastClr="000000"/>
              </a:solidFill>
            </a:ln>
          </c:spPr>
          <c:marker>
            <c:symbol val="x"/>
            <c:size val="6"/>
            <c:spPr>
              <a:ln w="15875">
                <a:solidFill>
                  <a:sysClr val="windowText" lastClr="000000"/>
                </a:solidFill>
              </a:ln>
            </c:spPr>
          </c:marker>
          <c:xVal>
            <c:numRef>
              <c:f>'CV Training Rule 2'!$AQ$11:$AQ$17</c:f>
              <c:numCache>
                <c:formatCode>0</c:formatCode>
                <c:ptCount val="7"/>
                <c:pt idx="0">
                  <c:v>1</c:v>
                </c:pt>
                <c:pt idx="1">
                  <c:v>2</c:v>
                </c:pt>
                <c:pt idx="2">
                  <c:v>3</c:v>
                </c:pt>
                <c:pt idx="3">
                  <c:v>4</c:v>
                </c:pt>
                <c:pt idx="4">
                  <c:v>5</c:v>
                </c:pt>
                <c:pt idx="5">
                  <c:v>6</c:v>
                </c:pt>
                <c:pt idx="6">
                  <c:v>7</c:v>
                </c:pt>
              </c:numCache>
            </c:numRef>
          </c:xVal>
          <c:yVal>
            <c:numRef>
              <c:f>'CV Training Rule 2'!$AW$11:$AW$17</c:f>
              <c:numCache>
                <c:formatCode>0.00</c:formatCode>
                <c:ptCount val="7"/>
                <c:pt idx="0">
                  <c:v>0.11000000000000298</c:v>
                </c:pt>
                <c:pt idx="1">
                  <c:v>0</c:v>
                </c:pt>
                <c:pt idx="2">
                  <c:v>2.0000000000003126E-2</c:v>
                </c:pt>
                <c:pt idx="3">
                  <c:v>3.0000000000001137E-2</c:v>
                </c:pt>
                <c:pt idx="4">
                  <c:v>7.9999999999998295E-2</c:v>
                </c:pt>
                <c:pt idx="5">
                  <c:v>5.0000000000000711E-2</c:v>
                </c:pt>
                <c:pt idx="6">
                  <c:v>8.9999999999999858E-2</c:v>
                </c:pt>
              </c:numCache>
            </c:numRef>
          </c:yVal>
          <c:smooth val="0"/>
          <c:extLst>
            <c:ext xmlns:c16="http://schemas.microsoft.com/office/drawing/2014/chart" uri="{C3380CC4-5D6E-409C-BE32-E72D297353CC}">
              <c16:uniqueId val="{00000000-0881-45A5-BCBC-2B0D415E82EF}"/>
            </c:ext>
          </c:extLst>
        </c:ser>
        <c:ser>
          <c:idx val="1"/>
          <c:order val="1"/>
          <c:tx>
            <c:strRef>
              <c:f>'CV Training Rule 2'!$N$21</c:f>
              <c:strCache>
                <c:ptCount val="1"/>
                <c:pt idx="0">
                  <c:v>Range Limit</c:v>
                </c:pt>
              </c:strCache>
            </c:strRef>
          </c:tx>
          <c:spPr>
            <a:ln w="22225">
              <a:solidFill>
                <a:srgbClr val="FF0000"/>
              </a:solidFill>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2'!$N$22:$N$42</c:f>
              <c:numCache>
                <c:formatCode>0.00</c:formatCode>
                <c:ptCount val="21"/>
                <c:pt idx="0">
                  <c:v>0.12</c:v>
                </c:pt>
                <c:pt idx="1">
                  <c:v>0.12</c:v>
                </c:pt>
                <c:pt idx="2">
                  <c:v>0.12</c:v>
                </c:pt>
                <c:pt idx="3">
                  <c:v>0.12</c:v>
                </c:pt>
                <c:pt idx="4">
                  <c:v>0.12</c:v>
                </c:pt>
                <c:pt idx="5">
                  <c:v>0.12</c:v>
                </c:pt>
                <c:pt idx="6">
                  <c:v>0.12</c:v>
                </c:pt>
                <c:pt idx="7">
                  <c:v>0.12</c:v>
                </c:pt>
                <c:pt idx="8">
                  <c:v>0.12</c:v>
                </c:pt>
                <c:pt idx="9">
                  <c:v>0.12</c:v>
                </c:pt>
                <c:pt idx="10">
                  <c:v>0.12</c:v>
                </c:pt>
                <c:pt idx="11">
                  <c:v>0.12</c:v>
                </c:pt>
                <c:pt idx="12">
                  <c:v>0.12</c:v>
                </c:pt>
                <c:pt idx="13">
                  <c:v>0.12</c:v>
                </c:pt>
                <c:pt idx="14">
                  <c:v>0.12</c:v>
                </c:pt>
                <c:pt idx="15">
                  <c:v>0.12</c:v>
                </c:pt>
                <c:pt idx="16">
                  <c:v>0.12</c:v>
                </c:pt>
                <c:pt idx="17">
                  <c:v>0.12</c:v>
                </c:pt>
                <c:pt idx="18">
                  <c:v>0.12</c:v>
                </c:pt>
                <c:pt idx="19">
                  <c:v>0.12</c:v>
                </c:pt>
                <c:pt idx="20">
                  <c:v>0.12</c:v>
                </c:pt>
              </c:numCache>
            </c:numRef>
          </c:yVal>
          <c:smooth val="0"/>
          <c:extLst>
            <c:ext xmlns:c16="http://schemas.microsoft.com/office/drawing/2014/chart" uri="{C3380CC4-5D6E-409C-BE32-E72D297353CC}">
              <c16:uniqueId val="{00000001-0881-45A5-BCBC-2B0D415E82EF}"/>
            </c:ext>
          </c:extLst>
        </c:ser>
        <c:dLbls>
          <c:showLegendKey val="0"/>
          <c:showVal val="0"/>
          <c:showCatName val="0"/>
          <c:showSerName val="0"/>
          <c:showPercent val="0"/>
          <c:showBubbleSize val="0"/>
        </c:dLbls>
        <c:axId val="719896952"/>
        <c:axId val="719897344"/>
      </c:scatterChart>
      <c:valAx>
        <c:axId val="719896952"/>
        <c:scaling>
          <c:orientation val="minMax"/>
          <c:max val="21"/>
          <c:min val="1"/>
        </c:scaling>
        <c:delete val="0"/>
        <c:axPos val="b"/>
        <c:numFmt formatCode="0" sourceLinked="1"/>
        <c:majorTickMark val="out"/>
        <c:minorTickMark val="none"/>
        <c:tickLblPos val="nextTo"/>
        <c:crossAx val="719897344"/>
        <c:crosses val="autoZero"/>
        <c:crossBetween val="midCat"/>
      </c:valAx>
      <c:valAx>
        <c:axId val="719897344"/>
        <c:scaling>
          <c:orientation val="minMax"/>
        </c:scaling>
        <c:delete val="0"/>
        <c:axPos val="l"/>
        <c:majorGridlines/>
        <c:numFmt formatCode="0.000" sourceLinked="0"/>
        <c:majorTickMark val="out"/>
        <c:minorTickMark val="none"/>
        <c:tickLblPos val="nextTo"/>
        <c:crossAx val="719896952"/>
        <c:crosses val="autoZero"/>
        <c:crossBetween val="midCat"/>
      </c:valAx>
    </c:plotArea>
    <c:plotVisOnly val="1"/>
    <c:dispBlanksAs val="gap"/>
    <c:showDLblsOverMax val="0"/>
  </c:chart>
  <c:printSettings>
    <c:headerFooter/>
    <c:pageMargins b="0.75000000000000211" l="0.70000000000000062" r="0.70000000000000062" t="0.75000000000000211" header="0.30000000000000032" footer="0.30000000000000032"/>
    <c:pageSetup orientation="portrait"/>
  </c:printSettings>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16885389326336"/>
          <c:y val="0.12367723583827328"/>
          <c:w val="0.81564283305597385"/>
          <c:h val="0.75108377116203751"/>
        </c:manualLayout>
      </c:layout>
      <c:scatterChart>
        <c:scatterStyle val="lineMarker"/>
        <c:varyColors val="0"/>
        <c:ser>
          <c:idx val="0"/>
          <c:order val="0"/>
          <c:tx>
            <c:strRef>
              <c:f>'CV Training Rule 2'!$CJ$10</c:f>
              <c:strCache>
                <c:ptCount val="1"/>
                <c:pt idx="0">
                  <c:v>Average</c:v>
                </c:pt>
              </c:strCache>
            </c:strRef>
          </c:tx>
          <c:spPr>
            <a:ln w="0">
              <a:solidFill>
                <a:sysClr val="windowText" lastClr="000000"/>
              </a:solidFill>
            </a:ln>
          </c:spPr>
          <c:marker>
            <c:symbol val="x"/>
            <c:size val="6"/>
            <c:spPr>
              <a:noFill/>
              <a:ln w="15875">
                <a:solidFill>
                  <a:schemeClr val="tx1"/>
                </a:solidFill>
              </a:ln>
            </c:spPr>
          </c:marker>
          <c:xVal>
            <c:numRef>
              <c:f>'CV Training Rule 2'!$CE$11:$CE$17</c:f>
              <c:numCache>
                <c:formatCode>0</c:formatCode>
                <c:ptCount val="7"/>
                <c:pt idx="0">
                  <c:v>1</c:v>
                </c:pt>
                <c:pt idx="1">
                  <c:v>2</c:v>
                </c:pt>
                <c:pt idx="2">
                  <c:v>3</c:v>
                </c:pt>
                <c:pt idx="3">
                  <c:v>4</c:v>
                </c:pt>
                <c:pt idx="4">
                  <c:v>5</c:v>
                </c:pt>
                <c:pt idx="5">
                  <c:v>6</c:v>
                </c:pt>
                <c:pt idx="6">
                  <c:v>7</c:v>
                </c:pt>
              </c:numCache>
            </c:numRef>
          </c:xVal>
          <c:yVal>
            <c:numRef>
              <c:f>'CV Training Rule 2'!$CJ$11:$CJ$17</c:f>
              <c:numCache>
                <c:formatCode>0.00</c:formatCode>
                <c:ptCount val="7"/>
                <c:pt idx="0">
                  <c:v>27.045000000000002</c:v>
                </c:pt>
                <c:pt idx="1">
                  <c:v>27</c:v>
                </c:pt>
                <c:pt idx="2">
                  <c:v>27.09</c:v>
                </c:pt>
                <c:pt idx="3">
                  <c:v>27.060000000000002</c:v>
                </c:pt>
                <c:pt idx="4">
                  <c:v>26.805</c:v>
                </c:pt>
                <c:pt idx="5">
                  <c:v>26.825000000000003</c:v>
                </c:pt>
                <c:pt idx="6">
                  <c:v>27.034999999999997</c:v>
                </c:pt>
              </c:numCache>
            </c:numRef>
          </c:yVal>
          <c:smooth val="0"/>
          <c:extLst>
            <c:ext xmlns:c16="http://schemas.microsoft.com/office/drawing/2014/chart" uri="{C3380CC4-5D6E-409C-BE32-E72D297353CC}">
              <c16:uniqueId val="{00000000-9AB6-4DD2-A6D5-AA435FDC816E}"/>
            </c:ext>
          </c:extLst>
        </c:ser>
        <c:ser>
          <c:idx val="1"/>
          <c:order val="1"/>
          <c:tx>
            <c:strRef>
              <c:f>'CV Training Rule 2'!$I$21</c:f>
              <c:strCache>
                <c:ptCount val="1"/>
                <c:pt idx="0">
                  <c:v>-3s</c:v>
                </c:pt>
              </c:strCache>
            </c:strRef>
          </c:tx>
          <c:spPr>
            <a:ln w="22225">
              <a:solidFill>
                <a:srgbClr val="FF0000"/>
              </a:solidFill>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2'!$I$22:$I$42</c:f>
              <c:numCache>
                <c:formatCode>0.00</c:formatCode>
                <c:ptCount val="21"/>
                <c:pt idx="0">
                  <c:v>26.787537881918869</c:v>
                </c:pt>
                <c:pt idx="1">
                  <c:v>26.787537881918869</c:v>
                </c:pt>
                <c:pt idx="2">
                  <c:v>26.787537881918869</c:v>
                </c:pt>
                <c:pt idx="3">
                  <c:v>26.787537881918869</c:v>
                </c:pt>
                <c:pt idx="4">
                  <c:v>26.787537881918869</c:v>
                </c:pt>
                <c:pt idx="5">
                  <c:v>26.787537881918869</c:v>
                </c:pt>
                <c:pt idx="6">
                  <c:v>26.787537881918869</c:v>
                </c:pt>
                <c:pt idx="7">
                  <c:v>26.787537881918869</c:v>
                </c:pt>
                <c:pt idx="8">
                  <c:v>26.787537881918869</c:v>
                </c:pt>
                <c:pt idx="9">
                  <c:v>26.787537881918869</c:v>
                </c:pt>
                <c:pt idx="10">
                  <c:v>26.787537881918869</c:v>
                </c:pt>
                <c:pt idx="11">
                  <c:v>26.787537881918869</c:v>
                </c:pt>
                <c:pt idx="12">
                  <c:v>26.787537881918869</c:v>
                </c:pt>
                <c:pt idx="13">
                  <c:v>26.787537881918869</c:v>
                </c:pt>
                <c:pt idx="14">
                  <c:v>26.787537881918869</c:v>
                </c:pt>
                <c:pt idx="15">
                  <c:v>26.787537881918869</c:v>
                </c:pt>
                <c:pt idx="16">
                  <c:v>26.787537881918869</c:v>
                </c:pt>
                <c:pt idx="17">
                  <c:v>26.787537881918869</c:v>
                </c:pt>
                <c:pt idx="18">
                  <c:v>26.787537881918869</c:v>
                </c:pt>
                <c:pt idx="19">
                  <c:v>26.787537881918869</c:v>
                </c:pt>
                <c:pt idx="20">
                  <c:v>26.787537881918869</c:v>
                </c:pt>
              </c:numCache>
            </c:numRef>
          </c:yVal>
          <c:smooth val="0"/>
          <c:extLst>
            <c:ext xmlns:c16="http://schemas.microsoft.com/office/drawing/2014/chart" uri="{C3380CC4-5D6E-409C-BE32-E72D297353CC}">
              <c16:uniqueId val="{00000001-9AB6-4DD2-A6D5-AA435FDC816E}"/>
            </c:ext>
          </c:extLst>
        </c:ser>
        <c:ser>
          <c:idx val="2"/>
          <c:order val="2"/>
          <c:tx>
            <c:strRef>
              <c:f>'CV Training Rule 2'!$J$21</c:f>
              <c:strCache>
                <c:ptCount val="1"/>
                <c:pt idx="0">
                  <c:v>-2s</c:v>
                </c:pt>
              </c:strCache>
            </c:strRef>
          </c:tx>
          <c:spPr>
            <a:ln w="22225">
              <a:solidFill>
                <a:schemeClr val="tx2">
                  <a:lumMod val="60000"/>
                  <a:lumOff val="40000"/>
                </a:schemeClr>
              </a:solidFill>
              <a:prstDash val="dashDot"/>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2'!$J$22:$J$42</c:f>
              <c:numCache>
                <c:formatCode>0.00</c:formatCode>
                <c:ptCount val="21"/>
                <c:pt idx="0">
                  <c:v>26.863914143501468</c:v>
                </c:pt>
                <c:pt idx="1">
                  <c:v>26.863914143501468</c:v>
                </c:pt>
                <c:pt idx="2">
                  <c:v>26.863914143501468</c:v>
                </c:pt>
                <c:pt idx="3">
                  <c:v>26.863914143501468</c:v>
                </c:pt>
                <c:pt idx="4">
                  <c:v>26.863914143501468</c:v>
                </c:pt>
                <c:pt idx="5">
                  <c:v>26.863914143501468</c:v>
                </c:pt>
                <c:pt idx="6">
                  <c:v>26.863914143501468</c:v>
                </c:pt>
                <c:pt idx="7">
                  <c:v>26.863914143501468</c:v>
                </c:pt>
                <c:pt idx="8">
                  <c:v>26.863914143501468</c:v>
                </c:pt>
                <c:pt idx="9">
                  <c:v>26.863914143501468</c:v>
                </c:pt>
                <c:pt idx="10">
                  <c:v>26.863914143501468</c:v>
                </c:pt>
                <c:pt idx="11">
                  <c:v>26.863914143501468</c:v>
                </c:pt>
                <c:pt idx="12">
                  <c:v>26.863914143501468</c:v>
                </c:pt>
                <c:pt idx="13">
                  <c:v>26.863914143501468</c:v>
                </c:pt>
                <c:pt idx="14">
                  <c:v>26.863914143501468</c:v>
                </c:pt>
                <c:pt idx="15">
                  <c:v>26.863914143501468</c:v>
                </c:pt>
                <c:pt idx="16">
                  <c:v>26.863914143501468</c:v>
                </c:pt>
                <c:pt idx="17">
                  <c:v>26.863914143501468</c:v>
                </c:pt>
                <c:pt idx="18">
                  <c:v>26.863914143501468</c:v>
                </c:pt>
                <c:pt idx="19">
                  <c:v>26.863914143501468</c:v>
                </c:pt>
                <c:pt idx="20">
                  <c:v>26.863914143501468</c:v>
                </c:pt>
              </c:numCache>
            </c:numRef>
          </c:yVal>
          <c:smooth val="0"/>
          <c:extLst>
            <c:ext xmlns:c16="http://schemas.microsoft.com/office/drawing/2014/chart" uri="{C3380CC4-5D6E-409C-BE32-E72D297353CC}">
              <c16:uniqueId val="{00000002-9AB6-4DD2-A6D5-AA435FDC816E}"/>
            </c:ext>
          </c:extLst>
        </c:ser>
        <c:ser>
          <c:idx val="3"/>
          <c:order val="3"/>
          <c:tx>
            <c:strRef>
              <c:f>'CV Training Rule 2'!$K$21</c:f>
              <c:strCache>
                <c:ptCount val="1"/>
                <c:pt idx="0">
                  <c:v></c:v>
                </c:pt>
              </c:strCache>
            </c:strRef>
          </c:tx>
          <c:spPr>
            <a:ln w="22225">
              <a:solidFill>
                <a:srgbClr val="00B050"/>
              </a:solidFill>
              <a:prstDash val="lgDashDotDot"/>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2'!$K$22:$K$42</c:f>
              <c:numCache>
                <c:formatCode>0.00</c:formatCode>
                <c:ptCount val="21"/>
                <c:pt idx="0">
                  <c:v>27.016666666666666</c:v>
                </c:pt>
                <c:pt idx="1">
                  <c:v>27.016666666666666</c:v>
                </c:pt>
                <c:pt idx="2">
                  <c:v>27.016666666666666</c:v>
                </c:pt>
                <c:pt idx="3">
                  <c:v>27.016666666666666</c:v>
                </c:pt>
                <c:pt idx="4">
                  <c:v>27.016666666666666</c:v>
                </c:pt>
                <c:pt idx="5">
                  <c:v>27.016666666666666</c:v>
                </c:pt>
                <c:pt idx="6">
                  <c:v>27.016666666666666</c:v>
                </c:pt>
                <c:pt idx="7">
                  <c:v>27.016666666666666</c:v>
                </c:pt>
                <c:pt idx="8">
                  <c:v>27.016666666666666</c:v>
                </c:pt>
                <c:pt idx="9">
                  <c:v>27.016666666666666</c:v>
                </c:pt>
                <c:pt idx="10">
                  <c:v>27.016666666666666</c:v>
                </c:pt>
                <c:pt idx="11">
                  <c:v>27.016666666666666</c:v>
                </c:pt>
                <c:pt idx="12">
                  <c:v>27.016666666666666</c:v>
                </c:pt>
                <c:pt idx="13">
                  <c:v>27.016666666666666</c:v>
                </c:pt>
                <c:pt idx="14">
                  <c:v>27.016666666666666</c:v>
                </c:pt>
                <c:pt idx="15">
                  <c:v>27.016666666666666</c:v>
                </c:pt>
                <c:pt idx="16">
                  <c:v>27.016666666666666</c:v>
                </c:pt>
                <c:pt idx="17">
                  <c:v>27.016666666666666</c:v>
                </c:pt>
                <c:pt idx="18">
                  <c:v>27.016666666666666</c:v>
                </c:pt>
                <c:pt idx="19">
                  <c:v>27.016666666666666</c:v>
                </c:pt>
                <c:pt idx="20">
                  <c:v>27.016666666666666</c:v>
                </c:pt>
              </c:numCache>
            </c:numRef>
          </c:yVal>
          <c:smooth val="0"/>
          <c:extLst>
            <c:ext xmlns:c16="http://schemas.microsoft.com/office/drawing/2014/chart" uri="{C3380CC4-5D6E-409C-BE32-E72D297353CC}">
              <c16:uniqueId val="{00000003-9AB6-4DD2-A6D5-AA435FDC816E}"/>
            </c:ext>
          </c:extLst>
        </c:ser>
        <c:ser>
          <c:idx val="4"/>
          <c:order val="4"/>
          <c:tx>
            <c:strRef>
              <c:f>'CV Training Rule 2'!$L$21</c:f>
              <c:strCache>
                <c:ptCount val="1"/>
                <c:pt idx="0">
                  <c:v>+2s</c:v>
                </c:pt>
              </c:strCache>
            </c:strRef>
          </c:tx>
          <c:spPr>
            <a:ln w="22225">
              <a:solidFill>
                <a:schemeClr val="tx2">
                  <a:lumMod val="60000"/>
                  <a:lumOff val="40000"/>
                </a:schemeClr>
              </a:solidFill>
              <a:prstDash val="dashDot"/>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2'!$L$22:$L$42</c:f>
              <c:numCache>
                <c:formatCode>0.00</c:formatCode>
                <c:ptCount val="21"/>
                <c:pt idx="0">
                  <c:v>27.169419189831864</c:v>
                </c:pt>
                <c:pt idx="1">
                  <c:v>27.169419189831864</c:v>
                </c:pt>
                <c:pt idx="2">
                  <c:v>27.169419189831864</c:v>
                </c:pt>
                <c:pt idx="3">
                  <c:v>27.169419189831864</c:v>
                </c:pt>
                <c:pt idx="4">
                  <c:v>27.169419189831864</c:v>
                </c:pt>
                <c:pt idx="5">
                  <c:v>27.169419189831864</c:v>
                </c:pt>
                <c:pt idx="6">
                  <c:v>27.169419189831864</c:v>
                </c:pt>
                <c:pt idx="7">
                  <c:v>27.169419189831864</c:v>
                </c:pt>
                <c:pt idx="8">
                  <c:v>27.169419189831864</c:v>
                </c:pt>
                <c:pt idx="9">
                  <c:v>27.169419189831864</c:v>
                </c:pt>
                <c:pt idx="10">
                  <c:v>27.169419189831864</c:v>
                </c:pt>
                <c:pt idx="11">
                  <c:v>27.169419189831864</c:v>
                </c:pt>
                <c:pt idx="12">
                  <c:v>27.169419189831864</c:v>
                </c:pt>
                <c:pt idx="13">
                  <c:v>27.169419189831864</c:v>
                </c:pt>
                <c:pt idx="14">
                  <c:v>27.169419189831864</c:v>
                </c:pt>
                <c:pt idx="15">
                  <c:v>27.169419189831864</c:v>
                </c:pt>
                <c:pt idx="16">
                  <c:v>27.169419189831864</c:v>
                </c:pt>
                <c:pt idx="17">
                  <c:v>27.169419189831864</c:v>
                </c:pt>
                <c:pt idx="18">
                  <c:v>27.169419189831864</c:v>
                </c:pt>
                <c:pt idx="19">
                  <c:v>27.169419189831864</c:v>
                </c:pt>
                <c:pt idx="20">
                  <c:v>27.169419189831864</c:v>
                </c:pt>
              </c:numCache>
            </c:numRef>
          </c:yVal>
          <c:smooth val="0"/>
          <c:extLst>
            <c:ext xmlns:c16="http://schemas.microsoft.com/office/drawing/2014/chart" uri="{C3380CC4-5D6E-409C-BE32-E72D297353CC}">
              <c16:uniqueId val="{00000004-9AB6-4DD2-A6D5-AA435FDC816E}"/>
            </c:ext>
          </c:extLst>
        </c:ser>
        <c:ser>
          <c:idx val="5"/>
          <c:order val="5"/>
          <c:tx>
            <c:strRef>
              <c:f>'CV Training Rule 2'!$M$21</c:f>
              <c:strCache>
                <c:ptCount val="1"/>
                <c:pt idx="0">
                  <c:v>+3s</c:v>
                </c:pt>
              </c:strCache>
            </c:strRef>
          </c:tx>
          <c:spPr>
            <a:ln w="22225">
              <a:solidFill>
                <a:srgbClr val="FF0000"/>
              </a:solidFill>
              <a:prstDash val="solid"/>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2'!$M$22:$M$42</c:f>
              <c:numCache>
                <c:formatCode>0.00</c:formatCode>
                <c:ptCount val="21"/>
                <c:pt idx="0">
                  <c:v>27.245795451414462</c:v>
                </c:pt>
                <c:pt idx="1">
                  <c:v>27.245795451414462</c:v>
                </c:pt>
                <c:pt idx="2">
                  <c:v>27.245795451414462</c:v>
                </c:pt>
                <c:pt idx="3">
                  <c:v>27.245795451414462</c:v>
                </c:pt>
                <c:pt idx="4">
                  <c:v>27.245795451414462</c:v>
                </c:pt>
                <c:pt idx="5">
                  <c:v>27.245795451414462</c:v>
                </c:pt>
                <c:pt idx="6">
                  <c:v>27.245795451414462</c:v>
                </c:pt>
                <c:pt idx="7">
                  <c:v>27.245795451414462</c:v>
                </c:pt>
                <c:pt idx="8">
                  <c:v>27.245795451414462</c:v>
                </c:pt>
                <c:pt idx="9">
                  <c:v>27.245795451414462</c:v>
                </c:pt>
                <c:pt idx="10">
                  <c:v>27.245795451414462</c:v>
                </c:pt>
                <c:pt idx="11">
                  <c:v>27.245795451414462</c:v>
                </c:pt>
                <c:pt idx="12">
                  <c:v>27.245795451414462</c:v>
                </c:pt>
                <c:pt idx="13">
                  <c:v>27.245795451414462</c:v>
                </c:pt>
                <c:pt idx="14">
                  <c:v>27.245795451414462</c:v>
                </c:pt>
                <c:pt idx="15">
                  <c:v>27.245795451414462</c:v>
                </c:pt>
                <c:pt idx="16">
                  <c:v>27.245795451414462</c:v>
                </c:pt>
                <c:pt idx="17">
                  <c:v>27.245795451414462</c:v>
                </c:pt>
                <c:pt idx="18">
                  <c:v>27.245795451414462</c:v>
                </c:pt>
                <c:pt idx="19">
                  <c:v>27.245795451414462</c:v>
                </c:pt>
                <c:pt idx="20">
                  <c:v>27.245795451414462</c:v>
                </c:pt>
              </c:numCache>
            </c:numRef>
          </c:yVal>
          <c:smooth val="0"/>
          <c:extLst>
            <c:ext xmlns:c16="http://schemas.microsoft.com/office/drawing/2014/chart" uri="{C3380CC4-5D6E-409C-BE32-E72D297353CC}">
              <c16:uniqueId val="{00000005-9AB6-4DD2-A6D5-AA435FDC816E}"/>
            </c:ext>
          </c:extLst>
        </c:ser>
        <c:dLbls>
          <c:showLegendKey val="0"/>
          <c:showVal val="0"/>
          <c:showCatName val="0"/>
          <c:showSerName val="0"/>
          <c:showPercent val="0"/>
          <c:showBubbleSize val="0"/>
        </c:dLbls>
        <c:axId val="719894208"/>
        <c:axId val="719897736"/>
      </c:scatterChart>
      <c:valAx>
        <c:axId val="719894208"/>
        <c:scaling>
          <c:orientation val="minMax"/>
          <c:max val="21"/>
          <c:min val="1"/>
        </c:scaling>
        <c:delete val="0"/>
        <c:axPos val="b"/>
        <c:numFmt formatCode="0" sourceLinked="1"/>
        <c:majorTickMark val="out"/>
        <c:minorTickMark val="none"/>
        <c:tickLblPos val="nextTo"/>
        <c:crossAx val="719897736"/>
        <c:crosses val="autoZero"/>
        <c:crossBetween val="midCat"/>
      </c:valAx>
      <c:valAx>
        <c:axId val="719897736"/>
        <c:scaling>
          <c:orientation val="minMax"/>
        </c:scaling>
        <c:delete val="0"/>
        <c:axPos val="l"/>
        <c:majorGridlines/>
        <c:numFmt formatCode="0.00" sourceLinked="1"/>
        <c:majorTickMark val="out"/>
        <c:minorTickMark val="none"/>
        <c:tickLblPos val="nextTo"/>
        <c:crossAx val="719894208"/>
        <c:crosses val="autoZero"/>
        <c:crossBetween val="midCat"/>
      </c:valAx>
    </c:plotArea>
    <c:plotVisOnly val="1"/>
    <c:dispBlanksAs val="gap"/>
    <c:showDLblsOverMax val="0"/>
  </c:chart>
  <c:printSettings>
    <c:headerFooter/>
    <c:pageMargins b="0.74803149606299413" l="0.70866141732283694" r="0.70866141732283694" t="0.74803149606299413" header="0.31496062992126173" footer="0.31496062992126173"/>
    <c:pageSetup orientation="landscape"/>
  </c:printSettings>
  <c:userShapes r:id="rId1"/>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08849645464696"/>
          <c:y val="0.17632961957914792"/>
          <c:w val="0.83562551468258339"/>
          <c:h val="0.64932992998192229"/>
        </c:manualLayout>
      </c:layout>
      <c:scatterChart>
        <c:scatterStyle val="lineMarker"/>
        <c:varyColors val="0"/>
        <c:ser>
          <c:idx val="0"/>
          <c:order val="0"/>
          <c:tx>
            <c:strRef>
              <c:f>'CV Training Rule 2'!$BQ$10</c:f>
              <c:strCache>
                <c:ptCount val="1"/>
                <c:pt idx="0">
                  <c:v>Range</c:v>
                </c:pt>
              </c:strCache>
            </c:strRef>
          </c:tx>
          <c:spPr>
            <a:ln w="12700">
              <a:solidFill>
                <a:sysClr val="windowText" lastClr="000000"/>
              </a:solidFill>
            </a:ln>
          </c:spPr>
          <c:marker>
            <c:symbol val="x"/>
            <c:size val="6"/>
            <c:spPr>
              <a:ln w="15875">
                <a:solidFill>
                  <a:sysClr val="windowText" lastClr="000000"/>
                </a:solidFill>
              </a:ln>
            </c:spPr>
          </c:marker>
          <c:xVal>
            <c:numRef>
              <c:f>'CV Training Rule 2'!$CE$11:$CE$17</c:f>
              <c:numCache>
                <c:formatCode>0</c:formatCode>
                <c:ptCount val="7"/>
                <c:pt idx="0">
                  <c:v>1</c:v>
                </c:pt>
                <c:pt idx="1">
                  <c:v>2</c:v>
                </c:pt>
                <c:pt idx="2">
                  <c:v>3</c:v>
                </c:pt>
                <c:pt idx="3">
                  <c:v>4</c:v>
                </c:pt>
                <c:pt idx="4">
                  <c:v>5</c:v>
                </c:pt>
                <c:pt idx="5">
                  <c:v>6</c:v>
                </c:pt>
                <c:pt idx="6">
                  <c:v>7</c:v>
                </c:pt>
              </c:numCache>
            </c:numRef>
          </c:xVal>
          <c:yVal>
            <c:numRef>
              <c:f>'CV Training Rule 2'!$CK$11:$CK$17</c:f>
              <c:numCache>
                <c:formatCode>0.00</c:formatCode>
                <c:ptCount val="7"/>
                <c:pt idx="0">
                  <c:v>0.11000000000000298</c:v>
                </c:pt>
                <c:pt idx="1">
                  <c:v>0</c:v>
                </c:pt>
                <c:pt idx="2">
                  <c:v>2.0000000000003126E-2</c:v>
                </c:pt>
                <c:pt idx="3">
                  <c:v>8.0000000000001847E-2</c:v>
                </c:pt>
                <c:pt idx="4">
                  <c:v>3.0000000000001137E-2</c:v>
                </c:pt>
                <c:pt idx="5">
                  <c:v>5.0000000000000711E-2</c:v>
                </c:pt>
                <c:pt idx="6">
                  <c:v>8.9999999999999858E-2</c:v>
                </c:pt>
              </c:numCache>
            </c:numRef>
          </c:yVal>
          <c:smooth val="0"/>
          <c:extLst>
            <c:ext xmlns:c16="http://schemas.microsoft.com/office/drawing/2014/chart" uri="{C3380CC4-5D6E-409C-BE32-E72D297353CC}">
              <c16:uniqueId val="{00000000-4BA7-4E30-8344-1DE5E4C937FE}"/>
            </c:ext>
          </c:extLst>
        </c:ser>
        <c:ser>
          <c:idx val="1"/>
          <c:order val="1"/>
          <c:tx>
            <c:strRef>
              <c:f>'CV Training Rule 2'!$N$21</c:f>
              <c:strCache>
                <c:ptCount val="1"/>
                <c:pt idx="0">
                  <c:v>Range Limit</c:v>
                </c:pt>
              </c:strCache>
            </c:strRef>
          </c:tx>
          <c:spPr>
            <a:ln w="22225">
              <a:solidFill>
                <a:srgbClr val="FF0000"/>
              </a:solidFill>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2'!$N$22:$N$42</c:f>
              <c:numCache>
                <c:formatCode>0.00</c:formatCode>
                <c:ptCount val="21"/>
                <c:pt idx="0">
                  <c:v>0.12</c:v>
                </c:pt>
                <c:pt idx="1">
                  <c:v>0.12</c:v>
                </c:pt>
                <c:pt idx="2">
                  <c:v>0.12</c:v>
                </c:pt>
                <c:pt idx="3">
                  <c:v>0.12</c:v>
                </c:pt>
                <c:pt idx="4">
                  <c:v>0.12</c:v>
                </c:pt>
                <c:pt idx="5">
                  <c:v>0.12</c:v>
                </c:pt>
                <c:pt idx="6">
                  <c:v>0.12</c:v>
                </c:pt>
                <c:pt idx="7">
                  <c:v>0.12</c:v>
                </c:pt>
                <c:pt idx="8">
                  <c:v>0.12</c:v>
                </c:pt>
                <c:pt idx="9">
                  <c:v>0.12</c:v>
                </c:pt>
                <c:pt idx="10">
                  <c:v>0.12</c:v>
                </c:pt>
                <c:pt idx="11">
                  <c:v>0.12</c:v>
                </c:pt>
                <c:pt idx="12">
                  <c:v>0.12</c:v>
                </c:pt>
                <c:pt idx="13">
                  <c:v>0.12</c:v>
                </c:pt>
                <c:pt idx="14">
                  <c:v>0.12</c:v>
                </c:pt>
                <c:pt idx="15">
                  <c:v>0.12</c:v>
                </c:pt>
                <c:pt idx="16">
                  <c:v>0.12</c:v>
                </c:pt>
                <c:pt idx="17">
                  <c:v>0.12</c:v>
                </c:pt>
                <c:pt idx="18">
                  <c:v>0.12</c:v>
                </c:pt>
                <c:pt idx="19">
                  <c:v>0.12</c:v>
                </c:pt>
                <c:pt idx="20">
                  <c:v>0.12</c:v>
                </c:pt>
              </c:numCache>
            </c:numRef>
          </c:yVal>
          <c:smooth val="0"/>
          <c:extLst>
            <c:ext xmlns:c16="http://schemas.microsoft.com/office/drawing/2014/chart" uri="{C3380CC4-5D6E-409C-BE32-E72D297353CC}">
              <c16:uniqueId val="{00000001-4BA7-4E30-8344-1DE5E4C937FE}"/>
            </c:ext>
          </c:extLst>
        </c:ser>
        <c:dLbls>
          <c:showLegendKey val="0"/>
          <c:showVal val="0"/>
          <c:showCatName val="0"/>
          <c:showSerName val="0"/>
          <c:showPercent val="0"/>
          <c:showBubbleSize val="0"/>
        </c:dLbls>
        <c:axId val="719900872"/>
        <c:axId val="719896168"/>
      </c:scatterChart>
      <c:valAx>
        <c:axId val="719900872"/>
        <c:scaling>
          <c:orientation val="minMax"/>
          <c:max val="21"/>
          <c:min val="1"/>
        </c:scaling>
        <c:delete val="0"/>
        <c:axPos val="b"/>
        <c:numFmt formatCode="0" sourceLinked="1"/>
        <c:majorTickMark val="out"/>
        <c:minorTickMark val="none"/>
        <c:tickLblPos val="nextTo"/>
        <c:crossAx val="719896168"/>
        <c:crosses val="autoZero"/>
        <c:crossBetween val="midCat"/>
      </c:valAx>
      <c:valAx>
        <c:axId val="719896168"/>
        <c:scaling>
          <c:orientation val="minMax"/>
        </c:scaling>
        <c:delete val="0"/>
        <c:axPos val="l"/>
        <c:majorGridlines/>
        <c:numFmt formatCode="0.000" sourceLinked="0"/>
        <c:majorTickMark val="out"/>
        <c:minorTickMark val="none"/>
        <c:tickLblPos val="nextTo"/>
        <c:crossAx val="719900872"/>
        <c:crosses val="autoZero"/>
        <c:crossBetween val="midCat"/>
      </c:valAx>
    </c:plotArea>
    <c:plotVisOnly val="1"/>
    <c:dispBlanksAs val="gap"/>
    <c:showDLblsOverMax val="0"/>
  </c:chart>
  <c:printSettings>
    <c:headerFooter/>
    <c:pageMargins b="0.75000000000000233" l="0.70000000000000062" r="0.70000000000000062" t="0.75000000000000233" header="0.30000000000000032" footer="0.30000000000000032"/>
    <c:pageSetup orientation="portrait"/>
  </c:printSettings>
  <c:userShapes r:id="rId1"/>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16885389326336"/>
          <c:y val="0.12367723583827325"/>
          <c:w val="0.81564283305597363"/>
          <c:h val="0.75108377116203751"/>
        </c:manualLayout>
      </c:layout>
      <c:scatterChart>
        <c:scatterStyle val="lineMarker"/>
        <c:varyColors val="0"/>
        <c:ser>
          <c:idx val="0"/>
          <c:order val="0"/>
          <c:tx>
            <c:strRef>
              <c:f>'CV Training Rule 2'!$BP$10</c:f>
              <c:strCache>
                <c:ptCount val="1"/>
                <c:pt idx="0">
                  <c:v>Average</c:v>
                </c:pt>
              </c:strCache>
            </c:strRef>
          </c:tx>
          <c:spPr>
            <a:ln w="0">
              <a:solidFill>
                <a:sysClr val="windowText" lastClr="000000"/>
              </a:solidFill>
            </a:ln>
          </c:spPr>
          <c:marker>
            <c:symbol val="x"/>
            <c:size val="6"/>
            <c:spPr>
              <a:noFill/>
              <a:ln w="15875">
                <a:solidFill>
                  <a:schemeClr val="tx1"/>
                </a:solidFill>
              </a:ln>
            </c:spPr>
          </c:marker>
          <c:xVal>
            <c:numRef>
              <c:f>'CV Training Rule 2'!$BK$11:$BK$17</c:f>
              <c:numCache>
                <c:formatCode>0</c:formatCode>
                <c:ptCount val="7"/>
                <c:pt idx="0">
                  <c:v>1</c:v>
                </c:pt>
                <c:pt idx="1">
                  <c:v>2</c:v>
                </c:pt>
                <c:pt idx="2">
                  <c:v>3</c:v>
                </c:pt>
                <c:pt idx="3">
                  <c:v>4</c:v>
                </c:pt>
                <c:pt idx="4">
                  <c:v>5</c:v>
                </c:pt>
                <c:pt idx="5">
                  <c:v>6</c:v>
                </c:pt>
                <c:pt idx="6">
                  <c:v>7</c:v>
                </c:pt>
              </c:numCache>
            </c:numRef>
          </c:xVal>
          <c:yVal>
            <c:numRef>
              <c:f>'CV Training Rule 2'!$BP$11:$BP$17</c:f>
              <c:numCache>
                <c:formatCode>0.00</c:formatCode>
                <c:ptCount val="7"/>
                <c:pt idx="0">
                  <c:v>26.994999999999997</c:v>
                </c:pt>
                <c:pt idx="1">
                  <c:v>27.1</c:v>
                </c:pt>
                <c:pt idx="2">
                  <c:v>27.065000000000001</c:v>
                </c:pt>
                <c:pt idx="3">
                  <c:v>27.08</c:v>
                </c:pt>
                <c:pt idx="4">
                  <c:v>27.225000000000001</c:v>
                </c:pt>
                <c:pt idx="5">
                  <c:v>27.2</c:v>
                </c:pt>
                <c:pt idx="6">
                  <c:v>27.045000000000002</c:v>
                </c:pt>
              </c:numCache>
            </c:numRef>
          </c:yVal>
          <c:smooth val="0"/>
          <c:extLst>
            <c:ext xmlns:c16="http://schemas.microsoft.com/office/drawing/2014/chart" uri="{C3380CC4-5D6E-409C-BE32-E72D297353CC}">
              <c16:uniqueId val="{00000000-6929-40A5-9BB6-A3AB98ED16D5}"/>
            </c:ext>
          </c:extLst>
        </c:ser>
        <c:ser>
          <c:idx val="1"/>
          <c:order val="1"/>
          <c:tx>
            <c:strRef>
              <c:f>'CV Training Rule 2'!$I$21</c:f>
              <c:strCache>
                <c:ptCount val="1"/>
                <c:pt idx="0">
                  <c:v>-3s</c:v>
                </c:pt>
              </c:strCache>
            </c:strRef>
          </c:tx>
          <c:spPr>
            <a:ln w="22225">
              <a:solidFill>
                <a:srgbClr val="FF0000"/>
              </a:solidFill>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2'!$I$22:$I$42</c:f>
              <c:numCache>
                <c:formatCode>0.00</c:formatCode>
                <c:ptCount val="21"/>
                <c:pt idx="0">
                  <c:v>26.787537881918869</c:v>
                </c:pt>
                <c:pt idx="1">
                  <c:v>26.787537881918869</c:v>
                </c:pt>
                <c:pt idx="2">
                  <c:v>26.787537881918869</c:v>
                </c:pt>
                <c:pt idx="3">
                  <c:v>26.787537881918869</c:v>
                </c:pt>
                <c:pt idx="4">
                  <c:v>26.787537881918869</c:v>
                </c:pt>
                <c:pt idx="5">
                  <c:v>26.787537881918869</c:v>
                </c:pt>
                <c:pt idx="6">
                  <c:v>26.787537881918869</c:v>
                </c:pt>
                <c:pt idx="7">
                  <c:v>26.787537881918869</c:v>
                </c:pt>
                <c:pt idx="8">
                  <c:v>26.787537881918869</c:v>
                </c:pt>
                <c:pt idx="9">
                  <c:v>26.787537881918869</c:v>
                </c:pt>
                <c:pt idx="10">
                  <c:v>26.787537881918869</c:v>
                </c:pt>
                <c:pt idx="11">
                  <c:v>26.787537881918869</c:v>
                </c:pt>
                <c:pt idx="12">
                  <c:v>26.787537881918869</c:v>
                </c:pt>
                <c:pt idx="13">
                  <c:v>26.787537881918869</c:v>
                </c:pt>
                <c:pt idx="14">
                  <c:v>26.787537881918869</c:v>
                </c:pt>
                <c:pt idx="15">
                  <c:v>26.787537881918869</c:v>
                </c:pt>
                <c:pt idx="16">
                  <c:v>26.787537881918869</c:v>
                </c:pt>
                <c:pt idx="17">
                  <c:v>26.787537881918869</c:v>
                </c:pt>
                <c:pt idx="18">
                  <c:v>26.787537881918869</c:v>
                </c:pt>
                <c:pt idx="19">
                  <c:v>26.787537881918869</c:v>
                </c:pt>
                <c:pt idx="20">
                  <c:v>26.787537881918869</c:v>
                </c:pt>
              </c:numCache>
            </c:numRef>
          </c:yVal>
          <c:smooth val="0"/>
          <c:extLst>
            <c:ext xmlns:c16="http://schemas.microsoft.com/office/drawing/2014/chart" uri="{C3380CC4-5D6E-409C-BE32-E72D297353CC}">
              <c16:uniqueId val="{00000001-6929-40A5-9BB6-A3AB98ED16D5}"/>
            </c:ext>
          </c:extLst>
        </c:ser>
        <c:ser>
          <c:idx val="2"/>
          <c:order val="2"/>
          <c:tx>
            <c:strRef>
              <c:f>'CV Training Rule 2'!$J$21</c:f>
              <c:strCache>
                <c:ptCount val="1"/>
                <c:pt idx="0">
                  <c:v>-2s</c:v>
                </c:pt>
              </c:strCache>
            </c:strRef>
          </c:tx>
          <c:spPr>
            <a:ln w="22225">
              <a:solidFill>
                <a:schemeClr val="tx2">
                  <a:lumMod val="60000"/>
                  <a:lumOff val="40000"/>
                </a:schemeClr>
              </a:solidFill>
              <a:prstDash val="dashDot"/>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2'!$J$22:$J$42</c:f>
              <c:numCache>
                <c:formatCode>0.00</c:formatCode>
                <c:ptCount val="21"/>
                <c:pt idx="0">
                  <c:v>26.863914143501468</c:v>
                </c:pt>
                <c:pt idx="1">
                  <c:v>26.863914143501468</c:v>
                </c:pt>
                <c:pt idx="2">
                  <c:v>26.863914143501468</c:v>
                </c:pt>
                <c:pt idx="3">
                  <c:v>26.863914143501468</c:v>
                </c:pt>
                <c:pt idx="4">
                  <c:v>26.863914143501468</c:v>
                </c:pt>
                <c:pt idx="5">
                  <c:v>26.863914143501468</c:v>
                </c:pt>
                <c:pt idx="6">
                  <c:v>26.863914143501468</c:v>
                </c:pt>
                <c:pt idx="7">
                  <c:v>26.863914143501468</c:v>
                </c:pt>
                <c:pt idx="8">
                  <c:v>26.863914143501468</c:v>
                </c:pt>
                <c:pt idx="9">
                  <c:v>26.863914143501468</c:v>
                </c:pt>
                <c:pt idx="10">
                  <c:v>26.863914143501468</c:v>
                </c:pt>
                <c:pt idx="11">
                  <c:v>26.863914143501468</c:v>
                </c:pt>
                <c:pt idx="12">
                  <c:v>26.863914143501468</c:v>
                </c:pt>
                <c:pt idx="13">
                  <c:v>26.863914143501468</c:v>
                </c:pt>
                <c:pt idx="14">
                  <c:v>26.863914143501468</c:v>
                </c:pt>
                <c:pt idx="15">
                  <c:v>26.863914143501468</c:v>
                </c:pt>
                <c:pt idx="16">
                  <c:v>26.863914143501468</c:v>
                </c:pt>
                <c:pt idx="17">
                  <c:v>26.863914143501468</c:v>
                </c:pt>
                <c:pt idx="18">
                  <c:v>26.863914143501468</c:v>
                </c:pt>
                <c:pt idx="19">
                  <c:v>26.863914143501468</c:v>
                </c:pt>
                <c:pt idx="20">
                  <c:v>26.863914143501468</c:v>
                </c:pt>
              </c:numCache>
            </c:numRef>
          </c:yVal>
          <c:smooth val="0"/>
          <c:extLst>
            <c:ext xmlns:c16="http://schemas.microsoft.com/office/drawing/2014/chart" uri="{C3380CC4-5D6E-409C-BE32-E72D297353CC}">
              <c16:uniqueId val="{00000002-6929-40A5-9BB6-A3AB98ED16D5}"/>
            </c:ext>
          </c:extLst>
        </c:ser>
        <c:ser>
          <c:idx val="3"/>
          <c:order val="3"/>
          <c:tx>
            <c:strRef>
              <c:f>'CV Training Rule 2'!$K$21</c:f>
              <c:strCache>
                <c:ptCount val="1"/>
                <c:pt idx="0">
                  <c:v></c:v>
                </c:pt>
              </c:strCache>
            </c:strRef>
          </c:tx>
          <c:spPr>
            <a:ln w="22225">
              <a:solidFill>
                <a:srgbClr val="00B050"/>
              </a:solidFill>
              <a:prstDash val="lgDashDotDot"/>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2'!$K$22:$K$42</c:f>
              <c:numCache>
                <c:formatCode>0.00</c:formatCode>
                <c:ptCount val="21"/>
                <c:pt idx="0">
                  <c:v>27.016666666666666</c:v>
                </c:pt>
                <c:pt idx="1">
                  <c:v>27.016666666666666</c:v>
                </c:pt>
                <c:pt idx="2">
                  <c:v>27.016666666666666</c:v>
                </c:pt>
                <c:pt idx="3">
                  <c:v>27.016666666666666</c:v>
                </c:pt>
                <c:pt idx="4">
                  <c:v>27.016666666666666</c:v>
                </c:pt>
                <c:pt idx="5">
                  <c:v>27.016666666666666</c:v>
                </c:pt>
                <c:pt idx="6">
                  <c:v>27.016666666666666</c:v>
                </c:pt>
                <c:pt idx="7">
                  <c:v>27.016666666666666</c:v>
                </c:pt>
                <c:pt idx="8">
                  <c:v>27.016666666666666</c:v>
                </c:pt>
                <c:pt idx="9">
                  <c:v>27.016666666666666</c:v>
                </c:pt>
                <c:pt idx="10">
                  <c:v>27.016666666666666</c:v>
                </c:pt>
                <c:pt idx="11">
                  <c:v>27.016666666666666</c:v>
                </c:pt>
                <c:pt idx="12">
                  <c:v>27.016666666666666</c:v>
                </c:pt>
                <c:pt idx="13">
                  <c:v>27.016666666666666</c:v>
                </c:pt>
                <c:pt idx="14">
                  <c:v>27.016666666666666</c:v>
                </c:pt>
                <c:pt idx="15">
                  <c:v>27.016666666666666</c:v>
                </c:pt>
                <c:pt idx="16">
                  <c:v>27.016666666666666</c:v>
                </c:pt>
                <c:pt idx="17">
                  <c:v>27.016666666666666</c:v>
                </c:pt>
                <c:pt idx="18">
                  <c:v>27.016666666666666</c:v>
                </c:pt>
                <c:pt idx="19">
                  <c:v>27.016666666666666</c:v>
                </c:pt>
                <c:pt idx="20">
                  <c:v>27.016666666666666</c:v>
                </c:pt>
              </c:numCache>
            </c:numRef>
          </c:yVal>
          <c:smooth val="0"/>
          <c:extLst>
            <c:ext xmlns:c16="http://schemas.microsoft.com/office/drawing/2014/chart" uri="{C3380CC4-5D6E-409C-BE32-E72D297353CC}">
              <c16:uniqueId val="{00000003-6929-40A5-9BB6-A3AB98ED16D5}"/>
            </c:ext>
          </c:extLst>
        </c:ser>
        <c:ser>
          <c:idx val="4"/>
          <c:order val="4"/>
          <c:tx>
            <c:strRef>
              <c:f>'CV Training Rule 2'!$L$21</c:f>
              <c:strCache>
                <c:ptCount val="1"/>
                <c:pt idx="0">
                  <c:v>+2s</c:v>
                </c:pt>
              </c:strCache>
            </c:strRef>
          </c:tx>
          <c:spPr>
            <a:ln w="22225">
              <a:solidFill>
                <a:schemeClr val="tx2">
                  <a:lumMod val="60000"/>
                  <a:lumOff val="40000"/>
                </a:schemeClr>
              </a:solidFill>
              <a:prstDash val="dashDot"/>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2'!$L$22:$L$42</c:f>
              <c:numCache>
                <c:formatCode>0.00</c:formatCode>
                <c:ptCount val="21"/>
                <c:pt idx="0">
                  <c:v>27.169419189831864</c:v>
                </c:pt>
                <c:pt idx="1">
                  <c:v>27.169419189831864</c:v>
                </c:pt>
                <c:pt idx="2">
                  <c:v>27.169419189831864</c:v>
                </c:pt>
                <c:pt idx="3">
                  <c:v>27.169419189831864</c:v>
                </c:pt>
                <c:pt idx="4">
                  <c:v>27.169419189831864</c:v>
                </c:pt>
                <c:pt idx="5">
                  <c:v>27.169419189831864</c:v>
                </c:pt>
                <c:pt idx="6">
                  <c:v>27.169419189831864</c:v>
                </c:pt>
                <c:pt idx="7">
                  <c:v>27.169419189831864</c:v>
                </c:pt>
                <c:pt idx="8">
                  <c:v>27.169419189831864</c:v>
                </c:pt>
                <c:pt idx="9">
                  <c:v>27.169419189831864</c:v>
                </c:pt>
                <c:pt idx="10">
                  <c:v>27.169419189831864</c:v>
                </c:pt>
                <c:pt idx="11">
                  <c:v>27.169419189831864</c:v>
                </c:pt>
                <c:pt idx="12">
                  <c:v>27.169419189831864</c:v>
                </c:pt>
                <c:pt idx="13">
                  <c:v>27.169419189831864</c:v>
                </c:pt>
                <c:pt idx="14">
                  <c:v>27.169419189831864</c:v>
                </c:pt>
                <c:pt idx="15">
                  <c:v>27.169419189831864</c:v>
                </c:pt>
                <c:pt idx="16">
                  <c:v>27.169419189831864</c:v>
                </c:pt>
                <c:pt idx="17">
                  <c:v>27.169419189831864</c:v>
                </c:pt>
                <c:pt idx="18">
                  <c:v>27.169419189831864</c:v>
                </c:pt>
                <c:pt idx="19">
                  <c:v>27.169419189831864</c:v>
                </c:pt>
                <c:pt idx="20">
                  <c:v>27.169419189831864</c:v>
                </c:pt>
              </c:numCache>
            </c:numRef>
          </c:yVal>
          <c:smooth val="0"/>
          <c:extLst>
            <c:ext xmlns:c16="http://schemas.microsoft.com/office/drawing/2014/chart" uri="{C3380CC4-5D6E-409C-BE32-E72D297353CC}">
              <c16:uniqueId val="{00000004-6929-40A5-9BB6-A3AB98ED16D5}"/>
            </c:ext>
          </c:extLst>
        </c:ser>
        <c:ser>
          <c:idx val="5"/>
          <c:order val="5"/>
          <c:tx>
            <c:strRef>
              <c:f>'CV Training Rule 2'!$M$21</c:f>
              <c:strCache>
                <c:ptCount val="1"/>
                <c:pt idx="0">
                  <c:v>+3s</c:v>
                </c:pt>
              </c:strCache>
            </c:strRef>
          </c:tx>
          <c:spPr>
            <a:ln w="22225">
              <a:solidFill>
                <a:srgbClr val="FF0000"/>
              </a:solidFill>
              <a:prstDash val="solid"/>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2'!$M$22:$M$42</c:f>
              <c:numCache>
                <c:formatCode>0.00</c:formatCode>
                <c:ptCount val="21"/>
                <c:pt idx="0">
                  <c:v>27.245795451414462</c:v>
                </c:pt>
                <c:pt idx="1">
                  <c:v>27.245795451414462</c:v>
                </c:pt>
                <c:pt idx="2">
                  <c:v>27.245795451414462</c:v>
                </c:pt>
                <c:pt idx="3">
                  <c:v>27.245795451414462</c:v>
                </c:pt>
                <c:pt idx="4">
                  <c:v>27.245795451414462</c:v>
                </c:pt>
                <c:pt idx="5">
                  <c:v>27.245795451414462</c:v>
                </c:pt>
                <c:pt idx="6">
                  <c:v>27.245795451414462</c:v>
                </c:pt>
                <c:pt idx="7">
                  <c:v>27.245795451414462</c:v>
                </c:pt>
                <c:pt idx="8">
                  <c:v>27.245795451414462</c:v>
                </c:pt>
                <c:pt idx="9">
                  <c:v>27.245795451414462</c:v>
                </c:pt>
                <c:pt idx="10">
                  <c:v>27.245795451414462</c:v>
                </c:pt>
                <c:pt idx="11">
                  <c:v>27.245795451414462</c:v>
                </c:pt>
                <c:pt idx="12">
                  <c:v>27.245795451414462</c:v>
                </c:pt>
                <c:pt idx="13">
                  <c:v>27.245795451414462</c:v>
                </c:pt>
                <c:pt idx="14">
                  <c:v>27.245795451414462</c:v>
                </c:pt>
                <c:pt idx="15">
                  <c:v>27.245795451414462</c:v>
                </c:pt>
                <c:pt idx="16">
                  <c:v>27.245795451414462</c:v>
                </c:pt>
                <c:pt idx="17">
                  <c:v>27.245795451414462</c:v>
                </c:pt>
                <c:pt idx="18">
                  <c:v>27.245795451414462</c:v>
                </c:pt>
                <c:pt idx="19">
                  <c:v>27.245795451414462</c:v>
                </c:pt>
                <c:pt idx="20">
                  <c:v>27.245795451414462</c:v>
                </c:pt>
              </c:numCache>
            </c:numRef>
          </c:yVal>
          <c:smooth val="0"/>
          <c:extLst>
            <c:ext xmlns:c16="http://schemas.microsoft.com/office/drawing/2014/chart" uri="{C3380CC4-5D6E-409C-BE32-E72D297353CC}">
              <c16:uniqueId val="{00000005-6929-40A5-9BB6-A3AB98ED16D5}"/>
            </c:ext>
          </c:extLst>
        </c:ser>
        <c:dLbls>
          <c:showLegendKey val="0"/>
          <c:showVal val="0"/>
          <c:showCatName val="0"/>
          <c:showSerName val="0"/>
          <c:showPercent val="0"/>
          <c:showBubbleSize val="0"/>
        </c:dLbls>
        <c:axId val="719899304"/>
        <c:axId val="719900480"/>
      </c:scatterChart>
      <c:valAx>
        <c:axId val="719899304"/>
        <c:scaling>
          <c:orientation val="minMax"/>
          <c:max val="21"/>
          <c:min val="1"/>
        </c:scaling>
        <c:delete val="0"/>
        <c:axPos val="b"/>
        <c:numFmt formatCode="0" sourceLinked="1"/>
        <c:majorTickMark val="out"/>
        <c:minorTickMark val="none"/>
        <c:tickLblPos val="nextTo"/>
        <c:crossAx val="719900480"/>
        <c:crosses val="autoZero"/>
        <c:crossBetween val="midCat"/>
      </c:valAx>
      <c:valAx>
        <c:axId val="719900480"/>
        <c:scaling>
          <c:orientation val="minMax"/>
        </c:scaling>
        <c:delete val="0"/>
        <c:axPos val="l"/>
        <c:majorGridlines/>
        <c:numFmt formatCode="0.00" sourceLinked="1"/>
        <c:majorTickMark val="out"/>
        <c:minorTickMark val="none"/>
        <c:tickLblPos val="nextTo"/>
        <c:crossAx val="719899304"/>
        <c:crosses val="autoZero"/>
        <c:crossBetween val="midCat"/>
      </c:valAx>
    </c:plotArea>
    <c:plotVisOnly val="1"/>
    <c:dispBlanksAs val="gap"/>
    <c:showDLblsOverMax val="0"/>
  </c:chart>
  <c:printSettings>
    <c:headerFooter/>
    <c:pageMargins b="0.74803149606299391" l="0.70866141732283672" r="0.70866141732283672" t="0.74803149606299391" header="0.3149606299212615" footer="0.3149606299212615"/>
    <c:pageSetup orientation="landscape"/>
  </c:printSettings>
  <c:userShapes r:id="rId1"/>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08849645464696"/>
          <c:y val="0.17632961957914792"/>
          <c:w val="0.83562551468258284"/>
          <c:h val="0.64932992998192229"/>
        </c:manualLayout>
      </c:layout>
      <c:scatterChart>
        <c:scatterStyle val="lineMarker"/>
        <c:varyColors val="0"/>
        <c:ser>
          <c:idx val="0"/>
          <c:order val="0"/>
          <c:tx>
            <c:strRef>
              <c:f>'CV Training Rule 2'!$BQ$10</c:f>
              <c:strCache>
                <c:ptCount val="1"/>
                <c:pt idx="0">
                  <c:v>Range</c:v>
                </c:pt>
              </c:strCache>
            </c:strRef>
          </c:tx>
          <c:spPr>
            <a:ln w="12700">
              <a:solidFill>
                <a:sysClr val="windowText" lastClr="000000"/>
              </a:solidFill>
            </a:ln>
          </c:spPr>
          <c:marker>
            <c:symbol val="x"/>
            <c:size val="6"/>
            <c:spPr>
              <a:ln w="15875">
                <a:solidFill>
                  <a:sysClr val="windowText" lastClr="000000"/>
                </a:solidFill>
              </a:ln>
            </c:spPr>
          </c:marker>
          <c:xVal>
            <c:numRef>
              <c:f>'CV Training Rule 2'!$BK$11:$BK$17</c:f>
              <c:numCache>
                <c:formatCode>0</c:formatCode>
                <c:ptCount val="7"/>
                <c:pt idx="0">
                  <c:v>1</c:v>
                </c:pt>
                <c:pt idx="1">
                  <c:v>2</c:v>
                </c:pt>
                <c:pt idx="2">
                  <c:v>3</c:v>
                </c:pt>
                <c:pt idx="3">
                  <c:v>4</c:v>
                </c:pt>
                <c:pt idx="4">
                  <c:v>5</c:v>
                </c:pt>
                <c:pt idx="5">
                  <c:v>6</c:v>
                </c:pt>
                <c:pt idx="6">
                  <c:v>7</c:v>
                </c:pt>
              </c:numCache>
            </c:numRef>
          </c:xVal>
          <c:yVal>
            <c:numRef>
              <c:f>'CV Training Rule 2'!$BQ$11:$BQ$17</c:f>
              <c:numCache>
                <c:formatCode>0.00</c:formatCode>
                <c:ptCount val="7"/>
                <c:pt idx="0">
                  <c:v>1.0000000000001563E-2</c:v>
                </c:pt>
                <c:pt idx="1">
                  <c:v>9.9999999999997868E-2</c:v>
                </c:pt>
                <c:pt idx="2">
                  <c:v>7.0000000000000284E-2</c:v>
                </c:pt>
                <c:pt idx="3">
                  <c:v>5.9999999999998721E-2</c:v>
                </c:pt>
                <c:pt idx="4">
                  <c:v>1.0000000000001563E-2</c:v>
                </c:pt>
                <c:pt idx="5">
                  <c:v>3.9999999999999147E-2</c:v>
                </c:pt>
                <c:pt idx="6">
                  <c:v>0.11000000000000298</c:v>
                </c:pt>
              </c:numCache>
            </c:numRef>
          </c:yVal>
          <c:smooth val="0"/>
          <c:extLst>
            <c:ext xmlns:c16="http://schemas.microsoft.com/office/drawing/2014/chart" uri="{C3380CC4-5D6E-409C-BE32-E72D297353CC}">
              <c16:uniqueId val="{00000000-B83A-4224-B7C8-64B534370AF2}"/>
            </c:ext>
          </c:extLst>
        </c:ser>
        <c:ser>
          <c:idx val="1"/>
          <c:order val="1"/>
          <c:tx>
            <c:strRef>
              <c:f>'CV Training Rule 2'!$N$21</c:f>
              <c:strCache>
                <c:ptCount val="1"/>
                <c:pt idx="0">
                  <c:v>Range Limit</c:v>
                </c:pt>
              </c:strCache>
            </c:strRef>
          </c:tx>
          <c:spPr>
            <a:ln w="22225">
              <a:solidFill>
                <a:srgbClr val="FF0000"/>
              </a:solidFill>
            </a:ln>
          </c:spPr>
          <c:marker>
            <c:symbol val="none"/>
          </c:marker>
          <c:xVal>
            <c:numRef>
              <c:f>'CV Training Rule 2'!$B$22:$B$42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2'!$N$22:$N$42</c:f>
              <c:numCache>
                <c:formatCode>0.00</c:formatCode>
                <c:ptCount val="21"/>
                <c:pt idx="0">
                  <c:v>0.12</c:v>
                </c:pt>
                <c:pt idx="1">
                  <c:v>0.12</c:v>
                </c:pt>
                <c:pt idx="2">
                  <c:v>0.12</c:v>
                </c:pt>
                <c:pt idx="3">
                  <c:v>0.12</c:v>
                </c:pt>
                <c:pt idx="4">
                  <c:v>0.12</c:v>
                </c:pt>
                <c:pt idx="5">
                  <c:v>0.12</c:v>
                </c:pt>
                <c:pt idx="6">
                  <c:v>0.12</c:v>
                </c:pt>
                <c:pt idx="7">
                  <c:v>0.12</c:v>
                </c:pt>
                <c:pt idx="8">
                  <c:v>0.12</c:v>
                </c:pt>
                <c:pt idx="9">
                  <c:v>0.12</c:v>
                </c:pt>
                <c:pt idx="10">
                  <c:v>0.12</c:v>
                </c:pt>
                <c:pt idx="11">
                  <c:v>0.12</c:v>
                </c:pt>
                <c:pt idx="12">
                  <c:v>0.12</c:v>
                </c:pt>
                <c:pt idx="13">
                  <c:v>0.12</c:v>
                </c:pt>
                <c:pt idx="14">
                  <c:v>0.12</c:v>
                </c:pt>
                <c:pt idx="15">
                  <c:v>0.12</c:v>
                </c:pt>
                <c:pt idx="16">
                  <c:v>0.12</c:v>
                </c:pt>
                <c:pt idx="17">
                  <c:v>0.12</c:v>
                </c:pt>
                <c:pt idx="18">
                  <c:v>0.12</c:v>
                </c:pt>
                <c:pt idx="19">
                  <c:v>0.12</c:v>
                </c:pt>
                <c:pt idx="20">
                  <c:v>0.12</c:v>
                </c:pt>
              </c:numCache>
            </c:numRef>
          </c:yVal>
          <c:smooth val="0"/>
          <c:extLst>
            <c:ext xmlns:c16="http://schemas.microsoft.com/office/drawing/2014/chart" uri="{C3380CC4-5D6E-409C-BE32-E72D297353CC}">
              <c16:uniqueId val="{00000001-B83A-4224-B7C8-64B534370AF2}"/>
            </c:ext>
          </c:extLst>
        </c:ser>
        <c:dLbls>
          <c:showLegendKey val="0"/>
          <c:showVal val="0"/>
          <c:showCatName val="0"/>
          <c:showSerName val="0"/>
          <c:showPercent val="0"/>
          <c:showBubbleSize val="0"/>
        </c:dLbls>
        <c:axId val="422280336"/>
        <c:axId val="422281512"/>
      </c:scatterChart>
      <c:valAx>
        <c:axId val="422280336"/>
        <c:scaling>
          <c:orientation val="minMax"/>
          <c:max val="21"/>
          <c:min val="1"/>
        </c:scaling>
        <c:delete val="0"/>
        <c:axPos val="b"/>
        <c:numFmt formatCode="0" sourceLinked="1"/>
        <c:majorTickMark val="out"/>
        <c:minorTickMark val="none"/>
        <c:tickLblPos val="nextTo"/>
        <c:crossAx val="422281512"/>
        <c:crosses val="autoZero"/>
        <c:crossBetween val="midCat"/>
      </c:valAx>
      <c:valAx>
        <c:axId val="422281512"/>
        <c:scaling>
          <c:orientation val="minMax"/>
        </c:scaling>
        <c:delete val="0"/>
        <c:axPos val="l"/>
        <c:majorGridlines/>
        <c:numFmt formatCode="0.000" sourceLinked="0"/>
        <c:majorTickMark val="out"/>
        <c:minorTickMark val="none"/>
        <c:tickLblPos val="nextTo"/>
        <c:crossAx val="422280336"/>
        <c:crosses val="autoZero"/>
        <c:crossBetween val="midCat"/>
      </c:valAx>
    </c:plotArea>
    <c:plotVisOnly val="1"/>
    <c:dispBlanksAs val="gap"/>
    <c:showDLblsOverMax val="0"/>
  </c:chart>
  <c:printSettings>
    <c:headerFooter/>
    <c:pageMargins b="0.75000000000000211" l="0.70000000000000062" r="0.70000000000000062" t="0.75000000000000211" header="0.30000000000000032" footer="0.30000000000000032"/>
    <c:pageSetup orientation="portrait"/>
  </c:printSettings>
  <c:userShapes r:id="rId1"/>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16885389326336"/>
          <c:y val="0.12367723583827323"/>
          <c:w val="0.81564283305597318"/>
          <c:h val="0.75108377116203751"/>
        </c:manualLayout>
      </c:layout>
      <c:scatterChart>
        <c:scatterStyle val="lineMarker"/>
        <c:varyColors val="0"/>
        <c:ser>
          <c:idx val="0"/>
          <c:order val="0"/>
          <c:tx>
            <c:strRef>
              <c:f>'CV Training Rule 3'!$AB$10</c:f>
              <c:strCache>
                <c:ptCount val="1"/>
                <c:pt idx="0">
                  <c:v>Average</c:v>
                </c:pt>
              </c:strCache>
            </c:strRef>
          </c:tx>
          <c:spPr>
            <a:ln w="0">
              <a:solidFill>
                <a:sysClr val="windowText" lastClr="000000"/>
              </a:solidFill>
            </a:ln>
          </c:spPr>
          <c:marker>
            <c:symbol val="x"/>
            <c:size val="6"/>
            <c:spPr>
              <a:noFill/>
              <a:ln w="15875">
                <a:solidFill>
                  <a:schemeClr val="tx1"/>
                </a:solidFill>
              </a:ln>
            </c:spPr>
          </c:marker>
          <c:yVal>
            <c:numRef>
              <c:f>'CV Training Rule 3'!$AB$11:$AB$19</c:f>
              <c:numCache>
                <c:formatCode>0.00</c:formatCode>
                <c:ptCount val="9"/>
                <c:pt idx="0">
                  <c:v>26.994999999999997</c:v>
                </c:pt>
                <c:pt idx="1">
                  <c:v>27.1</c:v>
                </c:pt>
                <c:pt idx="2">
                  <c:v>27.135000000000002</c:v>
                </c:pt>
                <c:pt idx="3">
                  <c:v>27.115000000000002</c:v>
                </c:pt>
                <c:pt idx="4">
                  <c:v>27.184999999999999</c:v>
                </c:pt>
                <c:pt idx="5">
                  <c:v>27.049999999999997</c:v>
                </c:pt>
                <c:pt idx="6">
                  <c:v>27.09</c:v>
                </c:pt>
                <c:pt idx="7">
                  <c:v>27.15</c:v>
                </c:pt>
                <c:pt idx="8">
                  <c:v>27.08</c:v>
                </c:pt>
              </c:numCache>
            </c:numRef>
          </c:yVal>
          <c:smooth val="0"/>
          <c:extLst>
            <c:ext xmlns:c16="http://schemas.microsoft.com/office/drawing/2014/chart" uri="{C3380CC4-5D6E-409C-BE32-E72D297353CC}">
              <c16:uniqueId val="{00000000-ED05-48A9-9C33-E1B01FDFCD1F}"/>
            </c:ext>
          </c:extLst>
        </c:ser>
        <c:ser>
          <c:idx val="1"/>
          <c:order val="1"/>
          <c:tx>
            <c:strRef>
              <c:f>'CV Training Rule 3'!$I$21</c:f>
              <c:strCache>
                <c:ptCount val="1"/>
                <c:pt idx="0">
                  <c:v>-3s</c:v>
                </c:pt>
              </c:strCache>
            </c:strRef>
          </c:tx>
          <c:spPr>
            <a:ln w="22225">
              <a:solidFill>
                <a:srgbClr val="FF0000"/>
              </a:solidFill>
            </a:ln>
          </c:spPr>
          <c:marker>
            <c:symbol val="none"/>
          </c:marker>
          <c:xVal>
            <c:numRef>
              <c:f>'CV Training Rule 3'!$B$22:$B$42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3'!$I$22:$I$42</c:f>
              <c:numCache>
                <c:formatCode>0.00</c:formatCode>
                <c:ptCount val="21"/>
                <c:pt idx="0">
                  <c:v>26.787537881918869</c:v>
                </c:pt>
                <c:pt idx="1">
                  <c:v>26.787537881918869</c:v>
                </c:pt>
                <c:pt idx="2">
                  <c:v>26.787537881918869</c:v>
                </c:pt>
                <c:pt idx="3">
                  <c:v>26.787537881918869</c:v>
                </c:pt>
                <c:pt idx="4">
                  <c:v>26.787537881918869</c:v>
                </c:pt>
                <c:pt idx="5">
                  <c:v>26.787537881918869</c:v>
                </c:pt>
                <c:pt idx="6">
                  <c:v>26.787537881918869</c:v>
                </c:pt>
                <c:pt idx="7">
                  <c:v>26.787537881918869</c:v>
                </c:pt>
                <c:pt idx="8">
                  <c:v>26.787537881918869</c:v>
                </c:pt>
                <c:pt idx="9">
                  <c:v>26.787537881918869</c:v>
                </c:pt>
                <c:pt idx="10">
                  <c:v>26.787537881918869</c:v>
                </c:pt>
                <c:pt idx="11">
                  <c:v>26.787537881918869</c:v>
                </c:pt>
                <c:pt idx="12">
                  <c:v>26.787537881918869</c:v>
                </c:pt>
                <c:pt idx="13">
                  <c:v>26.787537881918869</c:v>
                </c:pt>
                <c:pt idx="14">
                  <c:v>26.787537881918869</c:v>
                </c:pt>
                <c:pt idx="15">
                  <c:v>26.787537881918869</c:v>
                </c:pt>
                <c:pt idx="16">
                  <c:v>26.787537881918869</c:v>
                </c:pt>
                <c:pt idx="17">
                  <c:v>26.787537881918869</c:v>
                </c:pt>
                <c:pt idx="18">
                  <c:v>26.787537881918869</c:v>
                </c:pt>
                <c:pt idx="19">
                  <c:v>26.787537881918869</c:v>
                </c:pt>
                <c:pt idx="20">
                  <c:v>26.787537881918869</c:v>
                </c:pt>
              </c:numCache>
            </c:numRef>
          </c:yVal>
          <c:smooth val="0"/>
          <c:extLst>
            <c:ext xmlns:c16="http://schemas.microsoft.com/office/drawing/2014/chart" uri="{C3380CC4-5D6E-409C-BE32-E72D297353CC}">
              <c16:uniqueId val="{00000001-ED05-48A9-9C33-E1B01FDFCD1F}"/>
            </c:ext>
          </c:extLst>
        </c:ser>
        <c:ser>
          <c:idx val="2"/>
          <c:order val="2"/>
          <c:tx>
            <c:strRef>
              <c:f>'CV Training Rule 3'!$J$21</c:f>
              <c:strCache>
                <c:ptCount val="1"/>
                <c:pt idx="0">
                  <c:v>-2s</c:v>
                </c:pt>
              </c:strCache>
            </c:strRef>
          </c:tx>
          <c:spPr>
            <a:ln w="22225">
              <a:solidFill>
                <a:schemeClr val="tx2">
                  <a:lumMod val="60000"/>
                  <a:lumOff val="40000"/>
                </a:schemeClr>
              </a:solidFill>
              <a:prstDash val="dashDot"/>
            </a:ln>
          </c:spPr>
          <c:marker>
            <c:symbol val="none"/>
          </c:marker>
          <c:xVal>
            <c:numRef>
              <c:f>'CV Training Rule 3'!$B$22:$B$42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3'!$J$22:$J$42</c:f>
              <c:numCache>
                <c:formatCode>0.00</c:formatCode>
                <c:ptCount val="21"/>
                <c:pt idx="0">
                  <c:v>26.863914143501468</c:v>
                </c:pt>
                <c:pt idx="1">
                  <c:v>26.863914143501468</c:v>
                </c:pt>
                <c:pt idx="2">
                  <c:v>26.863914143501468</c:v>
                </c:pt>
                <c:pt idx="3">
                  <c:v>26.863914143501468</c:v>
                </c:pt>
                <c:pt idx="4">
                  <c:v>26.863914143501468</c:v>
                </c:pt>
                <c:pt idx="5">
                  <c:v>26.863914143501468</c:v>
                </c:pt>
                <c:pt idx="6">
                  <c:v>26.863914143501468</c:v>
                </c:pt>
                <c:pt idx="7">
                  <c:v>26.863914143501468</c:v>
                </c:pt>
                <c:pt idx="8">
                  <c:v>26.863914143501468</c:v>
                </c:pt>
                <c:pt idx="9">
                  <c:v>26.863914143501468</c:v>
                </c:pt>
                <c:pt idx="10">
                  <c:v>26.863914143501468</c:v>
                </c:pt>
                <c:pt idx="11">
                  <c:v>26.863914143501468</c:v>
                </c:pt>
                <c:pt idx="12">
                  <c:v>26.863914143501468</c:v>
                </c:pt>
                <c:pt idx="13">
                  <c:v>26.863914143501468</c:v>
                </c:pt>
                <c:pt idx="14">
                  <c:v>26.863914143501468</c:v>
                </c:pt>
                <c:pt idx="15">
                  <c:v>26.863914143501468</c:v>
                </c:pt>
                <c:pt idx="16">
                  <c:v>26.863914143501468</c:v>
                </c:pt>
                <c:pt idx="17">
                  <c:v>26.863914143501468</c:v>
                </c:pt>
                <c:pt idx="18">
                  <c:v>26.863914143501468</c:v>
                </c:pt>
                <c:pt idx="19">
                  <c:v>26.863914143501468</c:v>
                </c:pt>
                <c:pt idx="20">
                  <c:v>26.863914143501468</c:v>
                </c:pt>
              </c:numCache>
            </c:numRef>
          </c:yVal>
          <c:smooth val="0"/>
          <c:extLst>
            <c:ext xmlns:c16="http://schemas.microsoft.com/office/drawing/2014/chart" uri="{C3380CC4-5D6E-409C-BE32-E72D297353CC}">
              <c16:uniqueId val="{00000002-ED05-48A9-9C33-E1B01FDFCD1F}"/>
            </c:ext>
          </c:extLst>
        </c:ser>
        <c:ser>
          <c:idx val="3"/>
          <c:order val="3"/>
          <c:tx>
            <c:strRef>
              <c:f>'CV Training Rule 3'!$K$21</c:f>
              <c:strCache>
                <c:ptCount val="1"/>
                <c:pt idx="0">
                  <c:v></c:v>
                </c:pt>
              </c:strCache>
            </c:strRef>
          </c:tx>
          <c:spPr>
            <a:ln w="22225">
              <a:solidFill>
                <a:srgbClr val="00B050"/>
              </a:solidFill>
              <a:prstDash val="lgDashDotDot"/>
            </a:ln>
          </c:spPr>
          <c:marker>
            <c:symbol val="none"/>
          </c:marker>
          <c:xVal>
            <c:numRef>
              <c:f>'CV Training Rule 3'!$B$22:$B$42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3'!$K$22:$K$42</c:f>
              <c:numCache>
                <c:formatCode>0.00</c:formatCode>
                <c:ptCount val="21"/>
                <c:pt idx="0">
                  <c:v>27.016666666666666</c:v>
                </c:pt>
                <c:pt idx="1">
                  <c:v>27.016666666666666</c:v>
                </c:pt>
                <c:pt idx="2">
                  <c:v>27.016666666666666</c:v>
                </c:pt>
                <c:pt idx="3">
                  <c:v>27.016666666666666</c:v>
                </c:pt>
                <c:pt idx="4">
                  <c:v>27.016666666666666</c:v>
                </c:pt>
                <c:pt idx="5">
                  <c:v>27.016666666666666</c:v>
                </c:pt>
                <c:pt idx="6">
                  <c:v>27.016666666666666</c:v>
                </c:pt>
                <c:pt idx="7">
                  <c:v>27.016666666666666</c:v>
                </c:pt>
                <c:pt idx="8">
                  <c:v>27.016666666666666</c:v>
                </c:pt>
                <c:pt idx="9">
                  <c:v>27.016666666666666</c:v>
                </c:pt>
                <c:pt idx="10">
                  <c:v>27.016666666666666</c:v>
                </c:pt>
                <c:pt idx="11">
                  <c:v>27.016666666666666</c:v>
                </c:pt>
                <c:pt idx="12">
                  <c:v>27.016666666666666</c:v>
                </c:pt>
                <c:pt idx="13">
                  <c:v>27.016666666666666</c:v>
                </c:pt>
                <c:pt idx="14">
                  <c:v>27.016666666666666</c:v>
                </c:pt>
                <c:pt idx="15">
                  <c:v>27.016666666666666</c:v>
                </c:pt>
                <c:pt idx="16">
                  <c:v>27.016666666666666</c:v>
                </c:pt>
                <c:pt idx="17">
                  <c:v>27.016666666666666</c:v>
                </c:pt>
                <c:pt idx="18">
                  <c:v>27.016666666666666</c:v>
                </c:pt>
                <c:pt idx="19">
                  <c:v>27.016666666666666</c:v>
                </c:pt>
                <c:pt idx="20">
                  <c:v>27.016666666666666</c:v>
                </c:pt>
              </c:numCache>
            </c:numRef>
          </c:yVal>
          <c:smooth val="0"/>
          <c:extLst>
            <c:ext xmlns:c16="http://schemas.microsoft.com/office/drawing/2014/chart" uri="{C3380CC4-5D6E-409C-BE32-E72D297353CC}">
              <c16:uniqueId val="{00000003-ED05-48A9-9C33-E1B01FDFCD1F}"/>
            </c:ext>
          </c:extLst>
        </c:ser>
        <c:ser>
          <c:idx val="4"/>
          <c:order val="4"/>
          <c:tx>
            <c:strRef>
              <c:f>'CV Training Rule 3'!$L$21</c:f>
              <c:strCache>
                <c:ptCount val="1"/>
                <c:pt idx="0">
                  <c:v>+2s</c:v>
                </c:pt>
              </c:strCache>
            </c:strRef>
          </c:tx>
          <c:spPr>
            <a:ln w="22225">
              <a:solidFill>
                <a:schemeClr val="tx2">
                  <a:lumMod val="60000"/>
                  <a:lumOff val="40000"/>
                </a:schemeClr>
              </a:solidFill>
              <a:prstDash val="dashDot"/>
            </a:ln>
          </c:spPr>
          <c:marker>
            <c:symbol val="none"/>
          </c:marker>
          <c:xVal>
            <c:numRef>
              <c:f>'CV Training Rule 3'!$B$22:$B$42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3'!$L$22:$L$42</c:f>
              <c:numCache>
                <c:formatCode>0.00</c:formatCode>
                <c:ptCount val="21"/>
                <c:pt idx="0">
                  <c:v>27.169419189831864</c:v>
                </c:pt>
                <c:pt idx="1">
                  <c:v>27.169419189831864</c:v>
                </c:pt>
                <c:pt idx="2">
                  <c:v>27.169419189831864</c:v>
                </c:pt>
                <c:pt idx="3">
                  <c:v>27.169419189831864</c:v>
                </c:pt>
                <c:pt idx="4">
                  <c:v>27.169419189831864</c:v>
                </c:pt>
                <c:pt idx="5">
                  <c:v>27.169419189831864</c:v>
                </c:pt>
                <c:pt idx="6">
                  <c:v>27.169419189831864</c:v>
                </c:pt>
                <c:pt idx="7">
                  <c:v>27.169419189831864</c:v>
                </c:pt>
                <c:pt idx="8">
                  <c:v>27.169419189831864</c:v>
                </c:pt>
                <c:pt idx="9">
                  <c:v>27.169419189831864</c:v>
                </c:pt>
                <c:pt idx="10">
                  <c:v>27.169419189831864</c:v>
                </c:pt>
                <c:pt idx="11">
                  <c:v>27.169419189831864</c:v>
                </c:pt>
                <c:pt idx="12">
                  <c:v>27.169419189831864</c:v>
                </c:pt>
                <c:pt idx="13">
                  <c:v>27.169419189831864</c:v>
                </c:pt>
                <c:pt idx="14">
                  <c:v>27.169419189831864</c:v>
                </c:pt>
                <c:pt idx="15">
                  <c:v>27.169419189831864</c:v>
                </c:pt>
                <c:pt idx="16">
                  <c:v>27.169419189831864</c:v>
                </c:pt>
                <c:pt idx="17">
                  <c:v>27.169419189831864</c:v>
                </c:pt>
                <c:pt idx="18">
                  <c:v>27.169419189831864</c:v>
                </c:pt>
                <c:pt idx="19">
                  <c:v>27.169419189831864</c:v>
                </c:pt>
                <c:pt idx="20">
                  <c:v>27.169419189831864</c:v>
                </c:pt>
              </c:numCache>
            </c:numRef>
          </c:yVal>
          <c:smooth val="0"/>
          <c:extLst>
            <c:ext xmlns:c16="http://schemas.microsoft.com/office/drawing/2014/chart" uri="{C3380CC4-5D6E-409C-BE32-E72D297353CC}">
              <c16:uniqueId val="{00000004-ED05-48A9-9C33-E1B01FDFCD1F}"/>
            </c:ext>
          </c:extLst>
        </c:ser>
        <c:ser>
          <c:idx val="5"/>
          <c:order val="5"/>
          <c:tx>
            <c:strRef>
              <c:f>'CV Training Rule 3'!$M$21</c:f>
              <c:strCache>
                <c:ptCount val="1"/>
                <c:pt idx="0">
                  <c:v>+3s</c:v>
                </c:pt>
              </c:strCache>
            </c:strRef>
          </c:tx>
          <c:spPr>
            <a:ln w="22225">
              <a:solidFill>
                <a:srgbClr val="FF0000"/>
              </a:solidFill>
              <a:prstDash val="solid"/>
            </a:ln>
          </c:spPr>
          <c:marker>
            <c:symbol val="none"/>
          </c:marker>
          <c:xVal>
            <c:numRef>
              <c:f>'CV Training Rule 3'!$B$22:$B$42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3'!$M$22:$M$42</c:f>
              <c:numCache>
                <c:formatCode>0.00</c:formatCode>
                <c:ptCount val="21"/>
                <c:pt idx="0">
                  <c:v>27.245795451414462</c:v>
                </c:pt>
                <c:pt idx="1">
                  <c:v>27.245795451414462</c:v>
                </c:pt>
                <c:pt idx="2">
                  <c:v>27.245795451414462</c:v>
                </c:pt>
                <c:pt idx="3">
                  <c:v>27.245795451414462</c:v>
                </c:pt>
                <c:pt idx="4">
                  <c:v>27.245795451414462</c:v>
                </c:pt>
                <c:pt idx="5">
                  <c:v>27.245795451414462</c:v>
                </c:pt>
                <c:pt idx="6">
                  <c:v>27.245795451414462</c:v>
                </c:pt>
                <c:pt idx="7">
                  <c:v>27.245795451414462</c:v>
                </c:pt>
                <c:pt idx="8">
                  <c:v>27.245795451414462</c:v>
                </c:pt>
                <c:pt idx="9">
                  <c:v>27.245795451414462</c:v>
                </c:pt>
                <c:pt idx="10">
                  <c:v>27.245795451414462</c:v>
                </c:pt>
                <c:pt idx="11">
                  <c:v>27.245795451414462</c:v>
                </c:pt>
                <c:pt idx="12">
                  <c:v>27.245795451414462</c:v>
                </c:pt>
                <c:pt idx="13">
                  <c:v>27.245795451414462</c:v>
                </c:pt>
                <c:pt idx="14">
                  <c:v>27.245795451414462</c:v>
                </c:pt>
                <c:pt idx="15">
                  <c:v>27.245795451414462</c:v>
                </c:pt>
                <c:pt idx="16">
                  <c:v>27.245795451414462</c:v>
                </c:pt>
                <c:pt idx="17">
                  <c:v>27.245795451414462</c:v>
                </c:pt>
                <c:pt idx="18">
                  <c:v>27.245795451414462</c:v>
                </c:pt>
                <c:pt idx="19">
                  <c:v>27.245795451414462</c:v>
                </c:pt>
                <c:pt idx="20">
                  <c:v>27.245795451414462</c:v>
                </c:pt>
              </c:numCache>
            </c:numRef>
          </c:yVal>
          <c:smooth val="0"/>
          <c:extLst>
            <c:ext xmlns:c16="http://schemas.microsoft.com/office/drawing/2014/chart" uri="{C3380CC4-5D6E-409C-BE32-E72D297353CC}">
              <c16:uniqueId val="{00000005-ED05-48A9-9C33-E1B01FDFCD1F}"/>
            </c:ext>
          </c:extLst>
        </c:ser>
        <c:dLbls>
          <c:showLegendKey val="0"/>
          <c:showVal val="0"/>
          <c:showCatName val="0"/>
          <c:showSerName val="0"/>
          <c:showPercent val="0"/>
          <c:showBubbleSize val="0"/>
        </c:dLbls>
        <c:axId val="422281904"/>
        <c:axId val="422286216"/>
      </c:scatterChart>
      <c:valAx>
        <c:axId val="422281904"/>
        <c:scaling>
          <c:orientation val="minMax"/>
          <c:max val="21"/>
          <c:min val="1"/>
        </c:scaling>
        <c:delete val="0"/>
        <c:axPos val="b"/>
        <c:numFmt formatCode="0" sourceLinked="1"/>
        <c:majorTickMark val="out"/>
        <c:minorTickMark val="none"/>
        <c:tickLblPos val="nextTo"/>
        <c:crossAx val="422286216"/>
        <c:crosses val="autoZero"/>
        <c:crossBetween val="midCat"/>
      </c:valAx>
      <c:valAx>
        <c:axId val="422286216"/>
        <c:scaling>
          <c:orientation val="minMax"/>
        </c:scaling>
        <c:delete val="0"/>
        <c:axPos val="l"/>
        <c:majorGridlines/>
        <c:numFmt formatCode="0.00" sourceLinked="1"/>
        <c:majorTickMark val="out"/>
        <c:minorTickMark val="none"/>
        <c:tickLblPos val="nextTo"/>
        <c:crossAx val="422281904"/>
        <c:crosses val="autoZero"/>
        <c:crossBetween val="midCat"/>
      </c:valAx>
    </c:plotArea>
    <c:plotVisOnly val="1"/>
    <c:dispBlanksAs val="gap"/>
    <c:showDLblsOverMax val="0"/>
  </c:chart>
  <c:printSettings>
    <c:headerFooter/>
    <c:pageMargins b="0.74803149606299368" l="0.70866141732283638" r="0.70866141732283638" t="0.74803149606299368" header="0.31496062992126123" footer="0.31496062992126123"/>
    <c:pageSetup orientation="landscape"/>
  </c:printSettings>
  <c:userShapes r:id="rId1"/>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08849645464696"/>
          <c:y val="0.17632961957914792"/>
          <c:w val="0.83562551468258217"/>
          <c:h val="0.64932992998192229"/>
        </c:manualLayout>
      </c:layout>
      <c:scatterChart>
        <c:scatterStyle val="lineMarker"/>
        <c:varyColors val="0"/>
        <c:ser>
          <c:idx val="0"/>
          <c:order val="0"/>
          <c:tx>
            <c:strRef>
              <c:f>'CV Training Rule 3'!$AC$10</c:f>
              <c:strCache>
                <c:ptCount val="1"/>
                <c:pt idx="0">
                  <c:v>Range</c:v>
                </c:pt>
              </c:strCache>
            </c:strRef>
          </c:tx>
          <c:spPr>
            <a:ln w="12700">
              <a:solidFill>
                <a:sysClr val="windowText" lastClr="000000"/>
              </a:solidFill>
            </a:ln>
          </c:spPr>
          <c:marker>
            <c:symbol val="x"/>
            <c:size val="6"/>
            <c:spPr>
              <a:ln w="15875">
                <a:solidFill>
                  <a:sysClr val="windowText" lastClr="000000"/>
                </a:solidFill>
              </a:ln>
            </c:spPr>
          </c:marker>
          <c:xVal>
            <c:numRef>
              <c:f>'CV Training Rule 3'!$W$11:$W$19</c:f>
              <c:numCache>
                <c:formatCode>0</c:formatCode>
                <c:ptCount val="9"/>
                <c:pt idx="0">
                  <c:v>1</c:v>
                </c:pt>
                <c:pt idx="1">
                  <c:v>2</c:v>
                </c:pt>
                <c:pt idx="2">
                  <c:v>3</c:v>
                </c:pt>
                <c:pt idx="3">
                  <c:v>4</c:v>
                </c:pt>
                <c:pt idx="4">
                  <c:v>5</c:v>
                </c:pt>
                <c:pt idx="5">
                  <c:v>6</c:v>
                </c:pt>
                <c:pt idx="6">
                  <c:v>7</c:v>
                </c:pt>
                <c:pt idx="7">
                  <c:v>8</c:v>
                </c:pt>
                <c:pt idx="8">
                  <c:v>9</c:v>
                </c:pt>
              </c:numCache>
            </c:numRef>
          </c:xVal>
          <c:yVal>
            <c:numRef>
              <c:f>'CV Training Rule 3'!$AC$11:$AC$19</c:f>
              <c:numCache>
                <c:formatCode>0.00</c:formatCode>
                <c:ptCount val="9"/>
                <c:pt idx="0">
                  <c:v>1.0000000000001563E-2</c:v>
                </c:pt>
                <c:pt idx="1">
                  <c:v>9.9999999999997868E-2</c:v>
                </c:pt>
                <c:pt idx="2">
                  <c:v>7.0000000000000284E-2</c:v>
                </c:pt>
                <c:pt idx="3">
                  <c:v>1.0000000000001563E-2</c:v>
                </c:pt>
                <c:pt idx="4">
                  <c:v>7.0000000000000284E-2</c:v>
                </c:pt>
                <c:pt idx="5">
                  <c:v>1.9999999999999574E-2</c:v>
                </c:pt>
                <c:pt idx="6">
                  <c:v>6.0000000000002274E-2</c:v>
                </c:pt>
                <c:pt idx="7">
                  <c:v>9.9999999999997868E-2</c:v>
                </c:pt>
                <c:pt idx="8">
                  <c:v>1.9999999999999574E-2</c:v>
                </c:pt>
              </c:numCache>
            </c:numRef>
          </c:yVal>
          <c:smooth val="0"/>
          <c:extLst>
            <c:ext xmlns:c16="http://schemas.microsoft.com/office/drawing/2014/chart" uri="{C3380CC4-5D6E-409C-BE32-E72D297353CC}">
              <c16:uniqueId val="{00000000-8BF9-4813-912D-E40649EABFBB}"/>
            </c:ext>
          </c:extLst>
        </c:ser>
        <c:ser>
          <c:idx val="1"/>
          <c:order val="1"/>
          <c:tx>
            <c:strRef>
              <c:f>'CV Training Rule 3'!$N$21</c:f>
              <c:strCache>
                <c:ptCount val="1"/>
                <c:pt idx="0">
                  <c:v>Range Limit</c:v>
                </c:pt>
              </c:strCache>
            </c:strRef>
          </c:tx>
          <c:spPr>
            <a:ln w="22225">
              <a:solidFill>
                <a:srgbClr val="FF0000"/>
              </a:solidFill>
            </a:ln>
          </c:spPr>
          <c:marker>
            <c:symbol val="none"/>
          </c:marker>
          <c:xVal>
            <c:numRef>
              <c:f>'CV Training Rule 3'!$B$22:$B$42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3'!$N$22:$N$42</c:f>
              <c:numCache>
                <c:formatCode>0.00</c:formatCode>
                <c:ptCount val="21"/>
                <c:pt idx="0">
                  <c:v>0.12</c:v>
                </c:pt>
                <c:pt idx="1">
                  <c:v>0.12</c:v>
                </c:pt>
                <c:pt idx="2">
                  <c:v>0.12</c:v>
                </c:pt>
                <c:pt idx="3">
                  <c:v>0.12</c:v>
                </c:pt>
                <c:pt idx="4">
                  <c:v>0.12</c:v>
                </c:pt>
                <c:pt idx="5">
                  <c:v>0.12</c:v>
                </c:pt>
                <c:pt idx="6">
                  <c:v>0.12</c:v>
                </c:pt>
                <c:pt idx="7">
                  <c:v>0.12</c:v>
                </c:pt>
                <c:pt idx="8">
                  <c:v>0.12</c:v>
                </c:pt>
                <c:pt idx="9">
                  <c:v>0.12</c:v>
                </c:pt>
                <c:pt idx="10">
                  <c:v>0.12</c:v>
                </c:pt>
                <c:pt idx="11">
                  <c:v>0.12</c:v>
                </c:pt>
                <c:pt idx="12">
                  <c:v>0.12</c:v>
                </c:pt>
                <c:pt idx="13">
                  <c:v>0.12</c:v>
                </c:pt>
                <c:pt idx="14">
                  <c:v>0.12</c:v>
                </c:pt>
                <c:pt idx="15">
                  <c:v>0.12</c:v>
                </c:pt>
                <c:pt idx="16">
                  <c:v>0.12</c:v>
                </c:pt>
                <c:pt idx="17">
                  <c:v>0.12</c:v>
                </c:pt>
                <c:pt idx="18">
                  <c:v>0.12</c:v>
                </c:pt>
                <c:pt idx="19">
                  <c:v>0.12</c:v>
                </c:pt>
                <c:pt idx="20">
                  <c:v>0.12</c:v>
                </c:pt>
              </c:numCache>
            </c:numRef>
          </c:yVal>
          <c:smooth val="0"/>
          <c:extLst>
            <c:ext xmlns:c16="http://schemas.microsoft.com/office/drawing/2014/chart" uri="{C3380CC4-5D6E-409C-BE32-E72D297353CC}">
              <c16:uniqueId val="{00000001-8BF9-4813-912D-E40649EABFBB}"/>
            </c:ext>
          </c:extLst>
        </c:ser>
        <c:dLbls>
          <c:showLegendKey val="0"/>
          <c:showVal val="0"/>
          <c:showCatName val="0"/>
          <c:showSerName val="0"/>
          <c:showPercent val="0"/>
          <c:showBubbleSize val="0"/>
        </c:dLbls>
        <c:axId val="422281120"/>
        <c:axId val="422282296"/>
      </c:scatterChart>
      <c:valAx>
        <c:axId val="422281120"/>
        <c:scaling>
          <c:orientation val="minMax"/>
          <c:max val="21"/>
          <c:min val="1"/>
        </c:scaling>
        <c:delete val="0"/>
        <c:axPos val="b"/>
        <c:numFmt formatCode="0" sourceLinked="1"/>
        <c:majorTickMark val="out"/>
        <c:minorTickMark val="none"/>
        <c:tickLblPos val="nextTo"/>
        <c:crossAx val="422282296"/>
        <c:crosses val="autoZero"/>
        <c:crossBetween val="midCat"/>
      </c:valAx>
      <c:valAx>
        <c:axId val="422282296"/>
        <c:scaling>
          <c:orientation val="minMax"/>
        </c:scaling>
        <c:delete val="0"/>
        <c:axPos val="l"/>
        <c:majorGridlines/>
        <c:numFmt formatCode="0.000" sourceLinked="0"/>
        <c:majorTickMark val="out"/>
        <c:minorTickMark val="none"/>
        <c:tickLblPos val="nextTo"/>
        <c:crossAx val="422281120"/>
        <c:crosses val="autoZero"/>
        <c:crossBetween val="midCat"/>
      </c:valAx>
    </c:plotArea>
    <c:plotVisOnly val="1"/>
    <c:dispBlanksAs val="gap"/>
    <c:showDLblsOverMax val="0"/>
  </c:chart>
  <c:printSettings>
    <c:headerFooter/>
    <c:pageMargins b="0.75000000000000189" l="0.70000000000000062" r="0.70000000000000062" t="0.75000000000000189" header="0.30000000000000032" footer="0.30000000000000032"/>
    <c:pageSetup orientation="portrait"/>
  </c:printSettings>
  <c:userShapes r:id="rId1"/>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16885389326336"/>
          <c:y val="0.12367723583827325"/>
          <c:w val="0.81564283305597363"/>
          <c:h val="0.75108377116203751"/>
        </c:manualLayout>
      </c:layout>
      <c:scatterChart>
        <c:scatterStyle val="lineMarker"/>
        <c:varyColors val="0"/>
        <c:ser>
          <c:idx val="0"/>
          <c:order val="0"/>
          <c:tx>
            <c:strRef>
              <c:f>'CV Training Rule 3'!$AV$10</c:f>
              <c:strCache>
                <c:ptCount val="1"/>
                <c:pt idx="0">
                  <c:v>Average</c:v>
                </c:pt>
              </c:strCache>
            </c:strRef>
          </c:tx>
          <c:spPr>
            <a:ln w="0">
              <a:solidFill>
                <a:sysClr val="windowText" lastClr="000000"/>
              </a:solidFill>
            </a:ln>
          </c:spPr>
          <c:marker>
            <c:symbol val="x"/>
            <c:size val="6"/>
            <c:spPr>
              <a:noFill/>
              <a:ln w="15875">
                <a:solidFill>
                  <a:schemeClr val="tx1"/>
                </a:solidFill>
              </a:ln>
            </c:spPr>
          </c:marker>
          <c:xVal>
            <c:numRef>
              <c:f>'CV Training Rule 3'!$AQ$11:$AQ$19</c:f>
              <c:numCache>
                <c:formatCode>0</c:formatCode>
                <c:ptCount val="9"/>
                <c:pt idx="0">
                  <c:v>1</c:v>
                </c:pt>
                <c:pt idx="1">
                  <c:v>2</c:v>
                </c:pt>
                <c:pt idx="2">
                  <c:v>3</c:v>
                </c:pt>
                <c:pt idx="3">
                  <c:v>4</c:v>
                </c:pt>
                <c:pt idx="4">
                  <c:v>5</c:v>
                </c:pt>
                <c:pt idx="5">
                  <c:v>6</c:v>
                </c:pt>
                <c:pt idx="6">
                  <c:v>7</c:v>
                </c:pt>
                <c:pt idx="7" formatCode="General">
                  <c:v>8</c:v>
                </c:pt>
                <c:pt idx="8" formatCode="General">
                  <c:v>9</c:v>
                </c:pt>
              </c:numCache>
            </c:numRef>
          </c:xVal>
          <c:yVal>
            <c:numRef>
              <c:f>'CV Training Rule 3'!$AV$11:$AV$19</c:f>
              <c:numCache>
                <c:formatCode>0.00</c:formatCode>
                <c:ptCount val="9"/>
                <c:pt idx="0">
                  <c:v>27.135000000000002</c:v>
                </c:pt>
                <c:pt idx="1">
                  <c:v>26.825000000000003</c:v>
                </c:pt>
                <c:pt idx="2">
                  <c:v>27.005000000000003</c:v>
                </c:pt>
                <c:pt idx="3">
                  <c:v>26.93</c:v>
                </c:pt>
                <c:pt idx="4">
                  <c:v>26.9</c:v>
                </c:pt>
                <c:pt idx="5">
                  <c:v>26.939999999999998</c:v>
                </c:pt>
                <c:pt idx="6">
                  <c:v>26.979999999999997</c:v>
                </c:pt>
                <c:pt idx="7">
                  <c:v>26.86</c:v>
                </c:pt>
                <c:pt idx="8">
                  <c:v>26.93</c:v>
                </c:pt>
              </c:numCache>
            </c:numRef>
          </c:yVal>
          <c:smooth val="0"/>
          <c:extLst>
            <c:ext xmlns:c16="http://schemas.microsoft.com/office/drawing/2014/chart" uri="{C3380CC4-5D6E-409C-BE32-E72D297353CC}">
              <c16:uniqueId val="{00000000-528C-4DE4-977A-424961159DA7}"/>
            </c:ext>
          </c:extLst>
        </c:ser>
        <c:ser>
          <c:idx val="1"/>
          <c:order val="1"/>
          <c:tx>
            <c:strRef>
              <c:f>'CV Training Rule 3'!$I$21</c:f>
              <c:strCache>
                <c:ptCount val="1"/>
                <c:pt idx="0">
                  <c:v>-3s</c:v>
                </c:pt>
              </c:strCache>
            </c:strRef>
          </c:tx>
          <c:spPr>
            <a:ln w="22225">
              <a:solidFill>
                <a:srgbClr val="FF0000"/>
              </a:solidFill>
            </a:ln>
          </c:spPr>
          <c:marker>
            <c:symbol val="none"/>
          </c:marker>
          <c:xVal>
            <c:numRef>
              <c:f>'CV Training Rule 3'!$B$22:$B$42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3'!$I$22:$I$42</c:f>
              <c:numCache>
                <c:formatCode>0.00</c:formatCode>
                <c:ptCount val="21"/>
                <c:pt idx="0">
                  <c:v>26.787537881918869</c:v>
                </c:pt>
                <c:pt idx="1">
                  <c:v>26.787537881918869</c:v>
                </c:pt>
                <c:pt idx="2">
                  <c:v>26.787537881918869</c:v>
                </c:pt>
                <c:pt idx="3">
                  <c:v>26.787537881918869</c:v>
                </c:pt>
                <c:pt idx="4">
                  <c:v>26.787537881918869</c:v>
                </c:pt>
                <c:pt idx="5">
                  <c:v>26.787537881918869</c:v>
                </c:pt>
                <c:pt idx="6">
                  <c:v>26.787537881918869</c:v>
                </c:pt>
                <c:pt idx="7">
                  <c:v>26.787537881918869</c:v>
                </c:pt>
                <c:pt idx="8">
                  <c:v>26.787537881918869</c:v>
                </c:pt>
                <c:pt idx="9">
                  <c:v>26.787537881918869</c:v>
                </c:pt>
                <c:pt idx="10">
                  <c:v>26.787537881918869</c:v>
                </c:pt>
                <c:pt idx="11">
                  <c:v>26.787537881918869</c:v>
                </c:pt>
                <c:pt idx="12">
                  <c:v>26.787537881918869</c:v>
                </c:pt>
                <c:pt idx="13">
                  <c:v>26.787537881918869</c:v>
                </c:pt>
                <c:pt idx="14">
                  <c:v>26.787537881918869</c:v>
                </c:pt>
                <c:pt idx="15">
                  <c:v>26.787537881918869</c:v>
                </c:pt>
                <c:pt idx="16">
                  <c:v>26.787537881918869</c:v>
                </c:pt>
                <c:pt idx="17">
                  <c:v>26.787537881918869</c:v>
                </c:pt>
                <c:pt idx="18">
                  <c:v>26.787537881918869</c:v>
                </c:pt>
                <c:pt idx="19">
                  <c:v>26.787537881918869</c:v>
                </c:pt>
                <c:pt idx="20">
                  <c:v>26.787537881918869</c:v>
                </c:pt>
              </c:numCache>
            </c:numRef>
          </c:yVal>
          <c:smooth val="0"/>
          <c:extLst>
            <c:ext xmlns:c16="http://schemas.microsoft.com/office/drawing/2014/chart" uri="{C3380CC4-5D6E-409C-BE32-E72D297353CC}">
              <c16:uniqueId val="{00000001-528C-4DE4-977A-424961159DA7}"/>
            </c:ext>
          </c:extLst>
        </c:ser>
        <c:ser>
          <c:idx val="2"/>
          <c:order val="2"/>
          <c:tx>
            <c:strRef>
              <c:f>'CV Training Rule 3'!$J$21</c:f>
              <c:strCache>
                <c:ptCount val="1"/>
                <c:pt idx="0">
                  <c:v>-2s</c:v>
                </c:pt>
              </c:strCache>
            </c:strRef>
          </c:tx>
          <c:spPr>
            <a:ln w="22225">
              <a:solidFill>
                <a:schemeClr val="tx2">
                  <a:lumMod val="60000"/>
                  <a:lumOff val="40000"/>
                </a:schemeClr>
              </a:solidFill>
              <a:prstDash val="dashDot"/>
            </a:ln>
          </c:spPr>
          <c:marker>
            <c:symbol val="none"/>
          </c:marker>
          <c:xVal>
            <c:numRef>
              <c:f>'CV Training Rule 3'!$B$22:$B$42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3'!$J$22:$J$42</c:f>
              <c:numCache>
                <c:formatCode>0.00</c:formatCode>
                <c:ptCount val="21"/>
                <c:pt idx="0">
                  <c:v>26.863914143501468</c:v>
                </c:pt>
                <c:pt idx="1">
                  <c:v>26.863914143501468</c:v>
                </c:pt>
                <c:pt idx="2">
                  <c:v>26.863914143501468</c:v>
                </c:pt>
                <c:pt idx="3">
                  <c:v>26.863914143501468</c:v>
                </c:pt>
                <c:pt idx="4">
                  <c:v>26.863914143501468</c:v>
                </c:pt>
                <c:pt idx="5">
                  <c:v>26.863914143501468</c:v>
                </c:pt>
                <c:pt idx="6">
                  <c:v>26.863914143501468</c:v>
                </c:pt>
                <c:pt idx="7">
                  <c:v>26.863914143501468</c:v>
                </c:pt>
                <c:pt idx="8">
                  <c:v>26.863914143501468</c:v>
                </c:pt>
                <c:pt idx="9">
                  <c:v>26.863914143501468</c:v>
                </c:pt>
                <c:pt idx="10">
                  <c:v>26.863914143501468</c:v>
                </c:pt>
                <c:pt idx="11">
                  <c:v>26.863914143501468</c:v>
                </c:pt>
                <c:pt idx="12">
                  <c:v>26.863914143501468</c:v>
                </c:pt>
                <c:pt idx="13">
                  <c:v>26.863914143501468</c:v>
                </c:pt>
                <c:pt idx="14">
                  <c:v>26.863914143501468</c:v>
                </c:pt>
                <c:pt idx="15">
                  <c:v>26.863914143501468</c:v>
                </c:pt>
                <c:pt idx="16">
                  <c:v>26.863914143501468</c:v>
                </c:pt>
                <c:pt idx="17">
                  <c:v>26.863914143501468</c:v>
                </c:pt>
                <c:pt idx="18">
                  <c:v>26.863914143501468</c:v>
                </c:pt>
                <c:pt idx="19">
                  <c:v>26.863914143501468</c:v>
                </c:pt>
                <c:pt idx="20">
                  <c:v>26.863914143501468</c:v>
                </c:pt>
              </c:numCache>
            </c:numRef>
          </c:yVal>
          <c:smooth val="0"/>
          <c:extLst>
            <c:ext xmlns:c16="http://schemas.microsoft.com/office/drawing/2014/chart" uri="{C3380CC4-5D6E-409C-BE32-E72D297353CC}">
              <c16:uniqueId val="{00000002-528C-4DE4-977A-424961159DA7}"/>
            </c:ext>
          </c:extLst>
        </c:ser>
        <c:ser>
          <c:idx val="3"/>
          <c:order val="3"/>
          <c:tx>
            <c:strRef>
              <c:f>'CV Training Rule 3'!$K$21</c:f>
              <c:strCache>
                <c:ptCount val="1"/>
                <c:pt idx="0">
                  <c:v></c:v>
                </c:pt>
              </c:strCache>
            </c:strRef>
          </c:tx>
          <c:spPr>
            <a:ln w="22225">
              <a:solidFill>
                <a:srgbClr val="00B050"/>
              </a:solidFill>
              <a:prstDash val="lgDashDotDot"/>
            </a:ln>
          </c:spPr>
          <c:marker>
            <c:symbol val="none"/>
          </c:marker>
          <c:xVal>
            <c:numRef>
              <c:f>'CV Training Rule 3'!$B$22:$B$42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3'!$K$22:$K$42</c:f>
              <c:numCache>
                <c:formatCode>0.00</c:formatCode>
                <c:ptCount val="21"/>
                <c:pt idx="0">
                  <c:v>27.016666666666666</c:v>
                </c:pt>
                <c:pt idx="1">
                  <c:v>27.016666666666666</c:v>
                </c:pt>
                <c:pt idx="2">
                  <c:v>27.016666666666666</c:v>
                </c:pt>
                <c:pt idx="3">
                  <c:v>27.016666666666666</c:v>
                </c:pt>
                <c:pt idx="4">
                  <c:v>27.016666666666666</c:v>
                </c:pt>
                <c:pt idx="5">
                  <c:v>27.016666666666666</c:v>
                </c:pt>
                <c:pt idx="6">
                  <c:v>27.016666666666666</c:v>
                </c:pt>
                <c:pt idx="7">
                  <c:v>27.016666666666666</c:v>
                </c:pt>
                <c:pt idx="8">
                  <c:v>27.016666666666666</c:v>
                </c:pt>
                <c:pt idx="9">
                  <c:v>27.016666666666666</c:v>
                </c:pt>
                <c:pt idx="10">
                  <c:v>27.016666666666666</c:v>
                </c:pt>
                <c:pt idx="11">
                  <c:v>27.016666666666666</c:v>
                </c:pt>
                <c:pt idx="12">
                  <c:v>27.016666666666666</c:v>
                </c:pt>
                <c:pt idx="13">
                  <c:v>27.016666666666666</c:v>
                </c:pt>
                <c:pt idx="14">
                  <c:v>27.016666666666666</c:v>
                </c:pt>
                <c:pt idx="15">
                  <c:v>27.016666666666666</c:v>
                </c:pt>
                <c:pt idx="16">
                  <c:v>27.016666666666666</c:v>
                </c:pt>
                <c:pt idx="17">
                  <c:v>27.016666666666666</c:v>
                </c:pt>
                <c:pt idx="18">
                  <c:v>27.016666666666666</c:v>
                </c:pt>
                <c:pt idx="19">
                  <c:v>27.016666666666666</c:v>
                </c:pt>
                <c:pt idx="20">
                  <c:v>27.016666666666666</c:v>
                </c:pt>
              </c:numCache>
            </c:numRef>
          </c:yVal>
          <c:smooth val="0"/>
          <c:extLst>
            <c:ext xmlns:c16="http://schemas.microsoft.com/office/drawing/2014/chart" uri="{C3380CC4-5D6E-409C-BE32-E72D297353CC}">
              <c16:uniqueId val="{00000003-528C-4DE4-977A-424961159DA7}"/>
            </c:ext>
          </c:extLst>
        </c:ser>
        <c:ser>
          <c:idx val="4"/>
          <c:order val="4"/>
          <c:tx>
            <c:strRef>
              <c:f>'CV Training Rule 3'!$L$21</c:f>
              <c:strCache>
                <c:ptCount val="1"/>
                <c:pt idx="0">
                  <c:v>+2s</c:v>
                </c:pt>
              </c:strCache>
            </c:strRef>
          </c:tx>
          <c:spPr>
            <a:ln w="22225">
              <a:solidFill>
                <a:schemeClr val="tx2">
                  <a:lumMod val="60000"/>
                  <a:lumOff val="40000"/>
                </a:schemeClr>
              </a:solidFill>
              <a:prstDash val="dashDot"/>
            </a:ln>
          </c:spPr>
          <c:marker>
            <c:symbol val="none"/>
          </c:marker>
          <c:xVal>
            <c:numRef>
              <c:f>'CV Training Rule 3'!$B$22:$B$42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3'!$L$22:$L$42</c:f>
              <c:numCache>
                <c:formatCode>0.00</c:formatCode>
                <c:ptCount val="21"/>
                <c:pt idx="0">
                  <c:v>27.169419189831864</c:v>
                </c:pt>
                <c:pt idx="1">
                  <c:v>27.169419189831864</c:v>
                </c:pt>
                <c:pt idx="2">
                  <c:v>27.169419189831864</c:v>
                </c:pt>
                <c:pt idx="3">
                  <c:v>27.169419189831864</c:v>
                </c:pt>
                <c:pt idx="4">
                  <c:v>27.169419189831864</c:v>
                </c:pt>
                <c:pt idx="5">
                  <c:v>27.169419189831864</c:v>
                </c:pt>
                <c:pt idx="6">
                  <c:v>27.169419189831864</c:v>
                </c:pt>
                <c:pt idx="7">
                  <c:v>27.169419189831864</c:v>
                </c:pt>
                <c:pt idx="8">
                  <c:v>27.169419189831864</c:v>
                </c:pt>
                <c:pt idx="9">
                  <c:v>27.169419189831864</c:v>
                </c:pt>
                <c:pt idx="10">
                  <c:v>27.169419189831864</c:v>
                </c:pt>
                <c:pt idx="11">
                  <c:v>27.169419189831864</c:v>
                </c:pt>
                <c:pt idx="12">
                  <c:v>27.169419189831864</c:v>
                </c:pt>
                <c:pt idx="13">
                  <c:v>27.169419189831864</c:v>
                </c:pt>
                <c:pt idx="14">
                  <c:v>27.169419189831864</c:v>
                </c:pt>
                <c:pt idx="15">
                  <c:v>27.169419189831864</c:v>
                </c:pt>
                <c:pt idx="16">
                  <c:v>27.169419189831864</c:v>
                </c:pt>
                <c:pt idx="17">
                  <c:v>27.169419189831864</c:v>
                </c:pt>
                <c:pt idx="18">
                  <c:v>27.169419189831864</c:v>
                </c:pt>
                <c:pt idx="19">
                  <c:v>27.169419189831864</c:v>
                </c:pt>
                <c:pt idx="20">
                  <c:v>27.169419189831864</c:v>
                </c:pt>
              </c:numCache>
            </c:numRef>
          </c:yVal>
          <c:smooth val="0"/>
          <c:extLst>
            <c:ext xmlns:c16="http://schemas.microsoft.com/office/drawing/2014/chart" uri="{C3380CC4-5D6E-409C-BE32-E72D297353CC}">
              <c16:uniqueId val="{00000004-528C-4DE4-977A-424961159DA7}"/>
            </c:ext>
          </c:extLst>
        </c:ser>
        <c:ser>
          <c:idx val="5"/>
          <c:order val="5"/>
          <c:tx>
            <c:strRef>
              <c:f>'CV Training Rule 3'!$M$21</c:f>
              <c:strCache>
                <c:ptCount val="1"/>
                <c:pt idx="0">
                  <c:v>+3s</c:v>
                </c:pt>
              </c:strCache>
            </c:strRef>
          </c:tx>
          <c:spPr>
            <a:ln w="22225">
              <a:solidFill>
                <a:srgbClr val="FF0000"/>
              </a:solidFill>
              <a:prstDash val="solid"/>
            </a:ln>
          </c:spPr>
          <c:marker>
            <c:symbol val="none"/>
          </c:marker>
          <c:xVal>
            <c:numRef>
              <c:f>'CV Training Rule 3'!$B$22:$B$42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3'!$M$22:$M$42</c:f>
              <c:numCache>
                <c:formatCode>0.00</c:formatCode>
                <c:ptCount val="21"/>
                <c:pt idx="0">
                  <c:v>27.245795451414462</c:v>
                </c:pt>
                <c:pt idx="1">
                  <c:v>27.245795451414462</c:v>
                </c:pt>
                <c:pt idx="2">
                  <c:v>27.245795451414462</c:v>
                </c:pt>
                <c:pt idx="3">
                  <c:v>27.245795451414462</c:v>
                </c:pt>
                <c:pt idx="4">
                  <c:v>27.245795451414462</c:v>
                </c:pt>
                <c:pt idx="5">
                  <c:v>27.245795451414462</c:v>
                </c:pt>
                <c:pt idx="6">
                  <c:v>27.245795451414462</c:v>
                </c:pt>
                <c:pt idx="7">
                  <c:v>27.245795451414462</c:v>
                </c:pt>
                <c:pt idx="8">
                  <c:v>27.245795451414462</c:v>
                </c:pt>
                <c:pt idx="9">
                  <c:v>27.245795451414462</c:v>
                </c:pt>
                <c:pt idx="10">
                  <c:v>27.245795451414462</c:v>
                </c:pt>
                <c:pt idx="11">
                  <c:v>27.245795451414462</c:v>
                </c:pt>
                <c:pt idx="12">
                  <c:v>27.245795451414462</c:v>
                </c:pt>
                <c:pt idx="13">
                  <c:v>27.245795451414462</c:v>
                </c:pt>
                <c:pt idx="14">
                  <c:v>27.245795451414462</c:v>
                </c:pt>
                <c:pt idx="15">
                  <c:v>27.245795451414462</c:v>
                </c:pt>
                <c:pt idx="16">
                  <c:v>27.245795451414462</c:v>
                </c:pt>
                <c:pt idx="17">
                  <c:v>27.245795451414462</c:v>
                </c:pt>
                <c:pt idx="18">
                  <c:v>27.245795451414462</c:v>
                </c:pt>
                <c:pt idx="19">
                  <c:v>27.245795451414462</c:v>
                </c:pt>
                <c:pt idx="20">
                  <c:v>27.245795451414462</c:v>
                </c:pt>
              </c:numCache>
            </c:numRef>
          </c:yVal>
          <c:smooth val="0"/>
          <c:extLst>
            <c:ext xmlns:c16="http://schemas.microsoft.com/office/drawing/2014/chart" uri="{C3380CC4-5D6E-409C-BE32-E72D297353CC}">
              <c16:uniqueId val="{00000005-528C-4DE4-977A-424961159DA7}"/>
            </c:ext>
          </c:extLst>
        </c:ser>
        <c:dLbls>
          <c:showLegendKey val="0"/>
          <c:showVal val="0"/>
          <c:showCatName val="0"/>
          <c:showSerName val="0"/>
          <c:showPercent val="0"/>
          <c:showBubbleSize val="0"/>
        </c:dLbls>
        <c:axId val="422286608"/>
        <c:axId val="422282688"/>
      </c:scatterChart>
      <c:valAx>
        <c:axId val="422286608"/>
        <c:scaling>
          <c:orientation val="minMax"/>
          <c:max val="21"/>
          <c:min val="1"/>
        </c:scaling>
        <c:delete val="0"/>
        <c:axPos val="b"/>
        <c:numFmt formatCode="0" sourceLinked="1"/>
        <c:majorTickMark val="out"/>
        <c:minorTickMark val="none"/>
        <c:tickLblPos val="nextTo"/>
        <c:crossAx val="422282688"/>
        <c:crosses val="autoZero"/>
        <c:crossBetween val="midCat"/>
      </c:valAx>
      <c:valAx>
        <c:axId val="422282688"/>
        <c:scaling>
          <c:orientation val="minMax"/>
        </c:scaling>
        <c:delete val="0"/>
        <c:axPos val="l"/>
        <c:majorGridlines/>
        <c:numFmt formatCode="0.00" sourceLinked="1"/>
        <c:majorTickMark val="out"/>
        <c:minorTickMark val="none"/>
        <c:tickLblPos val="nextTo"/>
        <c:crossAx val="422286608"/>
        <c:crosses val="autoZero"/>
        <c:crossBetween val="midCat"/>
      </c:valAx>
    </c:plotArea>
    <c:plotVisOnly val="1"/>
    <c:dispBlanksAs val="gap"/>
    <c:showDLblsOverMax val="0"/>
  </c:chart>
  <c:printSettings>
    <c:headerFooter/>
    <c:pageMargins b="0.74803149606299391" l="0.70866141732283672" r="0.70866141732283672" t="0.74803149606299391" header="0.3149606299212615" footer="0.3149606299212615"/>
    <c:pageSetup orientation="landscape"/>
  </c:printSettings>
  <c:userShapes r:id="rId1"/>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08849645464696"/>
          <c:y val="0.17632961957914792"/>
          <c:w val="0.83562551468258284"/>
          <c:h val="0.64932992998192229"/>
        </c:manualLayout>
      </c:layout>
      <c:scatterChart>
        <c:scatterStyle val="lineMarker"/>
        <c:varyColors val="0"/>
        <c:ser>
          <c:idx val="0"/>
          <c:order val="0"/>
          <c:tx>
            <c:strRef>
              <c:f>'CV Training Rule 3'!$AC$10</c:f>
              <c:strCache>
                <c:ptCount val="1"/>
                <c:pt idx="0">
                  <c:v>Range</c:v>
                </c:pt>
              </c:strCache>
            </c:strRef>
          </c:tx>
          <c:spPr>
            <a:ln w="12700">
              <a:solidFill>
                <a:sysClr val="windowText" lastClr="000000"/>
              </a:solidFill>
            </a:ln>
          </c:spPr>
          <c:marker>
            <c:symbol val="x"/>
            <c:size val="6"/>
            <c:spPr>
              <a:ln w="15875">
                <a:solidFill>
                  <a:sysClr val="windowText" lastClr="000000"/>
                </a:solidFill>
              </a:ln>
            </c:spPr>
          </c:marker>
          <c:xVal>
            <c:numRef>
              <c:f>'CV Training Rule 3'!$W$11:$W$19</c:f>
              <c:numCache>
                <c:formatCode>0</c:formatCode>
                <c:ptCount val="9"/>
                <c:pt idx="0">
                  <c:v>1</c:v>
                </c:pt>
                <c:pt idx="1">
                  <c:v>2</c:v>
                </c:pt>
                <c:pt idx="2">
                  <c:v>3</c:v>
                </c:pt>
                <c:pt idx="3">
                  <c:v>4</c:v>
                </c:pt>
                <c:pt idx="4">
                  <c:v>5</c:v>
                </c:pt>
                <c:pt idx="5">
                  <c:v>6</c:v>
                </c:pt>
                <c:pt idx="6">
                  <c:v>7</c:v>
                </c:pt>
                <c:pt idx="7">
                  <c:v>8</c:v>
                </c:pt>
                <c:pt idx="8">
                  <c:v>9</c:v>
                </c:pt>
              </c:numCache>
            </c:numRef>
          </c:xVal>
          <c:yVal>
            <c:numRef>
              <c:f>'CV Training Rule 3'!$AC$11:$AC$19</c:f>
              <c:numCache>
                <c:formatCode>0.00</c:formatCode>
                <c:ptCount val="9"/>
                <c:pt idx="0">
                  <c:v>1.0000000000001563E-2</c:v>
                </c:pt>
                <c:pt idx="1">
                  <c:v>9.9999999999997868E-2</c:v>
                </c:pt>
                <c:pt idx="2">
                  <c:v>7.0000000000000284E-2</c:v>
                </c:pt>
                <c:pt idx="3">
                  <c:v>1.0000000000001563E-2</c:v>
                </c:pt>
                <c:pt idx="4">
                  <c:v>7.0000000000000284E-2</c:v>
                </c:pt>
                <c:pt idx="5">
                  <c:v>1.9999999999999574E-2</c:v>
                </c:pt>
                <c:pt idx="6">
                  <c:v>6.0000000000002274E-2</c:v>
                </c:pt>
                <c:pt idx="7">
                  <c:v>9.9999999999997868E-2</c:v>
                </c:pt>
                <c:pt idx="8">
                  <c:v>1.9999999999999574E-2</c:v>
                </c:pt>
              </c:numCache>
            </c:numRef>
          </c:yVal>
          <c:smooth val="0"/>
          <c:extLst>
            <c:ext xmlns:c16="http://schemas.microsoft.com/office/drawing/2014/chart" uri="{C3380CC4-5D6E-409C-BE32-E72D297353CC}">
              <c16:uniqueId val="{00000000-AEF0-491C-968A-01D30F8AB6BA}"/>
            </c:ext>
          </c:extLst>
        </c:ser>
        <c:ser>
          <c:idx val="1"/>
          <c:order val="1"/>
          <c:tx>
            <c:strRef>
              <c:f>'CV Training Rule 3'!$N$21</c:f>
              <c:strCache>
                <c:ptCount val="1"/>
                <c:pt idx="0">
                  <c:v>Range Limit</c:v>
                </c:pt>
              </c:strCache>
            </c:strRef>
          </c:tx>
          <c:spPr>
            <a:ln w="22225">
              <a:solidFill>
                <a:srgbClr val="FF0000"/>
              </a:solidFill>
            </a:ln>
          </c:spPr>
          <c:marker>
            <c:symbol val="none"/>
          </c:marker>
          <c:xVal>
            <c:numRef>
              <c:f>'CV Training Rule 3'!$B$22:$B$42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3'!$N$22:$N$42</c:f>
              <c:numCache>
                <c:formatCode>0.00</c:formatCode>
                <c:ptCount val="21"/>
                <c:pt idx="0">
                  <c:v>0.12</c:v>
                </c:pt>
                <c:pt idx="1">
                  <c:v>0.12</c:v>
                </c:pt>
                <c:pt idx="2">
                  <c:v>0.12</c:v>
                </c:pt>
                <c:pt idx="3">
                  <c:v>0.12</c:v>
                </c:pt>
                <c:pt idx="4">
                  <c:v>0.12</c:v>
                </c:pt>
                <c:pt idx="5">
                  <c:v>0.12</c:v>
                </c:pt>
                <c:pt idx="6">
                  <c:v>0.12</c:v>
                </c:pt>
                <c:pt idx="7">
                  <c:v>0.12</c:v>
                </c:pt>
                <c:pt idx="8">
                  <c:v>0.12</c:v>
                </c:pt>
                <c:pt idx="9">
                  <c:v>0.12</c:v>
                </c:pt>
                <c:pt idx="10">
                  <c:v>0.12</c:v>
                </c:pt>
                <c:pt idx="11">
                  <c:v>0.12</c:v>
                </c:pt>
                <c:pt idx="12">
                  <c:v>0.12</c:v>
                </c:pt>
                <c:pt idx="13">
                  <c:v>0.12</c:v>
                </c:pt>
                <c:pt idx="14">
                  <c:v>0.12</c:v>
                </c:pt>
                <c:pt idx="15">
                  <c:v>0.12</c:v>
                </c:pt>
                <c:pt idx="16">
                  <c:v>0.12</c:v>
                </c:pt>
                <c:pt idx="17">
                  <c:v>0.12</c:v>
                </c:pt>
                <c:pt idx="18">
                  <c:v>0.12</c:v>
                </c:pt>
                <c:pt idx="19">
                  <c:v>0.12</c:v>
                </c:pt>
                <c:pt idx="20">
                  <c:v>0.12</c:v>
                </c:pt>
              </c:numCache>
            </c:numRef>
          </c:yVal>
          <c:smooth val="0"/>
          <c:extLst>
            <c:ext xmlns:c16="http://schemas.microsoft.com/office/drawing/2014/chart" uri="{C3380CC4-5D6E-409C-BE32-E72D297353CC}">
              <c16:uniqueId val="{00000001-AEF0-491C-968A-01D30F8AB6BA}"/>
            </c:ext>
          </c:extLst>
        </c:ser>
        <c:dLbls>
          <c:showLegendKey val="0"/>
          <c:showVal val="0"/>
          <c:showCatName val="0"/>
          <c:showSerName val="0"/>
          <c:showPercent val="0"/>
          <c:showBubbleSize val="0"/>
        </c:dLbls>
        <c:axId val="422283472"/>
        <c:axId val="422279552"/>
      </c:scatterChart>
      <c:valAx>
        <c:axId val="422283472"/>
        <c:scaling>
          <c:orientation val="minMax"/>
          <c:max val="21"/>
          <c:min val="1"/>
        </c:scaling>
        <c:delete val="0"/>
        <c:axPos val="b"/>
        <c:numFmt formatCode="0" sourceLinked="1"/>
        <c:majorTickMark val="out"/>
        <c:minorTickMark val="none"/>
        <c:tickLblPos val="nextTo"/>
        <c:crossAx val="422279552"/>
        <c:crosses val="autoZero"/>
        <c:crossBetween val="midCat"/>
      </c:valAx>
      <c:valAx>
        <c:axId val="422279552"/>
        <c:scaling>
          <c:orientation val="minMax"/>
        </c:scaling>
        <c:delete val="0"/>
        <c:axPos val="l"/>
        <c:majorGridlines/>
        <c:numFmt formatCode="0.000" sourceLinked="0"/>
        <c:majorTickMark val="out"/>
        <c:minorTickMark val="none"/>
        <c:tickLblPos val="nextTo"/>
        <c:crossAx val="422283472"/>
        <c:crosses val="autoZero"/>
        <c:crossBetween val="midCat"/>
      </c:valAx>
    </c:plotArea>
    <c:plotVisOnly val="1"/>
    <c:dispBlanksAs val="gap"/>
    <c:showDLblsOverMax val="0"/>
  </c:chart>
  <c:printSettings>
    <c:headerFooter/>
    <c:pageMargins b="0.75000000000000211" l="0.70000000000000062" r="0.70000000000000062" t="0.75000000000000211" header="0.30000000000000032" footer="0.30000000000000032"/>
    <c:pageSetup orientation="portrait"/>
  </c:printSettings>
  <c:userShapes r:id="rId1"/>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16885389326336"/>
          <c:y val="0.12367723583827325"/>
          <c:w val="0.81564283305597363"/>
          <c:h val="0.75108377116203751"/>
        </c:manualLayout>
      </c:layout>
      <c:scatterChart>
        <c:scatterStyle val="lineMarker"/>
        <c:varyColors val="0"/>
        <c:ser>
          <c:idx val="0"/>
          <c:order val="0"/>
          <c:tx>
            <c:strRef>
              <c:f>'CV Training Rule 4'!$AC$10</c:f>
              <c:strCache>
                <c:ptCount val="1"/>
                <c:pt idx="0">
                  <c:v>Average</c:v>
                </c:pt>
              </c:strCache>
            </c:strRef>
          </c:tx>
          <c:spPr>
            <a:ln w="0">
              <a:solidFill>
                <a:sysClr val="windowText" lastClr="000000"/>
              </a:solidFill>
            </a:ln>
          </c:spPr>
          <c:marker>
            <c:symbol val="x"/>
            <c:size val="6"/>
            <c:spPr>
              <a:noFill/>
              <a:ln w="15875">
                <a:solidFill>
                  <a:schemeClr val="tx1"/>
                </a:solidFill>
              </a:ln>
            </c:spPr>
          </c:marker>
          <c:xVal>
            <c:numRef>
              <c:f>'CV Training Rule 4'!$X$11:$X$17</c:f>
              <c:numCache>
                <c:formatCode>0</c:formatCode>
                <c:ptCount val="7"/>
                <c:pt idx="0">
                  <c:v>1</c:v>
                </c:pt>
                <c:pt idx="1">
                  <c:v>2</c:v>
                </c:pt>
                <c:pt idx="2">
                  <c:v>3</c:v>
                </c:pt>
                <c:pt idx="3">
                  <c:v>4</c:v>
                </c:pt>
                <c:pt idx="4">
                  <c:v>5</c:v>
                </c:pt>
                <c:pt idx="5">
                  <c:v>6</c:v>
                </c:pt>
                <c:pt idx="6">
                  <c:v>7</c:v>
                </c:pt>
              </c:numCache>
            </c:numRef>
          </c:xVal>
          <c:yVal>
            <c:numRef>
              <c:f>'CV Training Rule 4'!$AC$11:$AC$17</c:f>
              <c:numCache>
                <c:formatCode>0.00</c:formatCode>
                <c:ptCount val="7"/>
                <c:pt idx="0">
                  <c:v>26.994999999999997</c:v>
                </c:pt>
                <c:pt idx="1">
                  <c:v>27.1</c:v>
                </c:pt>
                <c:pt idx="2">
                  <c:v>27.009999999999998</c:v>
                </c:pt>
                <c:pt idx="3">
                  <c:v>26.990000000000002</c:v>
                </c:pt>
                <c:pt idx="4">
                  <c:v>26.939999999999998</c:v>
                </c:pt>
                <c:pt idx="5">
                  <c:v>26.89</c:v>
                </c:pt>
                <c:pt idx="6">
                  <c:v>26.869999999999997</c:v>
                </c:pt>
              </c:numCache>
            </c:numRef>
          </c:yVal>
          <c:smooth val="0"/>
          <c:extLst>
            <c:ext xmlns:c16="http://schemas.microsoft.com/office/drawing/2014/chart" uri="{C3380CC4-5D6E-409C-BE32-E72D297353CC}">
              <c16:uniqueId val="{00000000-E9BF-4349-857F-EC06F0EA0378}"/>
            </c:ext>
          </c:extLst>
        </c:ser>
        <c:ser>
          <c:idx val="1"/>
          <c:order val="1"/>
          <c:tx>
            <c:strRef>
              <c:f>'CV Training Rule 4'!$I$21</c:f>
              <c:strCache>
                <c:ptCount val="1"/>
                <c:pt idx="0">
                  <c:v>-3s</c:v>
                </c:pt>
              </c:strCache>
            </c:strRef>
          </c:tx>
          <c:spPr>
            <a:ln w="22225">
              <a:solidFill>
                <a:srgbClr val="FF0000"/>
              </a:solidFill>
            </a:ln>
          </c:spPr>
          <c:marker>
            <c:symbol val="none"/>
          </c:marker>
          <c:xVal>
            <c:numRef>
              <c:f>'CV Training Rule 4'!$B$22:$B$42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4'!$I$22:$I$42</c:f>
              <c:numCache>
                <c:formatCode>0.00</c:formatCode>
                <c:ptCount val="21"/>
                <c:pt idx="0">
                  <c:v>26.787537881918869</c:v>
                </c:pt>
                <c:pt idx="1">
                  <c:v>26.787537881918869</c:v>
                </c:pt>
                <c:pt idx="2">
                  <c:v>26.787537881918869</c:v>
                </c:pt>
                <c:pt idx="3">
                  <c:v>26.787537881918869</c:v>
                </c:pt>
                <c:pt idx="4">
                  <c:v>26.787537881918869</c:v>
                </c:pt>
                <c:pt idx="5">
                  <c:v>26.787537881918869</c:v>
                </c:pt>
                <c:pt idx="6">
                  <c:v>26.787537881918869</c:v>
                </c:pt>
                <c:pt idx="7">
                  <c:v>26.787537881918869</c:v>
                </c:pt>
                <c:pt idx="8">
                  <c:v>26.787537881918869</c:v>
                </c:pt>
                <c:pt idx="9">
                  <c:v>26.787537881918869</c:v>
                </c:pt>
                <c:pt idx="10">
                  <c:v>26.787537881918869</c:v>
                </c:pt>
                <c:pt idx="11">
                  <c:v>26.787537881918869</c:v>
                </c:pt>
                <c:pt idx="12">
                  <c:v>26.787537881918869</c:v>
                </c:pt>
                <c:pt idx="13">
                  <c:v>26.787537881918869</c:v>
                </c:pt>
                <c:pt idx="14">
                  <c:v>26.787537881918869</c:v>
                </c:pt>
                <c:pt idx="15">
                  <c:v>26.787537881918869</c:v>
                </c:pt>
                <c:pt idx="16">
                  <c:v>26.787537881918869</c:v>
                </c:pt>
                <c:pt idx="17">
                  <c:v>26.787537881918869</c:v>
                </c:pt>
                <c:pt idx="18">
                  <c:v>26.787537881918869</c:v>
                </c:pt>
                <c:pt idx="19">
                  <c:v>26.787537881918869</c:v>
                </c:pt>
                <c:pt idx="20">
                  <c:v>26.787537881918869</c:v>
                </c:pt>
              </c:numCache>
            </c:numRef>
          </c:yVal>
          <c:smooth val="0"/>
          <c:extLst>
            <c:ext xmlns:c16="http://schemas.microsoft.com/office/drawing/2014/chart" uri="{C3380CC4-5D6E-409C-BE32-E72D297353CC}">
              <c16:uniqueId val="{00000001-E9BF-4349-857F-EC06F0EA0378}"/>
            </c:ext>
          </c:extLst>
        </c:ser>
        <c:ser>
          <c:idx val="2"/>
          <c:order val="2"/>
          <c:tx>
            <c:strRef>
              <c:f>'CV Training Rule 4'!$J$21</c:f>
              <c:strCache>
                <c:ptCount val="1"/>
                <c:pt idx="0">
                  <c:v>-2s</c:v>
                </c:pt>
              </c:strCache>
            </c:strRef>
          </c:tx>
          <c:spPr>
            <a:ln w="22225">
              <a:solidFill>
                <a:schemeClr val="tx2">
                  <a:lumMod val="60000"/>
                  <a:lumOff val="40000"/>
                </a:schemeClr>
              </a:solidFill>
              <a:prstDash val="dashDot"/>
            </a:ln>
          </c:spPr>
          <c:marker>
            <c:symbol val="none"/>
          </c:marker>
          <c:xVal>
            <c:numRef>
              <c:f>'CV Training Rule 4'!$B$22:$B$42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4'!$J$22:$J$42</c:f>
              <c:numCache>
                <c:formatCode>0.00</c:formatCode>
                <c:ptCount val="21"/>
                <c:pt idx="0">
                  <c:v>26.863914143501468</c:v>
                </c:pt>
                <c:pt idx="1">
                  <c:v>26.863914143501468</c:v>
                </c:pt>
                <c:pt idx="2">
                  <c:v>26.863914143501468</c:v>
                </c:pt>
                <c:pt idx="3">
                  <c:v>26.863914143501468</c:v>
                </c:pt>
                <c:pt idx="4">
                  <c:v>26.863914143501468</c:v>
                </c:pt>
                <c:pt idx="5">
                  <c:v>26.863914143501468</c:v>
                </c:pt>
                <c:pt idx="6">
                  <c:v>26.863914143501468</c:v>
                </c:pt>
                <c:pt idx="7">
                  <c:v>26.863914143501468</c:v>
                </c:pt>
                <c:pt idx="8">
                  <c:v>26.863914143501468</c:v>
                </c:pt>
                <c:pt idx="9">
                  <c:v>26.863914143501468</c:v>
                </c:pt>
                <c:pt idx="10">
                  <c:v>26.863914143501468</c:v>
                </c:pt>
                <c:pt idx="11">
                  <c:v>26.863914143501468</c:v>
                </c:pt>
                <c:pt idx="12">
                  <c:v>26.863914143501468</c:v>
                </c:pt>
                <c:pt idx="13">
                  <c:v>26.863914143501468</c:v>
                </c:pt>
                <c:pt idx="14">
                  <c:v>26.863914143501468</c:v>
                </c:pt>
                <c:pt idx="15">
                  <c:v>26.863914143501468</c:v>
                </c:pt>
                <c:pt idx="16">
                  <c:v>26.863914143501468</c:v>
                </c:pt>
                <c:pt idx="17">
                  <c:v>26.863914143501468</c:v>
                </c:pt>
                <c:pt idx="18">
                  <c:v>26.863914143501468</c:v>
                </c:pt>
                <c:pt idx="19">
                  <c:v>26.863914143501468</c:v>
                </c:pt>
                <c:pt idx="20">
                  <c:v>26.863914143501468</c:v>
                </c:pt>
              </c:numCache>
            </c:numRef>
          </c:yVal>
          <c:smooth val="0"/>
          <c:extLst>
            <c:ext xmlns:c16="http://schemas.microsoft.com/office/drawing/2014/chart" uri="{C3380CC4-5D6E-409C-BE32-E72D297353CC}">
              <c16:uniqueId val="{00000002-E9BF-4349-857F-EC06F0EA0378}"/>
            </c:ext>
          </c:extLst>
        </c:ser>
        <c:ser>
          <c:idx val="3"/>
          <c:order val="3"/>
          <c:tx>
            <c:strRef>
              <c:f>'CV Training Rule 4'!$K$21</c:f>
              <c:strCache>
                <c:ptCount val="1"/>
                <c:pt idx="0">
                  <c:v></c:v>
                </c:pt>
              </c:strCache>
            </c:strRef>
          </c:tx>
          <c:spPr>
            <a:ln w="22225">
              <a:solidFill>
                <a:srgbClr val="00B050"/>
              </a:solidFill>
              <a:prstDash val="lgDashDotDot"/>
            </a:ln>
          </c:spPr>
          <c:marker>
            <c:symbol val="none"/>
          </c:marker>
          <c:xVal>
            <c:numRef>
              <c:f>'CV Training Rule 4'!$B$22:$B$42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4'!$K$22:$K$42</c:f>
              <c:numCache>
                <c:formatCode>0.00</c:formatCode>
                <c:ptCount val="21"/>
                <c:pt idx="0">
                  <c:v>27.016666666666666</c:v>
                </c:pt>
                <c:pt idx="1">
                  <c:v>27.016666666666666</c:v>
                </c:pt>
                <c:pt idx="2">
                  <c:v>27.016666666666666</c:v>
                </c:pt>
                <c:pt idx="3">
                  <c:v>27.016666666666666</c:v>
                </c:pt>
                <c:pt idx="4">
                  <c:v>27.016666666666666</c:v>
                </c:pt>
                <c:pt idx="5">
                  <c:v>27.016666666666666</c:v>
                </c:pt>
                <c:pt idx="6">
                  <c:v>27.016666666666666</c:v>
                </c:pt>
                <c:pt idx="7">
                  <c:v>27.016666666666666</c:v>
                </c:pt>
                <c:pt idx="8">
                  <c:v>27.016666666666666</c:v>
                </c:pt>
                <c:pt idx="9">
                  <c:v>27.016666666666666</c:v>
                </c:pt>
                <c:pt idx="10">
                  <c:v>27.016666666666666</c:v>
                </c:pt>
                <c:pt idx="11">
                  <c:v>27.016666666666666</c:v>
                </c:pt>
                <c:pt idx="12">
                  <c:v>27.016666666666666</c:v>
                </c:pt>
                <c:pt idx="13">
                  <c:v>27.016666666666666</c:v>
                </c:pt>
                <c:pt idx="14">
                  <c:v>27.016666666666666</c:v>
                </c:pt>
                <c:pt idx="15">
                  <c:v>27.016666666666666</c:v>
                </c:pt>
                <c:pt idx="16">
                  <c:v>27.016666666666666</c:v>
                </c:pt>
                <c:pt idx="17">
                  <c:v>27.016666666666666</c:v>
                </c:pt>
                <c:pt idx="18">
                  <c:v>27.016666666666666</c:v>
                </c:pt>
                <c:pt idx="19">
                  <c:v>27.016666666666666</c:v>
                </c:pt>
                <c:pt idx="20">
                  <c:v>27.016666666666666</c:v>
                </c:pt>
              </c:numCache>
            </c:numRef>
          </c:yVal>
          <c:smooth val="0"/>
          <c:extLst>
            <c:ext xmlns:c16="http://schemas.microsoft.com/office/drawing/2014/chart" uri="{C3380CC4-5D6E-409C-BE32-E72D297353CC}">
              <c16:uniqueId val="{00000003-E9BF-4349-857F-EC06F0EA0378}"/>
            </c:ext>
          </c:extLst>
        </c:ser>
        <c:ser>
          <c:idx val="4"/>
          <c:order val="4"/>
          <c:tx>
            <c:strRef>
              <c:f>'CV Training Rule 4'!$L$21</c:f>
              <c:strCache>
                <c:ptCount val="1"/>
                <c:pt idx="0">
                  <c:v>+2s</c:v>
                </c:pt>
              </c:strCache>
            </c:strRef>
          </c:tx>
          <c:spPr>
            <a:ln w="22225">
              <a:solidFill>
                <a:schemeClr val="tx2">
                  <a:lumMod val="60000"/>
                  <a:lumOff val="40000"/>
                </a:schemeClr>
              </a:solidFill>
              <a:prstDash val="dashDot"/>
            </a:ln>
          </c:spPr>
          <c:marker>
            <c:symbol val="none"/>
          </c:marker>
          <c:xVal>
            <c:numRef>
              <c:f>'CV Training Rule 4'!$B$22:$B$42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4'!$L$22:$L$42</c:f>
              <c:numCache>
                <c:formatCode>0.00</c:formatCode>
                <c:ptCount val="21"/>
                <c:pt idx="0">
                  <c:v>27.169419189831864</c:v>
                </c:pt>
                <c:pt idx="1">
                  <c:v>27.169419189831864</c:v>
                </c:pt>
                <c:pt idx="2">
                  <c:v>27.169419189831864</c:v>
                </c:pt>
                <c:pt idx="3">
                  <c:v>27.169419189831864</c:v>
                </c:pt>
                <c:pt idx="4">
                  <c:v>27.169419189831864</c:v>
                </c:pt>
                <c:pt idx="5">
                  <c:v>27.169419189831864</c:v>
                </c:pt>
                <c:pt idx="6">
                  <c:v>27.169419189831864</c:v>
                </c:pt>
                <c:pt idx="7">
                  <c:v>27.169419189831864</c:v>
                </c:pt>
                <c:pt idx="8">
                  <c:v>27.169419189831864</c:v>
                </c:pt>
                <c:pt idx="9">
                  <c:v>27.169419189831864</c:v>
                </c:pt>
                <c:pt idx="10">
                  <c:v>27.169419189831864</c:v>
                </c:pt>
                <c:pt idx="11">
                  <c:v>27.169419189831864</c:v>
                </c:pt>
                <c:pt idx="12">
                  <c:v>27.169419189831864</c:v>
                </c:pt>
                <c:pt idx="13">
                  <c:v>27.169419189831864</c:v>
                </c:pt>
                <c:pt idx="14">
                  <c:v>27.169419189831864</c:v>
                </c:pt>
                <c:pt idx="15">
                  <c:v>27.169419189831864</c:v>
                </c:pt>
                <c:pt idx="16">
                  <c:v>27.169419189831864</c:v>
                </c:pt>
                <c:pt idx="17">
                  <c:v>27.169419189831864</c:v>
                </c:pt>
                <c:pt idx="18">
                  <c:v>27.169419189831864</c:v>
                </c:pt>
                <c:pt idx="19">
                  <c:v>27.169419189831864</c:v>
                </c:pt>
                <c:pt idx="20">
                  <c:v>27.169419189831864</c:v>
                </c:pt>
              </c:numCache>
            </c:numRef>
          </c:yVal>
          <c:smooth val="0"/>
          <c:extLst>
            <c:ext xmlns:c16="http://schemas.microsoft.com/office/drawing/2014/chart" uri="{C3380CC4-5D6E-409C-BE32-E72D297353CC}">
              <c16:uniqueId val="{00000004-E9BF-4349-857F-EC06F0EA0378}"/>
            </c:ext>
          </c:extLst>
        </c:ser>
        <c:ser>
          <c:idx val="5"/>
          <c:order val="5"/>
          <c:tx>
            <c:strRef>
              <c:f>'CV Training Rule 4'!$M$21</c:f>
              <c:strCache>
                <c:ptCount val="1"/>
                <c:pt idx="0">
                  <c:v>+3s</c:v>
                </c:pt>
              </c:strCache>
            </c:strRef>
          </c:tx>
          <c:spPr>
            <a:ln w="22225">
              <a:solidFill>
                <a:srgbClr val="FF0000"/>
              </a:solidFill>
              <a:prstDash val="solid"/>
            </a:ln>
          </c:spPr>
          <c:marker>
            <c:symbol val="none"/>
          </c:marker>
          <c:xVal>
            <c:numRef>
              <c:f>'CV Training Rule 4'!$B$22:$B$42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4'!$M$22:$M$42</c:f>
              <c:numCache>
                <c:formatCode>0.00</c:formatCode>
                <c:ptCount val="21"/>
                <c:pt idx="0">
                  <c:v>27.245795451414462</c:v>
                </c:pt>
                <c:pt idx="1">
                  <c:v>27.245795451414462</c:v>
                </c:pt>
                <c:pt idx="2">
                  <c:v>27.245795451414462</c:v>
                </c:pt>
                <c:pt idx="3">
                  <c:v>27.245795451414462</c:v>
                </c:pt>
                <c:pt idx="4">
                  <c:v>27.245795451414462</c:v>
                </c:pt>
                <c:pt idx="5">
                  <c:v>27.245795451414462</c:v>
                </c:pt>
                <c:pt idx="6">
                  <c:v>27.245795451414462</c:v>
                </c:pt>
                <c:pt idx="7">
                  <c:v>27.245795451414462</c:v>
                </c:pt>
                <c:pt idx="8">
                  <c:v>27.245795451414462</c:v>
                </c:pt>
                <c:pt idx="9">
                  <c:v>27.245795451414462</c:v>
                </c:pt>
                <c:pt idx="10">
                  <c:v>27.245795451414462</c:v>
                </c:pt>
                <c:pt idx="11">
                  <c:v>27.245795451414462</c:v>
                </c:pt>
                <c:pt idx="12">
                  <c:v>27.245795451414462</c:v>
                </c:pt>
                <c:pt idx="13">
                  <c:v>27.245795451414462</c:v>
                </c:pt>
                <c:pt idx="14">
                  <c:v>27.245795451414462</c:v>
                </c:pt>
                <c:pt idx="15">
                  <c:v>27.245795451414462</c:v>
                </c:pt>
                <c:pt idx="16">
                  <c:v>27.245795451414462</c:v>
                </c:pt>
                <c:pt idx="17">
                  <c:v>27.245795451414462</c:v>
                </c:pt>
                <c:pt idx="18">
                  <c:v>27.245795451414462</c:v>
                </c:pt>
                <c:pt idx="19">
                  <c:v>27.245795451414462</c:v>
                </c:pt>
                <c:pt idx="20">
                  <c:v>27.245795451414462</c:v>
                </c:pt>
              </c:numCache>
            </c:numRef>
          </c:yVal>
          <c:smooth val="0"/>
          <c:extLst>
            <c:ext xmlns:c16="http://schemas.microsoft.com/office/drawing/2014/chart" uri="{C3380CC4-5D6E-409C-BE32-E72D297353CC}">
              <c16:uniqueId val="{00000005-E9BF-4349-857F-EC06F0EA0378}"/>
            </c:ext>
          </c:extLst>
        </c:ser>
        <c:dLbls>
          <c:showLegendKey val="0"/>
          <c:showVal val="0"/>
          <c:showCatName val="0"/>
          <c:showSerName val="0"/>
          <c:showPercent val="0"/>
          <c:showBubbleSize val="0"/>
        </c:dLbls>
        <c:axId val="422284648"/>
        <c:axId val="422283864"/>
      </c:scatterChart>
      <c:valAx>
        <c:axId val="422284648"/>
        <c:scaling>
          <c:orientation val="minMax"/>
          <c:max val="21"/>
          <c:min val="1"/>
        </c:scaling>
        <c:delete val="0"/>
        <c:axPos val="b"/>
        <c:numFmt formatCode="0" sourceLinked="1"/>
        <c:majorTickMark val="out"/>
        <c:minorTickMark val="none"/>
        <c:tickLblPos val="nextTo"/>
        <c:crossAx val="422283864"/>
        <c:crosses val="autoZero"/>
        <c:crossBetween val="midCat"/>
      </c:valAx>
      <c:valAx>
        <c:axId val="422283864"/>
        <c:scaling>
          <c:orientation val="minMax"/>
        </c:scaling>
        <c:delete val="0"/>
        <c:axPos val="l"/>
        <c:majorGridlines/>
        <c:numFmt formatCode="0.00" sourceLinked="1"/>
        <c:majorTickMark val="out"/>
        <c:minorTickMark val="none"/>
        <c:tickLblPos val="nextTo"/>
        <c:crossAx val="422284648"/>
        <c:crosses val="autoZero"/>
        <c:crossBetween val="midCat"/>
      </c:valAx>
    </c:plotArea>
    <c:plotVisOnly val="1"/>
    <c:dispBlanksAs val="gap"/>
    <c:showDLblsOverMax val="0"/>
  </c:chart>
  <c:printSettings>
    <c:headerFooter/>
    <c:pageMargins b="0.74803149606299391" l="0.70866141732283672" r="0.70866141732283672" t="0.74803149606299391" header="0.3149606299212615" footer="0.3149606299212615"/>
    <c:pageSetup orientation="landscape"/>
  </c:printSettings>
  <c:userShapes r:id="rId1"/>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08849645464696"/>
          <c:y val="0.17632961957914792"/>
          <c:w val="0.83562551468258284"/>
          <c:h val="0.64932992998192229"/>
        </c:manualLayout>
      </c:layout>
      <c:scatterChart>
        <c:scatterStyle val="lineMarker"/>
        <c:varyColors val="0"/>
        <c:ser>
          <c:idx val="0"/>
          <c:order val="0"/>
          <c:tx>
            <c:strRef>
              <c:f>'CV Training Rule 4'!$AD$10</c:f>
              <c:strCache>
                <c:ptCount val="1"/>
                <c:pt idx="0">
                  <c:v>Range</c:v>
                </c:pt>
              </c:strCache>
            </c:strRef>
          </c:tx>
          <c:spPr>
            <a:ln w="12700">
              <a:solidFill>
                <a:sysClr val="windowText" lastClr="000000"/>
              </a:solidFill>
            </a:ln>
          </c:spPr>
          <c:marker>
            <c:symbol val="x"/>
            <c:size val="6"/>
            <c:spPr>
              <a:ln w="15875">
                <a:solidFill>
                  <a:sysClr val="windowText" lastClr="000000"/>
                </a:solidFill>
              </a:ln>
            </c:spPr>
          </c:marker>
          <c:xVal>
            <c:numRef>
              <c:f>'CV Training Rule 4'!$X$11:$X$17</c:f>
              <c:numCache>
                <c:formatCode>0</c:formatCode>
                <c:ptCount val="7"/>
                <c:pt idx="0">
                  <c:v>1</c:v>
                </c:pt>
                <c:pt idx="1">
                  <c:v>2</c:v>
                </c:pt>
                <c:pt idx="2">
                  <c:v>3</c:v>
                </c:pt>
                <c:pt idx="3">
                  <c:v>4</c:v>
                </c:pt>
                <c:pt idx="4">
                  <c:v>5</c:v>
                </c:pt>
                <c:pt idx="5">
                  <c:v>6</c:v>
                </c:pt>
                <c:pt idx="6">
                  <c:v>7</c:v>
                </c:pt>
              </c:numCache>
            </c:numRef>
          </c:xVal>
          <c:yVal>
            <c:numRef>
              <c:f>'CV Training Rule 4'!$AD$11:$AD$17</c:f>
              <c:numCache>
                <c:formatCode>0.00</c:formatCode>
                <c:ptCount val="7"/>
                <c:pt idx="0">
                  <c:v>1.0000000000001563E-2</c:v>
                </c:pt>
                <c:pt idx="1">
                  <c:v>9.9999999999997868E-2</c:v>
                </c:pt>
                <c:pt idx="2">
                  <c:v>1.9999999999999574E-2</c:v>
                </c:pt>
                <c:pt idx="3">
                  <c:v>1.9999999999999574E-2</c:v>
                </c:pt>
                <c:pt idx="4">
                  <c:v>1.9999999999999574E-2</c:v>
                </c:pt>
                <c:pt idx="5">
                  <c:v>1.9999999999999574E-2</c:v>
                </c:pt>
                <c:pt idx="6">
                  <c:v>5.9999999999998721E-2</c:v>
                </c:pt>
              </c:numCache>
            </c:numRef>
          </c:yVal>
          <c:smooth val="0"/>
          <c:extLst>
            <c:ext xmlns:c16="http://schemas.microsoft.com/office/drawing/2014/chart" uri="{C3380CC4-5D6E-409C-BE32-E72D297353CC}">
              <c16:uniqueId val="{00000000-ED6B-4DA4-86F8-1870A9E937AF}"/>
            </c:ext>
          </c:extLst>
        </c:ser>
        <c:ser>
          <c:idx val="1"/>
          <c:order val="1"/>
          <c:tx>
            <c:strRef>
              <c:f>'CV Training Rule 4'!$N$21</c:f>
              <c:strCache>
                <c:ptCount val="1"/>
                <c:pt idx="0">
                  <c:v>Range Limit</c:v>
                </c:pt>
              </c:strCache>
            </c:strRef>
          </c:tx>
          <c:spPr>
            <a:ln w="22225">
              <a:solidFill>
                <a:srgbClr val="FF0000"/>
              </a:solidFill>
            </a:ln>
          </c:spPr>
          <c:marker>
            <c:symbol val="none"/>
          </c:marker>
          <c:xVal>
            <c:numRef>
              <c:f>'CV Training Rule 4'!$B$22:$B$42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4'!$N$22:$N$42</c:f>
              <c:numCache>
                <c:formatCode>0.00</c:formatCode>
                <c:ptCount val="21"/>
                <c:pt idx="0">
                  <c:v>0.12</c:v>
                </c:pt>
                <c:pt idx="1">
                  <c:v>0.12</c:v>
                </c:pt>
                <c:pt idx="2">
                  <c:v>0.12</c:v>
                </c:pt>
                <c:pt idx="3">
                  <c:v>0.12</c:v>
                </c:pt>
                <c:pt idx="4">
                  <c:v>0.12</c:v>
                </c:pt>
                <c:pt idx="5">
                  <c:v>0.12</c:v>
                </c:pt>
                <c:pt idx="6">
                  <c:v>0.12</c:v>
                </c:pt>
                <c:pt idx="7">
                  <c:v>0.12</c:v>
                </c:pt>
                <c:pt idx="8">
                  <c:v>0.12</c:v>
                </c:pt>
                <c:pt idx="9">
                  <c:v>0.12</c:v>
                </c:pt>
                <c:pt idx="10">
                  <c:v>0.12</c:v>
                </c:pt>
                <c:pt idx="11">
                  <c:v>0.12</c:v>
                </c:pt>
                <c:pt idx="12">
                  <c:v>0.12</c:v>
                </c:pt>
                <c:pt idx="13">
                  <c:v>0.12</c:v>
                </c:pt>
                <c:pt idx="14">
                  <c:v>0.12</c:v>
                </c:pt>
                <c:pt idx="15">
                  <c:v>0.12</c:v>
                </c:pt>
                <c:pt idx="16">
                  <c:v>0.12</c:v>
                </c:pt>
                <c:pt idx="17">
                  <c:v>0.12</c:v>
                </c:pt>
                <c:pt idx="18">
                  <c:v>0.12</c:v>
                </c:pt>
                <c:pt idx="19">
                  <c:v>0.12</c:v>
                </c:pt>
                <c:pt idx="20">
                  <c:v>0.12</c:v>
                </c:pt>
              </c:numCache>
            </c:numRef>
          </c:yVal>
          <c:smooth val="0"/>
          <c:extLst>
            <c:ext xmlns:c16="http://schemas.microsoft.com/office/drawing/2014/chart" uri="{C3380CC4-5D6E-409C-BE32-E72D297353CC}">
              <c16:uniqueId val="{00000001-ED6B-4DA4-86F8-1870A9E937AF}"/>
            </c:ext>
          </c:extLst>
        </c:ser>
        <c:dLbls>
          <c:showLegendKey val="0"/>
          <c:showVal val="0"/>
          <c:showCatName val="0"/>
          <c:showSerName val="0"/>
          <c:showPercent val="0"/>
          <c:showBubbleSize val="0"/>
        </c:dLbls>
        <c:axId val="422285432"/>
        <c:axId val="721565696"/>
      </c:scatterChart>
      <c:valAx>
        <c:axId val="422285432"/>
        <c:scaling>
          <c:orientation val="minMax"/>
          <c:max val="21"/>
          <c:min val="1"/>
        </c:scaling>
        <c:delete val="0"/>
        <c:axPos val="b"/>
        <c:numFmt formatCode="0" sourceLinked="1"/>
        <c:majorTickMark val="out"/>
        <c:minorTickMark val="none"/>
        <c:tickLblPos val="nextTo"/>
        <c:crossAx val="721565696"/>
        <c:crosses val="autoZero"/>
        <c:crossBetween val="midCat"/>
      </c:valAx>
      <c:valAx>
        <c:axId val="721565696"/>
        <c:scaling>
          <c:orientation val="minMax"/>
        </c:scaling>
        <c:delete val="0"/>
        <c:axPos val="l"/>
        <c:majorGridlines/>
        <c:numFmt formatCode="0.000" sourceLinked="0"/>
        <c:majorTickMark val="out"/>
        <c:minorTickMark val="none"/>
        <c:tickLblPos val="nextTo"/>
        <c:crossAx val="422285432"/>
        <c:crosses val="autoZero"/>
        <c:crossBetween val="midCat"/>
      </c:valAx>
    </c:plotArea>
    <c:plotVisOnly val="1"/>
    <c:dispBlanksAs val="gap"/>
    <c:showDLblsOverMax val="0"/>
  </c:chart>
  <c:printSettings>
    <c:headerFooter/>
    <c:pageMargins b="0.75000000000000211" l="0.70000000000000062" r="0.70000000000000062" t="0.75000000000000211" header="0.30000000000000032" footer="0.30000000000000032"/>
    <c:pageSetup orientation="portrait"/>
  </c:printSettings>
  <c:userShapes r:id="rId1"/>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16885389326336"/>
          <c:y val="0.12367723583827328"/>
          <c:w val="0.81564283305597385"/>
          <c:h val="0.75108377116203751"/>
        </c:manualLayout>
      </c:layout>
      <c:scatterChart>
        <c:scatterStyle val="lineMarker"/>
        <c:varyColors val="0"/>
        <c:ser>
          <c:idx val="0"/>
          <c:order val="0"/>
          <c:tx>
            <c:strRef>
              <c:f>'CV Training Rule 4'!$AW$10</c:f>
              <c:strCache>
                <c:ptCount val="1"/>
                <c:pt idx="0">
                  <c:v>Average</c:v>
                </c:pt>
              </c:strCache>
            </c:strRef>
          </c:tx>
          <c:spPr>
            <a:ln w="0">
              <a:solidFill>
                <a:sysClr val="windowText" lastClr="000000"/>
              </a:solidFill>
            </a:ln>
          </c:spPr>
          <c:marker>
            <c:symbol val="x"/>
            <c:size val="6"/>
            <c:spPr>
              <a:noFill/>
              <a:ln w="15875">
                <a:solidFill>
                  <a:schemeClr val="tx1"/>
                </a:solidFill>
              </a:ln>
            </c:spPr>
          </c:marker>
          <c:xVal>
            <c:numRef>
              <c:f>'CV Training Rule 4'!$AR$11:$AR$17</c:f>
              <c:numCache>
                <c:formatCode>0</c:formatCode>
                <c:ptCount val="7"/>
                <c:pt idx="0">
                  <c:v>1</c:v>
                </c:pt>
                <c:pt idx="1">
                  <c:v>2</c:v>
                </c:pt>
                <c:pt idx="2">
                  <c:v>3</c:v>
                </c:pt>
                <c:pt idx="3">
                  <c:v>4</c:v>
                </c:pt>
                <c:pt idx="4">
                  <c:v>5</c:v>
                </c:pt>
                <c:pt idx="5">
                  <c:v>6</c:v>
                </c:pt>
                <c:pt idx="6">
                  <c:v>7</c:v>
                </c:pt>
              </c:numCache>
            </c:numRef>
          </c:xVal>
          <c:yVal>
            <c:numRef>
              <c:f>'CV Training Rule 4'!$AW$11:$AW$17</c:f>
              <c:numCache>
                <c:formatCode>0.00</c:formatCode>
                <c:ptCount val="7"/>
                <c:pt idx="0">
                  <c:v>27.05</c:v>
                </c:pt>
                <c:pt idx="1">
                  <c:v>26.89</c:v>
                </c:pt>
                <c:pt idx="2">
                  <c:v>26.939999999999998</c:v>
                </c:pt>
                <c:pt idx="3">
                  <c:v>26.990000000000002</c:v>
                </c:pt>
                <c:pt idx="4">
                  <c:v>27.020000000000003</c:v>
                </c:pt>
                <c:pt idx="5">
                  <c:v>27.064999999999998</c:v>
                </c:pt>
                <c:pt idx="6">
                  <c:v>27.15</c:v>
                </c:pt>
              </c:numCache>
            </c:numRef>
          </c:yVal>
          <c:smooth val="0"/>
          <c:extLst>
            <c:ext xmlns:c16="http://schemas.microsoft.com/office/drawing/2014/chart" uri="{C3380CC4-5D6E-409C-BE32-E72D297353CC}">
              <c16:uniqueId val="{00000000-B605-462B-9254-206211C03527}"/>
            </c:ext>
          </c:extLst>
        </c:ser>
        <c:ser>
          <c:idx val="1"/>
          <c:order val="1"/>
          <c:tx>
            <c:strRef>
              <c:f>'CV Training Rule 4'!$I$21</c:f>
              <c:strCache>
                <c:ptCount val="1"/>
                <c:pt idx="0">
                  <c:v>-3s</c:v>
                </c:pt>
              </c:strCache>
            </c:strRef>
          </c:tx>
          <c:spPr>
            <a:ln w="22225">
              <a:solidFill>
                <a:srgbClr val="FF0000"/>
              </a:solidFill>
            </a:ln>
          </c:spPr>
          <c:marker>
            <c:symbol val="none"/>
          </c:marker>
          <c:xVal>
            <c:numRef>
              <c:f>'CV Training Rule 4'!$B$22:$B$42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4'!$I$22:$I$42</c:f>
              <c:numCache>
                <c:formatCode>0.00</c:formatCode>
                <c:ptCount val="21"/>
                <c:pt idx="0">
                  <c:v>26.787537881918869</c:v>
                </c:pt>
                <c:pt idx="1">
                  <c:v>26.787537881918869</c:v>
                </c:pt>
                <c:pt idx="2">
                  <c:v>26.787537881918869</c:v>
                </c:pt>
                <c:pt idx="3">
                  <c:v>26.787537881918869</c:v>
                </c:pt>
                <c:pt idx="4">
                  <c:v>26.787537881918869</c:v>
                </c:pt>
                <c:pt idx="5">
                  <c:v>26.787537881918869</c:v>
                </c:pt>
                <c:pt idx="6">
                  <c:v>26.787537881918869</c:v>
                </c:pt>
                <c:pt idx="7">
                  <c:v>26.787537881918869</c:v>
                </c:pt>
                <c:pt idx="8">
                  <c:v>26.787537881918869</c:v>
                </c:pt>
                <c:pt idx="9">
                  <c:v>26.787537881918869</c:v>
                </c:pt>
                <c:pt idx="10">
                  <c:v>26.787537881918869</c:v>
                </c:pt>
                <c:pt idx="11">
                  <c:v>26.787537881918869</c:v>
                </c:pt>
                <c:pt idx="12">
                  <c:v>26.787537881918869</c:v>
                </c:pt>
                <c:pt idx="13">
                  <c:v>26.787537881918869</c:v>
                </c:pt>
                <c:pt idx="14">
                  <c:v>26.787537881918869</c:v>
                </c:pt>
                <c:pt idx="15">
                  <c:v>26.787537881918869</c:v>
                </c:pt>
                <c:pt idx="16">
                  <c:v>26.787537881918869</c:v>
                </c:pt>
                <c:pt idx="17">
                  <c:v>26.787537881918869</c:v>
                </c:pt>
                <c:pt idx="18">
                  <c:v>26.787537881918869</c:v>
                </c:pt>
                <c:pt idx="19">
                  <c:v>26.787537881918869</c:v>
                </c:pt>
                <c:pt idx="20">
                  <c:v>26.787537881918869</c:v>
                </c:pt>
              </c:numCache>
            </c:numRef>
          </c:yVal>
          <c:smooth val="0"/>
          <c:extLst>
            <c:ext xmlns:c16="http://schemas.microsoft.com/office/drawing/2014/chart" uri="{C3380CC4-5D6E-409C-BE32-E72D297353CC}">
              <c16:uniqueId val="{00000001-B605-462B-9254-206211C03527}"/>
            </c:ext>
          </c:extLst>
        </c:ser>
        <c:ser>
          <c:idx val="2"/>
          <c:order val="2"/>
          <c:tx>
            <c:strRef>
              <c:f>'CV Training Rule 4'!$J$21</c:f>
              <c:strCache>
                <c:ptCount val="1"/>
                <c:pt idx="0">
                  <c:v>-2s</c:v>
                </c:pt>
              </c:strCache>
            </c:strRef>
          </c:tx>
          <c:spPr>
            <a:ln w="22225">
              <a:solidFill>
                <a:schemeClr val="tx2">
                  <a:lumMod val="60000"/>
                  <a:lumOff val="40000"/>
                </a:schemeClr>
              </a:solidFill>
              <a:prstDash val="dashDot"/>
            </a:ln>
          </c:spPr>
          <c:marker>
            <c:symbol val="none"/>
          </c:marker>
          <c:xVal>
            <c:numRef>
              <c:f>'CV Training Rule 4'!$B$22:$B$42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4'!$J$22:$J$42</c:f>
              <c:numCache>
                <c:formatCode>0.00</c:formatCode>
                <c:ptCount val="21"/>
                <c:pt idx="0">
                  <c:v>26.863914143501468</c:v>
                </c:pt>
                <c:pt idx="1">
                  <c:v>26.863914143501468</c:v>
                </c:pt>
                <c:pt idx="2">
                  <c:v>26.863914143501468</c:v>
                </c:pt>
                <c:pt idx="3">
                  <c:v>26.863914143501468</c:v>
                </c:pt>
                <c:pt idx="4">
                  <c:v>26.863914143501468</c:v>
                </c:pt>
                <c:pt idx="5">
                  <c:v>26.863914143501468</c:v>
                </c:pt>
                <c:pt idx="6">
                  <c:v>26.863914143501468</c:v>
                </c:pt>
                <c:pt idx="7">
                  <c:v>26.863914143501468</c:v>
                </c:pt>
                <c:pt idx="8">
                  <c:v>26.863914143501468</c:v>
                </c:pt>
                <c:pt idx="9">
                  <c:v>26.863914143501468</c:v>
                </c:pt>
                <c:pt idx="10">
                  <c:v>26.863914143501468</c:v>
                </c:pt>
                <c:pt idx="11">
                  <c:v>26.863914143501468</c:v>
                </c:pt>
                <c:pt idx="12">
                  <c:v>26.863914143501468</c:v>
                </c:pt>
                <c:pt idx="13">
                  <c:v>26.863914143501468</c:v>
                </c:pt>
                <c:pt idx="14">
                  <c:v>26.863914143501468</c:v>
                </c:pt>
                <c:pt idx="15">
                  <c:v>26.863914143501468</c:v>
                </c:pt>
                <c:pt idx="16">
                  <c:v>26.863914143501468</c:v>
                </c:pt>
                <c:pt idx="17">
                  <c:v>26.863914143501468</c:v>
                </c:pt>
                <c:pt idx="18">
                  <c:v>26.863914143501468</c:v>
                </c:pt>
                <c:pt idx="19">
                  <c:v>26.863914143501468</c:v>
                </c:pt>
                <c:pt idx="20">
                  <c:v>26.863914143501468</c:v>
                </c:pt>
              </c:numCache>
            </c:numRef>
          </c:yVal>
          <c:smooth val="0"/>
          <c:extLst>
            <c:ext xmlns:c16="http://schemas.microsoft.com/office/drawing/2014/chart" uri="{C3380CC4-5D6E-409C-BE32-E72D297353CC}">
              <c16:uniqueId val="{00000002-B605-462B-9254-206211C03527}"/>
            </c:ext>
          </c:extLst>
        </c:ser>
        <c:ser>
          <c:idx val="3"/>
          <c:order val="3"/>
          <c:tx>
            <c:strRef>
              <c:f>'CV Training Rule 4'!$K$21</c:f>
              <c:strCache>
                <c:ptCount val="1"/>
                <c:pt idx="0">
                  <c:v></c:v>
                </c:pt>
              </c:strCache>
            </c:strRef>
          </c:tx>
          <c:spPr>
            <a:ln w="22225">
              <a:solidFill>
                <a:srgbClr val="00B050"/>
              </a:solidFill>
              <a:prstDash val="lgDashDotDot"/>
            </a:ln>
          </c:spPr>
          <c:marker>
            <c:symbol val="none"/>
          </c:marker>
          <c:xVal>
            <c:numRef>
              <c:f>'CV Training Rule 4'!$B$22:$B$42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4'!$K$22:$K$42</c:f>
              <c:numCache>
                <c:formatCode>0.00</c:formatCode>
                <c:ptCount val="21"/>
                <c:pt idx="0">
                  <c:v>27.016666666666666</c:v>
                </c:pt>
                <c:pt idx="1">
                  <c:v>27.016666666666666</c:v>
                </c:pt>
                <c:pt idx="2">
                  <c:v>27.016666666666666</c:v>
                </c:pt>
                <c:pt idx="3">
                  <c:v>27.016666666666666</c:v>
                </c:pt>
                <c:pt idx="4">
                  <c:v>27.016666666666666</c:v>
                </c:pt>
                <c:pt idx="5">
                  <c:v>27.016666666666666</c:v>
                </c:pt>
                <c:pt idx="6">
                  <c:v>27.016666666666666</c:v>
                </c:pt>
                <c:pt idx="7">
                  <c:v>27.016666666666666</c:v>
                </c:pt>
                <c:pt idx="8">
                  <c:v>27.016666666666666</c:v>
                </c:pt>
                <c:pt idx="9">
                  <c:v>27.016666666666666</c:v>
                </c:pt>
                <c:pt idx="10">
                  <c:v>27.016666666666666</c:v>
                </c:pt>
                <c:pt idx="11">
                  <c:v>27.016666666666666</c:v>
                </c:pt>
                <c:pt idx="12">
                  <c:v>27.016666666666666</c:v>
                </c:pt>
                <c:pt idx="13">
                  <c:v>27.016666666666666</c:v>
                </c:pt>
                <c:pt idx="14">
                  <c:v>27.016666666666666</c:v>
                </c:pt>
                <c:pt idx="15">
                  <c:v>27.016666666666666</c:v>
                </c:pt>
                <c:pt idx="16">
                  <c:v>27.016666666666666</c:v>
                </c:pt>
                <c:pt idx="17">
                  <c:v>27.016666666666666</c:v>
                </c:pt>
                <c:pt idx="18">
                  <c:v>27.016666666666666</c:v>
                </c:pt>
                <c:pt idx="19">
                  <c:v>27.016666666666666</c:v>
                </c:pt>
                <c:pt idx="20">
                  <c:v>27.016666666666666</c:v>
                </c:pt>
              </c:numCache>
            </c:numRef>
          </c:yVal>
          <c:smooth val="0"/>
          <c:extLst>
            <c:ext xmlns:c16="http://schemas.microsoft.com/office/drawing/2014/chart" uri="{C3380CC4-5D6E-409C-BE32-E72D297353CC}">
              <c16:uniqueId val="{00000003-B605-462B-9254-206211C03527}"/>
            </c:ext>
          </c:extLst>
        </c:ser>
        <c:ser>
          <c:idx val="4"/>
          <c:order val="4"/>
          <c:tx>
            <c:strRef>
              <c:f>'CV Training Rule 4'!$L$21</c:f>
              <c:strCache>
                <c:ptCount val="1"/>
                <c:pt idx="0">
                  <c:v>+2s</c:v>
                </c:pt>
              </c:strCache>
            </c:strRef>
          </c:tx>
          <c:spPr>
            <a:ln w="22225">
              <a:solidFill>
                <a:schemeClr val="tx2">
                  <a:lumMod val="60000"/>
                  <a:lumOff val="40000"/>
                </a:schemeClr>
              </a:solidFill>
              <a:prstDash val="dashDot"/>
            </a:ln>
          </c:spPr>
          <c:marker>
            <c:symbol val="none"/>
          </c:marker>
          <c:xVal>
            <c:numRef>
              <c:f>'CV Training Rule 4'!$B$22:$B$42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4'!$L$22:$L$42</c:f>
              <c:numCache>
                <c:formatCode>0.00</c:formatCode>
                <c:ptCount val="21"/>
                <c:pt idx="0">
                  <c:v>27.169419189831864</c:v>
                </c:pt>
                <c:pt idx="1">
                  <c:v>27.169419189831864</c:v>
                </c:pt>
                <c:pt idx="2">
                  <c:v>27.169419189831864</c:v>
                </c:pt>
                <c:pt idx="3">
                  <c:v>27.169419189831864</c:v>
                </c:pt>
                <c:pt idx="4">
                  <c:v>27.169419189831864</c:v>
                </c:pt>
                <c:pt idx="5">
                  <c:v>27.169419189831864</c:v>
                </c:pt>
                <c:pt idx="6">
                  <c:v>27.169419189831864</c:v>
                </c:pt>
                <c:pt idx="7">
                  <c:v>27.169419189831864</c:v>
                </c:pt>
                <c:pt idx="8">
                  <c:v>27.169419189831864</c:v>
                </c:pt>
                <c:pt idx="9">
                  <c:v>27.169419189831864</c:v>
                </c:pt>
                <c:pt idx="10">
                  <c:v>27.169419189831864</c:v>
                </c:pt>
                <c:pt idx="11">
                  <c:v>27.169419189831864</c:v>
                </c:pt>
                <c:pt idx="12">
                  <c:v>27.169419189831864</c:v>
                </c:pt>
                <c:pt idx="13">
                  <c:v>27.169419189831864</c:v>
                </c:pt>
                <c:pt idx="14">
                  <c:v>27.169419189831864</c:v>
                </c:pt>
                <c:pt idx="15">
                  <c:v>27.169419189831864</c:v>
                </c:pt>
                <c:pt idx="16">
                  <c:v>27.169419189831864</c:v>
                </c:pt>
                <c:pt idx="17">
                  <c:v>27.169419189831864</c:v>
                </c:pt>
                <c:pt idx="18">
                  <c:v>27.169419189831864</c:v>
                </c:pt>
                <c:pt idx="19">
                  <c:v>27.169419189831864</c:v>
                </c:pt>
                <c:pt idx="20">
                  <c:v>27.169419189831864</c:v>
                </c:pt>
              </c:numCache>
            </c:numRef>
          </c:yVal>
          <c:smooth val="0"/>
          <c:extLst>
            <c:ext xmlns:c16="http://schemas.microsoft.com/office/drawing/2014/chart" uri="{C3380CC4-5D6E-409C-BE32-E72D297353CC}">
              <c16:uniqueId val="{00000004-B605-462B-9254-206211C03527}"/>
            </c:ext>
          </c:extLst>
        </c:ser>
        <c:ser>
          <c:idx val="5"/>
          <c:order val="5"/>
          <c:tx>
            <c:strRef>
              <c:f>'CV Training Rule 4'!$M$21</c:f>
              <c:strCache>
                <c:ptCount val="1"/>
                <c:pt idx="0">
                  <c:v>+3s</c:v>
                </c:pt>
              </c:strCache>
            </c:strRef>
          </c:tx>
          <c:spPr>
            <a:ln w="22225">
              <a:solidFill>
                <a:srgbClr val="FF0000"/>
              </a:solidFill>
              <a:prstDash val="solid"/>
            </a:ln>
          </c:spPr>
          <c:marker>
            <c:symbol val="none"/>
          </c:marker>
          <c:xVal>
            <c:numRef>
              <c:f>'CV Training Rule 4'!$B$22:$B$42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4'!$M$22:$M$42</c:f>
              <c:numCache>
                <c:formatCode>0.00</c:formatCode>
                <c:ptCount val="21"/>
                <c:pt idx="0">
                  <c:v>27.245795451414462</c:v>
                </c:pt>
                <c:pt idx="1">
                  <c:v>27.245795451414462</c:v>
                </c:pt>
                <c:pt idx="2">
                  <c:v>27.245795451414462</c:v>
                </c:pt>
                <c:pt idx="3">
                  <c:v>27.245795451414462</c:v>
                </c:pt>
                <c:pt idx="4">
                  <c:v>27.245795451414462</c:v>
                </c:pt>
                <c:pt idx="5">
                  <c:v>27.245795451414462</c:v>
                </c:pt>
                <c:pt idx="6">
                  <c:v>27.245795451414462</c:v>
                </c:pt>
                <c:pt idx="7">
                  <c:v>27.245795451414462</c:v>
                </c:pt>
                <c:pt idx="8">
                  <c:v>27.245795451414462</c:v>
                </c:pt>
                <c:pt idx="9">
                  <c:v>27.245795451414462</c:v>
                </c:pt>
                <c:pt idx="10">
                  <c:v>27.245795451414462</c:v>
                </c:pt>
                <c:pt idx="11">
                  <c:v>27.245795451414462</c:v>
                </c:pt>
                <c:pt idx="12">
                  <c:v>27.245795451414462</c:v>
                </c:pt>
                <c:pt idx="13">
                  <c:v>27.245795451414462</c:v>
                </c:pt>
                <c:pt idx="14">
                  <c:v>27.245795451414462</c:v>
                </c:pt>
                <c:pt idx="15">
                  <c:v>27.245795451414462</c:v>
                </c:pt>
                <c:pt idx="16">
                  <c:v>27.245795451414462</c:v>
                </c:pt>
                <c:pt idx="17">
                  <c:v>27.245795451414462</c:v>
                </c:pt>
                <c:pt idx="18">
                  <c:v>27.245795451414462</c:v>
                </c:pt>
                <c:pt idx="19">
                  <c:v>27.245795451414462</c:v>
                </c:pt>
                <c:pt idx="20">
                  <c:v>27.245795451414462</c:v>
                </c:pt>
              </c:numCache>
            </c:numRef>
          </c:yVal>
          <c:smooth val="0"/>
          <c:extLst>
            <c:ext xmlns:c16="http://schemas.microsoft.com/office/drawing/2014/chart" uri="{C3380CC4-5D6E-409C-BE32-E72D297353CC}">
              <c16:uniqueId val="{00000005-B605-462B-9254-206211C03527}"/>
            </c:ext>
          </c:extLst>
        </c:ser>
        <c:dLbls>
          <c:showLegendKey val="0"/>
          <c:showVal val="0"/>
          <c:showCatName val="0"/>
          <c:showSerName val="0"/>
          <c:showPercent val="0"/>
          <c:showBubbleSize val="0"/>
        </c:dLbls>
        <c:axId val="721566088"/>
        <c:axId val="721555896"/>
      </c:scatterChart>
      <c:valAx>
        <c:axId val="721566088"/>
        <c:scaling>
          <c:orientation val="minMax"/>
          <c:max val="21"/>
          <c:min val="1"/>
        </c:scaling>
        <c:delete val="0"/>
        <c:axPos val="b"/>
        <c:numFmt formatCode="0" sourceLinked="1"/>
        <c:majorTickMark val="out"/>
        <c:minorTickMark val="none"/>
        <c:tickLblPos val="nextTo"/>
        <c:crossAx val="721555896"/>
        <c:crosses val="autoZero"/>
        <c:crossBetween val="midCat"/>
      </c:valAx>
      <c:valAx>
        <c:axId val="721555896"/>
        <c:scaling>
          <c:orientation val="minMax"/>
        </c:scaling>
        <c:delete val="0"/>
        <c:axPos val="l"/>
        <c:majorGridlines/>
        <c:numFmt formatCode="0.00" sourceLinked="1"/>
        <c:majorTickMark val="out"/>
        <c:minorTickMark val="none"/>
        <c:tickLblPos val="nextTo"/>
        <c:crossAx val="721566088"/>
        <c:crosses val="autoZero"/>
        <c:crossBetween val="midCat"/>
      </c:valAx>
    </c:plotArea>
    <c:plotVisOnly val="1"/>
    <c:dispBlanksAs val="gap"/>
    <c:showDLblsOverMax val="0"/>
  </c:chart>
  <c:printSettings>
    <c:headerFooter/>
    <c:pageMargins b="0.74803149606299413" l="0.70866141732283694" r="0.70866141732283694" t="0.74803149606299413" header="0.31496062992126173" footer="0.31496062992126173"/>
    <c:pageSetup orientation="landscape"/>
  </c:printSettings>
  <c:userShapes r:id="rId1"/>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08849645464696"/>
          <c:y val="0.17632961957914792"/>
          <c:w val="0.83562551468258339"/>
          <c:h val="0.64932992998192229"/>
        </c:manualLayout>
      </c:layout>
      <c:scatterChart>
        <c:scatterStyle val="lineMarker"/>
        <c:varyColors val="0"/>
        <c:ser>
          <c:idx val="0"/>
          <c:order val="0"/>
          <c:tx>
            <c:strRef>
              <c:f>'CV Training Rule 4'!$AX$10</c:f>
              <c:strCache>
                <c:ptCount val="1"/>
                <c:pt idx="0">
                  <c:v>Range</c:v>
                </c:pt>
              </c:strCache>
            </c:strRef>
          </c:tx>
          <c:spPr>
            <a:ln w="12700">
              <a:solidFill>
                <a:sysClr val="windowText" lastClr="000000"/>
              </a:solidFill>
            </a:ln>
          </c:spPr>
          <c:marker>
            <c:symbol val="x"/>
            <c:size val="6"/>
            <c:spPr>
              <a:ln w="15875">
                <a:solidFill>
                  <a:sysClr val="windowText" lastClr="000000"/>
                </a:solidFill>
              </a:ln>
            </c:spPr>
          </c:marker>
          <c:xVal>
            <c:numRef>
              <c:f>'CV Training Rule 4'!$AR$11:$AR$17</c:f>
              <c:numCache>
                <c:formatCode>0</c:formatCode>
                <c:ptCount val="7"/>
                <c:pt idx="0">
                  <c:v>1</c:v>
                </c:pt>
                <c:pt idx="1">
                  <c:v>2</c:v>
                </c:pt>
                <c:pt idx="2">
                  <c:v>3</c:v>
                </c:pt>
                <c:pt idx="3">
                  <c:v>4</c:v>
                </c:pt>
                <c:pt idx="4">
                  <c:v>5</c:v>
                </c:pt>
                <c:pt idx="5">
                  <c:v>6</c:v>
                </c:pt>
                <c:pt idx="6">
                  <c:v>7</c:v>
                </c:pt>
              </c:numCache>
            </c:numRef>
          </c:xVal>
          <c:yVal>
            <c:numRef>
              <c:f>'CV Training Rule 4'!$AX$11:$AX$17</c:f>
              <c:numCache>
                <c:formatCode>0.00</c:formatCode>
                <c:ptCount val="7"/>
                <c:pt idx="0">
                  <c:v>0.10000000000000142</c:v>
                </c:pt>
                <c:pt idx="1">
                  <c:v>1.9999999999999574E-2</c:v>
                </c:pt>
                <c:pt idx="2">
                  <c:v>1.9999999999999574E-2</c:v>
                </c:pt>
                <c:pt idx="3">
                  <c:v>1.9999999999999574E-2</c:v>
                </c:pt>
                <c:pt idx="4">
                  <c:v>1.9999999999999574E-2</c:v>
                </c:pt>
                <c:pt idx="5">
                  <c:v>2.9999999999997584E-2</c:v>
                </c:pt>
                <c:pt idx="6">
                  <c:v>5.9999999999998721E-2</c:v>
                </c:pt>
              </c:numCache>
            </c:numRef>
          </c:yVal>
          <c:smooth val="0"/>
          <c:extLst>
            <c:ext xmlns:c16="http://schemas.microsoft.com/office/drawing/2014/chart" uri="{C3380CC4-5D6E-409C-BE32-E72D297353CC}">
              <c16:uniqueId val="{00000000-EBEC-45BA-BA5A-919FE57030C8}"/>
            </c:ext>
          </c:extLst>
        </c:ser>
        <c:ser>
          <c:idx val="1"/>
          <c:order val="1"/>
          <c:tx>
            <c:strRef>
              <c:f>'CV Training Rule 4'!$N$21</c:f>
              <c:strCache>
                <c:ptCount val="1"/>
                <c:pt idx="0">
                  <c:v>Range Limit</c:v>
                </c:pt>
              </c:strCache>
            </c:strRef>
          </c:tx>
          <c:spPr>
            <a:ln w="22225">
              <a:solidFill>
                <a:srgbClr val="FF0000"/>
              </a:solidFill>
            </a:ln>
          </c:spPr>
          <c:marker>
            <c:symbol val="none"/>
          </c:marker>
          <c:xVal>
            <c:numRef>
              <c:f>'CV Training Rule 4'!$B$22:$B$42</c:f>
              <c:numCache>
                <c:formatCode>0</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'CV Training Rule 4'!$N$22:$N$42</c:f>
              <c:numCache>
                <c:formatCode>0.00</c:formatCode>
                <c:ptCount val="21"/>
                <c:pt idx="0">
                  <c:v>0.12</c:v>
                </c:pt>
                <c:pt idx="1">
                  <c:v>0.12</c:v>
                </c:pt>
                <c:pt idx="2">
                  <c:v>0.12</c:v>
                </c:pt>
                <c:pt idx="3">
                  <c:v>0.12</c:v>
                </c:pt>
                <c:pt idx="4">
                  <c:v>0.12</c:v>
                </c:pt>
                <c:pt idx="5">
                  <c:v>0.12</c:v>
                </c:pt>
                <c:pt idx="6">
                  <c:v>0.12</c:v>
                </c:pt>
                <c:pt idx="7">
                  <c:v>0.12</c:v>
                </c:pt>
                <c:pt idx="8">
                  <c:v>0.12</c:v>
                </c:pt>
                <c:pt idx="9">
                  <c:v>0.12</c:v>
                </c:pt>
                <c:pt idx="10">
                  <c:v>0.12</c:v>
                </c:pt>
                <c:pt idx="11">
                  <c:v>0.12</c:v>
                </c:pt>
                <c:pt idx="12">
                  <c:v>0.12</c:v>
                </c:pt>
                <c:pt idx="13">
                  <c:v>0.12</c:v>
                </c:pt>
                <c:pt idx="14">
                  <c:v>0.12</c:v>
                </c:pt>
                <c:pt idx="15">
                  <c:v>0.12</c:v>
                </c:pt>
                <c:pt idx="16">
                  <c:v>0.12</c:v>
                </c:pt>
                <c:pt idx="17">
                  <c:v>0.12</c:v>
                </c:pt>
                <c:pt idx="18">
                  <c:v>0.12</c:v>
                </c:pt>
                <c:pt idx="19">
                  <c:v>0.12</c:v>
                </c:pt>
                <c:pt idx="20">
                  <c:v>0.12</c:v>
                </c:pt>
              </c:numCache>
            </c:numRef>
          </c:yVal>
          <c:smooth val="0"/>
          <c:extLst>
            <c:ext xmlns:c16="http://schemas.microsoft.com/office/drawing/2014/chart" uri="{C3380CC4-5D6E-409C-BE32-E72D297353CC}">
              <c16:uniqueId val="{00000001-EBEC-45BA-BA5A-919FE57030C8}"/>
            </c:ext>
          </c:extLst>
        </c:ser>
        <c:dLbls>
          <c:showLegendKey val="0"/>
          <c:showVal val="0"/>
          <c:showCatName val="0"/>
          <c:showSerName val="0"/>
          <c:showPercent val="0"/>
          <c:showBubbleSize val="0"/>
        </c:dLbls>
        <c:axId val="721567264"/>
        <c:axId val="721559424"/>
      </c:scatterChart>
      <c:valAx>
        <c:axId val="721567264"/>
        <c:scaling>
          <c:orientation val="minMax"/>
          <c:max val="21"/>
          <c:min val="1"/>
        </c:scaling>
        <c:delete val="0"/>
        <c:axPos val="b"/>
        <c:numFmt formatCode="0" sourceLinked="1"/>
        <c:majorTickMark val="out"/>
        <c:minorTickMark val="none"/>
        <c:tickLblPos val="nextTo"/>
        <c:crossAx val="721559424"/>
        <c:crosses val="autoZero"/>
        <c:crossBetween val="midCat"/>
      </c:valAx>
      <c:valAx>
        <c:axId val="721559424"/>
        <c:scaling>
          <c:orientation val="minMax"/>
        </c:scaling>
        <c:delete val="0"/>
        <c:axPos val="l"/>
        <c:majorGridlines/>
        <c:numFmt formatCode="0.000" sourceLinked="0"/>
        <c:majorTickMark val="out"/>
        <c:minorTickMark val="none"/>
        <c:tickLblPos val="nextTo"/>
        <c:crossAx val="721567264"/>
        <c:crosses val="autoZero"/>
        <c:crossBetween val="midCat"/>
      </c:valAx>
    </c:plotArea>
    <c:plotVisOnly val="1"/>
    <c:dispBlanksAs val="gap"/>
    <c:showDLblsOverMax val="0"/>
  </c:chart>
  <c:printSettings>
    <c:headerFooter/>
    <c:pageMargins b="0.75000000000000233" l="0.70000000000000062" r="0.70000000000000062" t="0.75000000000000233" header="0.30000000000000032" footer="0.30000000000000032"/>
    <c:pageSetup orientation="portrait"/>
  </c:printSettings>
  <c:userShapes r:id="rId1"/>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16885389326336"/>
          <c:y val="7.5336110329397424E-2"/>
          <c:w val="0.81564283305597418"/>
          <c:h val="0.79942461989104019"/>
        </c:manualLayout>
      </c:layout>
      <c:scatterChart>
        <c:scatterStyle val="lineMarker"/>
        <c:varyColors val="0"/>
        <c:ser>
          <c:idx val="0"/>
          <c:order val="0"/>
          <c:tx>
            <c:strRef>
              <c:f>'[2]CV Training Range'!$K$17</c:f>
              <c:strCache>
                <c:ptCount val="1"/>
                <c:pt idx="0">
                  <c:v></c:v>
                </c:pt>
              </c:strCache>
            </c:strRef>
          </c:tx>
          <c:spPr>
            <a:ln w="0">
              <a:solidFill>
                <a:sysClr val="windowText" lastClr="000000"/>
              </a:solidFill>
            </a:ln>
          </c:spPr>
          <c:marker>
            <c:symbol val="x"/>
            <c:size val="6"/>
            <c:spPr>
              <a:noFill/>
              <a:ln w="15875">
                <a:solidFill>
                  <a:schemeClr val="tx1"/>
                </a:solidFill>
              </a:ln>
            </c:spPr>
          </c:marker>
          <c:xVal>
            <c:numRef>
              <c:f>'[2]CV Training Range'!$B$18:$B$38</c:f>
              <c:numCache>
                <c:formatCode>General</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'[2]CV Training Range'!$G$18:$G$38</c:f>
              <c:numCache>
                <c:formatCode>General</c:formatCode>
                <c:ptCount val="21"/>
                <c:pt idx="0">
                  <c:v>26.994999999999997</c:v>
                </c:pt>
                <c:pt idx="1">
                  <c:v>27.1</c:v>
                </c:pt>
                <c:pt idx="2">
                  <c:v>27.185000000000002</c:v>
                </c:pt>
                <c:pt idx="3">
                  <c:v>27.08</c:v>
                </c:pt>
                <c:pt idx="4">
                  <c:v>27.13</c:v>
                </c:pt>
                <c:pt idx="5">
                  <c:v>27.09</c:v>
                </c:pt>
                <c:pt idx="6">
                  <c:v>27.055</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numCache>
            </c:numRef>
          </c:yVal>
          <c:smooth val="0"/>
          <c:extLst>
            <c:ext xmlns:c16="http://schemas.microsoft.com/office/drawing/2014/chart" uri="{C3380CC4-5D6E-409C-BE32-E72D297353CC}">
              <c16:uniqueId val="{00000000-2954-4E45-872A-6D1A68856CE4}"/>
            </c:ext>
          </c:extLst>
        </c:ser>
        <c:ser>
          <c:idx val="1"/>
          <c:order val="1"/>
          <c:spPr>
            <a:ln w="22225">
              <a:solidFill>
                <a:srgbClr val="FF0000"/>
              </a:solidFill>
            </a:ln>
          </c:spPr>
          <c:marker>
            <c:symbol val="none"/>
          </c:marker>
          <c:xVal>
            <c:numRef>
              <c:f>'[2]CV Training Range'!$B$18:$B$38</c:f>
              <c:numCache>
                <c:formatCode>General</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'[2]CV Training Range'!$I$18:$I$38</c:f>
              <c:numCache>
                <c:formatCode>General</c:formatCode>
                <c:ptCount val="21"/>
                <c:pt idx="0">
                  <c:v>26.787537881918869</c:v>
                </c:pt>
                <c:pt idx="1">
                  <c:v>26.787537881918869</c:v>
                </c:pt>
                <c:pt idx="2">
                  <c:v>26.787537881918869</c:v>
                </c:pt>
                <c:pt idx="3">
                  <c:v>26.787537881918869</c:v>
                </c:pt>
                <c:pt idx="4">
                  <c:v>26.787537881918869</c:v>
                </c:pt>
                <c:pt idx="5">
                  <c:v>26.787537881918869</c:v>
                </c:pt>
                <c:pt idx="6">
                  <c:v>26.787537881918869</c:v>
                </c:pt>
                <c:pt idx="7">
                  <c:v>26.787537881918869</c:v>
                </c:pt>
                <c:pt idx="8">
                  <c:v>26.787537881918869</c:v>
                </c:pt>
                <c:pt idx="9">
                  <c:v>26.787537881918869</c:v>
                </c:pt>
                <c:pt idx="10">
                  <c:v>26.787537881918869</c:v>
                </c:pt>
                <c:pt idx="11">
                  <c:v>26.787537881918869</c:v>
                </c:pt>
                <c:pt idx="12">
                  <c:v>26.787537881918869</c:v>
                </c:pt>
                <c:pt idx="13">
                  <c:v>26.787537881918869</c:v>
                </c:pt>
                <c:pt idx="14">
                  <c:v>26.787537881918869</c:v>
                </c:pt>
                <c:pt idx="15">
                  <c:v>26.787537881918869</c:v>
                </c:pt>
                <c:pt idx="16">
                  <c:v>26.787537881918869</c:v>
                </c:pt>
                <c:pt idx="17">
                  <c:v>26.787537881918869</c:v>
                </c:pt>
                <c:pt idx="18">
                  <c:v>26.787537881918869</c:v>
                </c:pt>
                <c:pt idx="19">
                  <c:v>26.787537881918869</c:v>
                </c:pt>
                <c:pt idx="20">
                  <c:v>26.787537881918869</c:v>
                </c:pt>
              </c:numCache>
            </c:numRef>
          </c:yVal>
          <c:smooth val="0"/>
          <c:extLst>
            <c:ext xmlns:c16="http://schemas.microsoft.com/office/drawing/2014/chart" uri="{C3380CC4-5D6E-409C-BE32-E72D297353CC}">
              <c16:uniqueId val="{00000001-2954-4E45-872A-6D1A68856CE4}"/>
            </c:ext>
          </c:extLst>
        </c:ser>
        <c:ser>
          <c:idx val="2"/>
          <c:order val="2"/>
          <c:spPr>
            <a:ln w="22225">
              <a:solidFill>
                <a:schemeClr val="tx2">
                  <a:lumMod val="60000"/>
                  <a:lumOff val="40000"/>
                </a:schemeClr>
              </a:solidFill>
              <a:prstDash val="dashDot"/>
            </a:ln>
          </c:spPr>
          <c:marker>
            <c:symbol val="none"/>
          </c:marker>
          <c:xVal>
            <c:numRef>
              <c:f>'[2]CV Training Range'!$B$18:$B$38</c:f>
              <c:numCache>
                <c:formatCode>General</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'[2]CV Training Range'!$J$18:$J$38</c:f>
              <c:numCache>
                <c:formatCode>General</c:formatCode>
                <c:ptCount val="21"/>
                <c:pt idx="0">
                  <c:v>26.863914143501468</c:v>
                </c:pt>
                <c:pt idx="1">
                  <c:v>26.863914143501468</c:v>
                </c:pt>
                <c:pt idx="2">
                  <c:v>26.863914143501468</c:v>
                </c:pt>
                <c:pt idx="3">
                  <c:v>26.863914143501468</c:v>
                </c:pt>
                <c:pt idx="4">
                  <c:v>26.863914143501468</c:v>
                </c:pt>
                <c:pt idx="5">
                  <c:v>26.863914143501468</c:v>
                </c:pt>
                <c:pt idx="6">
                  <c:v>26.863914143501468</c:v>
                </c:pt>
                <c:pt idx="7">
                  <c:v>26.863914143501468</c:v>
                </c:pt>
                <c:pt idx="8">
                  <c:v>26.863914143501468</c:v>
                </c:pt>
                <c:pt idx="9">
                  <c:v>26.863914143501468</c:v>
                </c:pt>
                <c:pt idx="10">
                  <c:v>26.863914143501468</c:v>
                </c:pt>
                <c:pt idx="11">
                  <c:v>26.863914143501468</c:v>
                </c:pt>
                <c:pt idx="12">
                  <c:v>26.863914143501468</c:v>
                </c:pt>
                <c:pt idx="13">
                  <c:v>26.863914143501468</c:v>
                </c:pt>
                <c:pt idx="14">
                  <c:v>26.863914143501468</c:v>
                </c:pt>
                <c:pt idx="15">
                  <c:v>26.863914143501468</c:v>
                </c:pt>
                <c:pt idx="16">
                  <c:v>26.863914143501468</c:v>
                </c:pt>
                <c:pt idx="17">
                  <c:v>26.863914143501468</c:v>
                </c:pt>
                <c:pt idx="18">
                  <c:v>26.863914143501468</c:v>
                </c:pt>
                <c:pt idx="19">
                  <c:v>26.863914143501468</c:v>
                </c:pt>
                <c:pt idx="20">
                  <c:v>26.863914143501468</c:v>
                </c:pt>
              </c:numCache>
            </c:numRef>
          </c:yVal>
          <c:smooth val="0"/>
          <c:extLst>
            <c:ext xmlns:c16="http://schemas.microsoft.com/office/drawing/2014/chart" uri="{C3380CC4-5D6E-409C-BE32-E72D297353CC}">
              <c16:uniqueId val="{00000002-2954-4E45-872A-6D1A68856CE4}"/>
            </c:ext>
          </c:extLst>
        </c:ser>
        <c:ser>
          <c:idx val="3"/>
          <c:order val="3"/>
          <c:spPr>
            <a:ln w="22225">
              <a:solidFill>
                <a:srgbClr val="00B050"/>
              </a:solidFill>
              <a:prstDash val="lgDashDotDot"/>
            </a:ln>
          </c:spPr>
          <c:marker>
            <c:symbol val="none"/>
          </c:marker>
          <c:xVal>
            <c:numRef>
              <c:f>'[2]CV Training Range'!$B$18:$B$38</c:f>
              <c:numCache>
                <c:formatCode>General</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'[2]CV Training Range'!$K$18:$K$38</c:f>
              <c:numCache>
                <c:formatCode>General</c:formatCode>
                <c:ptCount val="21"/>
                <c:pt idx="0">
                  <c:v>27.016666666666666</c:v>
                </c:pt>
                <c:pt idx="1">
                  <c:v>27.016666666666666</c:v>
                </c:pt>
                <c:pt idx="2">
                  <c:v>27.016666666666666</c:v>
                </c:pt>
                <c:pt idx="3">
                  <c:v>27.016666666666666</c:v>
                </c:pt>
                <c:pt idx="4">
                  <c:v>27.016666666666666</c:v>
                </c:pt>
                <c:pt idx="5">
                  <c:v>27.016666666666666</c:v>
                </c:pt>
                <c:pt idx="6">
                  <c:v>27.016666666666666</c:v>
                </c:pt>
                <c:pt idx="7">
                  <c:v>27.016666666666666</c:v>
                </c:pt>
                <c:pt idx="8">
                  <c:v>27.016666666666666</c:v>
                </c:pt>
                <c:pt idx="9">
                  <c:v>27.016666666666666</c:v>
                </c:pt>
                <c:pt idx="10">
                  <c:v>27.016666666666666</c:v>
                </c:pt>
                <c:pt idx="11">
                  <c:v>27.016666666666666</c:v>
                </c:pt>
                <c:pt idx="12">
                  <c:v>27.016666666666666</c:v>
                </c:pt>
                <c:pt idx="13">
                  <c:v>27.016666666666666</c:v>
                </c:pt>
                <c:pt idx="14">
                  <c:v>27.016666666666666</c:v>
                </c:pt>
                <c:pt idx="15">
                  <c:v>27.016666666666666</c:v>
                </c:pt>
                <c:pt idx="16">
                  <c:v>27.016666666666666</c:v>
                </c:pt>
                <c:pt idx="17">
                  <c:v>27.016666666666666</c:v>
                </c:pt>
                <c:pt idx="18">
                  <c:v>27.016666666666666</c:v>
                </c:pt>
                <c:pt idx="19">
                  <c:v>27.016666666666666</c:v>
                </c:pt>
                <c:pt idx="20">
                  <c:v>27.016666666666666</c:v>
                </c:pt>
              </c:numCache>
            </c:numRef>
          </c:yVal>
          <c:smooth val="0"/>
          <c:extLst>
            <c:ext xmlns:c16="http://schemas.microsoft.com/office/drawing/2014/chart" uri="{C3380CC4-5D6E-409C-BE32-E72D297353CC}">
              <c16:uniqueId val="{00000003-2954-4E45-872A-6D1A68856CE4}"/>
            </c:ext>
          </c:extLst>
        </c:ser>
        <c:ser>
          <c:idx val="4"/>
          <c:order val="4"/>
          <c:spPr>
            <a:ln w="22225">
              <a:solidFill>
                <a:schemeClr val="tx2">
                  <a:lumMod val="60000"/>
                  <a:lumOff val="40000"/>
                </a:schemeClr>
              </a:solidFill>
              <a:prstDash val="dashDot"/>
            </a:ln>
          </c:spPr>
          <c:marker>
            <c:symbol val="none"/>
          </c:marker>
          <c:xVal>
            <c:numRef>
              <c:f>'[2]CV Training Range'!$B$18:$B$38</c:f>
              <c:numCache>
                <c:formatCode>General</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'[2]CV Training Range'!$L$18:$L$38</c:f>
              <c:numCache>
                <c:formatCode>General</c:formatCode>
                <c:ptCount val="21"/>
                <c:pt idx="0">
                  <c:v>27.169419189831864</c:v>
                </c:pt>
                <c:pt idx="1">
                  <c:v>27.169419189831864</c:v>
                </c:pt>
                <c:pt idx="2">
                  <c:v>27.169419189831864</c:v>
                </c:pt>
                <c:pt idx="3">
                  <c:v>27.169419189831864</c:v>
                </c:pt>
                <c:pt idx="4">
                  <c:v>27.169419189831864</c:v>
                </c:pt>
                <c:pt idx="5">
                  <c:v>27.169419189831864</c:v>
                </c:pt>
                <c:pt idx="6">
                  <c:v>27.169419189831864</c:v>
                </c:pt>
                <c:pt idx="7">
                  <c:v>27.169419189831864</c:v>
                </c:pt>
                <c:pt idx="8">
                  <c:v>27.169419189831864</c:v>
                </c:pt>
                <c:pt idx="9">
                  <c:v>27.169419189831864</c:v>
                </c:pt>
                <c:pt idx="10">
                  <c:v>27.169419189831864</c:v>
                </c:pt>
                <c:pt idx="11">
                  <c:v>27.169419189831864</c:v>
                </c:pt>
                <c:pt idx="12">
                  <c:v>27.169419189831864</c:v>
                </c:pt>
                <c:pt idx="13">
                  <c:v>27.169419189831864</c:v>
                </c:pt>
                <c:pt idx="14">
                  <c:v>27.169419189831864</c:v>
                </c:pt>
                <c:pt idx="15">
                  <c:v>27.169419189831864</c:v>
                </c:pt>
                <c:pt idx="16">
                  <c:v>27.169419189831864</c:v>
                </c:pt>
                <c:pt idx="17">
                  <c:v>27.169419189831864</c:v>
                </c:pt>
                <c:pt idx="18">
                  <c:v>27.169419189831864</c:v>
                </c:pt>
                <c:pt idx="19">
                  <c:v>27.169419189831864</c:v>
                </c:pt>
                <c:pt idx="20">
                  <c:v>27.169419189831864</c:v>
                </c:pt>
              </c:numCache>
            </c:numRef>
          </c:yVal>
          <c:smooth val="0"/>
          <c:extLst>
            <c:ext xmlns:c16="http://schemas.microsoft.com/office/drawing/2014/chart" uri="{C3380CC4-5D6E-409C-BE32-E72D297353CC}">
              <c16:uniqueId val="{00000004-2954-4E45-872A-6D1A68856CE4}"/>
            </c:ext>
          </c:extLst>
        </c:ser>
        <c:ser>
          <c:idx val="5"/>
          <c:order val="5"/>
          <c:spPr>
            <a:ln w="22225">
              <a:solidFill>
                <a:srgbClr val="FF0000"/>
              </a:solidFill>
              <a:prstDash val="solid"/>
            </a:ln>
          </c:spPr>
          <c:marker>
            <c:symbol val="none"/>
          </c:marker>
          <c:xVal>
            <c:numRef>
              <c:f>'[2]CV Training Range'!$B$18:$B$38</c:f>
              <c:numCache>
                <c:formatCode>General</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'[2]CV Training Range'!$M$18:$M$38</c:f>
              <c:numCache>
                <c:formatCode>General</c:formatCode>
                <c:ptCount val="21"/>
                <c:pt idx="0">
                  <c:v>27.245795451414462</c:v>
                </c:pt>
                <c:pt idx="1">
                  <c:v>27.245795451414462</c:v>
                </c:pt>
                <c:pt idx="2">
                  <c:v>27.245795451414462</c:v>
                </c:pt>
                <c:pt idx="3">
                  <c:v>27.245795451414462</c:v>
                </c:pt>
                <c:pt idx="4">
                  <c:v>27.245795451414462</c:v>
                </c:pt>
                <c:pt idx="5">
                  <c:v>27.245795451414462</c:v>
                </c:pt>
                <c:pt idx="6">
                  <c:v>27.245795451414462</c:v>
                </c:pt>
                <c:pt idx="7">
                  <c:v>27.245795451414462</c:v>
                </c:pt>
                <c:pt idx="8">
                  <c:v>27.245795451414462</c:v>
                </c:pt>
                <c:pt idx="9">
                  <c:v>27.245795451414462</c:v>
                </c:pt>
                <c:pt idx="10">
                  <c:v>27.245795451414462</c:v>
                </c:pt>
                <c:pt idx="11">
                  <c:v>27.245795451414462</c:v>
                </c:pt>
                <c:pt idx="12">
                  <c:v>27.245795451414462</c:v>
                </c:pt>
                <c:pt idx="13">
                  <c:v>27.245795451414462</c:v>
                </c:pt>
                <c:pt idx="14">
                  <c:v>27.245795451414462</c:v>
                </c:pt>
                <c:pt idx="15">
                  <c:v>27.245795451414462</c:v>
                </c:pt>
                <c:pt idx="16">
                  <c:v>27.245795451414462</c:v>
                </c:pt>
                <c:pt idx="17">
                  <c:v>27.245795451414462</c:v>
                </c:pt>
                <c:pt idx="18">
                  <c:v>27.245795451414462</c:v>
                </c:pt>
                <c:pt idx="19">
                  <c:v>27.245795451414462</c:v>
                </c:pt>
                <c:pt idx="20">
                  <c:v>27.245795451414462</c:v>
                </c:pt>
              </c:numCache>
            </c:numRef>
          </c:yVal>
          <c:smooth val="0"/>
          <c:extLst>
            <c:ext xmlns:c16="http://schemas.microsoft.com/office/drawing/2014/chart" uri="{C3380CC4-5D6E-409C-BE32-E72D297353CC}">
              <c16:uniqueId val="{00000005-2954-4E45-872A-6D1A68856CE4}"/>
            </c:ext>
          </c:extLst>
        </c:ser>
        <c:dLbls>
          <c:showLegendKey val="0"/>
          <c:showVal val="0"/>
          <c:showCatName val="0"/>
          <c:showSerName val="0"/>
          <c:showPercent val="0"/>
          <c:showBubbleSize val="0"/>
        </c:dLbls>
        <c:axId val="721566480"/>
        <c:axId val="721561776"/>
      </c:scatterChart>
      <c:valAx>
        <c:axId val="721566480"/>
        <c:scaling>
          <c:orientation val="minMax"/>
          <c:max val="21"/>
          <c:min val="1"/>
        </c:scaling>
        <c:delete val="0"/>
        <c:axPos val="b"/>
        <c:numFmt formatCode="General" sourceLinked="1"/>
        <c:majorTickMark val="out"/>
        <c:minorTickMark val="none"/>
        <c:tickLblPos val="nextTo"/>
        <c:crossAx val="721561776"/>
        <c:crosses val="autoZero"/>
        <c:crossBetween val="midCat"/>
      </c:valAx>
      <c:valAx>
        <c:axId val="721561776"/>
        <c:scaling>
          <c:orientation val="minMax"/>
        </c:scaling>
        <c:delete val="0"/>
        <c:axPos val="l"/>
        <c:majorGridlines/>
        <c:numFmt formatCode="General" sourceLinked="1"/>
        <c:majorTickMark val="out"/>
        <c:minorTickMark val="none"/>
        <c:tickLblPos val="nextTo"/>
        <c:crossAx val="721566480"/>
        <c:crosses val="autoZero"/>
        <c:crossBetween val="midCat"/>
      </c:valAx>
    </c:plotArea>
    <c:plotVisOnly val="1"/>
    <c:dispBlanksAs val="gap"/>
    <c:showDLblsOverMax val="0"/>
  </c:chart>
  <c:printSettings>
    <c:headerFooter/>
    <c:pageMargins b="0.75000000000000122" l="0.70000000000000062" r="0.70000000000000062" t="0.75000000000000122" header="0.314960629921261" footer="0.314960629921261"/>
    <c:pageSetup orientation="landscape"/>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08849645464696"/>
          <c:y val="5.4703343797235911E-2"/>
          <c:w val="0.83562551468258395"/>
          <c:h val="0.77095574995947713"/>
        </c:manualLayout>
      </c:layout>
      <c:scatterChart>
        <c:scatterStyle val="lineMarker"/>
        <c:varyColors val="0"/>
        <c:ser>
          <c:idx val="0"/>
          <c:order val="0"/>
          <c:tx>
            <c:v>Range</c:v>
          </c:tx>
          <c:spPr>
            <a:ln w="12700">
              <a:solidFill>
                <a:sysClr val="windowText" lastClr="000000"/>
              </a:solidFill>
            </a:ln>
          </c:spPr>
          <c:marker>
            <c:symbol val="x"/>
            <c:size val="6"/>
            <c:spPr>
              <a:ln w="15875">
                <a:solidFill>
                  <a:sysClr val="windowText" lastClr="000000"/>
                </a:solidFill>
              </a:ln>
            </c:spPr>
          </c:marker>
          <c:xVal>
            <c:numRef>
              <c:f>'[2]CV Training Range'!$B$18:$B$38</c:f>
              <c:numCache>
                <c:formatCode>General</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'[2]CV Training Range'!$H$18:$H$38</c:f>
              <c:numCache>
                <c:formatCode>General</c:formatCode>
                <c:ptCount val="21"/>
                <c:pt idx="0">
                  <c:v>1.0000000000001563E-2</c:v>
                </c:pt>
                <c:pt idx="1">
                  <c:v>9.9999999999997868E-2</c:v>
                </c:pt>
                <c:pt idx="2">
                  <c:v>2.9999999999997584E-2</c:v>
                </c:pt>
                <c:pt idx="3">
                  <c:v>5.9999999999998721E-2</c:v>
                </c:pt>
                <c:pt idx="4">
                  <c:v>3.9999999999999147E-2</c:v>
                </c:pt>
                <c:pt idx="5">
                  <c:v>6.0000000000002274E-2</c:v>
                </c:pt>
                <c:pt idx="6">
                  <c:v>0.13000000000000256</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numCache>
            </c:numRef>
          </c:yVal>
          <c:smooth val="0"/>
          <c:extLst>
            <c:ext xmlns:c16="http://schemas.microsoft.com/office/drawing/2014/chart" uri="{C3380CC4-5D6E-409C-BE32-E72D297353CC}">
              <c16:uniqueId val="{00000000-42D1-4813-8EDB-EA5AB0AF0261}"/>
            </c:ext>
          </c:extLst>
        </c:ser>
        <c:ser>
          <c:idx val="1"/>
          <c:order val="1"/>
          <c:tx>
            <c:v>Limit</c:v>
          </c:tx>
          <c:spPr>
            <a:ln w="22225">
              <a:solidFill>
                <a:srgbClr val="FF0000"/>
              </a:solidFill>
            </a:ln>
          </c:spPr>
          <c:marker>
            <c:symbol val="none"/>
          </c:marker>
          <c:xVal>
            <c:numRef>
              <c:f>'[2]CV Training Range'!$B$18:$B$38</c:f>
              <c:numCache>
                <c:formatCode>General</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'[2]CV Training Range'!$N$18:$N$38</c:f>
              <c:numCache>
                <c:formatCode>General</c:formatCode>
                <c:ptCount val="21"/>
                <c:pt idx="0">
                  <c:v>0.12</c:v>
                </c:pt>
                <c:pt idx="1">
                  <c:v>0.12</c:v>
                </c:pt>
                <c:pt idx="2">
                  <c:v>0.12</c:v>
                </c:pt>
                <c:pt idx="3">
                  <c:v>0.12</c:v>
                </c:pt>
                <c:pt idx="4">
                  <c:v>0.12</c:v>
                </c:pt>
                <c:pt idx="5">
                  <c:v>0.12</c:v>
                </c:pt>
                <c:pt idx="6">
                  <c:v>0.12</c:v>
                </c:pt>
                <c:pt idx="7">
                  <c:v>0.12</c:v>
                </c:pt>
                <c:pt idx="8">
                  <c:v>0.12</c:v>
                </c:pt>
                <c:pt idx="9">
                  <c:v>0.12</c:v>
                </c:pt>
                <c:pt idx="10">
                  <c:v>0.12</c:v>
                </c:pt>
                <c:pt idx="11">
                  <c:v>0.12</c:v>
                </c:pt>
                <c:pt idx="12">
                  <c:v>0.12</c:v>
                </c:pt>
                <c:pt idx="13">
                  <c:v>0.12</c:v>
                </c:pt>
                <c:pt idx="14">
                  <c:v>0.12</c:v>
                </c:pt>
                <c:pt idx="15">
                  <c:v>0.12</c:v>
                </c:pt>
                <c:pt idx="16">
                  <c:v>0.12</c:v>
                </c:pt>
                <c:pt idx="17">
                  <c:v>0.12</c:v>
                </c:pt>
                <c:pt idx="18">
                  <c:v>0.12</c:v>
                </c:pt>
                <c:pt idx="19">
                  <c:v>0.12</c:v>
                </c:pt>
                <c:pt idx="20">
                  <c:v>0.12</c:v>
                </c:pt>
              </c:numCache>
            </c:numRef>
          </c:yVal>
          <c:smooth val="0"/>
          <c:extLst>
            <c:ext xmlns:c16="http://schemas.microsoft.com/office/drawing/2014/chart" uri="{C3380CC4-5D6E-409C-BE32-E72D297353CC}">
              <c16:uniqueId val="{00000001-42D1-4813-8EDB-EA5AB0AF0261}"/>
            </c:ext>
          </c:extLst>
        </c:ser>
        <c:dLbls>
          <c:showLegendKey val="0"/>
          <c:showVal val="0"/>
          <c:showCatName val="0"/>
          <c:showSerName val="0"/>
          <c:showPercent val="0"/>
          <c:showBubbleSize val="0"/>
        </c:dLbls>
        <c:axId val="721558640"/>
        <c:axId val="721567656"/>
      </c:scatterChart>
      <c:valAx>
        <c:axId val="721558640"/>
        <c:scaling>
          <c:orientation val="minMax"/>
          <c:max val="21"/>
          <c:min val="1"/>
        </c:scaling>
        <c:delete val="0"/>
        <c:axPos val="b"/>
        <c:numFmt formatCode="General" sourceLinked="1"/>
        <c:majorTickMark val="out"/>
        <c:minorTickMark val="none"/>
        <c:tickLblPos val="nextTo"/>
        <c:crossAx val="721567656"/>
        <c:crosses val="autoZero"/>
        <c:crossBetween val="midCat"/>
      </c:valAx>
      <c:valAx>
        <c:axId val="721567656"/>
        <c:scaling>
          <c:orientation val="minMax"/>
        </c:scaling>
        <c:delete val="0"/>
        <c:axPos val="l"/>
        <c:majorGridlines/>
        <c:numFmt formatCode="0.000" sourceLinked="0"/>
        <c:majorTickMark val="out"/>
        <c:minorTickMark val="none"/>
        <c:tickLblPos val="nextTo"/>
        <c:crossAx val="721558640"/>
        <c:crosses val="autoZero"/>
        <c:crossBetween val="midCat"/>
      </c:valAx>
    </c:plotArea>
    <c:plotVisOnly val="1"/>
    <c:dispBlanksAs val="gap"/>
    <c:showDLblsOverMax val="0"/>
  </c:chart>
  <c:printSettings>
    <c:headerFooter/>
    <c:pageMargins b="0.75000000000000122" l="0.70000000000000062" r="0.70000000000000062" t="0.75000000000000122" header="0.314960629921261" footer="0.314960629921261"/>
    <c:pageSetup orientation="landscape"/>
  </c:printSettings>
</c:chartSpace>
</file>

<file path=xl/drawings/_rels/drawing1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20.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4" Type="http://schemas.openxmlformats.org/officeDocument/2006/relationships/chart" Target="../charts/chart24.xml"/></Relationships>
</file>

<file path=xl/drawings/_rels/drawing33.xml.rels><?xml version="1.0" encoding="UTF-8" standalone="yes"?>
<Relationships xmlns="http://schemas.openxmlformats.org/package/2006/relationships"><Relationship Id="rId1" Type="http://schemas.openxmlformats.org/officeDocument/2006/relationships/image" Target="../media/image2.png"/></Relationships>
</file>

<file path=xl/drawings/_rels/drawing38.xml.rels><?xml version="1.0" encoding="UTF-8" standalone="yes"?>
<Relationships xmlns="http://schemas.openxmlformats.org/package/2006/relationships"><Relationship Id="rId8" Type="http://schemas.openxmlformats.org/officeDocument/2006/relationships/chart" Target="../charts/chart36.xml"/><Relationship Id="rId3" Type="http://schemas.openxmlformats.org/officeDocument/2006/relationships/chart" Target="../charts/chart31.xml"/><Relationship Id="rId7" Type="http://schemas.openxmlformats.org/officeDocument/2006/relationships/chart" Target="../charts/chart35.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5" Type="http://schemas.openxmlformats.org/officeDocument/2006/relationships/chart" Target="../charts/chart33.xml"/><Relationship Id="rId4" Type="http://schemas.openxmlformats.org/officeDocument/2006/relationships/chart" Target="../charts/chart32.xml"/></Relationships>
</file>

<file path=xl/drawings/_rels/drawing4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7.xml.rels><?xml version="1.0" encoding="UTF-8" standalone="yes"?>
<Relationships xmlns="http://schemas.openxmlformats.org/package/2006/relationships"><Relationship Id="rId8" Type="http://schemas.openxmlformats.org/officeDocument/2006/relationships/chart" Target="../charts/chart44.xml"/><Relationship Id="rId3" Type="http://schemas.openxmlformats.org/officeDocument/2006/relationships/chart" Target="../charts/chart39.xml"/><Relationship Id="rId7" Type="http://schemas.openxmlformats.org/officeDocument/2006/relationships/chart" Target="../charts/chart43.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_rels/drawing51.xml.rels><?xml version="1.0" encoding="UTF-8" standalone="yes"?>
<Relationships xmlns="http://schemas.openxmlformats.org/package/2006/relationships"><Relationship Id="rId1" Type="http://schemas.openxmlformats.org/officeDocument/2006/relationships/image" Target="../media/image2.png"/></Relationships>
</file>

<file path=xl/drawings/_rels/drawing56.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4" Type="http://schemas.openxmlformats.org/officeDocument/2006/relationships/chart" Target="../charts/chart48.xml"/></Relationships>
</file>

<file path=xl/drawings/_rels/drawing61.xml.rels><?xml version="1.0" encoding="UTF-8" standalone="yes"?>
<Relationships xmlns="http://schemas.openxmlformats.org/package/2006/relationships"><Relationship Id="rId8" Type="http://schemas.openxmlformats.org/officeDocument/2006/relationships/chart" Target="../charts/chart56.xml"/><Relationship Id="rId3" Type="http://schemas.openxmlformats.org/officeDocument/2006/relationships/chart" Target="../charts/chart51.xml"/><Relationship Id="rId7" Type="http://schemas.openxmlformats.org/officeDocument/2006/relationships/chart" Target="../charts/chart55.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chart" Target="../charts/chart54.xml"/><Relationship Id="rId5" Type="http://schemas.openxmlformats.org/officeDocument/2006/relationships/chart" Target="../charts/chart53.xml"/><Relationship Id="rId4" Type="http://schemas.openxmlformats.org/officeDocument/2006/relationships/chart" Target="../charts/chart52.xml"/></Relationships>
</file>

<file path=xl/drawings/_rels/drawing70.xml.rels><?xml version="1.0" encoding="UTF-8" standalone="yes"?>
<Relationships xmlns="http://schemas.openxmlformats.org/package/2006/relationships"><Relationship Id="rId3" Type="http://schemas.openxmlformats.org/officeDocument/2006/relationships/chart" Target="../charts/chart59.xml"/><Relationship Id="rId2" Type="http://schemas.openxmlformats.org/officeDocument/2006/relationships/chart" Target="../charts/chart58.xml"/><Relationship Id="rId1" Type="http://schemas.openxmlformats.org/officeDocument/2006/relationships/chart" Target="../charts/chart57.xml"/><Relationship Id="rId4" Type="http://schemas.openxmlformats.org/officeDocument/2006/relationships/chart" Target="../charts/chart60.xml"/></Relationships>
</file>

<file path=xl/drawings/_rels/drawing75.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4" Type="http://schemas.openxmlformats.org/officeDocument/2006/relationships/chart" Target="../charts/chart64.xml"/></Relationships>
</file>

<file path=xl/drawings/_rels/drawing80.xml.rels><?xml version="1.0" encoding="UTF-8" standalone="yes"?>
<Relationships xmlns="http://schemas.openxmlformats.org/package/2006/relationships"><Relationship Id="rId2" Type="http://schemas.openxmlformats.org/officeDocument/2006/relationships/chart" Target="../charts/chart66.xml"/><Relationship Id="rId1" Type="http://schemas.openxmlformats.org/officeDocument/2006/relationships/chart" Target="../charts/chart6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8</xdr:col>
      <xdr:colOff>104775</xdr:colOff>
      <xdr:row>50</xdr:row>
      <xdr:rowOff>47625</xdr:rowOff>
    </xdr:from>
    <xdr:to>
      <xdr:col>8</xdr:col>
      <xdr:colOff>180975</xdr:colOff>
      <xdr:row>51</xdr:row>
      <xdr:rowOff>41117</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4991100" y="14735175"/>
          <a:ext cx="76200" cy="183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104775</xdr:colOff>
      <xdr:row>50</xdr:row>
      <xdr:rowOff>47625</xdr:rowOff>
    </xdr:from>
    <xdr:to>
      <xdr:col>8</xdr:col>
      <xdr:colOff>180975</xdr:colOff>
      <xdr:row>50</xdr:row>
      <xdr:rowOff>231617</xdr:rowOff>
    </xdr:to>
    <xdr:sp macro="" textlink="">
      <xdr:nvSpPr>
        <xdr:cNvPr id="2" name="Text Box 1">
          <a:extLst>
            <a:ext uri="{FF2B5EF4-FFF2-40B4-BE49-F238E27FC236}">
              <a16:creationId xmlns:a16="http://schemas.microsoft.com/office/drawing/2014/main" id="{00000000-0008-0000-0400-000002000000}"/>
            </a:ext>
          </a:extLst>
        </xdr:cNvPr>
        <xdr:cNvSpPr txBox="1">
          <a:spLocks noChangeArrowheads="1"/>
        </xdr:cNvSpPr>
      </xdr:nvSpPr>
      <xdr:spPr bwMode="auto">
        <a:xfrm>
          <a:off x="4943475" y="17964150"/>
          <a:ext cx="76200" cy="183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104775</xdr:colOff>
      <xdr:row>50</xdr:row>
      <xdr:rowOff>47625</xdr:rowOff>
    </xdr:from>
    <xdr:to>
      <xdr:col>8</xdr:col>
      <xdr:colOff>180975</xdr:colOff>
      <xdr:row>51</xdr:row>
      <xdr:rowOff>41117</xdr:rowOff>
    </xdr:to>
    <xdr:sp macro="" textlink="">
      <xdr:nvSpPr>
        <xdr:cNvPr id="2" name="Text Box 1">
          <a:extLst>
            <a:ext uri="{FF2B5EF4-FFF2-40B4-BE49-F238E27FC236}">
              <a16:creationId xmlns:a16="http://schemas.microsoft.com/office/drawing/2014/main" id="{00000000-0008-0000-0500-000002000000}"/>
            </a:ext>
          </a:extLst>
        </xdr:cNvPr>
        <xdr:cNvSpPr txBox="1">
          <a:spLocks noChangeArrowheads="1"/>
        </xdr:cNvSpPr>
      </xdr:nvSpPr>
      <xdr:spPr bwMode="auto">
        <a:xfrm>
          <a:off x="4991100" y="14735175"/>
          <a:ext cx="76200" cy="183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104775</xdr:colOff>
      <xdr:row>50</xdr:row>
      <xdr:rowOff>47625</xdr:rowOff>
    </xdr:from>
    <xdr:to>
      <xdr:col>8</xdr:col>
      <xdr:colOff>180975</xdr:colOff>
      <xdr:row>50</xdr:row>
      <xdr:rowOff>231617</xdr:rowOff>
    </xdr:to>
    <xdr:sp macro="" textlink="">
      <xdr:nvSpPr>
        <xdr:cNvPr id="2" name="Text Box 1">
          <a:extLst>
            <a:ext uri="{FF2B5EF4-FFF2-40B4-BE49-F238E27FC236}">
              <a16:creationId xmlns:a16="http://schemas.microsoft.com/office/drawing/2014/main" id="{00000000-0008-0000-0600-000002000000}"/>
            </a:ext>
          </a:extLst>
        </xdr:cNvPr>
        <xdr:cNvSpPr txBox="1">
          <a:spLocks noChangeArrowheads="1"/>
        </xdr:cNvSpPr>
      </xdr:nvSpPr>
      <xdr:spPr bwMode="auto">
        <a:xfrm>
          <a:off x="4943475" y="17964150"/>
          <a:ext cx="76200" cy="183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104775</xdr:colOff>
      <xdr:row>50</xdr:row>
      <xdr:rowOff>47625</xdr:rowOff>
    </xdr:from>
    <xdr:to>
      <xdr:col>8</xdr:col>
      <xdr:colOff>180975</xdr:colOff>
      <xdr:row>51</xdr:row>
      <xdr:rowOff>41117</xdr:rowOff>
    </xdr:to>
    <xdr:sp macro="" textlink="">
      <xdr:nvSpPr>
        <xdr:cNvPr id="2" name="Text Box 1">
          <a:extLst>
            <a:ext uri="{FF2B5EF4-FFF2-40B4-BE49-F238E27FC236}">
              <a16:creationId xmlns:a16="http://schemas.microsoft.com/office/drawing/2014/main" id="{00000000-0008-0000-0700-000002000000}"/>
            </a:ext>
          </a:extLst>
        </xdr:cNvPr>
        <xdr:cNvSpPr txBox="1">
          <a:spLocks noChangeArrowheads="1"/>
        </xdr:cNvSpPr>
      </xdr:nvSpPr>
      <xdr:spPr bwMode="auto">
        <a:xfrm>
          <a:off x="4991100" y="14735175"/>
          <a:ext cx="76200" cy="183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104775</xdr:colOff>
      <xdr:row>50</xdr:row>
      <xdr:rowOff>47625</xdr:rowOff>
    </xdr:from>
    <xdr:to>
      <xdr:col>8</xdr:col>
      <xdr:colOff>180975</xdr:colOff>
      <xdr:row>50</xdr:row>
      <xdr:rowOff>231617</xdr:rowOff>
    </xdr:to>
    <xdr:sp macro="" textlink="">
      <xdr:nvSpPr>
        <xdr:cNvPr id="2" name="Text Box 1">
          <a:extLst>
            <a:ext uri="{FF2B5EF4-FFF2-40B4-BE49-F238E27FC236}">
              <a16:creationId xmlns:a16="http://schemas.microsoft.com/office/drawing/2014/main" id="{00000000-0008-0000-0800-000002000000}"/>
            </a:ext>
          </a:extLst>
        </xdr:cNvPr>
        <xdr:cNvSpPr txBox="1">
          <a:spLocks noChangeArrowheads="1"/>
        </xdr:cNvSpPr>
      </xdr:nvSpPr>
      <xdr:spPr bwMode="auto">
        <a:xfrm>
          <a:off x="4943475" y="14887575"/>
          <a:ext cx="76200" cy="183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104775</xdr:colOff>
      <xdr:row>50</xdr:row>
      <xdr:rowOff>47625</xdr:rowOff>
    </xdr:from>
    <xdr:to>
      <xdr:col>8</xdr:col>
      <xdr:colOff>180975</xdr:colOff>
      <xdr:row>50</xdr:row>
      <xdr:rowOff>231617</xdr:rowOff>
    </xdr:to>
    <xdr:sp macro="" textlink="">
      <xdr:nvSpPr>
        <xdr:cNvPr id="2" name="Text Box 1">
          <a:extLst>
            <a:ext uri="{FF2B5EF4-FFF2-40B4-BE49-F238E27FC236}">
              <a16:creationId xmlns:a16="http://schemas.microsoft.com/office/drawing/2014/main" id="{00000000-0008-0000-0900-000002000000}"/>
            </a:ext>
          </a:extLst>
        </xdr:cNvPr>
        <xdr:cNvSpPr txBox="1">
          <a:spLocks noChangeArrowheads="1"/>
        </xdr:cNvSpPr>
      </xdr:nvSpPr>
      <xdr:spPr bwMode="auto">
        <a:xfrm>
          <a:off x="4943475" y="14887575"/>
          <a:ext cx="76200" cy="183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104775</xdr:colOff>
      <xdr:row>50</xdr:row>
      <xdr:rowOff>47625</xdr:rowOff>
    </xdr:from>
    <xdr:to>
      <xdr:col>8</xdr:col>
      <xdr:colOff>180975</xdr:colOff>
      <xdr:row>50</xdr:row>
      <xdr:rowOff>231617</xdr:rowOff>
    </xdr:to>
    <xdr:sp macro="" textlink="">
      <xdr:nvSpPr>
        <xdr:cNvPr id="2" name="Text Box 1">
          <a:extLst>
            <a:ext uri="{FF2B5EF4-FFF2-40B4-BE49-F238E27FC236}">
              <a16:creationId xmlns:a16="http://schemas.microsoft.com/office/drawing/2014/main" id="{00000000-0008-0000-0A00-000002000000}"/>
            </a:ext>
          </a:extLst>
        </xdr:cNvPr>
        <xdr:cNvSpPr txBox="1">
          <a:spLocks noChangeArrowheads="1"/>
        </xdr:cNvSpPr>
      </xdr:nvSpPr>
      <xdr:spPr bwMode="auto">
        <a:xfrm>
          <a:off x="1847850" y="47434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104775</xdr:colOff>
      <xdr:row>53</xdr:row>
      <xdr:rowOff>47625</xdr:rowOff>
    </xdr:from>
    <xdr:to>
      <xdr:col>8</xdr:col>
      <xdr:colOff>180975</xdr:colOff>
      <xdr:row>59</xdr:row>
      <xdr:rowOff>47625</xdr:rowOff>
    </xdr:to>
    <xdr:sp macro="" textlink="">
      <xdr:nvSpPr>
        <xdr:cNvPr id="2" name="Text Box 1">
          <a:extLst>
            <a:ext uri="{FF2B5EF4-FFF2-40B4-BE49-F238E27FC236}">
              <a16:creationId xmlns:a16="http://schemas.microsoft.com/office/drawing/2014/main" id="{00000000-0008-0000-0B00-000002000000}"/>
            </a:ext>
          </a:extLst>
        </xdr:cNvPr>
        <xdr:cNvSpPr txBox="1">
          <a:spLocks noChangeArrowheads="1"/>
        </xdr:cNvSpPr>
      </xdr:nvSpPr>
      <xdr:spPr bwMode="auto">
        <a:xfrm>
          <a:off x="1847850" y="100012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104775</xdr:colOff>
      <xdr:row>50</xdr:row>
      <xdr:rowOff>47625</xdr:rowOff>
    </xdr:from>
    <xdr:to>
      <xdr:col>8</xdr:col>
      <xdr:colOff>180975</xdr:colOff>
      <xdr:row>51</xdr:row>
      <xdr:rowOff>3017</xdr:rowOff>
    </xdr:to>
    <xdr:sp macro="" textlink="">
      <xdr:nvSpPr>
        <xdr:cNvPr id="3" name="Text Box 1">
          <a:extLst>
            <a:ext uri="{FF2B5EF4-FFF2-40B4-BE49-F238E27FC236}">
              <a16:creationId xmlns:a16="http://schemas.microsoft.com/office/drawing/2014/main" id="{00000000-0008-0000-0B00-000003000000}"/>
            </a:ext>
          </a:extLst>
        </xdr:cNvPr>
        <xdr:cNvSpPr txBox="1">
          <a:spLocks noChangeArrowheads="1"/>
        </xdr:cNvSpPr>
      </xdr:nvSpPr>
      <xdr:spPr bwMode="auto">
        <a:xfrm>
          <a:off x="4943475" y="14887575"/>
          <a:ext cx="76200" cy="183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104775</xdr:colOff>
      <xdr:row>53</xdr:row>
      <xdr:rowOff>47625</xdr:rowOff>
    </xdr:from>
    <xdr:to>
      <xdr:col>8</xdr:col>
      <xdr:colOff>180975</xdr:colOff>
      <xdr:row>57</xdr:row>
      <xdr:rowOff>0</xdr:rowOff>
    </xdr:to>
    <xdr:sp macro="" textlink="">
      <xdr:nvSpPr>
        <xdr:cNvPr id="2" name="Text Box 1">
          <a:extLst>
            <a:ext uri="{FF2B5EF4-FFF2-40B4-BE49-F238E27FC236}">
              <a16:creationId xmlns:a16="http://schemas.microsoft.com/office/drawing/2014/main" id="{00000000-0008-0000-0D00-000002000000}"/>
            </a:ext>
          </a:extLst>
        </xdr:cNvPr>
        <xdr:cNvSpPr txBox="1">
          <a:spLocks noChangeArrowheads="1"/>
        </xdr:cNvSpPr>
      </xdr:nvSpPr>
      <xdr:spPr bwMode="auto">
        <a:xfrm>
          <a:off x="4991100" y="15325725"/>
          <a:ext cx="7620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104775</xdr:colOff>
      <xdr:row>50</xdr:row>
      <xdr:rowOff>47625</xdr:rowOff>
    </xdr:from>
    <xdr:to>
      <xdr:col>8</xdr:col>
      <xdr:colOff>180975</xdr:colOff>
      <xdr:row>52</xdr:row>
      <xdr:rowOff>3017</xdr:rowOff>
    </xdr:to>
    <xdr:sp macro="" textlink="">
      <xdr:nvSpPr>
        <xdr:cNvPr id="3" name="Text Box 1">
          <a:extLst>
            <a:ext uri="{FF2B5EF4-FFF2-40B4-BE49-F238E27FC236}">
              <a16:creationId xmlns:a16="http://schemas.microsoft.com/office/drawing/2014/main" id="{00000000-0008-0000-0D00-000003000000}"/>
            </a:ext>
          </a:extLst>
        </xdr:cNvPr>
        <xdr:cNvSpPr txBox="1">
          <a:spLocks noChangeArrowheads="1"/>
        </xdr:cNvSpPr>
      </xdr:nvSpPr>
      <xdr:spPr bwMode="auto">
        <a:xfrm>
          <a:off x="4991100" y="14735175"/>
          <a:ext cx="76200" cy="336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104775</xdr:colOff>
      <xdr:row>53</xdr:row>
      <xdr:rowOff>47625</xdr:rowOff>
    </xdr:from>
    <xdr:to>
      <xdr:col>8</xdr:col>
      <xdr:colOff>180975</xdr:colOff>
      <xdr:row>55</xdr:row>
      <xdr:rowOff>76200</xdr:rowOff>
    </xdr:to>
    <xdr:sp macro="" textlink="">
      <xdr:nvSpPr>
        <xdr:cNvPr id="2" name="Text Box 1">
          <a:extLst>
            <a:ext uri="{FF2B5EF4-FFF2-40B4-BE49-F238E27FC236}">
              <a16:creationId xmlns:a16="http://schemas.microsoft.com/office/drawing/2014/main" id="{00000000-0008-0000-0E00-000002000000}"/>
            </a:ext>
          </a:extLst>
        </xdr:cNvPr>
        <xdr:cNvSpPr txBox="1">
          <a:spLocks noChangeArrowheads="1"/>
        </xdr:cNvSpPr>
      </xdr:nvSpPr>
      <xdr:spPr bwMode="auto">
        <a:xfrm>
          <a:off x="4991100" y="15325725"/>
          <a:ext cx="76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104775</xdr:colOff>
      <xdr:row>50</xdr:row>
      <xdr:rowOff>47625</xdr:rowOff>
    </xdr:from>
    <xdr:to>
      <xdr:col>8</xdr:col>
      <xdr:colOff>180975</xdr:colOff>
      <xdr:row>52</xdr:row>
      <xdr:rowOff>98267</xdr:rowOff>
    </xdr:to>
    <xdr:sp macro="" textlink="">
      <xdr:nvSpPr>
        <xdr:cNvPr id="3" name="Text Box 1">
          <a:extLst>
            <a:ext uri="{FF2B5EF4-FFF2-40B4-BE49-F238E27FC236}">
              <a16:creationId xmlns:a16="http://schemas.microsoft.com/office/drawing/2014/main" id="{00000000-0008-0000-0E00-000003000000}"/>
            </a:ext>
          </a:extLst>
        </xdr:cNvPr>
        <xdr:cNvSpPr txBox="1">
          <a:spLocks noChangeArrowheads="1"/>
        </xdr:cNvSpPr>
      </xdr:nvSpPr>
      <xdr:spPr bwMode="auto">
        <a:xfrm>
          <a:off x="4991100" y="14735175"/>
          <a:ext cx="76200" cy="431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104775</xdr:colOff>
      <xdr:row>171</xdr:row>
      <xdr:rowOff>0</xdr:rowOff>
    </xdr:from>
    <xdr:to>
      <xdr:col>8</xdr:col>
      <xdr:colOff>180975</xdr:colOff>
      <xdr:row>171</xdr:row>
      <xdr:rowOff>190500</xdr:rowOff>
    </xdr:to>
    <xdr:sp macro="" textlink="">
      <xdr:nvSpPr>
        <xdr:cNvPr id="2" name="Text Box 1">
          <a:extLst>
            <a:ext uri="{FF2B5EF4-FFF2-40B4-BE49-F238E27FC236}">
              <a16:creationId xmlns:a16="http://schemas.microsoft.com/office/drawing/2014/main" id="{00000000-0008-0000-0F00-000002000000}"/>
            </a:ext>
          </a:extLst>
        </xdr:cNvPr>
        <xdr:cNvSpPr txBox="1">
          <a:spLocks noChangeArrowheads="1"/>
        </xdr:cNvSpPr>
      </xdr:nvSpPr>
      <xdr:spPr bwMode="auto">
        <a:xfrm>
          <a:off x="4991100" y="15325725"/>
          <a:ext cx="762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104775</xdr:colOff>
      <xdr:row>171</xdr:row>
      <xdr:rowOff>0</xdr:rowOff>
    </xdr:from>
    <xdr:to>
      <xdr:col>8</xdr:col>
      <xdr:colOff>180975</xdr:colOff>
      <xdr:row>172</xdr:row>
      <xdr:rowOff>217330</xdr:rowOff>
    </xdr:to>
    <xdr:sp macro="" textlink="">
      <xdr:nvSpPr>
        <xdr:cNvPr id="3" name="Text Box 1">
          <a:extLst>
            <a:ext uri="{FF2B5EF4-FFF2-40B4-BE49-F238E27FC236}">
              <a16:creationId xmlns:a16="http://schemas.microsoft.com/office/drawing/2014/main" id="{00000000-0008-0000-0F00-000003000000}"/>
            </a:ext>
          </a:extLst>
        </xdr:cNvPr>
        <xdr:cNvSpPr txBox="1">
          <a:spLocks noChangeArrowheads="1"/>
        </xdr:cNvSpPr>
      </xdr:nvSpPr>
      <xdr:spPr bwMode="auto">
        <a:xfrm>
          <a:off x="4991100" y="14735175"/>
          <a:ext cx="76200" cy="5268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31</xdr:col>
      <xdr:colOff>2166</xdr:colOff>
      <xdr:row>7</xdr:row>
      <xdr:rowOff>11906</xdr:rowOff>
    </xdr:from>
    <xdr:to>
      <xdr:col>42</xdr:col>
      <xdr:colOff>0</xdr:colOff>
      <xdr:row>31</xdr:row>
      <xdr:rowOff>15307</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0</xdr:colOff>
      <xdr:row>36</xdr:row>
      <xdr:rowOff>0</xdr:rowOff>
    </xdr:from>
    <xdr:to>
      <xdr:col>42</xdr:col>
      <xdr:colOff>0</xdr:colOff>
      <xdr:row>55</xdr:row>
      <xdr:rowOff>0</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31</xdr:col>
      <xdr:colOff>2166</xdr:colOff>
      <xdr:row>7</xdr:row>
      <xdr:rowOff>11906</xdr:rowOff>
    </xdr:from>
    <xdr:to>
      <xdr:col>42</xdr:col>
      <xdr:colOff>0</xdr:colOff>
      <xdr:row>31</xdr:row>
      <xdr:rowOff>15307</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0</xdr:colOff>
      <xdr:row>36</xdr:row>
      <xdr:rowOff>0</xdr:rowOff>
    </xdr:from>
    <xdr:to>
      <xdr:col>42</xdr:col>
      <xdr:colOff>0</xdr:colOff>
      <xdr:row>55</xdr:row>
      <xdr:rowOff>0</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31</xdr:col>
      <xdr:colOff>2166</xdr:colOff>
      <xdr:row>7</xdr:row>
      <xdr:rowOff>11906</xdr:rowOff>
    </xdr:from>
    <xdr:to>
      <xdr:col>42</xdr:col>
      <xdr:colOff>0</xdr:colOff>
      <xdr:row>31</xdr:row>
      <xdr:rowOff>15307</xdr:rowOff>
    </xdr:to>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0</xdr:colOff>
      <xdr:row>36</xdr:row>
      <xdr:rowOff>0</xdr:rowOff>
    </xdr:from>
    <xdr:to>
      <xdr:col>42</xdr:col>
      <xdr:colOff>0</xdr:colOff>
      <xdr:row>55</xdr:row>
      <xdr:rowOff>0</xdr:rowOff>
    </xdr:to>
    <xdr:graphicFrame macro="">
      <xdr:nvGraphicFramePr>
        <xdr:cNvPr id="3" name="Chart 2">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31</xdr:col>
      <xdr:colOff>2166</xdr:colOff>
      <xdr:row>7</xdr:row>
      <xdr:rowOff>11906</xdr:rowOff>
    </xdr:from>
    <xdr:to>
      <xdr:col>42</xdr:col>
      <xdr:colOff>0</xdr:colOff>
      <xdr:row>31</xdr:row>
      <xdr:rowOff>15307</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0</xdr:colOff>
      <xdr:row>36</xdr:row>
      <xdr:rowOff>0</xdr:rowOff>
    </xdr:from>
    <xdr:to>
      <xdr:col>42</xdr:col>
      <xdr:colOff>0</xdr:colOff>
      <xdr:row>55</xdr:row>
      <xdr:rowOff>0</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31</xdr:col>
      <xdr:colOff>2166</xdr:colOff>
      <xdr:row>7</xdr:row>
      <xdr:rowOff>11906</xdr:rowOff>
    </xdr:from>
    <xdr:to>
      <xdr:col>42</xdr:col>
      <xdr:colOff>0</xdr:colOff>
      <xdr:row>31</xdr:row>
      <xdr:rowOff>15307</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0</xdr:colOff>
      <xdr:row>36</xdr:row>
      <xdr:rowOff>0</xdr:rowOff>
    </xdr:from>
    <xdr:to>
      <xdr:col>42</xdr:col>
      <xdr:colOff>0</xdr:colOff>
      <xdr:row>55</xdr:row>
      <xdr:rowOff>0</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31</xdr:col>
      <xdr:colOff>2166</xdr:colOff>
      <xdr:row>7</xdr:row>
      <xdr:rowOff>11906</xdr:rowOff>
    </xdr:from>
    <xdr:to>
      <xdr:col>42</xdr:col>
      <xdr:colOff>0</xdr:colOff>
      <xdr:row>31</xdr:row>
      <xdr:rowOff>15307</xdr:rowOff>
    </xdr:to>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0</xdr:colOff>
      <xdr:row>36</xdr:row>
      <xdr:rowOff>0</xdr:rowOff>
    </xdr:from>
    <xdr:to>
      <xdr:col>42</xdr:col>
      <xdr:colOff>0</xdr:colOff>
      <xdr:row>55</xdr:row>
      <xdr:rowOff>0</xdr:rowOff>
    </xdr:to>
    <xdr:graphicFrame macro="">
      <xdr:nvGraphicFramePr>
        <xdr:cNvPr id="3" name="Chart 2">
          <a:extLst>
            <a:ext uri="{FF2B5EF4-FFF2-40B4-BE49-F238E27FC236}">
              <a16:creationId xmlns:a16="http://schemas.microsoft.com/office/drawing/2014/main" id="{00000000-0008-0000-1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0</xdr:colOff>
          <xdr:row>2</xdr:row>
          <xdr:rowOff>0</xdr:rowOff>
        </xdr:from>
        <xdr:to>
          <xdr:col>12</xdr:col>
          <xdr:colOff>281940</xdr:colOff>
          <xdr:row>43</xdr:row>
          <xdr:rowOff>15240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17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xdr:twoCellAnchor>
    <xdr:from>
      <xdr:col>2</xdr:col>
      <xdr:colOff>72460</xdr:colOff>
      <xdr:row>31</xdr:row>
      <xdr:rowOff>0</xdr:rowOff>
    </xdr:from>
    <xdr:to>
      <xdr:col>12</xdr:col>
      <xdr:colOff>51858</xdr:colOff>
      <xdr:row>53</xdr:row>
      <xdr:rowOff>20109</xdr:rowOff>
    </xdr:to>
    <xdr:graphicFrame macro="">
      <xdr:nvGraphicFramePr>
        <xdr:cNvPr id="7" name="Chart 6">
          <a:extLst>
            <a:ext uri="{FF2B5EF4-FFF2-40B4-BE49-F238E27FC236}">
              <a16:creationId xmlns:a16="http://schemas.microsoft.com/office/drawing/2014/main" id="{00000000-0008-0000-1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100899</xdr:colOff>
      <xdr:row>35</xdr:row>
      <xdr:rowOff>148532</xdr:rowOff>
    </xdr:from>
    <xdr:to>
      <xdr:col>11</xdr:col>
      <xdr:colOff>485774</xdr:colOff>
      <xdr:row>36</xdr:row>
      <xdr:rowOff>152400</xdr:rowOff>
    </xdr:to>
    <xdr:sp macro="" textlink="">
      <xdr:nvSpPr>
        <xdr:cNvPr id="8" name="TextBox 7">
          <a:extLst>
            <a:ext uri="{FF2B5EF4-FFF2-40B4-BE49-F238E27FC236}">
              <a16:creationId xmlns:a16="http://schemas.microsoft.com/office/drawing/2014/main" id="{00000000-0008-0000-1800-000008000000}"/>
            </a:ext>
          </a:extLst>
        </xdr:cNvPr>
        <xdr:cNvSpPr txBox="1"/>
      </xdr:nvSpPr>
      <xdr:spPr>
        <a:xfrm>
          <a:off x="6806499" y="5749232"/>
          <a:ext cx="384875" cy="194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ZA" sz="900" b="1"/>
            <a:t>+2s</a:t>
          </a:r>
        </a:p>
      </xdr:txBody>
    </xdr:sp>
    <xdr:clientData/>
  </xdr:twoCellAnchor>
  <xdr:twoCellAnchor>
    <xdr:from>
      <xdr:col>11</xdr:col>
      <xdr:colOff>162422</xdr:colOff>
      <xdr:row>37</xdr:row>
      <xdr:rowOff>102990</xdr:rowOff>
    </xdr:from>
    <xdr:to>
      <xdr:col>11</xdr:col>
      <xdr:colOff>334353</xdr:colOff>
      <xdr:row>38</xdr:row>
      <xdr:rowOff>148853</xdr:rowOff>
    </xdr:to>
    <xdr:sp macro="" textlink="">
      <xdr:nvSpPr>
        <xdr:cNvPr id="9" name="TextBox 8">
          <a:extLst>
            <a:ext uri="{FF2B5EF4-FFF2-40B4-BE49-F238E27FC236}">
              <a16:creationId xmlns:a16="http://schemas.microsoft.com/office/drawing/2014/main" id="{00000000-0008-0000-1800-000009000000}"/>
            </a:ext>
          </a:extLst>
        </xdr:cNvPr>
        <xdr:cNvSpPr txBox="1"/>
      </xdr:nvSpPr>
      <xdr:spPr>
        <a:xfrm>
          <a:off x="6868022" y="6084690"/>
          <a:ext cx="171931" cy="23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900" b="1" baseline="0"/>
            <a:t>x͞</a:t>
          </a:r>
        </a:p>
      </xdr:txBody>
    </xdr:sp>
    <xdr:clientData/>
  </xdr:twoCellAnchor>
  <xdr:twoCellAnchor>
    <xdr:from>
      <xdr:col>11</xdr:col>
      <xdr:colOff>130712</xdr:colOff>
      <xdr:row>40</xdr:row>
      <xdr:rowOff>75376</xdr:rowOff>
    </xdr:from>
    <xdr:to>
      <xdr:col>11</xdr:col>
      <xdr:colOff>405812</xdr:colOff>
      <xdr:row>41</xdr:row>
      <xdr:rowOff>121239</xdr:rowOff>
    </xdr:to>
    <xdr:sp macro="" textlink="">
      <xdr:nvSpPr>
        <xdr:cNvPr id="10" name="TextBox 9">
          <a:extLst>
            <a:ext uri="{FF2B5EF4-FFF2-40B4-BE49-F238E27FC236}">
              <a16:creationId xmlns:a16="http://schemas.microsoft.com/office/drawing/2014/main" id="{00000000-0008-0000-1800-00000A000000}"/>
            </a:ext>
          </a:extLst>
        </xdr:cNvPr>
        <xdr:cNvSpPr txBox="1"/>
      </xdr:nvSpPr>
      <xdr:spPr>
        <a:xfrm>
          <a:off x="6836312" y="6628576"/>
          <a:ext cx="275100" cy="23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900" b="1"/>
            <a:t>-2s</a:t>
          </a:r>
        </a:p>
      </xdr:txBody>
    </xdr:sp>
    <xdr:clientData/>
  </xdr:twoCellAnchor>
  <xdr:twoCellAnchor>
    <xdr:from>
      <xdr:col>11</xdr:col>
      <xdr:colOff>119495</xdr:colOff>
      <xdr:row>41</xdr:row>
      <xdr:rowOff>72597</xdr:rowOff>
    </xdr:from>
    <xdr:to>
      <xdr:col>11</xdr:col>
      <xdr:colOff>394595</xdr:colOff>
      <xdr:row>42</xdr:row>
      <xdr:rowOff>118460</xdr:rowOff>
    </xdr:to>
    <xdr:sp macro="" textlink="">
      <xdr:nvSpPr>
        <xdr:cNvPr id="11" name="TextBox 10">
          <a:extLst>
            <a:ext uri="{FF2B5EF4-FFF2-40B4-BE49-F238E27FC236}">
              <a16:creationId xmlns:a16="http://schemas.microsoft.com/office/drawing/2014/main" id="{00000000-0008-0000-1800-00000B000000}"/>
            </a:ext>
          </a:extLst>
        </xdr:cNvPr>
        <xdr:cNvSpPr txBox="1"/>
      </xdr:nvSpPr>
      <xdr:spPr>
        <a:xfrm>
          <a:off x="6825095" y="6816297"/>
          <a:ext cx="275100" cy="23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900" b="1"/>
            <a:t>-3s</a:t>
          </a:r>
        </a:p>
      </xdr:txBody>
    </xdr:sp>
    <xdr:clientData/>
  </xdr:twoCellAnchor>
  <xdr:twoCellAnchor>
    <xdr:from>
      <xdr:col>8</xdr:col>
      <xdr:colOff>45366</xdr:colOff>
      <xdr:row>38</xdr:row>
      <xdr:rowOff>87237</xdr:rowOff>
    </xdr:from>
    <xdr:to>
      <xdr:col>8</xdr:col>
      <xdr:colOff>314325</xdr:colOff>
      <xdr:row>39</xdr:row>
      <xdr:rowOff>114300</xdr:rowOff>
    </xdr:to>
    <xdr:sp macro="" textlink="">
      <xdr:nvSpPr>
        <xdr:cNvPr id="12" name="TextBox 11">
          <a:extLst>
            <a:ext uri="{FF2B5EF4-FFF2-40B4-BE49-F238E27FC236}">
              <a16:creationId xmlns:a16="http://schemas.microsoft.com/office/drawing/2014/main" id="{00000000-0008-0000-1800-00000C000000}"/>
            </a:ext>
          </a:extLst>
        </xdr:cNvPr>
        <xdr:cNvSpPr txBox="1"/>
      </xdr:nvSpPr>
      <xdr:spPr>
        <a:xfrm>
          <a:off x="4922166" y="6259437"/>
          <a:ext cx="268959" cy="217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1100" b="1">
              <a:solidFill>
                <a:sysClr val="windowText" lastClr="000000"/>
              </a:solidFill>
            </a:rPr>
            <a:t>B</a:t>
          </a:r>
        </a:p>
      </xdr:txBody>
    </xdr:sp>
    <xdr:clientData/>
  </xdr:twoCellAnchor>
  <xdr:twoCellAnchor>
    <xdr:from>
      <xdr:col>2</xdr:col>
      <xdr:colOff>0</xdr:colOff>
      <xdr:row>57</xdr:row>
      <xdr:rowOff>10583</xdr:rowOff>
    </xdr:from>
    <xdr:to>
      <xdr:col>11</xdr:col>
      <xdr:colOff>994833</xdr:colOff>
      <xdr:row>79</xdr:row>
      <xdr:rowOff>0</xdr:rowOff>
    </xdr:to>
    <xdr:graphicFrame macro="">
      <xdr:nvGraphicFramePr>
        <xdr:cNvPr id="13" name="Chart 12">
          <a:extLst>
            <a:ext uri="{FF2B5EF4-FFF2-40B4-BE49-F238E27FC236}">
              <a16:creationId xmlns:a16="http://schemas.microsoft.com/office/drawing/2014/main" id="{00000000-0008-0000-18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41297</xdr:colOff>
      <xdr:row>85</xdr:row>
      <xdr:rowOff>177019</xdr:rowOff>
    </xdr:from>
    <xdr:to>
      <xdr:col>12</xdr:col>
      <xdr:colOff>9525</xdr:colOff>
      <xdr:row>107</xdr:row>
      <xdr:rowOff>34315</xdr:rowOff>
    </xdr:to>
    <xdr:graphicFrame macro="">
      <xdr:nvGraphicFramePr>
        <xdr:cNvPr id="14" name="Chart 13">
          <a:extLst>
            <a:ext uri="{FF2B5EF4-FFF2-40B4-BE49-F238E27FC236}">
              <a16:creationId xmlns:a16="http://schemas.microsoft.com/office/drawing/2014/main" id="{00000000-0008-0000-18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21166</xdr:colOff>
      <xdr:row>108</xdr:row>
      <xdr:rowOff>169333</xdr:rowOff>
    </xdr:from>
    <xdr:to>
      <xdr:col>11</xdr:col>
      <xdr:colOff>997388</xdr:colOff>
      <xdr:row>130</xdr:row>
      <xdr:rowOff>10895</xdr:rowOff>
    </xdr:to>
    <xdr:graphicFrame macro="">
      <xdr:nvGraphicFramePr>
        <xdr:cNvPr id="15" name="Chart 14">
          <a:extLst>
            <a:ext uri="{FF2B5EF4-FFF2-40B4-BE49-F238E27FC236}">
              <a16:creationId xmlns:a16="http://schemas.microsoft.com/office/drawing/2014/main" id="{00000000-0008-0000-18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25604</xdr:colOff>
      <xdr:row>42</xdr:row>
      <xdr:rowOff>26744</xdr:rowOff>
    </xdr:from>
    <xdr:to>
      <xdr:col>7</xdr:col>
      <xdr:colOff>313766</xdr:colOff>
      <xdr:row>43</xdr:row>
      <xdr:rowOff>102269</xdr:rowOff>
    </xdr:to>
    <xdr:sp macro="" textlink="">
      <xdr:nvSpPr>
        <xdr:cNvPr id="16" name="TextBox 15">
          <a:extLst>
            <a:ext uri="{FF2B5EF4-FFF2-40B4-BE49-F238E27FC236}">
              <a16:creationId xmlns:a16="http://schemas.microsoft.com/office/drawing/2014/main" id="{00000000-0008-0000-1800-000010000000}"/>
            </a:ext>
          </a:extLst>
        </xdr:cNvPr>
        <xdr:cNvSpPr txBox="1"/>
      </xdr:nvSpPr>
      <xdr:spPr>
        <a:xfrm>
          <a:off x="4292804" y="6960944"/>
          <a:ext cx="288162" cy="266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1100" b="1">
              <a:solidFill>
                <a:sysClr val="windowText" lastClr="000000"/>
              </a:solidFill>
            </a:rPr>
            <a:t>A</a:t>
          </a:r>
        </a:p>
      </xdr:txBody>
    </xdr:sp>
    <xdr:clientData/>
  </xdr:twoCellAnchor>
  <xdr:twoCellAnchor>
    <xdr:from>
      <xdr:col>11</xdr:col>
      <xdr:colOff>107661</xdr:colOff>
      <xdr:row>34</xdr:row>
      <xdr:rowOff>130605</xdr:rowOff>
    </xdr:from>
    <xdr:to>
      <xdr:col>11</xdr:col>
      <xdr:colOff>466725</xdr:colOff>
      <xdr:row>35</xdr:row>
      <xdr:rowOff>142875</xdr:rowOff>
    </xdr:to>
    <xdr:sp macro="" textlink="">
      <xdr:nvSpPr>
        <xdr:cNvPr id="17" name="TextBox 16">
          <a:extLst>
            <a:ext uri="{FF2B5EF4-FFF2-40B4-BE49-F238E27FC236}">
              <a16:creationId xmlns:a16="http://schemas.microsoft.com/office/drawing/2014/main" id="{00000000-0008-0000-1800-000011000000}"/>
            </a:ext>
          </a:extLst>
        </xdr:cNvPr>
        <xdr:cNvSpPr txBox="1"/>
      </xdr:nvSpPr>
      <xdr:spPr>
        <a:xfrm>
          <a:off x="6813261" y="5540805"/>
          <a:ext cx="359064" cy="202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ZA" sz="900" b="1"/>
            <a:t>+3s</a:t>
          </a:r>
        </a:p>
      </xdr:txBody>
    </xdr:sp>
    <xdr:clientData/>
  </xdr:twoCellAnchor>
  <xdr:twoCellAnchor>
    <xdr:from>
      <xdr:col>15</xdr:col>
      <xdr:colOff>9525</xdr:colOff>
      <xdr:row>31</xdr:row>
      <xdr:rowOff>9525</xdr:rowOff>
    </xdr:from>
    <xdr:to>
      <xdr:col>25</xdr:col>
      <xdr:colOff>19050</xdr:colOff>
      <xdr:row>53</xdr:row>
      <xdr:rowOff>33960</xdr:rowOff>
    </xdr:to>
    <xdr:graphicFrame macro="">
      <xdr:nvGraphicFramePr>
        <xdr:cNvPr id="19" name="Chart 18">
          <a:extLst>
            <a:ext uri="{FF2B5EF4-FFF2-40B4-BE49-F238E27FC236}">
              <a16:creationId xmlns:a16="http://schemas.microsoft.com/office/drawing/2014/main" id="{00000000-0008-0000-1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57</xdr:row>
      <xdr:rowOff>0</xdr:rowOff>
    </xdr:from>
    <xdr:to>
      <xdr:col>25</xdr:col>
      <xdr:colOff>19050</xdr:colOff>
      <xdr:row>78</xdr:row>
      <xdr:rowOff>179917</xdr:rowOff>
    </xdr:to>
    <xdr:graphicFrame macro="">
      <xdr:nvGraphicFramePr>
        <xdr:cNvPr id="20" name="Chart 19">
          <a:extLst>
            <a:ext uri="{FF2B5EF4-FFF2-40B4-BE49-F238E27FC236}">
              <a16:creationId xmlns:a16="http://schemas.microsoft.com/office/drawing/2014/main" id="{00000000-0008-0000-1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85</xdr:row>
      <xdr:rowOff>149678</xdr:rowOff>
    </xdr:from>
    <xdr:to>
      <xdr:col>25</xdr:col>
      <xdr:colOff>0</xdr:colOff>
      <xdr:row>106</xdr:row>
      <xdr:rowOff>47795</xdr:rowOff>
    </xdr:to>
    <xdr:graphicFrame macro="">
      <xdr:nvGraphicFramePr>
        <xdr:cNvPr id="21" name="Chart 20">
          <a:extLst>
            <a:ext uri="{FF2B5EF4-FFF2-40B4-BE49-F238E27FC236}">
              <a16:creationId xmlns:a16="http://schemas.microsoft.com/office/drawing/2014/main" id="{00000000-0008-0000-1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109</xdr:row>
      <xdr:rowOff>0</xdr:rowOff>
    </xdr:from>
    <xdr:to>
      <xdr:col>25</xdr:col>
      <xdr:colOff>0</xdr:colOff>
      <xdr:row>130</xdr:row>
      <xdr:rowOff>47796</xdr:rowOff>
    </xdr:to>
    <xdr:graphicFrame macro="">
      <xdr:nvGraphicFramePr>
        <xdr:cNvPr id="22" name="Chart 21">
          <a:extLst>
            <a:ext uri="{FF2B5EF4-FFF2-40B4-BE49-F238E27FC236}">
              <a16:creationId xmlns:a16="http://schemas.microsoft.com/office/drawing/2014/main" id="{00000000-0008-0000-18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1.xml><?xml version="1.0" encoding="utf-8"?>
<c:userShapes xmlns:c="http://schemas.openxmlformats.org/drawingml/2006/chart">
  <cdr:relSizeAnchor xmlns:cdr="http://schemas.openxmlformats.org/drawingml/2006/chartDrawing">
    <cdr:from>
      <cdr:x>0.39225</cdr:x>
      <cdr:y>0.04455</cdr:y>
    </cdr:from>
    <cdr:to>
      <cdr:x>0.66202</cdr:x>
      <cdr:y>0.12871</cdr:y>
    </cdr:to>
    <cdr:sp macro="" textlink="">
      <cdr:nvSpPr>
        <cdr:cNvPr id="3" name="TextBox 2"/>
        <cdr:cNvSpPr txBox="1"/>
      </cdr:nvSpPr>
      <cdr:spPr>
        <a:xfrm xmlns:a="http://schemas.openxmlformats.org/drawingml/2006/main">
          <a:off x="2409825" y="171450"/>
          <a:ext cx="1657350" cy="3238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900" b="1"/>
        </a:p>
        <a:p xmlns:a="http://schemas.openxmlformats.org/drawingml/2006/main">
          <a:r>
            <a:rPr lang="en-ZA" sz="1400" b="1" baseline="0"/>
            <a:t> 1 Failure</a:t>
          </a:r>
          <a:endParaRPr lang="en-ZA" sz="1400" b="1"/>
        </a:p>
      </cdr:txBody>
    </cdr:sp>
  </cdr:relSizeAnchor>
  <cdr:relSizeAnchor xmlns:cdr="http://schemas.openxmlformats.org/drawingml/2006/chartDrawing">
    <cdr:from>
      <cdr:x>0.45001</cdr:x>
      <cdr:y>0.50138</cdr:y>
    </cdr:from>
    <cdr:to>
      <cdr:x>0.49983</cdr:x>
      <cdr:y>0.57054</cdr:y>
    </cdr:to>
    <cdr:sp macro="" textlink="">
      <cdr:nvSpPr>
        <cdr:cNvPr id="4" name="TextBox 3"/>
        <cdr:cNvSpPr txBox="1"/>
      </cdr:nvSpPr>
      <cdr:spPr>
        <a:xfrm xmlns:a="http://schemas.openxmlformats.org/drawingml/2006/main">
          <a:off x="2772303" y="1918229"/>
          <a:ext cx="306917" cy="26458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100" b="1">
            <a:solidFill>
              <a:srgbClr val="FF0000"/>
            </a:solidFill>
          </a:endParaRPr>
        </a:p>
      </cdr:txBody>
    </cdr:sp>
  </cdr:relSizeAnchor>
  <cdr:relSizeAnchor xmlns:cdr="http://schemas.openxmlformats.org/drawingml/2006/chartDrawing">
    <cdr:from>
      <cdr:x>0.07483</cdr:x>
      <cdr:y>0.7975</cdr:y>
    </cdr:from>
    <cdr:to>
      <cdr:x>0.9287</cdr:x>
      <cdr:y>0.94744</cdr:y>
    </cdr:to>
    <cdr:sp macro="" textlink="">
      <cdr:nvSpPr>
        <cdr:cNvPr id="5" name="TextBox 4"/>
        <cdr:cNvSpPr txBox="1"/>
      </cdr:nvSpPr>
      <cdr:spPr>
        <a:xfrm xmlns:a="http://schemas.openxmlformats.org/drawingml/2006/main">
          <a:off x="460939" y="3051268"/>
          <a:ext cx="5259917" cy="57369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100"/>
        </a:p>
        <a:p xmlns:a="http://schemas.openxmlformats.org/drawingml/2006/main">
          <a:r>
            <a:rPr lang="en-ZA" sz="1100"/>
            <a:t>A</a:t>
          </a:r>
          <a:r>
            <a:rPr lang="en-ZA" sz="1100" baseline="0"/>
            <a:t> - Rule 1 failure			Richard 29/09/17</a:t>
          </a:r>
        </a:p>
        <a:p xmlns:a="http://schemas.openxmlformats.org/drawingml/2006/main">
          <a:r>
            <a:rPr lang="en-ZA" sz="1100" baseline="0"/>
            <a:t>B- CRM duplicate re-run - OK			Richard 29/09/17</a:t>
          </a:r>
          <a:endParaRPr lang="en-ZA" sz="1100"/>
        </a:p>
      </cdr:txBody>
    </cdr:sp>
  </cdr:relSizeAnchor>
  <cdr:relSizeAnchor xmlns:cdr="http://schemas.openxmlformats.org/drawingml/2006/chartDrawing">
    <cdr:from>
      <cdr:x>0.29264</cdr:x>
      <cdr:y>0.04823</cdr:y>
    </cdr:from>
    <cdr:to>
      <cdr:x>0.7488</cdr:x>
      <cdr:y>0.13239</cdr:y>
    </cdr:to>
    <cdr:sp macro="" textlink="">
      <cdr:nvSpPr>
        <cdr:cNvPr id="6" name="TextBox 1"/>
        <cdr:cNvSpPr txBox="1"/>
      </cdr:nvSpPr>
      <cdr:spPr>
        <a:xfrm xmlns:a="http://schemas.openxmlformats.org/drawingml/2006/main">
          <a:off x="1713786" y="203326"/>
          <a:ext cx="2671453" cy="35477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Arial"/>
            </a:defRPr>
          </a:lvl1pPr>
          <a:lvl2pPr marL="457200" indent="0">
            <a:defRPr sz="1100">
              <a:latin typeface="Arial"/>
            </a:defRPr>
          </a:lvl2pPr>
          <a:lvl3pPr marL="914400" indent="0">
            <a:defRPr sz="1100">
              <a:latin typeface="Arial"/>
            </a:defRPr>
          </a:lvl3pPr>
          <a:lvl4pPr marL="1371600" indent="0">
            <a:defRPr sz="1100">
              <a:latin typeface="Arial"/>
            </a:defRPr>
          </a:lvl4pPr>
          <a:lvl5pPr marL="1828800" indent="0">
            <a:defRPr sz="1100">
              <a:latin typeface="Arial"/>
            </a:defRPr>
          </a:lvl5pPr>
          <a:lvl6pPr marL="2286000" indent="0">
            <a:defRPr sz="1100">
              <a:latin typeface="Arial"/>
            </a:defRPr>
          </a:lvl6pPr>
          <a:lvl7pPr marL="2743200" indent="0">
            <a:defRPr sz="1100">
              <a:latin typeface="Arial"/>
            </a:defRPr>
          </a:lvl7pPr>
          <a:lvl8pPr marL="3200400" indent="0">
            <a:defRPr sz="1100">
              <a:latin typeface="Arial"/>
            </a:defRPr>
          </a:lvl8pPr>
          <a:lvl9pPr marL="3657600" indent="0">
            <a:defRPr sz="1100">
              <a:latin typeface="Arial"/>
            </a:defRPr>
          </a:lvl9pPr>
        </a:lstStyle>
        <a:p xmlns:a="http://schemas.openxmlformats.org/drawingml/2006/main">
          <a:r>
            <a:rPr lang="en-ZA" sz="1400" b="1">
              <a:latin typeface="Calibri" pitchFamily="34" charset="0"/>
            </a:rPr>
            <a:t>Rule</a:t>
          </a:r>
          <a:r>
            <a:rPr lang="en-ZA" sz="1400" b="1" baseline="0">
              <a:latin typeface="Calibri" pitchFamily="34" charset="0"/>
            </a:rPr>
            <a:t> 1 Failure ( &lt; -3s) Graph 1</a:t>
          </a:r>
          <a:endParaRPr lang="en-ZA" sz="1400" b="1">
            <a:latin typeface="Calibri"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0.29816</cdr:x>
      <cdr:y>0.03771</cdr:y>
    </cdr:from>
    <cdr:to>
      <cdr:x>0.72026</cdr:x>
      <cdr:y>0.12187</cdr:y>
    </cdr:to>
    <cdr:sp macro="" textlink="">
      <cdr:nvSpPr>
        <cdr:cNvPr id="3" name="TextBox 2"/>
        <cdr:cNvSpPr txBox="1"/>
      </cdr:nvSpPr>
      <cdr:spPr>
        <a:xfrm xmlns:a="http://schemas.openxmlformats.org/drawingml/2006/main">
          <a:off x="1750698" y="157663"/>
          <a:ext cx="2478402" cy="3518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1 Failure ( &lt; -3s) Graph 2</a:t>
          </a:r>
          <a:endParaRPr lang="en-ZA" sz="1400" b="1"/>
        </a:p>
      </cdr:txBody>
    </cdr:sp>
  </cdr:relSizeAnchor>
  <cdr:relSizeAnchor xmlns:cdr="http://schemas.openxmlformats.org/drawingml/2006/chartDrawing">
    <cdr:from>
      <cdr:x>0.46765</cdr:x>
      <cdr:y>0.46134</cdr:y>
    </cdr:from>
    <cdr:to>
      <cdr:x>0.51747</cdr:x>
      <cdr:y>0.53051</cdr:y>
    </cdr:to>
    <cdr:sp macro="" textlink="">
      <cdr:nvSpPr>
        <cdr:cNvPr id="4" name="TextBox 3"/>
        <cdr:cNvSpPr txBox="1"/>
      </cdr:nvSpPr>
      <cdr:spPr>
        <a:xfrm xmlns:a="http://schemas.openxmlformats.org/drawingml/2006/main">
          <a:off x="3030920" y="1928613"/>
          <a:ext cx="322895" cy="28915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0.13563</cdr:x>
      <cdr:y>0.761</cdr:y>
    </cdr:from>
    <cdr:to>
      <cdr:x>0.93627</cdr:x>
      <cdr:y>1</cdr:y>
    </cdr:to>
    <cdr:sp macro="" textlink="">
      <cdr:nvSpPr>
        <cdr:cNvPr id="5" name="TextBox 4"/>
        <cdr:cNvSpPr txBox="1"/>
      </cdr:nvSpPr>
      <cdr:spPr>
        <a:xfrm xmlns:a="http://schemas.openxmlformats.org/drawingml/2006/main">
          <a:off x="835555" y="2911491"/>
          <a:ext cx="4932361" cy="91438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1 failure				Richard 29/09/17</a:t>
          </a:r>
        </a:p>
        <a:p xmlns:a="http://schemas.openxmlformats.org/drawingml/2006/main">
          <a:r>
            <a:rPr lang="en-ZA" sz="1000" baseline="0"/>
            <a:t>B - CRM duplicate re-run - failed	 Rule 1		Richard 29/09/17</a:t>
          </a:r>
        </a:p>
        <a:p xmlns:a="http://schemas.openxmlformats.org/drawingml/2006/main">
          <a:r>
            <a:rPr lang="en-ZA" sz="1000" baseline="0"/>
            <a:t>C - Analyser recalibrated, CRM duplicate re-run - OK 		Richard 29/09/17</a:t>
          </a:r>
          <a:endParaRPr lang="en-ZA" sz="1000"/>
        </a:p>
      </cdr:txBody>
    </cdr:sp>
  </cdr:relSizeAnchor>
  <cdr:relSizeAnchor xmlns:cdr="http://schemas.openxmlformats.org/drawingml/2006/chartDrawing">
    <cdr:from>
      <cdr:x>0.53084</cdr:x>
      <cdr:y>0.50622</cdr:y>
    </cdr:from>
    <cdr:to>
      <cdr:x>0.58066</cdr:x>
      <cdr:y>0.57538</cdr:y>
    </cdr:to>
    <cdr:sp macro="" textlink="">
      <cdr:nvSpPr>
        <cdr:cNvPr id="6" name="TextBox 1"/>
        <cdr:cNvSpPr txBox="1"/>
      </cdr:nvSpPr>
      <cdr:spPr>
        <a:xfrm xmlns:a="http://schemas.openxmlformats.org/drawingml/2006/main">
          <a:off x="3270250" y="1936750"/>
          <a:ext cx="306919" cy="26459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0.60614</cdr:x>
      <cdr:y>0.31893</cdr:y>
    </cdr:from>
    <cdr:to>
      <cdr:x>0.65596</cdr:x>
      <cdr:y>0.38809</cdr:y>
    </cdr:to>
    <cdr:sp macro="" textlink="">
      <cdr:nvSpPr>
        <cdr:cNvPr id="7" name="TextBox 1"/>
        <cdr:cNvSpPr txBox="1"/>
      </cdr:nvSpPr>
      <cdr:spPr>
        <a:xfrm xmlns:a="http://schemas.openxmlformats.org/drawingml/2006/main">
          <a:off x="3559012" y="1333277"/>
          <a:ext cx="292525" cy="28911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0.8549</cdr:x>
      <cdr:y>0.20707</cdr:y>
    </cdr:from>
    <cdr:to>
      <cdr:x>0.92045</cdr:x>
      <cdr:y>0.25357</cdr:y>
    </cdr:to>
    <cdr:sp macro="" textlink="">
      <cdr:nvSpPr>
        <cdr:cNvPr id="8" name="TextBox 7"/>
        <cdr:cNvSpPr txBox="1"/>
      </cdr:nvSpPr>
      <cdr:spPr>
        <a:xfrm xmlns:a="http://schemas.openxmlformats.org/drawingml/2006/main">
          <a:off x="5019675" y="865652"/>
          <a:ext cx="384875" cy="19436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0.86538</cdr:x>
      <cdr:y>0.28732</cdr:y>
    </cdr:from>
    <cdr:to>
      <cdr:x>0.89466</cdr:x>
      <cdr:y>0.34386</cdr:y>
    </cdr:to>
    <cdr:sp macro="" textlink="">
      <cdr:nvSpPr>
        <cdr:cNvPr id="9" name="TextBox 8"/>
        <cdr:cNvSpPr txBox="1"/>
      </cdr:nvSpPr>
      <cdr:spPr>
        <a:xfrm xmlns:a="http://schemas.openxmlformats.org/drawingml/2006/main">
          <a:off x="5081198" y="1201110"/>
          <a:ext cx="171931" cy="23636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0.85998</cdr:x>
      <cdr:y>0.3878</cdr:y>
    </cdr:from>
    <cdr:to>
      <cdr:x>0.90683</cdr:x>
      <cdr:y>0.44434</cdr:y>
    </cdr:to>
    <cdr:sp macro="" textlink="">
      <cdr:nvSpPr>
        <cdr:cNvPr id="10" name="TextBox 9"/>
        <cdr:cNvSpPr txBox="1"/>
      </cdr:nvSpPr>
      <cdr:spPr>
        <a:xfrm xmlns:a="http://schemas.openxmlformats.org/drawingml/2006/main">
          <a:off x="5049488" y="1621171"/>
          <a:ext cx="275100" cy="23636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0.85645</cdr:x>
      <cdr:y>0.42815</cdr:y>
    </cdr:from>
    <cdr:to>
      <cdr:x>0.9033</cdr:x>
      <cdr:y>0.48469</cdr:y>
    </cdr:to>
    <cdr:sp macro="" textlink="">
      <cdr:nvSpPr>
        <cdr:cNvPr id="11" name="TextBox 10"/>
        <cdr:cNvSpPr txBox="1"/>
      </cdr:nvSpPr>
      <cdr:spPr>
        <a:xfrm xmlns:a="http://schemas.openxmlformats.org/drawingml/2006/main">
          <a:off x="5028746" y="1789842"/>
          <a:ext cx="275100" cy="23636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0.85605</cdr:x>
      <cdr:y>0.15722</cdr:y>
    </cdr:from>
    <cdr:to>
      <cdr:x>0.91721</cdr:x>
      <cdr:y>0.20572</cdr:y>
    </cdr:to>
    <cdr:sp macro="" textlink="">
      <cdr:nvSpPr>
        <cdr:cNvPr id="12" name="TextBox 16"/>
        <cdr:cNvSpPr txBox="1"/>
      </cdr:nvSpPr>
      <cdr:spPr>
        <a:xfrm xmlns:a="http://schemas.openxmlformats.org/drawingml/2006/main">
          <a:off x="5026437" y="657225"/>
          <a:ext cx="359064" cy="20277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23.xml><?xml version="1.0" encoding="utf-8"?>
<c:userShapes xmlns:c="http://schemas.openxmlformats.org/drawingml/2006/chart">
  <cdr:relSizeAnchor xmlns:cdr="http://schemas.openxmlformats.org/drawingml/2006/chartDrawing">
    <cdr:from>
      <cdr:x>0.29448</cdr:x>
      <cdr:y>0.04926</cdr:y>
    </cdr:from>
    <cdr:to>
      <cdr:x>0.70342</cdr:x>
      <cdr:y>0.13342</cdr:y>
    </cdr:to>
    <cdr:sp macro="" textlink="">
      <cdr:nvSpPr>
        <cdr:cNvPr id="3" name="TextBox 2"/>
        <cdr:cNvSpPr txBox="1"/>
      </cdr:nvSpPr>
      <cdr:spPr>
        <a:xfrm xmlns:a="http://schemas.openxmlformats.org/drawingml/2006/main">
          <a:off x="1721261" y="199402"/>
          <a:ext cx="2390342" cy="3407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1 Failure ( &lt; -3s) Graph 3</a:t>
          </a:r>
          <a:endParaRPr lang="en-ZA" sz="1400" b="1"/>
        </a:p>
      </cdr:txBody>
    </cdr:sp>
  </cdr:relSizeAnchor>
  <cdr:relSizeAnchor xmlns:cdr="http://schemas.openxmlformats.org/drawingml/2006/chartDrawing">
    <cdr:from>
      <cdr:x>0.47463</cdr:x>
      <cdr:y>0.44621</cdr:y>
    </cdr:from>
    <cdr:to>
      <cdr:x>0.52445</cdr:x>
      <cdr:y>0.51538</cdr:y>
    </cdr:to>
    <cdr:sp macro="" textlink="">
      <cdr:nvSpPr>
        <cdr:cNvPr id="4" name="TextBox 3"/>
        <cdr:cNvSpPr txBox="1"/>
      </cdr:nvSpPr>
      <cdr:spPr>
        <a:xfrm xmlns:a="http://schemas.openxmlformats.org/drawingml/2006/main">
          <a:off x="2774310" y="1806378"/>
          <a:ext cx="291205" cy="2800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0.13563</cdr:x>
      <cdr:y>0.77977</cdr:y>
    </cdr:from>
    <cdr:to>
      <cdr:x>0.93627</cdr:x>
      <cdr:y>1</cdr:y>
    </cdr:to>
    <cdr:sp macro="" textlink="">
      <cdr:nvSpPr>
        <cdr:cNvPr id="5" name="TextBox 4"/>
        <cdr:cNvSpPr txBox="1"/>
      </cdr:nvSpPr>
      <cdr:spPr>
        <a:xfrm xmlns:a="http://schemas.openxmlformats.org/drawingml/2006/main">
          <a:off x="875458" y="3156731"/>
          <a:ext cx="5167934" cy="89156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1 failure				Richard 29/09/17</a:t>
          </a:r>
        </a:p>
        <a:p xmlns:a="http://schemas.openxmlformats.org/drawingml/2006/main">
          <a:r>
            <a:rPr lang="en-ZA" sz="1000" baseline="0"/>
            <a:t>B - CRM duplicate re-run - failed	 Rule 1		Richard 29/09/17</a:t>
          </a:r>
        </a:p>
        <a:p xmlns:a="http://schemas.openxmlformats.org/drawingml/2006/main">
          <a:r>
            <a:rPr lang="en-ZA" sz="1000" baseline="0"/>
            <a:t>C - Analyser recalibrated, CRM duplicate re-run - failed Rule 1 	Richard 29/09/17</a:t>
          </a:r>
        </a:p>
        <a:p xmlns:a="http://schemas.openxmlformats.org/drawingml/2006/main">
          <a:r>
            <a:rPr lang="en-ZA" sz="1000" baseline="0"/>
            <a:t>D - New CRM run - OK			Richard 29/09/17</a:t>
          </a:r>
          <a:endParaRPr lang="en-ZA" sz="1000"/>
        </a:p>
      </cdr:txBody>
    </cdr:sp>
  </cdr:relSizeAnchor>
  <cdr:relSizeAnchor xmlns:cdr="http://schemas.openxmlformats.org/drawingml/2006/chartDrawing">
    <cdr:from>
      <cdr:x>0.54775</cdr:x>
      <cdr:y>0.48149</cdr:y>
    </cdr:from>
    <cdr:to>
      <cdr:x>0.59757</cdr:x>
      <cdr:y>0.55065</cdr:y>
    </cdr:to>
    <cdr:sp macro="" textlink="">
      <cdr:nvSpPr>
        <cdr:cNvPr id="6" name="TextBox 1"/>
        <cdr:cNvSpPr txBox="1"/>
      </cdr:nvSpPr>
      <cdr:spPr>
        <a:xfrm xmlns:a="http://schemas.openxmlformats.org/drawingml/2006/main">
          <a:off x="3535616" y="1949220"/>
          <a:ext cx="321576"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0.62752</cdr:x>
      <cdr:y>0.53805</cdr:y>
    </cdr:from>
    <cdr:to>
      <cdr:x>0.67734</cdr:x>
      <cdr:y>0.60721</cdr:y>
    </cdr:to>
    <cdr:sp macro="" textlink="">
      <cdr:nvSpPr>
        <cdr:cNvPr id="7" name="TextBox 1"/>
        <cdr:cNvSpPr txBox="1"/>
      </cdr:nvSpPr>
      <cdr:spPr>
        <a:xfrm xmlns:a="http://schemas.openxmlformats.org/drawingml/2006/main">
          <a:off x="4050487" y="2178169"/>
          <a:ext cx="321575"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0.66999</cdr:x>
      <cdr:y>0.24651</cdr:y>
    </cdr:from>
    <cdr:to>
      <cdr:x>0.71981</cdr:x>
      <cdr:y>0.31567</cdr:y>
    </cdr:to>
    <cdr:sp macro="" textlink="">
      <cdr:nvSpPr>
        <cdr:cNvPr id="11" name="TextBox 1"/>
        <cdr:cNvSpPr txBox="1"/>
      </cdr:nvSpPr>
      <cdr:spPr>
        <a:xfrm xmlns:a="http://schemas.openxmlformats.org/drawingml/2006/main">
          <a:off x="3916194" y="997961"/>
          <a:ext cx="291206"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0.85321</cdr:x>
      <cdr:y>0.23736</cdr:y>
    </cdr:from>
    <cdr:to>
      <cdr:x>0.9189</cdr:x>
      <cdr:y>0.28538</cdr:y>
    </cdr:to>
    <cdr:sp macro="" textlink="">
      <cdr:nvSpPr>
        <cdr:cNvPr id="8" name="TextBox 1"/>
        <cdr:cNvSpPr txBox="1"/>
      </cdr:nvSpPr>
      <cdr:spPr>
        <a:xfrm xmlns:a="http://schemas.openxmlformats.org/drawingml/2006/main">
          <a:off x="5507268" y="960885"/>
          <a:ext cx="424013" cy="1943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0.86696</cdr:x>
      <cdr:y>0.29905</cdr:y>
    </cdr:from>
    <cdr:to>
      <cdr:x>0.8963</cdr:x>
      <cdr:y>0.35744</cdr:y>
    </cdr:to>
    <cdr:sp macro="" textlink="">
      <cdr:nvSpPr>
        <cdr:cNvPr id="9" name="TextBox 2"/>
        <cdr:cNvSpPr txBox="1"/>
      </cdr:nvSpPr>
      <cdr:spPr>
        <a:xfrm xmlns:a="http://schemas.openxmlformats.org/drawingml/2006/main">
          <a:off x="5596021" y="1210625"/>
          <a:ext cx="189383" cy="236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0.85829</cdr:x>
      <cdr:y>0.38635</cdr:y>
    </cdr:from>
    <cdr:to>
      <cdr:x>0.90525</cdr:x>
      <cdr:y>0.44473</cdr:y>
    </cdr:to>
    <cdr:sp macro="" textlink="">
      <cdr:nvSpPr>
        <cdr:cNvPr id="10" name="TextBox 3"/>
        <cdr:cNvSpPr txBox="1"/>
      </cdr:nvSpPr>
      <cdr:spPr>
        <a:xfrm xmlns:a="http://schemas.openxmlformats.org/drawingml/2006/main">
          <a:off x="5540058" y="1564041"/>
          <a:ext cx="303116" cy="23633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0.85638</cdr:x>
      <cdr:y>0.43272</cdr:y>
    </cdr:from>
    <cdr:to>
      <cdr:x>0.90333</cdr:x>
      <cdr:y>0.4911</cdr:y>
    </cdr:to>
    <cdr:sp macro="" textlink="">
      <cdr:nvSpPr>
        <cdr:cNvPr id="12" name="TextBox 4"/>
        <cdr:cNvSpPr txBox="1"/>
      </cdr:nvSpPr>
      <cdr:spPr>
        <a:xfrm xmlns:a="http://schemas.openxmlformats.org/drawingml/2006/main">
          <a:off x="5527730" y="1751760"/>
          <a:ext cx="303051" cy="23634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0.85436</cdr:x>
      <cdr:y>0.18588</cdr:y>
    </cdr:from>
    <cdr:to>
      <cdr:x>0.91565</cdr:x>
      <cdr:y>0.23597</cdr:y>
    </cdr:to>
    <cdr:sp macro="" textlink="">
      <cdr:nvSpPr>
        <cdr:cNvPr id="13" name="TextBox 16"/>
        <cdr:cNvSpPr txBox="1"/>
      </cdr:nvSpPr>
      <cdr:spPr>
        <a:xfrm xmlns:a="http://schemas.openxmlformats.org/drawingml/2006/main">
          <a:off x="5514691" y="752479"/>
          <a:ext cx="395612" cy="202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24.xml><?xml version="1.0" encoding="utf-8"?>
<c:userShapes xmlns:c="http://schemas.openxmlformats.org/drawingml/2006/chart">
  <cdr:relSizeAnchor xmlns:cdr="http://schemas.openxmlformats.org/drawingml/2006/chartDrawing">
    <cdr:from>
      <cdr:x>0.30274</cdr:x>
      <cdr:y>0.05636</cdr:y>
    </cdr:from>
    <cdr:to>
      <cdr:x>0.71242</cdr:x>
      <cdr:y>0.14052</cdr:y>
    </cdr:to>
    <cdr:sp macro="" textlink="">
      <cdr:nvSpPr>
        <cdr:cNvPr id="3" name="TextBox 2"/>
        <cdr:cNvSpPr txBox="1"/>
      </cdr:nvSpPr>
      <cdr:spPr>
        <a:xfrm xmlns:a="http://schemas.openxmlformats.org/drawingml/2006/main">
          <a:off x="1771972" y="227276"/>
          <a:ext cx="2397861" cy="3393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1 Failure ( &lt; -3s) Graph 4</a:t>
          </a:r>
          <a:endParaRPr lang="en-ZA" sz="1400" b="1"/>
        </a:p>
      </cdr:txBody>
    </cdr:sp>
  </cdr:relSizeAnchor>
  <cdr:relSizeAnchor xmlns:cdr="http://schemas.openxmlformats.org/drawingml/2006/chartDrawing">
    <cdr:from>
      <cdr:x>0.47998</cdr:x>
      <cdr:y>0.42507</cdr:y>
    </cdr:from>
    <cdr:to>
      <cdr:x>0.5298</cdr:x>
      <cdr:y>0.49424</cdr:y>
    </cdr:to>
    <cdr:sp macro="" textlink="">
      <cdr:nvSpPr>
        <cdr:cNvPr id="4" name="TextBox 3"/>
        <cdr:cNvSpPr txBox="1"/>
      </cdr:nvSpPr>
      <cdr:spPr>
        <a:xfrm xmlns:a="http://schemas.openxmlformats.org/drawingml/2006/main">
          <a:off x="3101926" y="1714113"/>
          <a:ext cx="321968" cy="2789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0.01718</cdr:x>
      <cdr:y>0.761</cdr:y>
    </cdr:from>
    <cdr:to>
      <cdr:x>0.98419</cdr:x>
      <cdr:y>1</cdr:y>
    </cdr:to>
    <cdr:sp macro="" textlink="">
      <cdr:nvSpPr>
        <cdr:cNvPr id="5" name="TextBox 4"/>
        <cdr:cNvSpPr txBox="1"/>
      </cdr:nvSpPr>
      <cdr:spPr>
        <a:xfrm xmlns:a="http://schemas.openxmlformats.org/drawingml/2006/main">
          <a:off x="100555" y="3068780"/>
          <a:ext cx="5659954" cy="96378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1 failure					Richard 29/09/17</a:t>
          </a:r>
        </a:p>
        <a:p xmlns:a="http://schemas.openxmlformats.org/drawingml/2006/main">
          <a:r>
            <a:rPr lang="en-ZA" sz="1000" baseline="0"/>
            <a:t>B - CRM duplicate re-run - failed Rule 1			Richard 29/09/17</a:t>
          </a:r>
        </a:p>
        <a:p xmlns:a="http://schemas.openxmlformats.org/drawingml/2006/main">
          <a:r>
            <a:rPr lang="en-ZA" sz="1000" baseline="0"/>
            <a:t>C - Analyser recalibrated, CRM duplicate re-run - failed Rule 1 		Richard 29/09/17</a:t>
          </a:r>
        </a:p>
        <a:p xmlns:a="http://schemas.openxmlformats.org/drawingml/2006/main">
          <a:r>
            <a:rPr lang="en-ZA" sz="1000" baseline="0"/>
            <a:t>D - New CRM run - failed Rule 1.  Work supsended -Manager Informed		Richard 29/09/17</a:t>
          </a:r>
        </a:p>
        <a:p xmlns:a="http://schemas.openxmlformats.org/drawingml/2006/main">
          <a:endParaRPr lang="en-ZA" sz="1000"/>
        </a:p>
      </cdr:txBody>
    </cdr:sp>
  </cdr:relSizeAnchor>
  <cdr:relSizeAnchor xmlns:cdr="http://schemas.openxmlformats.org/drawingml/2006/chartDrawing">
    <cdr:from>
      <cdr:x>0.54533</cdr:x>
      <cdr:y>0.45326</cdr:y>
    </cdr:from>
    <cdr:to>
      <cdr:x>0.59515</cdr:x>
      <cdr:y>0.52242</cdr:y>
    </cdr:to>
    <cdr:sp macro="" textlink="">
      <cdr:nvSpPr>
        <cdr:cNvPr id="6" name="TextBox 1"/>
        <cdr:cNvSpPr txBox="1"/>
      </cdr:nvSpPr>
      <cdr:spPr>
        <a:xfrm xmlns:a="http://schemas.openxmlformats.org/drawingml/2006/main">
          <a:off x="3524278" y="1827807"/>
          <a:ext cx="321967" cy="27889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0.61503</cdr:x>
      <cdr:y>0.51452</cdr:y>
    </cdr:from>
    <cdr:to>
      <cdr:x>0.66485</cdr:x>
      <cdr:y>0.58368</cdr:y>
    </cdr:to>
    <cdr:sp macro="" textlink="">
      <cdr:nvSpPr>
        <cdr:cNvPr id="7" name="TextBox 1"/>
        <cdr:cNvSpPr txBox="1"/>
      </cdr:nvSpPr>
      <cdr:spPr>
        <a:xfrm xmlns:a="http://schemas.openxmlformats.org/drawingml/2006/main">
          <a:off x="3974687" y="2074834"/>
          <a:ext cx="321968" cy="27889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0.70607</cdr:x>
      <cdr:y>0.43707</cdr:y>
    </cdr:from>
    <cdr:to>
      <cdr:x>0.75589</cdr:x>
      <cdr:y>0.50623</cdr:y>
    </cdr:to>
    <cdr:sp macro="" textlink="">
      <cdr:nvSpPr>
        <cdr:cNvPr id="11" name="TextBox 1"/>
        <cdr:cNvSpPr txBox="1"/>
      </cdr:nvSpPr>
      <cdr:spPr>
        <a:xfrm xmlns:a="http://schemas.openxmlformats.org/drawingml/2006/main">
          <a:off x="4349762" y="1672171"/>
          <a:ext cx="306919" cy="26459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cdr:x>
      <cdr:y>0</cdr:y>
    </cdr:from>
    <cdr:to>
      <cdr:x>0.00396</cdr:x>
      <cdr:y>0.00637</cdr:y>
    </cdr:to>
    <cdr:pic>
      <cdr:nvPicPr>
        <cdr:cNvPr id="12" name="chart">
          <a:extLst xmlns:a="http://schemas.openxmlformats.org/drawingml/2006/main">
            <a:ext uri="{FF2B5EF4-FFF2-40B4-BE49-F238E27FC236}">
              <a16:creationId xmlns:a16="http://schemas.microsoft.com/office/drawing/2014/main" id="{2D6B8A93-1E45-4A77-9AF1-2D6E7CCFC21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0.85274</cdr:x>
      <cdr:y>0.20049</cdr:y>
    </cdr:from>
    <cdr:to>
      <cdr:x>0.9185</cdr:x>
      <cdr:y>0.24869</cdr:y>
    </cdr:to>
    <cdr:sp macro="" textlink="">
      <cdr:nvSpPr>
        <cdr:cNvPr id="14" name="TextBox 1"/>
        <cdr:cNvSpPr txBox="1"/>
      </cdr:nvSpPr>
      <cdr:spPr>
        <a:xfrm xmlns:a="http://schemas.openxmlformats.org/drawingml/2006/main">
          <a:off x="4991100" y="808502"/>
          <a:ext cx="384875" cy="19436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0.86651</cdr:x>
      <cdr:y>0.26242</cdr:y>
    </cdr:from>
    <cdr:to>
      <cdr:x>0.89588</cdr:x>
      <cdr:y>0.32104</cdr:y>
    </cdr:to>
    <cdr:sp macro="" textlink="">
      <cdr:nvSpPr>
        <cdr:cNvPr id="15" name="TextBox 2"/>
        <cdr:cNvSpPr txBox="1"/>
      </cdr:nvSpPr>
      <cdr:spPr>
        <a:xfrm xmlns:a="http://schemas.openxmlformats.org/drawingml/2006/main">
          <a:off x="5071673" y="1058235"/>
          <a:ext cx="171931" cy="23636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0.85783</cdr:x>
      <cdr:y>0.35006</cdr:y>
    </cdr:from>
    <cdr:to>
      <cdr:x>0.90483</cdr:x>
      <cdr:y>0.40867</cdr:y>
    </cdr:to>
    <cdr:sp macro="" textlink="">
      <cdr:nvSpPr>
        <cdr:cNvPr id="16" name="TextBox 3"/>
        <cdr:cNvSpPr txBox="1"/>
      </cdr:nvSpPr>
      <cdr:spPr>
        <a:xfrm xmlns:a="http://schemas.openxmlformats.org/drawingml/2006/main">
          <a:off x="5020913" y="1411621"/>
          <a:ext cx="275100" cy="23636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0.85592</cdr:x>
      <cdr:y>0.39661</cdr:y>
    </cdr:from>
    <cdr:to>
      <cdr:x>0.90292</cdr:x>
      <cdr:y>0.45522</cdr:y>
    </cdr:to>
    <cdr:sp macro="" textlink="">
      <cdr:nvSpPr>
        <cdr:cNvPr id="17" name="TextBox 4"/>
        <cdr:cNvSpPr txBox="1"/>
      </cdr:nvSpPr>
      <cdr:spPr>
        <a:xfrm xmlns:a="http://schemas.openxmlformats.org/drawingml/2006/main">
          <a:off x="5009696" y="1599342"/>
          <a:ext cx="275100" cy="23636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0.85389</cdr:x>
      <cdr:y>0.14881</cdr:y>
    </cdr:from>
    <cdr:to>
      <cdr:x>0.91524</cdr:x>
      <cdr:y>0.19909</cdr:y>
    </cdr:to>
    <cdr:sp macro="" textlink="">
      <cdr:nvSpPr>
        <cdr:cNvPr id="18" name="TextBox 16"/>
        <cdr:cNvSpPr txBox="1"/>
      </cdr:nvSpPr>
      <cdr:spPr>
        <a:xfrm xmlns:a="http://schemas.openxmlformats.org/drawingml/2006/main">
          <a:off x="4997862" y="600075"/>
          <a:ext cx="359064" cy="20277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25.xml><?xml version="1.0" encoding="utf-8"?>
<c:userShapes xmlns:c="http://schemas.openxmlformats.org/drawingml/2006/chart">
  <cdr:relSizeAnchor xmlns:cdr="http://schemas.openxmlformats.org/drawingml/2006/chartDrawing">
    <cdr:from>
      <cdr:x>0.39225</cdr:x>
      <cdr:y>0.04455</cdr:y>
    </cdr:from>
    <cdr:to>
      <cdr:x>0.66202</cdr:x>
      <cdr:y>0.12871</cdr:y>
    </cdr:to>
    <cdr:sp macro="" textlink="">
      <cdr:nvSpPr>
        <cdr:cNvPr id="3" name="TextBox 2"/>
        <cdr:cNvSpPr txBox="1"/>
      </cdr:nvSpPr>
      <cdr:spPr>
        <a:xfrm xmlns:a="http://schemas.openxmlformats.org/drawingml/2006/main">
          <a:off x="2409825" y="171450"/>
          <a:ext cx="1657350" cy="3238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900" b="1"/>
        </a:p>
        <a:p xmlns:a="http://schemas.openxmlformats.org/drawingml/2006/main">
          <a:r>
            <a:rPr lang="en-ZA" sz="1400" b="1" baseline="0"/>
            <a:t> 1 Failure</a:t>
          </a:r>
          <a:endParaRPr lang="en-ZA" sz="1400" b="1"/>
        </a:p>
      </cdr:txBody>
    </cdr:sp>
  </cdr:relSizeAnchor>
  <cdr:relSizeAnchor xmlns:cdr="http://schemas.openxmlformats.org/drawingml/2006/chartDrawing">
    <cdr:from>
      <cdr:x>0.45001</cdr:x>
      <cdr:y>0.50138</cdr:y>
    </cdr:from>
    <cdr:to>
      <cdr:x>0.49983</cdr:x>
      <cdr:y>0.57054</cdr:y>
    </cdr:to>
    <cdr:sp macro="" textlink="">
      <cdr:nvSpPr>
        <cdr:cNvPr id="4" name="TextBox 3"/>
        <cdr:cNvSpPr txBox="1"/>
      </cdr:nvSpPr>
      <cdr:spPr>
        <a:xfrm xmlns:a="http://schemas.openxmlformats.org/drawingml/2006/main">
          <a:off x="2772303" y="1918229"/>
          <a:ext cx="306917" cy="26458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100" b="1">
            <a:solidFill>
              <a:srgbClr val="FF0000"/>
            </a:solidFill>
          </a:endParaRPr>
        </a:p>
      </cdr:txBody>
    </cdr:sp>
  </cdr:relSizeAnchor>
  <cdr:relSizeAnchor xmlns:cdr="http://schemas.openxmlformats.org/drawingml/2006/chartDrawing">
    <cdr:from>
      <cdr:x>0.07483</cdr:x>
      <cdr:y>0.7975</cdr:y>
    </cdr:from>
    <cdr:to>
      <cdr:x>0.9287</cdr:x>
      <cdr:y>0.94744</cdr:y>
    </cdr:to>
    <cdr:sp macro="" textlink="">
      <cdr:nvSpPr>
        <cdr:cNvPr id="5" name="TextBox 4"/>
        <cdr:cNvSpPr txBox="1"/>
      </cdr:nvSpPr>
      <cdr:spPr>
        <a:xfrm xmlns:a="http://schemas.openxmlformats.org/drawingml/2006/main">
          <a:off x="460939" y="3051268"/>
          <a:ext cx="5259917" cy="57369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100"/>
        </a:p>
        <a:p xmlns:a="http://schemas.openxmlformats.org/drawingml/2006/main">
          <a:r>
            <a:rPr lang="en-ZA" sz="1100"/>
            <a:t>A</a:t>
          </a:r>
          <a:r>
            <a:rPr lang="en-ZA" sz="1100" baseline="0"/>
            <a:t> - Rule 1 failure			Richard 29/09/17</a:t>
          </a:r>
        </a:p>
        <a:p xmlns:a="http://schemas.openxmlformats.org/drawingml/2006/main">
          <a:r>
            <a:rPr lang="en-ZA" sz="1100" baseline="0"/>
            <a:t>B- CRM duplicate re-run - OK			Richard 29/09/17</a:t>
          </a:r>
          <a:endParaRPr lang="en-ZA" sz="1100"/>
        </a:p>
      </cdr:txBody>
    </cdr:sp>
  </cdr:relSizeAnchor>
  <cdr:relSizeAnchor xmlns:cdr="http://schemas.openxmlformats.org/drawingml/2006/chartDrawing">
    <cdr:from>
      <cdr:x>0.29264</cdr:x>
      <cdr:y>0.04823</cdr:y>
    </cdr:from>
    <cdr:to>
      <cdr:x>0.7488</cdr:x>
      <cdr:y>0.13239</cdr:y>
    </cdr:to>
    <cdr:sp macro="" textlink="">
      <cdr:nvSpPr>
        <cdr:cNvPr id="6" name="TextBox 1"/>
        <cdr:cNvSpPr txBox="1"/>
      </cdr:nvSpPr>
      <cdr:spPr>
        <a:xfrm xmlns:a="http://schemas.openxmlformats.org/drawingml/2006/main">
          <a:off x="1713786" y="203326"/>
          <a:ext cx="2671453" cy="35477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Arial"/>
            </a:defRPr>
          </a:lvl1pPr>
          <a:lvl2pPr marL="457200" indent="0">
            <a:defRPr sz="1100">
              <a:latin typeface="Arial"/>
            </a:defRPr>
          </a:lvl2pPr>
          <a:lvl3pPr marL="914400" indent="0">
            <a:defRPr sz="1100">
              <a:latin typeface="Arial"/>
            </a:defRPr>
          </a:lvl3pPr>
          <a:lvl4pPr marL="1371600" indent="0">
            <a:defRPr sz="1100">
              <a:latin typeface="Arial"/>
            </a:defRPr>
          </a:lvl4pPr>
          <a:lvl5pPr marL="1828800" indent="0">
            <a:defRPr sz="1100">
              <a:latin typeface="Arial"/>
            </a:defRPr>
          </a:lvl5pPr>
          <a:lvl6pPr marL="2286000" indent="0">
            <a:defRPr sz="1100">
              <a:latin typeface="Arial"/>
            </a:defRPr>
          </a:lvl6pPr>
          <a:lvl7pPr marL="2743200" indent="0">
            <a:defRPr sz="1100">
              <a:latin typeface="Arial"/>
            </a:defRPr>
          </a:lvl7pPr>
          <a:lvl8pPr marL="3200400" indent="0">
            <a:defRPr sz="1100">
              <a:latin typeface="Arial"/>
            </a:defRPr>
          </a:lvl8pPr>
          <a:lvl9pPr marL="3657600" indent="0">
            <a:defRPr sz="1100">
              <a:latin typeface="Arial"/>
            </a:defRPr>
          </a:lvl9pPr>
        </a:lstStyle>
        <a:p xmlns:a="http://schemas.openxmlformats.org/drawingml/2006/main">
          <a:r>
            <a:rPr lang="en-ZA" sz="1400" b="1">
              <a:latin typeface="Calibri" pitchFamily="34" charset="0"/>
            </a:rPr>
            <a:t>Rule</a:t>
          </a:r>
          <a:r>
            <a:rPr lang="en-ZA" sz="1400" b="1" baseline="0">
              <a:latin typeface="Calibri" pitchFamily="34" charset="0"/>
            </a:rPr>
            <a:t> 1 Failure ( &gt; +3s) Graph 1</a:t>
          </a:r>
          <a:endParaRPr lang="en-ZA" sz="1400" b="1">
            <a:latin typeface="Calibri" pitchFamily="34" charset="0"/>
          </a:endParaRPr>
        </a:p>
      </cdr:txBody>
    </cdr:sp>
  </cdr:relSizeAnchor>
  <cdr:relSizeAnchor xmlns:cdr="http://schemas.openxmlformats.org/drawingml/2006/chartDrawing">
    <cdr:from>
      <cdr:x>0.46562</cdr:x>
      <cdr:y>0.11976</cdr:y>
    </cdr:from>
    <cdr:to>
      <cdr:x>0.51557</cdr:x>
      <cdr:y>0.18835</cdr:y>
    </cdr:to>
    <cdr:sp macro="" textlink="">
      <cdr:nvSpPr>
        <cdr:cNvPr id="7" name="TextBox 1"/>
        <cdr:cNvSpPr txBox="1"/>
      </cdr:nvSpPr>
      <cdr:spPr>
        <a:xfrm xmlns:a="http://schemas.openxmlformats.org/drawingml/2006/main">
          <a:off x="2904972" y="504825"/>
          <a:ext cx="311633" cy="28915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0.53298</cdr:x>
      <cdr:y>0.26211</cdr:y>
    </cdr:from>
    <cdr:to>
      <cdr:x>0.58293</cdr:x>
      <cdr:y>0.33069</cdr:y>
    </cdr:to>
    <cdr:sp macro="" textlink="">
      <cdr:nvSpPr>
        <cdr:cNvPr id="8" name="TextBox 1"/>
        <cdr:cNvSpPr txBox="1"/>
      </cdr:nvSpPr>
      <cdr:spPr>
        <a:xfrm xmlns:a="http://schemas.openxmlformats.org/drawingml/2006/main">
          <a:off x="3325171" y="1104900"/>
          <a:ext cx="311632" cy="28911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0.81985</cdr:x>
      <cdr:y>0.2189</cdr:y>
    </cdr:from>
    <cdr:to>
      <cdr:x>0.8855</cdr:x>
      <cdr:y>0.26502</cdr:y>
    </cdr:to>
    <cdr:sp macro="" textlink="">
      <cdr:nvSpPr>
        <cdr:cNvPr id="9" name="TextBox 1"/>
        <cdr:cNvSpPr txBox="1"/>
      </cdr:nvSpPr>
      <cdr:spPr>
        <a:xfrm xmlns:a="http://schemas.openxmlformats.org/drawingml/2006/main">
          <a:off x="5114925" y="922769"/>
          <a:ext cx="409583" cy="19438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0.83187</cdr:x>
      <cdr:y>0.30075</cdr:y>
    </cdr:from>
    <cdr:to>
      <cdr:x>0.86119</cdr:x>
      <cdr:y>0.35682</cdr:y>
    </cdr:to>
    <cdr:sp macro="" textlink="">
      <cdr:nvSpPr>
        <cdr:cNvPr id="10" name="TextBox 2"/>
        <cdr:cNvSpPr txBox="1"/>
      </cdr:nvSpPr>
      <cdr:spPr>
        <a:xfrm xmlns:a="http://schemas.openxmlformats.org/drawingml/2006/main">
          <a:off x="5189933" y="1267772"/>
          <a:ext cx="182953" cy="2363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0.82494</cdr:x>
      <cdr:y>0.42976</cdr:y>
    </cdr:from>
    <cdr:to>
      <cdr:x>0.87186</cdr:x>
      <cdr:y>0.48584</cdr:y>
    </cdr:to>
    <cdr:sp macro="" textlink="">
      <cdr:nvSpPr>
        <cdr:cNvPr id="11" name="TextBox 3"/>
        <cdr:cNvSpPr txBox="1"/>
      </cdr:nvSpPr>
      <cdr:spPr>
        <a:xfrm xmlns:a="http://schemas.openxmlformats.org/drawingml/2006/main">
          <a:off x="5146667" y="1811646"/>
          <a:ext cx="292737"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0.82293</cdr:x>
      <cdr:y>0.47656</cdr:y>
    </cdr:from>
    <cdr:to>
      <cdr:x>0.86985</cdr:x>
      <cdr:y>0.53263</cdr:y>
    </cdr:to>
    <cdr:sp macro="" textlink="">
      <cdr:nvSpPr>
        <cdr:cNvPr id="12" name="TextBox 4"/>
        <cdr:cNvSpPr txBox="1"/>
      </cdr:nvSpPr>
      <cdr:spPr>
        <a:xfrm xmlns:a="http://schemas.openxmlformats.org/drawingml/2006/main">
          <a:off x="5134135" y="2008901"/>
          <a:ext cx="292737"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0.821</cdr:x>
      <cdr:y>0.16947</cdr:y>
    </cdr:from>
    <cdr:to>
      <cdr:x>0.88225</cdr:x>
      <cdr:y>0.21756</cdr:y>
    </cdr:to>
    <cdr:sp macro="" textlink="">
      <cdr:nvSpPr>
        <cdr:cNvPr id="13" name="TextBox 16"/>
        <cdr:cNvSpPr txBox="1"/>
      </cdr:nvSpPr>
      <cdr:spPr>
        <a:xfrm xmlns:a="http://schemas.openxmlformats.org/drawingml/2006/main">
          <a:off x="5122110" y="714375"/>
          <a:ext cx="382153" cy="20275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26.xml><?xml version="1.0" encoding="utf-8"?>
<c:userShapes xmlns:c="http://schemas.openxmlformats.org/drawingml/2006/chart">
  <cdr:relSizeAnchor xmlns:cdr="http://schemas.openxmlformats.org/drawingml/2006/chartDrawing">
    <cdr:from>
      <cdr:x>0.29816</cdr:x>
      <cdr:y>0.03771</cdr:y>
    </cdr:from>
    <cdr:to>
      <cdr:x>0.72026</cdr:x>
      <cdr:y>0.12187</cdr:y>
    </cdr:to>
    <cdr:sp macro="" textlink="">
      <cdr:nvSpPr>
        <cdr:cNvPr id="3" name="TextBox 2"/>
        <cdr:cNvSpPr txBox="1"/>
      </cdr:nvSpPr>
      <cdr:spPr>
        <a:xfrm xmlns:a="http://schemas.openxmlformats.org/drawingml/2006/main">
          <a:off x="1750698" y="157663"/>
          <a:ext cx="2478402" cy="3518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1 Failure ( &gt; +3s) Graph 2</a:t>
          </a:r>
          <a:endParaRPr lang="en-ZA" sz="1400" b="1"/>
        </a:p>
      </cdr:txBody>
    </cdr:sp>
  </cdr:relSizeAnchor>
  <cdr:relSizeAnchor xmlns:cdr="http://schemas.openxmlformats.org/drawingml/2006/chartDrawing">
    <cdr:from>
      <cdr:x>0.45974</cdr:x>
      <cdr:y>0.13552</cdr:y>
    </cdr:from>
    <cdr:to>
      <cdr:x>0.50956</cdr:x>
      <cdr:y>0.20469</cdr:y>
    </cdr:to>
    <cdr:sp macro="" textlink="">
      <cdr:nvSpPr>
        <cdr:cNvPr id="4" name="TextBox 3"/>
        <cdr:cNvSpPr txBox="1"/>
      </cdr:nvSpPr>
      <cdr:spPr>
        <a:xfrm xmlns:a="http://schemas.openxmlformats.org/drawingml/2006/main">
          <a:off x="2699444" y="566538"/>
          <a:ext cx="292524" cy="28915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0.13563</cdr:x>
      <cdr:y>0.761</cdr:y>
    </cdr:from>
    <cdr:to>
      <cdr:x>0.93627</cdr:x>
      <cdr:y>1</cdr:y>
    </cdr:to>
    <cdr:sp macro="" textlink="">
      <cdr:nvSpPr>
        <cdr:cNvPr id="5" name="TextBox 4"/>
        <cdr:cNvSpPr txBox="1"/>
      </cdr:nvSpPr>
      <cdr:spPr>
        <a:xfrm xmlns:a="http://schemas.openxmlformats.org/drawingml/2006/main">
          <a:off x="835555" y="2911491"/>
          <a:ext cx="4932361" cy="91438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1 failure				Richard 29/09/17</a:t>
          </a:r>
        </a:p>
        <a:p xmlns:a="http://schemas.openxmlformats.org/drawingml/2006/main">
          <a:r>
            <a:rPr lang="en-ZA" sz="1000" baseline="0"/>
            <a:t>B - CRM duplicate re-run - failed	 Rule 1		Richard 29/09/17</a:t>
          </a:r>
        </a:p>
        <a:p xmlns:a="http://schemas.openxmlformats.org/drawingml/2006/main">
          <a:r>
            <a:rPr lang="en-ZA" sz="1000" baseline="0"/>
            <a:t>C - Analyser recalibrated, CRM duplicate re-run - OK 		Richard 29/09/17</a:t>
          </a:r>
          <a:endParaRPr lang="en-ZA" sz="1000"/>
        </a:p>
      </cdr:txBody>
    </cdr:sp>
  </cdr:relSizeAnchor>
  <cdr:relSizeAnchor xmlns:cdr="http://schemas.openxmlformats.org/drawingml/2006/chartDrawing">
    <cdr:from>
      <cdr:x>0.56653</cdr:x>
      <cdr:y>0.12344</cdr:y>
    </cdr:from>
    <cdr:to>
      <cdr:x>0.61635</cdr:x>
      <cdr:y>0.1926</cdr:y>
    </cdr:to>
    <cdr:sp macro="" textlink="">
      <cdr:nvSpPr>
        <cdr:cNvPr id="6" name="TextBox 1"/>
        <cdr:cNvSpPr txBox="1"/>
      </cdr:nvSpPr>
      <cdr:spPr>
        <a:xfrm xmlns:a="http://schemas.openxmlformats.org/drawingml/2006/main">
          <a:off x="3326448" y="516011"/>
          <a:ext cx="292524" cy="28911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0.63858</cdr:x>
      <cdr:y>0.38501</cdr:y>
    </cdr:from>
    <cdr:to>
      <cdr:x>0.6884</cdr:x>
      <cdr:y>0.45417</cdr:y>
    </cdr:to>
    <cdr:sp macro="" textlink="">
      <cdr:nvSpPr>
        <cdr:cNvPr id="7" name="TextBox 1"/>
        <cdr:cNvSpPr txBox="1"/>
      </cdr:nvSpPr>
      <cdr:spPr>
        <a:xfrm xmlns:a="http://schemas.openxmlformats.org/drawingml/2006/main">
          <a:off x="3749532" y="1609485"/>
          <a:ext cx="292524" cy="2891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0.84968</cdr:x>
      <cdr:y>0.21846</cdr:y>
    </cdr:from>
    <cdr:to>
      <cdr:x>0.91523</cdr:x>
      <cdr:y>0.26496</cdr:y>
    </cdr:to>
    <cdr:sp macro="" textlink="">
      <cdr:nvSpPr>
        <cdr:cNvPr id="8" name="TextBox 7"/>
        <cdr:cNvSpPr txBox="1"/>
      </cdr:nvSpPr>
      <cdr:spPr>
        <a:xfrm xmlns:a="http://schemas.openxmlformats.org/drawingml/2006/main">
          <a:off x="5309158" y="913264"/>
          <a:ext cx="409583" cy="19438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0.86169</cdr:x>
      <cdr:y>0.30099</cdr:y>
    </cdr:from>
    <cdr:to>
      <cdr:x>0.89097</cdr:x>
      <cdr:y>0.35753</cdr:y>
    </cdr:to>
    <cdr:sp macro="" textlink="">
      <cdr:nvSpPr>
        <cdr:cNvPr id="9" name="TextBox 8"/>
        <cdr:cNvSpPr txBox="1"/>
      </cdr:nvSpPr>
      <cdr:spPr>
        <a:xfrm xmlns:a="http://schemas.openxmlformats.org/drawingml/2006/main">
          <a:off x="5384166" y="1258267"/>
          <a:ext cx="182953" cy="2363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0.85476</cdr:x>
      <cdr:y>0.43109</cdr:y>
    </cdr:from>
    <cdr:to>
      <cdr:x>0.90161</cdr:x>
      <cdr:y>0.48763</cdr:y>
    </cdr:to>
    <cdr:sp macro="" textlink="">
      <cdr:nvSpPr>
        <cdr:cNvPr id="10" name="TextBox 9"/>
        <cdr:cNvSpPr txBox="1"/>
      </cdr:nvSpPr>
      <cdr:spPr>
        <a:xfrm xmlns:a="http://schemas.openxmlformats.org/drawingml/2006/main">
          <a:off x="5340900" y="1802141"/>
          <a:ext cx="292737"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0.85276</cdr:x>
      <cdr:y>0.47828</cdr:y>
    </cdr:from>
    <cdr:to>
      <cdr:x>0.89961</cdr:x>
      <cdr:y>0.53482</cdr:y>
    </cdr:to>
    <cdr:sp macro="" textlink="">
      <cdr:nvSpPr>
        <cdr:cNvPr id="11" name="TextBox 10"/>
        <cdr:cNvSpPr txBox="1"/>
      </cdr:nvSpPr>
      <cdr:spPr>
        <a:xfrm xmlns:a="http://schemas.openxmlformats.org/drawingml/2006/main">
          <a:off x="5328368" y="1999396"/>
          <a:ext cx="292737"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0.85083</cdr:x>
      <cdr:y>0.16861</cdr:y>
    </cdr:from>
    <cdr:to>
      <cdr:x>0.91199</cdr:x>
      <cdr:y>0.21711</cdr:y>
    </cdr:to>
    <cdr:sp macro="" textlink="">
      <cdr:nvSpPr>
        <cdr:cNvPr id="12" name="TextBox 16"/>
        <cdr:cNvSpPr txBox="1"/>
      </cdr:nvSpPr>
      <cdr:spPr>
        <a:xfrm xmlns:a="http://schemas.openxmlformats.org/drawingml/2006/main">
          <a:off x="5316343" y="704870"/>
          <a:ext cx="382153" cy="20275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27.xml><?xml version="1.0" encoding="utf-8"?>
<c:userShapes xmlns:c="http://schemas.openxmlformats.org/drawingml/2006/chart">
  <cdr:relSizeAnchor xmlns:cdr="http://schemas.openxmlformats.org/drawingml/2006/chartDrawing">
    <cdr:from>
      <cdr:x>0.29448</cdr:x>
      <cdr:y>0.04926</cdr:y>
    </cdr:from>
    <cdr:to>
      <cdr:x>0.70342</cdr:x>
      <cdr:y>0.13342</cdr:y>
    </cdr:to>
    <cdr:sp macro="" textlink="">
      <cdr:nvSpPr>
        <cdr:cNvPr id="3" name="TextBox 2"/>
        <cdr:cNvSpPr txBox="1"/>
      </cdr:nvSpPr>
      <cdr:spPr>
        <a:xfrm xmlns:a="http://schemas.openxmlformats.org/drawingml/2006/main">
          <a:off x="1721261" y="199402"/>
          <a:ext cx="2390342" cy="3407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1 Failure ( &gt; +3s) Graph 3</a:t>
          </a:r>
          <a:endParaRPr lang="en-ZA" sz="1400" b="1"/>
        </a:p>
      </cdr:txBody>
    </cdr:sp>
  </cdr:relSizeAnchor>
  <cdr:relSizeAnchor xmlns:cdr="http://schemas.openxmlformats.org/drawingml/2006/chartDrawing">
    <cdr:from>
      <cdr:x>0.47004</cdr:x>
      <cdr:y>0.15916</cdr:y>
    </cdr:from>
    <cdr:to>
      <cdr:x>0.51986</cdr:x>
      <cdr:y>0.22833</cdr:y>
    </cdr:to>
    <cdr:sp macro="" textlink="">
      <cdr:nvSpPr>
        <cdr:cNvPr id="4" name="TextBox 3"/>
        <cdr:cNvSpPr txBox="1"/>
      </cdr:nvSpPr>
      <cdr:spPr>
        <a:xfrm xmlns:a="http://schemas.openxmlformats.org/drawingml/2006/main">
          <a:off x="2928061" y="644340"/>
          <a:ext cx="310347" cy="2800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0.13563</cdr:x>
      <cdr:y>0.761</cdr:y>
    </cdr:from>
    <cdr:to>
      <cdr:x>0.93627</cdr:x>
      <cdr:y>1</cdr:y>
    </cdr:to>
    <cdr:sp macro="" textlink="">
      <cdr:nvSpPr>
        <cdr:cNvPr id="5" name="TextBox 4"/>
        <cdr:cNvSpPr txBox="1"/>
      </cdr:nvSpPr>
      <cdr:spPr>
        <a:xfrm xmlns:a="http://schemas.openxmlformats.org/drawingml/2006/main">
          <a:off x="835555" y="2911491"/>
          <a:ext cx="4932361" cy="91438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1 failure				Richard 29/09/17</a:t>
          </a:r>
        </a:p>
        <a:p xmlns:a="http://schemas.openxmlformats.org/drawingml/2006/main">
          <a:r>
            <a:rPr lang="en-ZA" sz="1000" baseline="0"/>
            <a:t>B - CRM duplicate re-run - failed	 Rule 1		Richard 29/09/17</a:t>
          </a:r>
        </a:p>
        <a:p xmlns:a="http://schemas.openxmlformats.org/drawingml/2006/main">
          <a:r>
            <a:rPr lang="en-ZA" sz="1000" baseline="0"/>
            <a:t>C - Analyser recalibrated, CRM duplicate re-run - failed Rule 1 	Richard 29/09/17</a:t>
          </a:r>
        </a:p>
        <a:p xmlns:a="http://schemas.openxmlformats.org/drawingml/2006/main">
          <a:r>
            <a:rPr lang="en-ZA" sz="1000" baseline="0"/>
            <a:t>D - New CRM run - OK			Richard 29/09/17</a:t>
          </a:r>
          <a:endParaRPr lang="en-ZA" sz="1000"/>
        </a:p>
      </cdr:txBody>
    </cdr:sp>
  </cdr:relSizeAnchor>
  <cdr:relSizeAnchor xmlns:cdr="http://schemas.openxmlformats.org/drawingml/2006/chartDrawing">
    <cdr:from>
      <cdr:x>0.54807</cdr:x>
      <cdr:y>0.13092</cdr:y>
    </cdr:from>
    <cdr:to>
      <cdr:x>0.59789</cdr:x>
      <cdr:y>0.20008</cdr:y>
    </cdr:to>
    <cdr:sp macro="" textlink="">
      <cdr:nvSpPr>
        <cdr:cNvPr id="6" name="TextBox 1"/>
        <cdr:cNvSpPr txBox="1"/>
      </cdr:nvSpPr>
      <cdr:spPr>
        <a:xfrm xmlns:a="http://schemas.openxmlformats.org/drawingml/2006/main">
          <a:off x="3414147" y="529995"/>
          <a:ext cx="310346"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0.64587</cdr:x>
      <cdr:y>0.17571</cdr:y>
    </cdr:from>
    <cdr:to>
      <cdr:x>0.69569</cdr:x>
      <cdr:y>0.24487</cdr:y>
    </cdr:to>
    <cdr:sp macro="" textlink="">
      <cdr:nvSpPr>
        <cdr:cNvPr id="7" name="TextBox 1"/>
        <cdr:cNvSpPr txBox="1"/>
      </cdr:nvSpPr>
      <cdr:spPr>
        <a:xfrm xmlns:a="http://schemas.openxmlformats.org/drawingml/2006/main">
          <a:off x="4023342" y="711319"/>
          <a:ext cx="310346"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0.7602</cdr:x>
      <cdr:y>0.28651</cdr:y>
    </cdr:from>
    <cdr:to>
      <cdr:x>0.81002</cdr:x>
      <cdr:y>0.35567</cdr:y>
    </cdr:to>
    <cdr:sp macro="" textlink="">
      <cdr:nvSpPr>
        <cdr:cNvPr id="11" name="TextBox 1"/>
        <cdr:cNvSpPr txBox="1"/>
      </cdr:nvSpPr>
      <cdr:spPr>
        <a:xfrm xmlns:a="http://schemas.openxmlformats.org/drawingml/2006/main">
          <a:off x="4735577" y="1159870"/>
          <a:ext cx="310346" cy="27998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0.87014</cdr:x>
      <cdr:y>0.25853</cdr:y>
    </cdr:from>
    <cdr:to>
      <cdr:x>0.93583</cdr:x>
      <cdr:y>0.30655</cdr:y>
    </cdr:to>
    <cdr:sp macro="" textlink="">
      <cdr:nvSpPr>
        <cdr:cNvPr id="8" name="TextBox 1"/>
        <cdr:cNvSpPr txBox="1"/>
      </cdr:nvSpPr>
      <cdr:spPr>
        <a:xfrm xmlns:a="http://schemas.openxmlformats.org/drawingml/2006/main">
          <a:off x="5420392" y="1046610"/>
          <a:ext cx="409206" cy="1943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0.8793</cdr:x>
      <cdr:y>0.33904</cdr:y>
    </cdr:from>
    <cdr:to>
      <cdr:x>0.90864</cdr:x>
      <cdr:y>0.39743</cdr:y>
    </cdr:to>
    <cdr:sp macro="" textlink="">
      <cdr:nvSpPr>
        <cdr:cNvPr id="9" name="TextBox 2"/>
        <cdr:cNvSpPr txBox="1"/>
      </cdr:nvSpPr>
      <cdr:spPr>
        <a:xfrm xmlns:a="http://schemas.openxmlformats.org/drawingml/2006/main">
          <a:off x="5477471" y="1372550"/>
          <a:ext cx="182769" cy="236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0.8691</cdr:x>
      <cdr:y>0.46399</cdr:y>
    </cdr:from>
    <cdr:to>
      <cdr:x>0.91606</cdr:x>
      <cdr:y>0.52237</cdr:y>
    </cdr:to>
    <cdr:sp macro="" textlink="">
      <cdr:nvSpPr>
        <cdr:cNvPr id="10" name="TextBox 3"/>
        <cdr:cNvSpPr txBox="1"/>
      </cdr:nvSpPr>
      <cdr:spPr>
        <a:xfrm xmlns:a="http://schemas.openxmlformats.org/drawingml/2006/main">
          <a:off x="5413937" y="1878366"/>
          <a:ext cx="292531" cy="23633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0.87331</cdr:x>
      <cdr:y>0.50801</cdr:y>
    </cdr:from>
    <cdr:to>
      <cdr:x>0.92026</cdr:x>
      <cdr:y>0.56639</cdr:y>
    </cdr:to>
    <cdr:sp macro="" textlink="">
      <cdr:nvSpPr>
        <cdr:cNvPr id="12" name="TextBox 4"/>
        <cdr:cNvSpPr txBox="1"/>
      </cdr:nvSpPr>
      <cdr:spPr>
        <a:xfrm xmlns:a="http://schemas.openxmlformats.org/drawingml/2006/main">
          <a:off x="5440139" y="2056560"/>
          <a:ext cx="292468" cy="23634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0.87587</cdr:x>
      <cdr:y>0.20235</cdr:y>
    </cdr:from>
    <cdr:to>
      <cdr:x>0.93716</cdr:x>
      <cdr:y>0.25244</cdr:y>
    </cdr:to>
    <cdr:sp macro="" textlink="">
      <cdr:nvSpPr>
        <cdr:cNvPr id="13" name="TextBox 16"/>
        <cdr:cNvSpPr txBox="1"/>
      </cdr:nvSpPr>
      <cdr:spPr>
        <a:xfrm xmlns:a="http://schemas.openxmlformats.org/drawingml/2006/main">
          <a:off x="5456131" y="819154"/>
          <a:ext cx="381797" cy="202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0.29448</cdr:x>
      <cdr:y>0.04926</cdr:y>
    </cdr:from>
    <cdr:to>
      <cdr:x>0.70342</cdr:x>
      <cdr:y>0.13342</cdr:y>
    </cdr:to>
    <cdr:sp macro="" textlink="">
      <cdr:nvSpPr>
        <cdr:cNvPr id="2" name="TextBox 2"/>
        <cdr:cNvSpPr txBox="1"/>
      </cdr:nvSpPr>
      <cdr:spPr>
        <a:xfrm xmlns:a="http://schemas.openxmlformats.org/drawingml/2006/main">
          <a:off x="1721261" y="199402"/>
          <a:ext cx="2390342" cy="3407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1 Failure ( &gt; +3s) Graph 3</a:t>
          </a:r>
          <a:endParaRPr lang="en-ZA" sz="1400" b="1"/>
        </a:p>
      </cdr:txBody>
    </cdr:sp>
  </cdr:relSizeAnchor>
  <cdr:relSizeAnchor xmlns:cdr="http://schemas.openxmlformats.org/drawingml/2006/chartDrawing">
    <cdr:from>
      <cdr:x>0.47004</cdr:x>
      <cdr:y>0.15916</cdr:y>
    </cdr:from>
    <cdr:to>
      <cdr:x>0.51986</cdr:x>
      <cdr:y>0.22833</cdr:y>
    </cdr:to>
    <cdr:sp macro="" textlink="">
      <cdr:nvSpPr>
        <cdr:cNvPr id="14" name="TextBox 3"/>
        <cdr:cNvSpPr txBox="1"/>
      </cdr:nvSpPr>
      <cdr:spPr>
        <a:xfrm xmlns:a="http://schemas.openxmlformats.org/drawingml/2006/main">
          <a:off x="2928061" y="644340"/>
          <a:ext cx="310347" cy="2800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0.13563</cdr:x>
      <cdr:y>0.761</cdr:y>
    </cdr:from>
    <cdr:to>
      <cdr:x>0.93627</cdr:x>
      <cdr:y>1</cdr:y>
    </cdr:to>
    <cdr:sp macro="" textlink="">
      <cdr:nvSpPr>
        <cdr:cNvPr id="15" name="TextBox 4"/>
        <cdr:cNvSpPr txBox="1"/>
      </cdr:nvSpPr>
      <cdr:spPr>
        <a:xfrm xmlns:a="http://schemas.openxmlformats.org/drawingml/2006/main">
          <a:off x="835555" y="2911491"/>
          <a:ext cx="4932361" cy="91438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1 failure				Richard 29/09/17</a:t>
          </a:r>
        </a:p>
        <a:p xmlns:a="http://schemas.openxmlformats.org/drawingml/2006/main">
          <a:r>
            <a:rPr lang="en-ZA" sz="1000" baseline="0"/>
            <a:t>B - CRM duplicate re-run - failed	 Rule 1		Richard 29/09/17</a:t>
          </a:r>
        </a:p>
        <a:p xmlns:a="http://schemas.openxmlformats.org/drawingml/2006/main">
          <a:r>
            <a:rPr lang="en-ZA" sz="1000" baseline="0"/>
            <a:t>C - Analyser recalibrated, CRM duplicate re-run - failed Rule 1 	Richard 29/09/17</a:t>
          </a:r>
        </a:p>
        <a:p xmlns:a="http://schemas.openxmlformats.org/drawingml/2006/main">
          <a:r>
            <a:rPr lang="en-ZA" sz="1000" baseline="0"/>
            <a:t>D - New CRM run - OK			Richard 29/09/17</a:t>
          </a:r>
          <a:endParaRPr lang="en-ZA" sz="1000"/>
        </a:p>
      </cdr:txBody>
    </cdr:sp>
  </cdr:relSizeAnchor>
  <cdr:relSizeAnchor xmlns:cdr="http://schemas.openxmlformats.org/drawingml/2006/chartDrawing">
    <cdr:from>
      <cdr:x>0.54807</cdr:x>
      <cdr:y>0.13092</cdr:y>
    </cdr:from>
    <cdr:to>
      <cdr:x>0.59789</cdr:x>
      <cdr:y>0.20008</cdr:y>
    </cdr:to>
    <cdr:sp macro="" textlink="">
      <cdr:nvSpPr>
        <cdr:cNvPr id="16" name="TextBox 1"/>
        <cdr:cNvSpPr txBox="1"/>
      </cdr:nvSpPr>
      <cdr:spPr>
        <a:xfrm xmlns:a="http://schemas.openxmlformats.org/drawingml/2006/main">
          <a:off x="3414147" y="529995"/>
          <a:ext cx="310346"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0.64587</cdr:x>
      <cdr:y>0.17571</cdr:y>
    </cdr:from>
    <cdr:to>
      <cdr:x>0.69569</cdr:x>
      <cdr:y>0.24487</cdr:y>
    </cdr:to>
    <cdr:sp macro="" textlink="">
      <cdr:nvSpPr>
        <cdr:cNvPr id="17" name="TextBox 1"/>
        <cdr:cNvSpPr txBox="1"/>
      </cdr:nvSpPr>
      <cdr:spPr>
        <a:xfrm xmlns:a="http://schemas.openxmlformats.org/drawingml/2006/main">
          <a:off x="4023342" y="711319"/>
          <a:ext cx="310346"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0.7602</cdr:x>
      <cdr:y>0.28651</cdr:y>
    </cdr:from>
    <cdr:to>
      <cdr:x>0.81002</cdr:x>
      <cdr:y>0.35567</cdr:y>
    </cdr:to>
    <cdr:sp macro="" textlink="">
      <cdr:nvSpPr>
        <cdr:cNvPr id="18" name="TextBox 1"/>
        <cdr:cNvSpPr txBox="1"/>
      </cdr:nvSpPr>
      <cdr:spPr>
        <a:xfrm xmlns:a="http://schemas.openxmlformats.org/drawingml/2006/main">
          <a:off x="4735577" y="1159870"/>
          <a:ext cx="310346" cy="27998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0.87014</cdr:x>
      <cdr:y>0.25853</cdr:y>
    </cdr:from>
    <cdr:to>
      <cdr:x>0.93583</cdr:x>
      <cdr:y>0.30655</cdr:y>
    </cdr:to>
    <cdr:sp macro="" textlink="">
      <cdr:nvSpPr>
        <cdr:cNvPr id="19" name="TextBox 1"/>
        <cdr:cNvSpPr txBox="1"/>
      </cdr:nvSpPr>
      <cdr:spPr>
        <a:xfrm xmlns:a="http://schemas.openxmlformats.org/drawingml/2006/main">
          <a:off x="5420392" y="1046610"/>
          <a:ext cx="409206" cy="1943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0.8793</cdr:x>
      <cdr:y>0.33904</cdr:y>
    </cdr:from>
    <cdr:to>
      <cdr:x>0.90864</cdr:x>
      <cdr:y>0.39743</cdr:y>
    </cdr:to>
    <cdr:sp macro="" textlink="">
      <cdr:nvSpPr>
        <cdr:cNvPr id="20" name="TextBox 2"/>
        <cdr:cNvSpPr txBox="1"/>
      </cdr:nvSpPr>
      <cdr:spPr>
        <a:xfrm xmlns:a="http://schemas.openxmlformats.org/drawingml/2006/main">
          <a:off x="5477471" y="1372550"/>
          <a:ext cx="182769" cy="236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0.8691</cdr:x>
      <cdr:y>0.46399</cdr:y>
    </cdr:from>
    <cdr:to>
      <cdr:x>0.91606</cdr:x>
      <cdr:y>0.52237</cdr:y>
    </cdr:to>
    <cdr:sp macro="" textlink="">
      <cdr:nvSpPr>
        <cdr:cNvPr id="21" name="TextBox 3"/>
        <cdr:cNvSpPr txBox="1"/>
      </cdr:nvSpPr>
      <cdr:spPr>
        <a:xfrm xmlns:a="http://schemas.openxmlformats.org/drawingml/2006/main">
          <a:off x="5413937" y="1878366"/>
          <a:ext cx="292531" cy="23633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0.87331</cdr:x>
      <cdr:y>0.50801</cdr:y>
    </cdr:from>
    <cdr:to>
      <cdr:x>0.92026</cdr:x>
      <cdr:y>0.56639</cdr:y>
    </cdr:to>
    <cdr:sp macro="" textlink="">
      <cdr:nvSpPr>
        <cdr:cNvPr id="22" name="TextBox 4"/>
        <cdr:cNvSpPr txBox="1"/>
      </cdr:nvSpPr>
      <cdr:spPr>
        <a:xfrm xmlns:a="http://schemas.openxmlformats.org/drawingml/2006/main">
          <a:off x="5440139" y="2056560"/>
          <a:ext cx="292468" cy="23634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0.87587</cdr:x>
      <cdr:y>0.20235</cdr:y>
    </cdr:from>
    <cdr:to>
      <cdr:x>0.93716</cdr:x>
      <cdr:y>0.25244</cdr:y>
    </cdr:to>
    <cdr:sp macro="" textlink="">
      <cdr:nvSpPr>
        <cdr:cNvPr id="23" name="TextBox 16"/>
        <cdr:cNvSpPr txBox="1"/>
      </cdr:nvSpPr>
      <cdr:spPr>
        <a:xfrm xmlns:a="http://schemas.openxmlformats.org/drawingml/2006/main">
          <a:off x="5456131" y="819154"/>
          <a:ext cx="381797" cy="202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28.xml><?xml version="1.0" encoding="utf-8"?>
<c:userShapes xmlns:c="http://schemas.openxmlformats.org/drawingml/2006/chart">
  <cdr:relSizeAnchor xmlns:cdr="http://schemas.openxmlformats.org/drawingml/2006/chartDrawing">
    <cdr:from>
      <cdr:x>0.29448</cdr:x>
      <cdr:y>0.04926</cdr:y>
    </cdr:from>
    <cdr:to>
      <cdr:x>0.70342</cdr:x>
      <cdr:y>0.13342</cdr:y>
    </cdr:to>
    <cdr:sp macro="" textlink="">
      <cdr:nvSpPr>
        <cdr:cNvPr id="3" name="TextBox 2"/>
        <cdr:cNvSpPr txBox="1"/>
      </cdr:nvSpPr>
      <cdr:spPr>
        <a:xfrm xmlns:a="http://schemas.openxmlformats.org/drawingml/2006/main">
          <a:off x="1721261" y="199402"/>
          <a:ext cx="2390342" cy="3407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1 Failure ( &gt; +3s) Graph 3</a:t>
          </a:r>
          <a:endParaRPr lang="en-ZA" sz="1400" b="1"/>
        </a:p>
      </cdr:txBody>
    </cdr:sp>
  </cdr:relSizeAnchor>
  <cdr:relSizeAnchor xmlns:cdr="http://schemas.openxmlformats.org/drawingml/2006/chartDrawing">
    <cdr:from>
      <cdr:x>0.48074</cdr:x>
      <cdr:y>0.15681</cdr:y>
    </cdr:from>
    <cdr:to>
      <cdr:x>0.53056</cdr:x>
      <cdr:y>0.22598</cdr:y>
    </cdr:to>
    <cdr:sp macro="" textlink="">
      <cdr:nvSpPr>
        <cdr:cNvPr id="4" name="TextBox 3"/>
        <cdr:cNvSpPr txBox="1"/>
      </cdr:nvSpPr>
      <cdr:spPr>
        <a:xfrm xmlns:a="http://schemas.openxmlformats.org/drawingml/2006/main">
          <a:off x="2994719" y="634802"/>
          <a:ext cx="310346" cy="2800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0.03976</cdr:x>
      <cdr:y>0.78114</cdr:y>
    </cdr:from>
    <cdr:to>
      <cdr:x>0.97095</cdr:x>
      <cdr:y>1</cdr:y>
    </cdr:to>
    <cdr:sp macro="" textlink="">
      <cdr:nvSpPr>
        <cdr:cNvPr id="5" name="TextBox 4"/>
        <cdr:cNvSpPr txBox="1"/>
      </cdr:nvSpPr>
      <cdr:spPr>
        <a:xfrm xmlns:a="http://schemas.openxmlformats.org/drawingml/2006/main">
          <a:off x="247651" y="3162300"/>
          <a:ext cx="5800724" cy="8859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1 failure					Richard 29/09/17</a:t>
          </a:r>
        </a:p>
        <a:p xmlns:a="http://schemas.openxmlformats.org/drawingml/2006/main">
          <a:r>
            <a:rPr lang="en-ZA" sz="1000" baseline="0"/>
            <a:t>B - CRM duplicate re-run - failed	 Rule 1			Richard 29/09/17</a:t>
          </a:r>
        </a:p>
        <a:p xmlns:a="http://schemas.openxmlformats.org/drawingml/2006/main">
          <a:r>
            <a:rPr lang="en-ZA" sz="1000" baseline="0"/>
            <a:t>C - Analyser recalibrated, CRM duplicate re-run - failed Rule 1 		Richard 29/09/17</a:t>
          </a:r>
        </a:p>
        <a:p xmlns:a="http://schemas.openxmlformats.org/drawingml/2006/main">
          <a:r>
            <a:rPr lang="en-ZA" sz="1000" baseline="0">
              <a:latin typeface="+mn-lt"/>
              <a:ea typeface="+mn-ea"/>
              <a:cs typeface="+mn-cs"/>
            </a:rPr>
            <a:t>D - New CRM run - failed Rule 1.  Work supsended -Manager Informed</a:t>
          </a:r>
          <a:r>
            <a:rPr lang="en-ZA" sz="1100" baseline="0">
              <a:latin typeface="+mn-lt"/>
              <a:ea typeface="+mn-ea"/>
              <a:cs typeface="+mn-cs"/>
            </a:rPr>
            <a:t>		</a:t>
          </a:r>
          <a:r>
            <a:rPr lang="en-ZA" sz="1000" baseline="0"/>
            <a:t>Richard 29/09/17</a:t>
          </a:r>
          <a:endParaRPr lang="en-ZA" sz="1000"/>
        </a:p>
      </cdr:txBody>
    </cdr:sp>
  </cdr:relSizeAnchor>
  <cdr:relSizeAnchor xmlns:cdr="http://schemas.openxmlformats.org/drawingml/2006/chartDrawing">
    <cdr:from>
      <cdr:x>0.56489</cdr:x>
      <cdr:y>0.13563</cdr:y>
    </cdr:from>
    <cdr:to>
      <cdr:x>0.61471</cdr:x>
      <cdr:y>0.20479</cdr:y>
    </cdr:to>
    <cdr:sp macro="" textlink="">
      <cdr:nvSpPr>
        <cdr:cNvPr id="6" name="TextBox 1"/>
        <cdr:cNvSpPr txBox="1"/>
      </cdr:nvSpPr>
      <cdr:spPr>
        <a:xfrm xmlns:a="http://schemas.openxmlformats.org/drawingml/2006/main">
          <a:off x="3518895" y="549053"/>
          <a:ext cx="310346"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0.63058</cdr:x>
      <cdr:y>0.23218</cdr:y>
    </cdr:from>
    <cdr:to>
      <cdr:x>0.6804</cdr:x>
      <cdr:y>0.30134</cdr:y>
    </cdr:to>
    <cdr:sp macro="" textlink="">
      <cdr:nvSpPr>
        <cdr:cNvPr id="7" name="TextBox 1"/>
        <cdr:cNvSpPr txBox="1"/>
      </cdr:nvSpPr>
      <cdr:spPr>
        <a:xfrm xmlns:a="http://schemas.openxmlformats.org/drawingml/2006/main">
          <a:off x="3928100" y="939926"/>
          <a:ext cx="310347"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0.72197</cdr:x>
      <cdr:y>0.1571</cdr:y>
    </cdr:from>
    <cdr:to>
      <cdr:x>0.77179</cdr:x>
      <cdr:y>0.22626</cdr:y>
    </cdr:to>
    <cdr:sp macro="" textlink="">
      <cdr:nvSpPr>
        <cdr:cNvPr id="11" name="TextBox 1"/>
        <cdr:cNvSpPr txBox="1"/>
      </cdr:nvSpPr>
      <cdr:spPr>
        <a:xfrm xmlns:a="http://schemas.openxmlformats.org/drawingml/2006/main">
          <a:off x="4497427" y="636002"/>
          <a:ext cx="310346"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0.87014</cdr:x>
      <cdr:y>0.25853</cdr:y>
    </cdr:from>
    <cdr:to>
      <cdr:x>0.93583</cdr:x>
      <cdr:y>0.30655</cdr:y>
    </cdr:to>
    <cdr:sp macro="" textlink="">
      <cdr:nvSpPr>
        <cdr:cNvPr id="8" name="TextBox 1"/>
        <cdr:cNvSpPr txBox="1"/>
      </cdr:nvSpPr>
      <cdr:spPr>
        <a:xfrm xmlns:a="http://schemas.openxmlformats.org/drawingml/2006/main">
          <a:off x="5420392" y="1046610"/>
          <a:ext cx="409206" cy="1943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0.8793</cdr:x>
      <cdr:y>0.33904</cdr:y>
    </cdr:from>
    <cdr:to>
      <cdr:x>0.90864</cdr:x>
      <cdr:y>0.39743</cdr:y>
    </cdr:to>
    <cdr:sp macro="" textlink="">
      <cdr:nvSpPr>
        <cdr:cNvPr id="9" name="TextBox 2"/>
        <cdr:cNvSpPr txBox="1"/>
      </cdr:nvSpPr>
      <cdr:spPr>
        <a:xfrm xmlns:a="http://schemas.openxmlformats.org/drawingml/2006/main">
          <a:off x="5477471" y="1372550"/>
          <a:ext cx="182769" cy="236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0.8691</cdr:x>
      <cdr:y>0.46399</cdr:y>
    </cdr:from>
    <cdr:to>
      <cdr:x>0.91606</cdr:x>
      <cdr:y>0.52237</cdr:y>
    </cdr:to>
    <cdr:sp macro="" textlink="">
      <cdr:nvSpPr>
        <cdr:cNvPr id="10" name="TextBox 3"/>
        <cdr:cNvSpPr txBox="1"/>
      </cdr:nvSpPr>
      <cdr:spPr>
        <a:xfrm xmlns:a="http://schemas.openxmlformats.org/drawingml/2006/main">
          <a:off x="5413937" y="1878366"/>
          <a:ext cx="292531" cy="23633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0.87331</cdr:x>
      <cdr:y>0.50801</cdr:y>
    </cdr:from>
    <cdr:to>
      <cdr:x>0.92026</cdr:x>
      <cdr:y>0.56639</cdr:y>
    </cdr:to>
    <cdr:sp macro="" textlink="">
      <cdr:nvSpPr>
        <cdr:cNvPr id="12" name="TextBox 4"/>
        <cdr:cNvSpPr txBox="1"/>
      </cdr:nvSpPr>
      <cdr:spPr>
        <a:xfrm xmlns:a="http://schemas.openxmlformats.org/drawingml/2006/main">
          <a:off x="5440139" y="2056560"/>
          <a:ext cx="292468" cy="23634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0.87587</cdr:x>
      <cdr:y>0.20235</cdr:y>
    </cdr:from>
    <cdr:to>
      <cdr:x>0.93716</cdr:x>
      <cdr:y>0.25244</cdr:y>
    </cdr:to>
    <cdr:sp macro="" textlink="">
      <cdr:nvSpPr>
        <cdr:cNvPr id="13" name="TextBox 16"/>
        <cdr:cNvSpPr txBox="1"/>
      </cdr:nvSpPr>
      <cdr:spPr>
        <a:xfrm xmlns:a="http://schemas.openxmlformats.org/drawingml/2006/main">
          <a:off x="5456131" y="819154"/>
          <a:ext cx="381797" cy="202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29.xml><?xml version="1.0" encoding="utf-8"?>
<xdr:wsDr xmlns:xdr="http://schemas.openxmlformats.org/drawingml/2006/spreadsheetDrawing" xmlns:a="http://schemas.openxmlformats.org/drawingml/2006/main">
  <xdr:twoCellAnchor>
    <xdr:from>
      <xdr:col>1</xdr:col>
      <xdr:colOff>602686</xdr:colOff>
      <xdr:row>29</xdr:row>
      <xdr:rowOff>0</xdr:rowOff>
    </xdr:from>
    <xdr:to>
      <xdr:col>11</xdr:col>
      <xdr:colOff>973666</xdr:colOff>
      <xdr:row>51</xdr:row>
      <xdr:rowOff>20109</xdr:rowOff>
    </xdr:to>
    <xdr:graphicFrame macro="">
      <xdr:nvGraphicFramePr>
        <xdr:cNvPr id="2" name="Chart 1">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17291</xdr:colOff>
      <xdr:row>33</xdr:row>
      <xdr:rowOff>148532</xdr:rowOff>
    </xdr:from>
    <xdr:to>
      <xdr:col>11</xdr:col>
      <xdr:colOff>402166</xdr:colOff>
      <xdr:row>34</xdr:row>
      <xdr:rowOff>152400</xdr:rowOff>
    </xdr:to>
    <xdr:sp macro="" textlink="">
      <xdr:nvSpPr>
        <xdr:cNvPr id="3" name="TextBox 2">
          <a:extLst>
            <a:ext uri="{FF2B5EF4-FFF2-40B4-BE49-F238E27FC236}">
              <a16:creationId xmlns:a16="http://schemas.microsoft.com/office/drawing/2014/main" id="{00000000-0008-0000-1900-000003000000}"/>
            </a:ext>
          </a:extLst>
        </xdr:cNvPr>
        <xdr:cNvSpPr txBox="1"/>
      </xdr:nvSpPr>
      <xdr:spPr>
        <a:xfrm>
          <a:off x="6769458" y="6540865"/>
          <a:ext cx="384875" cy="194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ZA" sz="900" b="1"/>
            <a:t>+2s</a:t>
          </a:r>
        </a:p>
      </xdr:txBody>
    </xdr:sp>
    <xdr:clientData/>
  </xdr:twoCellAnchor>
  <xdr:twoCellAnchor>
    <xdr:from>
      <xdr:col>11</xdr:col>
      <xdr:colOff>78814</xdr:colOff>
      <xdr:row>35</xdr:row>
      <xdr:rowOff>102990</xdr:rowOff>
    </xdr:from>
    <xdr:to>
      <xdr:col>11</xdr:col>
      <xdr:colOff>250745</xdr:colOff>
      <xdr:row>36</xdr:row>
      <xdr:rowOff>148853</xdr:rowOff>
    </xdr:to>
    <xdr:sp macro="" textlink="">
      <xdr:nvSpPr>
        <xdr:cNvPr id="4" name="TextBox 3">
          <a:extLst>
            <a:ext uri="{FF2B5EF4-FFF2-40B4-BE49-F238E27FC236}">
              <a16:creationId xmlns:a16="http://schemas.microsoft.com/office/drawing/2014/main" id="{00000000-0008-0000-1900-000004000000}"/>
            </a:ext>
          </a:extLst>
        </xdr:cNvPr>
        <xdr:cNvSpPr txBox="1"/>
      </xdr:nvSpPr>
      <xdr:spPr>
        <a:xfrm>
          <a:off x="6830981" y="6876323"/>
          <a:ext cx="171931" cy="23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900" b="1" baseline="0"/>
            <a:t>x͞</a:t>
          </a:r>
        </a:p>
      </xdr:txBody>
    </xdr:sp>
    <xdr:clientData/>
  </xdr:twoCellAnchor>
  <xdr:twoCellAnchor>
    <xdr:from>
      <xdr:col>11</xdr:col>
      <xdr:colOff>47104</xdr:colOff>
      <xdr:row>38</xdr:row>
      <xdr:rowOff>75376</xdr:rowOff>
    </xdr:from>
    <xdr:to>
      <xdr:col>11</xdr:col>
      <xdr:colOff>322204</xdr:colOff>
      <xdr:row>39</xdr:row>
      <xdr:rowOff>121239</xdr:rowOff>
    </xdr:to>
    <xdr:sp macro="" textlink="">
      <xdr:nvSpPr>
        <xdr:cNvPr id="5" name="TextBox 4">
          <a:extLst>
            <a:ext uri="{FF2B5EF4-FFF2-40B4-BE49-F238E27FC236}">
              <a16:creationId xmlns:a16="http://schemas.microsoft.com/office/drawing/2014/main" id="{00000000-0008-0000-1900-000005000000}"/>
            </a:ext>
          </a:extLst>
        </xdr:cNvPr>
        <xdr:cNvSpPr txBox="1"/>
      </xdr:nvSpPr>
      <xdr:spPr>
        <a:xfrm>
          <a:off x="6799271" y="7420209"/>
          <a:ext cx="275100" cy="23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900" b="1"/>
            <a:t>-2s</a:t>
          </a:r>
        </a:p>
      </xdr:txBody>
    </xdr:sp>
    <xdr:clientData/>
  </xdr:twoCellAnchor>
  <xdr:twoCellAnchor>
    <xdr:from>
      <xdr:col>11</xdr:col>
      <xdr:colOff>35887</xdr:colOff>
      <xdr:row>39</xdr:row>
      <xdr:rowOff>72597</xdr:rowOff>
    </xdr:from>
    <xdr:to>
      <xdr:col>11</xdr:col>
      <xdr:colOff>310987</xdr:colOff>
      <xdr:row>40</xdr:row>
      <xdr:rowOff>118460</xdr:rowOff>
    </xdr:to>
    <xdr:sp macro="" textlink="">
      <xdr:nvSpPr>
        <xdr:cNvPr id="6" name="TextBox 5">
          <a:extLst>
            <a:ext uri="{FF2B5EF4-FFF2-40B4-BE49-F238E27FC236}">
              <a16:creationId xmlns:a16="http://schemas.microsoft.com/office/drawing/2014/main" id="{00000000-0008-0000-1900-000006000000}"/>
            </a:ext>
          </a:extLst>
        </xdr:cNvPr>
        <xdr:cNvSpPr txBox="1"/>
      </xdr:nvSpPr>
      <xdr:spPr>
        <a:xfrm>
          <a:off x="6788054" y="7607930"/>
          <a:ext cx="275100" cy="23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900" b="1"/>
            <a:t>-3s</a:t>
          </a:r>
        </a:p>
      </xdr:txBody>
    </xdr:sp>
    <xdr:clientData/>
  </xdr:twoCellAnchor>
  <xdr:twoCellAnchor>
    <xdr:from>
      <xdr:col>9</xdr:col>
      <xdr:colOff>309949</xdr:colOff>
      <xdr:row>33</xdr:row>
      <xdr:rowOff>52918</xdr:rowOff>
    </xdr:from>
    <xdr:to>
      <xdr:col>9</xdr:col>
      <xdr:colOff>529166</xdr:colOff>
      <xdr:row>34</xdr:row>
      <xdr:rowOff>93134</xdr:rowOff>
    </xdr:to>
    <xdr:sp macro="" textlink="">
      <xdr:nvSpPr>
        <xdr:cNvPr id="7" name="TextBox 6">
          <a:extLst>
            <a:ext uri="{FF2B5EF4-FFF2-40B4-BE49-F238E27FC236}">
              <a16:creationId xmlns:a16="http://schemas.microsoft.com/office/drawing/2014/main" id="{00000000-0008-0000-1900-000007000000}"/>
            </a:ext>
          </a:extLst>
        </xdr:cNvPr>
        <xdr:cNvSpPr txBox="1"/>
      </xdr:nvSpPr>
      <xdr:spPr>
        <a:xfrm>
          <a:off x="5834449" y="6445251"/>
          <a:ext cx="219217" cy="2307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1100" b="1">
              <a:solidFill>
                <a:sysClr val="windowText" lastClr="000000"/>
              </a:solidFill>
            </a:rPr>
            <a:t>B</a:t>
          </a:r>
        </a:p>
      </xdr:txBody>
    </xdr:sp>
    <xdr:clientData/>
  </xdr:twoCellAnchor>
  <xdr:twoCellAnchor>
    <xdr:from>
      <xdr:col>2</xdr:col>
      <xdr:colOff>0</xdr:colOff>
      <xdr:row>55</xdr:row>
      <xdr:rowOff>10583</xdr:rowOff>
    </xdr:from>
    <xdr:to>
      <xdr:col>11</xdr:col>
      <xdr:colOff>994833</xdr:colOff>
      <xdr:row>77</xdr:row>
      <xdr:rowOff>0</xdr:rowOff>
    </xdr:to>
    <xdr:graphicFrame macro="">
      <xdr:nvGraphicFramePr>
        <xdr:cNvPr id="8" name="Chart 7">
          <a:extLst>
            <a:ext uri="{FF2B5EF4-FFF2-40B4-BE49-F238E27FC236}">
              <a16:creationId xmlns:a16="http://schemas.microsoft.com/office/drawing/2014/main" id="{00000000-0008-0000-1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41297</xdr:colOff>
      <xdr:row>83</xdr:row>
      <xdr:rowOff>177019</xdr:rowOff>
    </xdr:from>
    <xdr:to>
      <xdr:col>12</xdr:col>
      <xdr:colOff>9525</xdr:colOff>
      <xdr:row>105</xdr:row>
      <xdr:rowOff>34315</xdr:rowOff>
    </xdr:to>
    <xdr:graphicFrame macro="">
      <xdr:nvGraphicFramePr>
        <xdr:cNvPr id="9" name="Chart 8">
          <a:extLst>
            <a:ext uri="{FF2B5EF4-FFF2-40B4-BE49-F238E27FC236}">
              <a16:creationId xmlns:a16="http://schemas.microsoft.com/office/drawing/2014/main" id="{00000000-0008-0000-19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21166</xdr:colOff>
      <xdr:row>106</xdr:row>
      <xdr:rowOff>169333</xdr:rowOff>
    </xdr:from>
    <xdr:to>
      <xdr:col>11</xdr:col>
      <xdr:colOff>997388</xdr:colOff>
      <xdr:row>128</xdr:row>
      <xdr:rowOff>10895</xdr:rowOff>
    </xdr:to>
    <xdr:graphicFrame macro="">
      <xdr:nvGraphicFramePr>
        <xdr:cNvPr id="10" name="Chart 9">
          <a:extLst>
            <a:ext uri="{FF2B5EF4-FFF2-40B4-BE49-F238E27FC236}">
              <a16:creationId xmlns:a16="http://schemas.microsoft.com/office/drawing/2014/main" id="{00000000-0008-0000-19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501854</xdr:colOff>
      <xdr:row>39</xdr:row>
      <xdr:rowOff>5577</xdr:rowOff>
    </xdr:from>
    <xdr:to>
      <xdr:col>9</xdr:col>
      <xdr:colOff>176183</xdr:colOff>
      <xdr:row>40</xdr:row>
      <xdr:rowOff>81102</xdr:rowOff>
    </xdr:to>
    <xdr:sp macro="" textlink="">
      <xdr:nvSpPr>
        <xdr:cNvPr id="11" name="TextBox 10">
          <a:extLst>
            <a:ext uri="{FF2B5EF4-FFF2-40B4-BE49-F238E27FC236}">
              <a16:creationId xmlns:a16="http://schemas.microsoft.com/office/drawing/2014/main" id="{00000000-0008-0000-1900-00000B000000}"/>
            </a:ext>
          </a:extLst>
        </xdr:cNvPr>
        <xdr:cNvSpPr txBox="1"/>
      </xdr:nvSpPr>
      <xdr:spPr>
        <a:xfrm>
          <a:off x="5412521" y="7540910"/>
          <a:ext cx="288162" cy="266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1100" b="1">
              <a:solidFill>
                <a:sysClr val="windowText" lastClr="000000"/>
              </a:solidFill>
            </a:rPr>
            <a:t>A</a:t>
          </a:r>
        </a:p>
      </xdr:txBody>
    </xdr:sp>
    <xdr:clientData/>
  </xdr:twoCellAnchor>
  <xdr:twoCellAnchor>
    <xdr:from>
      <xdr:col>11</xdr:col>
      <xdr:colOff>24053</xdr:colOff>
      <xdr:row>32</xdr:row>
      <xdr:rowOff>130605</xdr:rowOff>
    </xdr:from>
    <xdr:to>
      <xdr:col>11</xdr:col>
      <xdr:colOff>383117</xdr:colOff>
      <xdr:row>33</xdr:row>
      <xdr:rowOff>142875</xdr:rowOff>
    </xdr:to>
    <xdr:sp macro="" textlink="">
      <xdr:nvSpPr>
        <xdr:cNvPr id="12" name="TextBox 11">
          <a:extLst>
            <a:ext uri="{FF2B5EF4-FFF2-40B4-BE49-F238E27FC236}">
              <a16:creationId xmlns:a16="http://schemas.microsoft.com/office/drawing/2014/main" id="{00000000-0008-0000-1900-00000C000000}"/>
            </a:ext>
          </a:extLst>
        </xdr:cNvPr>
        <xdr:cNvSpPr txBox="1"/>
      </xdr:nvSpPr>
      <xdr:spPr>
        <a:xfrm>
          <a:off x="6776220" y="6332438"/>
          <a:ext cx="359064" cy="202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ZA" sz="900" b="1"/>
            <a:t>+3s</a:t>
          </a:r>
        </a:p>
      </xdr:txBody>
    </xdr:sp>
    <xdr:clientData/>
  </xdr:twoCellAnchor>
  <xdr:twoCellAnchor>
    <xdr:from>
      <xdr:col>15</xdr:col>
      <xdr:colOff>9525</xdr:colOff>
      <xdr:row>29</xdr:row>
      <xdr:rowOff>9525</xdr:rowOff>
    </xdr:from>
    <xdr:to>
      <xdr:col>25</xdr:col>
      <xdr:colOff>19050</xdr:colOff>
      <xdr:row>51</xdr:row>
      <xdr:rowOff>33960</xdr:rowOff>
    </xdr:to>
    <xdr:graphicFrame macro="">
      <xdr:nvGraphicFramePr>
        <xdr:cNvPr id="13" name="Chart 12">
          <a:extLst>
            <a:ext uri="{FF2B5EF4-FFF2-40B4-BE49-F238E27FC236}">
              <a16:creationId xmlns:a16="http://schemas.microsoft.com/office/drawing/2014/main" id="{00000000-0008-0000-19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55</xdr:row>
      <xdr:rowOff>0</xdr:rowOff>
    </xdr:from>
    <xdr:to>
      <xdr:col>25</xdr:col>
      <xdr:colOff>19050</xdr:colOff>
      <xdr:row>76</xdr:row>
      <xdr:rowOff>179917</xdr:rowOff>
    </xdr:to>
    <xdr:graphicFrame macro="">
      <xdr:nvGraphicFramePr>
        <xdr:cNvPr id="14" name="Chart 13">
          <a:extLst>
            <a:ext uri="{FF2B5EF4-FFF2-40B4-BE49-F238E27FC236}">
              <a16:creationId xmlns:a16="http://schemas.microsoft.com/office/drawing/2014/main" id="{00000000-0008-0000-1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83</xdr:row>
      <xdr:rowOff>149678</xdr:rowOff>
    </xdr:from>
    <xdr:to>
      <xdr:col>25</xdr:col>
      <xdr:colOff>0</xdr:colOff>
      <xdr:row>104</xdr:row>
      <xdr:rowOff>47795</xdr:rowOff>
    </xdr:to>
    <xdr:graphicFrame macro="">
      <xdr:nvGraphicFramePr>
        <xdr:cNvPr id="15" name="Chart 14">
          <a:extLst>
            <a:ext uri="{FF2B5EF4-FFF2-40B4-BE49-F238E27FC236}">
              <a16:creationId xmlns:a16="http://schemas.microsoft.com/office/drawing/2014/main" id="{00000000-0008-0000-1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107</xdr:row>
      <xdr:rowOff>0</xdr:rowOff>
    </xdr:from>
    <xdr:to>
      <xdr:col>25</xdr:col>
      <xdr:colOff>0</xdr:colOff>
      <xdr:row>128</xdr:row>
      <xdr:rowOff>47796</xdr:rowOff>
    </xdr:to>
    <xdr:graphicFrame macro="">
      <xdr:nvGraphicFramePr>
        <xdr:cNvPr id="16" name="Chart 15">
          <a:extLst>
            <a:ext uri="{FF2B5EF4-FFF2-40B4-BE49-F238E27FC236}">
              <a16:creationId xmlns:a16="http://schemas.microsoft.com/office/drawing/2014/main" id="{00000000-0008-0000-19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0.xml><?xml version="1.0" encoding="utf-8"?>
<c:userShapes xmlns:c="http://schemas.openxmlformats.org/drawingml/2006/chart">
  <cdr:relSizeAnchor xmlns:cdr="http://schemas.openxmlformats.org/drawingml/2006/chartDrawing">
    <cdr:from>
      <cdr:x>0.39225</cdr:x>
      <cdr:y>0.04455</cdr:y>
    </cdr:from>
    <cdr:to>
      <cdr:x>0.66202</cdr:x>
      <cdr:y>0.12871</cdr:y>
    </cdr:to>
    <cdr:sp macro="" textlink="">
      <cdr:nvSpPr>
        <cdr:cNvPr id="3" name="TextBox 2"/>
        <cdr:cNvSpPr txBox="1"/>
      </cdr:nvSpPr>
      <cdr:spPr>
        <a:xfrm xmlns:a="http://schemas.openxmlformats.org/drawingml/2006/main">
          <a:off x="2409825" y="171450"/>
          <a:ext cx="1657350" cy="3238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900" b="1"/>
        </a:p>
        <a:p xmlns:a="http://schemas.openxmlformats.org/drawingml/2006/main">
          <a:r>
            <a:rPr lang="en-ZA" sz="1400" b="1" baseline="0"/>
            <a:t> 1 Failure</a:t>
          </a:r>
          <a:endParaRPr lang="en-ZA" sz="1400" b="1"/>
        </a:p>
      </cdr:txBody>
    </cdr:sp>
  </cdr:relSizeAnchor>
  <cdr:relSizeAnchor xmlns:cdr="http://schemas.openxmlformats.org/drawingml/2006/chartDrawing">
    <cdr:from>
      <cdr:x>0.45001</cdr:x>
      <cdr:y>0.50138</cdr:y>
    </cdr:from>
    <cdr:to>
      <cdr:x>0.49983</cdr:x>
      <cdr:y>0.57054</cdr:y>
    </cdr:to>
    <cdr:sp macro="" textlink="">
      <cdr:nvSpPr>
        <cdr:cNvPr id="4" name="TextBox 3"/>
        <cdr:cNvSpPr txBox="1"/>
      </cdr:nvSpPr>
      <cdr:spPr>
        <a:xfrm xmlns:a="http://schemas.openxmlformats.org/drawingml/2006/main">
          <a:off x="2772303" y="1918229"/>
          <a:ext cx="306917" cy="26458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100" b="1">
            <a:solidFill>
              <a:srgbClr val="FF0000"/>
            </a:solidFill>
          </a:endParaRPr>
        </a:p>
      </cdr:txBody>
    </cdr:sp>
  </cdr:relSizeAnchor>
  <cdr:relSizeAnchor xmlns:cdr="http://schemas.openxmlformats.org/drawingml/2006/chartDrawing">
    <cdr:from>
      <cdr:x>0.07483</cdr:x>
      <cdr:y>0.7975</cdr:y>
    </cdr:from>
    <cdr:to>
      <cdr:x>0.9287</cdr:x>
      <cdr:y>0.94744</cdr:y>
    </cdr:to>
    <cdr:sp macro="" textlink="">
      <cdr:nvSpPr>
        <cdr:cNvPr id="5" name="TextBox 4"/>
        <cdr:cNvSpPr txBox="1"/>
      </cdr:nvSpPr>
      <cdr:spPr>
        <a:xfrm xmlns:a="http://schemas.openxmlformats.org/drawingml/2006/main">
          <a:off x="460939" y="3051268"/>
          <a:ext cx="5259917" cy="57369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100"/>
        </a:p>
        <a:p xmlns:a="http://schemas.openxmlformats.org/drawingml/2006/main">
          <a:r>
            <a:rPr lang="en-ZA" sz="1100"/>
            <a:t>A</a:t>
          </a:r>
          <a:r>
            <a:rPr lang="en-ZA" sz="1100" baseline="0"/>
            <a:t> - Rule 2 failure			Richard 29/09/17</a:t>
          </a:r>
        </a:p>
        <a:p xmlns:a="http://schemas.openxmlformats.org/drawingml/2006/main">
          <a:r>
            <a:rPr lang="en-ZA" sz="1100" baseline="0"/>
            <a:t>B- CRM duplicate re-run - OK			Richard 29/09/17</a:t>
          </a:r>
          <a:endParaRPr lang="en-ZA" sz="1100"/>
        </a:p>
      </cdr:txBody>
    </cdr:sp>
  </cdr:relSizeAnchor>
  <cdr:relSizeAnchor xmlns:cdr="http://schemas.openxmlformats.org/drawingml/2006/chartDrawing">
    <cdr:from>
      <cdr:x>0.29264</cdr:x>
      <cdr:y>0.04823</cdr:y>
    </cdr:from>
    <cdr:to>
      <cdr:x>0.7488</cdr:x>
      <cdr:y>0.13239</cdr:y>
    </cdr:to>
    <cdr:sp macro="" textlink="">
      <cdr:nvSpPr>
        <cdr:cNvPr id="6" name="TextBox 1"/>
        <cdr:cNvSpPr txBox="1"/>
      </cdr:nvSpPr>
      <cdr:spPr>
        <a:xfrm xmlns:a="http://schemas.openxmlformats.org/drawingml/2006/main">
          <a:off x="1713786" y="203326"/>
          <a:ext cx="2671453" cy="35477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Arial"/>
            </a:defRPr>
          </a:lvl1pPr>
          <a:lvl2pPr marL="457200" indent="0">
            <a:defRPr sz="1100">
              <a:latin typeface="Arial"/>
            </a:defRPr>
          </a:lvl2pPr>
          <a:lvl3pPr marL="914400" indent="0">
            <a:defRPr sz="1100">
              <a:latin typeface="Arial"/>
            </a:defRPr>
          </a:lvl3pPr>
          <a:lvl4pPr marL="1371600" indent="0">
            <a:defRPr sz="1100">
              <a:latin typeface="Arial"/>
            </a:defRPr>
          </a:lvl4pPr>
          <a:lvl5pPr marL="1828800" indent="0">
            <a:defRPr sz="1100">
              <a:latin typeface="Arial"/>
            </a:defRPr>
          </a:lvl5pPr>
          <a:lvl6pPr marL="2286000" indent="0">
            <a:defRPr sz="1100">
              <a:latin typeface="Arial"/>
            </a:defRPr>
          </a:lvl6pPr>
          <a:lvl7pPr marL="2743200" indent="0">
            <a:defRPr sz="1100">
              <a:latin typeface="Arial"/>
            </a:defRPr>
          </a:lvl7pPr>
          <a:lvl8pPr marL="3200400" indent="0">
            <a:defRPr sz="1100">
              <a:latin typeface="Arial"/>
            </a:defRPr>
          </a:lvl8pPr>
          <a:lvl9pPr marL="3657600" indent="0">
            <a:defRPr sz="1100">
              <a:latin typeface="Arial"/>
            </a:defRPr>
          </a:lvl9pPr>
        </a:lstStyle>
        <a:p xmlns:a="http://schemas.openxmlformats.org/drawingml/2006/main">
          <a:r>
            <a:rPr lang="en-ZA" sz="1400" b="1">
              <a:latin typeface="Calibri" pitchFamily="34" charset="0"/>
            </a:rPr>
            <a:t>Rule</a:t>
          </a:r>
          <a:r>
            <a:rPr lang="en-ZA" sz="1400" b="1" baseline="0">
              <a:latin typeface="Calibri" pitchFamily="34" charset="0"/>
            </a:rPr>
            <a:t> 2 Failure ( &lt; -2s) Graph 1</a:t>
          </a:r>
          <a:endParaRPr lang="en-ZA" sz="1400" b="1">
            <a:latin typeface="Calibri" pitchFamily="34" charset="0"/>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0.29816</cdr:x>
      <cdr:y>0.03771</cdr:y>
    </cdr:from>
    <cdr:to>
      <cdr:x>0.72026</cdr:x>
      <cdr:y>0.12187</cdr:y>
    </cdr:to>
    <cdr:sp macro="" textlink="">
      <cdr:nvSpPr>
        <cdr:cNvPr id="3" name="TextBox 2"/>
        <cdr:cNvSpPr txBox="1"/>
      </cdr:nvSpPr>
      <cdr:spPr>
        <a:xfrm xmlns:a="http://schemas.openxmlformats.org/drawingml/2006/main">
          <a:off x="1750698" y="157663"/>
          <a:ext cx="2478402" cy="3518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2 Failure ( &lt; -2s) Graph 2</a:t>
          </a:r>
          <a:endParaRPr lang="en-ZA" sz="1400" b="1"/>
        </a:p>
      </cdr:txBody>
    </cdr:sp>
  </cdr:relSizeAnchor>
  <cdr:relSizeAnchor xmlns:cdr="http://schemas.openxmlformats.org/drawingml/2006/chartDrawing">
    <cdr:from>
      <cdr:x>0.61051</cdr:x>
      <cdr:y>0.48666</cdr:y>
    </cdr:from>
    <cdr:to>
      <cdr:x>0.66033</cdr:x>
      <cdr:y>0.55583</cdr:y>
    </cdr:to>
    <cdr:sp macro="" textlink="">
      <cdr:nvSpPr>
        <cdr:cNvPr id="4" name="TextBox 3"/>
        <cdr:cNvSpPr txBox="1"/>
      </cdr:nvSpPr>
      <cdr:spPr>
        <a:xfrm xmlns:a="http://schemas.openxmlformats.org/drawingml/2006/main">
          <a:off x="3980100" y="2034427"/>
          <a:ext cx="324793" cy="28915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0.13563</cdr:x>
      <cdr:y>0.761</cdr:y>
    </cdr:from>
    <cdr:to>
      <cdr:x>0.93627</cdr:x>
      <cdr:y>1</cdr:y>
    </cdr:to>
    <cdr:sp macro="" textlink="">
      <cdr:nvSpPr>
        <cdr:cNvPr id="5" name="TextBox 4"/>
        <cdr:cNvSpPr txBox="1"/>
      </cdr:nvSpPr>
      <cdr:spPr>
        <a:xfrm xmlns:a="http://schemas.openxmlformats.org/drawingml/2006/main">
          <a:off x="835555" y="2911491"/>
          <a:ext cx="4932361" cy="91438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2 failure				Richard 29/09/17</a:t>
          </a:r>
        </a:p>
        <a:p xmlns:a="http://schemas.openxmlformats.org/drawingml/2006/main">
          <a:r>
            <a:rPr lang="en-ZA" sz="1000" baseline="0"/>
            <a:t>B - CRM duplicate re-run - failed	 Rule 2		Richard 29/09/17</a:t>
          </a:r>
        </a:p>
        <a:p xmlns:a="http://schemas.openxmlformats.org/drawingml/2006/main">
          <a:r>
            <a:rPr lang="en-ZA" sz="1000" baseline="0"/>
            <a:t>C - Analyser recalibrated, CRM duplicate re-run - OK 		Richard 29/09/17</a:t>
          </a:r>
          <a:endParaRPr lang="en-ZA" sz="1000"/>
        </a:p>
      </cdr:txBody>
    </cdr:sp>
  </cdr:relSizeAnchor>
  <cdr:relSizeAnchor xmlns:cdr="http://schemas.openxmlformats.org/drawingml/2006/chartDrawing">
    <cdr:from>
      <cdr:x>0.68668</cdr:x>
      <cdr:y>0.49609</cdr:y>
    </cdr:from>
    <cdr:to>
      <cdr:x>0.7365</cdr:x>
      <cdr:y>0.56525</cdr:y>
    </cdr:to>
    <cdr:sp macro="" textlink="">
      <cdr:nvSpPr>
        <cdr:cNvPr id="6" name="TextBox 1"/>
        <cdr:cNvSpPr txBox="1"/>
      </cdr:nvSpPr>
      <cdr:spPr>
        <a:xfrm xmlns:a="http://schemas.openxmlformats.org/drawingml/2006/main">
          <a:off x="4476723" y="2073877"/>
          <a:ext cx="324793" cy="28911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0.7701</cdr:x>
      <cdr:y>0.25817</cdr:y>
    </cdr:from>
    <cdr:to>
      <cdr:x>0.81992</cdr:x>
      <cdr:y>0.32733</cdr:y>
    </cdr:to>
    <cdr:sp macro="" textlink="">
      <cdr:nvSpPr>
        <cdr:cNvPr id="7" name="TextBox 1"/>
        <cdr:cNvSpPr txBox="1"/>
      </cdr:nvSpPr>
      <cdr:spPr>
        <a:xfrm xmlns:a="http://schemas.openxmlformats.org/drawingml/2006/main">
          <a:off x="5020545" y="1079260"/>
          <a:ext cx="324793" cy="2891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0.8549</cdr:x>
      <cdr:y>0.20707</cdr:y>
    </cdr:from>
    <cdr:to>
      <cdr:x>0.92045</cdr:x>
      <cdr:y>0.25357</cdr:y>
    </cdr:to>
    <cdr:sp macro="" textlink="">
      <cdr:nvSpPr>
        <cdr:cNvPr id="8" name="TextBox 7"/>
        <cdr:cNvSpPr txBox="1"/>
      </cdr:nvSpPr>
      <cdr:spPr>
        <a:xfrm xmlns:a="http://schemas.openxmlformats.org/drawingml/2006/main">
          <a:off x="5019675" y="865652"/>
          <a:ext cx="384875" cy="19436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0.86538</cdr:x>
      <cdr:y>0.28732</cdr:y>
    </cdr:from>
    <cdr:to>
      <cdr:x>0.89466</cdr:x>
      <cdr:y>0.34386</cdr:y>
    </cdr:to>
    <cdr:sp macro="" textlink="">
      <cdr:nvSpPr>
        <cdr:cNvPr id="9" name="TextBox 8"/>
        <cdr:cNvSpPr txBox="1"/>
      </cdr:nvSpPr>
      <cdr:spPr>
        <a:xfrm xmlns:a="http://schemas.openxmlformats.org/drawingml/2006/main">
          <a:off x="5081198" y="1201110"/>
          <a:ext cx="171931" cy="23636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0.85998</cdr:x>
      <cdr:y>0.3878</cdr:y>
    </cdr:from>
    <cdr:to>
      <cdr:x>0.90683</cdr:x>
      <cdr:y>0.44434</cdr:y>
    </cdr:to>
    <cdr:sp macro="" textlink="">
      <cdr:nvSpPr>
        <cdr:cNvPr id="10" name="TextBox 9"/>
        <cdr:cNvSpPr txBox="1"/>
      </cdr:nvSpPr>
      <cdr:spPr>
        <a:xfrm xmlns:a="http://schemas.openxmlformats.org/drawingml/2006/main">
          <a:off x="5049488" y="1621171"/>
          <a:ext cx="275100" cy="23636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0.85645</cdr:x>
      <cdr:y>0.42815</cdr:y>
    </cdr:from>
    <cdr:to>
      <cdr:x>0.9033</cdr:x>
      <cdr:y>0.48469</cdr:y>
    </cdr:to>
    <cdr:sp macro="" textlink="">
      <cdr:nvSpPr>
        <cdr:cNvPr id="11" name="TextBox 10"/>
        <cdr:cNvSpPr txBox="1"/>
      </cdr:nvSpPr>
      <cdr:spPr>
        <a:xfrm xmlns:a="http://schemas.openxmlformats.org/drawingml/2006/main">
          <a:off x="5028746" y="1789842"/>
          <a:ext cx="275100" cy="23636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0.85605</cdr:x>
      <cdr:y>0.15722</cdr:y>
    </cdr:from>
    <cdr:to>
      <cdr:x>0.91721</cdr:x>
      <cdr:y>0.20572</cdr:y>
    </cdr:to>
    <cdr:sp macro="" textlink="">
      <cdr:nvSpPr>
        <cdr:cNvPr id="12" name="TextBox 16"/>
        <cdr:cNvSpPr txBox="1"/>
      </cdr:nvSpPr>
      <cdr:spPr>
        <a:xfrm xmlns:a="http://schemas.openxmlformats.org/drawingml/2006/main">
          <a:off x="5026437" y="657225"/>
          <a:ext cx="359064" cy="20277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32.xml><?xml version="1.0" encoding="utf-8"?>
<c:userShapes xmlns:c="http://schemas.openxmlformats.org/drawingml/2006/chart">
  <cdr:relSizeAnchor xmlns:cdr="http://schemas.openxmlformats.org/drawingml/2006/chartDrawing">
    <cdr:from>
      <cdr:x>0.29448</cdr:x>
      <cdr:y>0.04926</cdr:y>
    </cdr:from>
    <cdr:to>
      <cdr:x>0.70342</cdr:x>
      <cdr:y>0.13342</cdr:y>
    </cdr:to>
    <cdr:sp macro="" textlink="">
      <cdr:nvSpPr>
        <cdr:cNvPr id="3" name="TextBox 2"/>
        <cdr:cNvSpPr txBox="1"/>
      </cdr:nvSpPr>
      <cdr:spPr>
        <a:xfrm xmlns:a="http://schemas.openxmlformats.org/drawingml/2006/main">
          <a:off x="1721261" y="199402"/>
          <a:ext cx="2390342" cy="3407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2 Failure ( &lt; -2s) Graph 3</a:t>
          </a:r>
          <a:endParaRPr lang="en-ZA" sz="1400" b="1"/>
        </a:p>
      </cdr:txBody>
    </cdr:sp>
  </cdr:relSizeAnchor>
  <cdr:relSizeAnchor xmlns:cdr="http://schemas.openxmlformats.org/drawingml/2006/chartDrawing">
    <cdr:from>
      <cdr:x>0.61632</cdr:x>
      <cdr:y>0.5168</cdr:y>
    </cdr:from>
    <cdr:to>
      <cdr:x>0.66614</cdr:x>
      <cdr:y>0.58597</cdr:y>
    </cdr:to>
    <cdr:sp macro="" textlink="">
      <cdr:nvSpPr>
        <cdr:cNvPr id="4" name="TextBox 3"/>
        <cdr:cNvSpPr txBox="1"/>
      </cdr:nvSpPr>
      <cdr:spPr>
        <a:xfrm xmlns:a="http://schemas.openxmlformats.org/drawingml/2006/main">
          <a:off x="4004964" y="2092140"/>
          <a:ext cx="323738" cy="2800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0.13563</cdr:x>
      <cdr:y>0.77977</cdr:y>
    </cdr:from>
    <cdr:to>
      <cdr:x>0.93627</cdr:x>
      <cdr:y>1</cdr:y>
    </cdr:to>
    <cdr:sp macro="" textlink="">
      <cdr:nvSpPr>
        <cdr:cNvPr id="5" name="TextBox 4"/>
        <cdr:cNvSpPr txBox="1"/>
      </cdr:nvSpPr>
      <cdr:spPr>
        <a:xfrm xmlns:a="http://schemas.openxmlformats.org/drawingml/2006/main">
          <a:off x="875458" y="3156731"/>
          <a:ext cx="5167934" cy="89156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2 failure				Richard 29/09/17</a:t>
          </a:r>
        </a:p>
        <a:p xmlns:a="http://schemas.openxmlformats.org/drawingml/2006/main">
          <a:r>
            <a:rPr lang="en-ZA" sz="1000" baseline="0"/>
            <a:t>B - CRM duplicate re-run - failed	 Rule 2		Richard 29/09/17</a:t>
          </a:r>
        </a:p>
        <a:p xmlns:a="http://schemas.openxmlformats.org/drawingml/2006/main">
          <a:r>
            <a:rPr lang="en-ZA" sz="1000" baseline="0"/>
            <a:t>C - Analyser recalibrated, CRM duplicate re-run - failed Rule 2 	Richard 29/09/17</a:t>
          </a:r>
        </a:p>
        <a:p xmlns:a="http://schemas.openxmlformats.org/drawingml/2006/main">
          <a:r>
            <a:rPr lang="en-ZA" sz="1000" baseline="0"/>
            <a:t>D - New CRM run - OK			Richard 29/09/17</a:t>
          </a:r>
          <a:endParaRPr lang="en-ZA" sz="1000"/>
        </a:p>
      </cdr:txBody>
    </cdr:sp>
  </cdr:relSizeAnchor>
  <cdr:relSizeAnchor xmlns:cdr="http://schemas.openxmlformats.org/drawingml/2006/chartDrawing">
    <cdr:from>
      <cdr:x>0.69922</cdr:x>
      <cdr:y>0.52357</cdr:y>
    </cdr:from>
    <cdr:to>
      <cdr:x>0.74904</cdr:x>
      <cdr:y>0.58725</cdr:y>
    </cdr:to>
    <cdr:sp macro="" textlink="">
      <cdr:nvSpPr>
        <cdr:cNvPr id="6" name="TextBox 1"/>
        <cdr:cNvSpPr txBox="1"/>
      </cdr:nvSpPr>
      <cdr:spPr>
        <a:xfrm xmlns:a="http://schemas.openxmlformats.org/drawingml/2006/main">
          <a:off x="4543608" y="2119564"/>
          <a:ext cx="323738" cy="25779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0.75781</cdr:x>
      <cdr:y>0.50929</cdr:y>
    </cdr:from>
    <cdr:to>
      <cdr:x>0.80763</cdr:x>
      <cdr:y>0.57845</cdr:y>
    </cdr:to>
    <cdr:sp macro="" textlink="">
      <cdr:nvSpPr>
        <cdr:cNvPr id="7" name="TextBox 1"/>
        <cdr:cNvSpPr txBox="1"/>
      </cdr:nvSpPr>
      <cdr:spPr>
        <a:xfrm xmlns:a="http://schemas.openxmlformats.org/drawingml/2006/main">
          <a:off x="4924382" y="2061769"/>
          <a:ext cx="323738"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0.80517</cdr:x>
      <cdr:y>0.29618</cdr:y>
    </cdr:from>
    <cdr:to>
      <cdr:x>0.85499</cdr:x>
      <cdr:y>0.36534</cdr:y>
    </cdr:to>
    <cdr:sp macro="" textlink="">
      <cdr:nvSpPr>
        <cdr:cNvPr id="11" name="TextBox 1"/>
        <cdr:cNvSpPr txBox="1"/>
      </cdr:nvSpPr>
      <cdr:spPr>
        <a:xfrm xmlns:a="http://schemas.openxmlformats.org/drawingml/2006/main">
          <a:off x="5232107" y="1199028"/>
          <a:ext cx="323738" cy="27998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0.85321</cdr:x>
      <cdr:y>0.23736</cdr:y>
    </cdr:from>
    <cdr:to>
      <cdr:x>0.9189</cdr:x>
      <cdr:y>0.28538</cdr:y>
    </cdr:to>
    <cdr:sp macro="" textlink="">
      <cdr:nvSpPr>
        <cdr:cNvPr id="8" name="TextBox 1"/>
        <cdr:cNvSpPr txBox="1"/>
      </cdr:nvSpPr>
      <cdr:spPr>
        <a:xfrm xmlns:a="http://schemas.openxmlformats.org/drawingml/2006/main">
          <a:off x="5507268" y="960885"/>
          <a:ext cx="424013" cy="1943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0.86696</cdr:x>
      <cdr:y>0.29905</cdr:y>
    </cdr:from>
    <cdr:to>
      <cdr:x>0.8963</cdr:x>
      <cdr:y>0.35744</cdr:y>
    </cdr:to>
    <cdr:sp macro="" textlink="">
      <cdr:nvSpPr>
        <cdr:cNvPr id="9" name="TextBox 2"/>
        <cdr:cNvSpPr txBox="1"/>
      </cdr:nvSpPr>
      <cdr:spPr>
        <a:xfrm xmlns:a="http://schemas.openxmlformats.org/drawingml/2006/main">
          <a:off x="5596021" y="1210625"/>
          <a:ext cx="189383" cy="236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0.85829</cdr:x>
      <cdr:y>0.38635</cdr:y>
    </cdr:from>
    <cdr:to>
      <cdr:x>0.90525</cdr:x>
      <cdr:y>0.44473</cdr:y>
    </cdr:to>
    <cdr:sp macro="" textlink="">
      <cdr:nvSpPr>
        <cdr:cNvPr id="10" name="TextBox 3"/>
        <cdr:cNvSpPr txBox="1"/>
      </cdr:nvSpPr>
      <cdr:spPr>
        <a:xfrm xmlns:a="http://schemas.openxmlformats.org/drawingml/2006/main">
          <a:off x="5540058" y="1564041"/>
          <a:ext cx="303116" cy="23633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0.85638</cdr:x>
      <cdr:y>0.43272</cdr:y>
    </cdr:from>
    <cdr:to>
      <cdr:x>0.90333</cdr:x>
      <cdr:y>0.4911</cdr:y>
    </cdr:to>
    <cdr:sp macro="" textlink="">
      <cdr:nvSpPr>
        <cdr:cNvPr id="12" name="TextBox 4"/>
        <cdr:cNvSpPr txBox="1"/>
      </cdr:nvSpPr>
      <cdr:spPr>
        <a:xfrm xmlns:a="http://schemas.openxmlformats.org/drawingml/2006/main">
          <a:off x="5527730" y="1751760"/>
          <a:ext cx="303051" cy="23634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0.85436</cdr:x>
      <cdr:y>0.18588</cdr:y>
    </cdr:from>
    <cdr:to>
      <cdr:x>0.91565</cdr:x>
      <cdr:y>0.23597</cdr:y>
    </cdr:to>
    <cdr:sp macro="" textlink="">
      <cdr:nvSpPr>
        <cdr:cNvPr id="13" name="TextBox 16"/>
        <cdr:cNvSpPr txBox="1"/>
      </cdr:nvSpPr>
      <cdr:spPr>
        <a:xfrm xmlns:a="http://schemas.openxmlformats.org/drawingml/2006/main">
          <a:off x="5514691" y="752479"/>
          <a:ext cx="395612" cy="202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33.xml><?xml version="1.0" encoding="utf-8"?>
<c:userShapes xmlns:c="http://schemas.openxmlformats.org/drawingml/2006/chart">
  <cdr:relSizeAnchor xmlns:cdr="http://schemas.openxmlformats.org/drawingml/2006/chartDrawing">
    <cdr:from>
      <cdr:x>0.30274</cdr:x>
      <cdr:y>0.05636</cdr:y>
    </cdr:from>
    <cdr:to>
      <cdr:x>0.71242</cdr:x>
      <cdr:y>0.14052</cdr:y>
    </cdr:to>
    <cdr:sp macro="" textlink="">
      <cdr:nvSpPr>
        <cdr:cNvPr id="3" name="TextBox 2"/>
        <cdr:cNvSpPr txBox="1"/>
      </cdr:nvSpPr>
      <cdr:spPr>
        <a:xfrm xmlns:a="http://schemas.openxmlformats.org/drawingml/2006/main">
          <a:off x="1771972" y="227276"/>
          <a:ext cx="2397861" cy="3393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2 Failure ( &lt; -2s) Graph 4</a:t>
          </a:r>
          <a:endParaRPr lang="en-ZA" sz="1400" b="1"/>
        </a:p>
      </cdr:txBody>
    </cdr:sp>
  </cdr:relSizeAnchor>
  <cdr:relSizeAnchor xmlns:cdr="http://schemas.openxmlformats.org/drawingml/2006/chartDrawing">
    <cdr:from>
      <cdr:x>0.6265</cdr:x>
      <cdr:y>0.49593</cdr:y>
    </cdr:from>
    <cdr:to>
      <cdr:x>0.67632</cdr:x>
      <cdr:y>0.5651</cdr:y>
    </cdr:to>
    <cdr:sp macro="" textlink="">
      <cdr:nvSpPr>
        <cdr:cNvPr id="4" name="TextBox 3"/>
        <cdr:cNvSpPr txBox="1"/>
      </cdr:nvSpPr>
      <cdr:spPr>
        <a:xfrm xmlns:a="http://schemas.openxmlformats.org/drawingml/2006/main">
          <a:off x="4072717" y="1999871"/>
          <a:ext cx="323866" cy="27893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0.01718</cdr:x>
      <cdr:y>0.761</cdr:y>
    </cdr:from>
    <cdr:to>
      <cdr:x>0.98419</cdr:x>
      <cdr:y>1</cdr:y>
    </cdr:to>
    <cdr:sp macro="" textlink="">
      <cdr:nvSpPr>
        <cdr:cNvPr id="5" name="TextBox 4"/>
        <cdr:cNvSpPr txBox="1"/>
      </cdr:nvSpPr>
      <cdr:spPr>
        <a:xfrm xmlns:a="http://schemas.openxmlformats.org/drawingml/2006/main">
          <a:off x="100555" y="3068780"/>
          <a:ext cx="5659954" cy="96378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2 failure					Richard 29/09/17</a:t>
          </a:r>
        </a:p>
        <a:p xmlns:a="http://schemas.openxmlformats.org/drawingml/2006/main">
          <a:r>
            <a:rPr lang="en-ZA" sz="1000" baseline="0"/>
            <a:t>B - CRM duplicate re-run - failed Rule 2			Richard 29/09/17</a:t>
          </a:r>
        </a:p>
        <a:p xmlns:a="http://schemas.openxmlformats.org/drawingml/2006/main">
          <a:r>
            <a:rPr lang="en-ZA" sz="1000" baseline="0"/>
            <a:t>C - Analyser recalibrated, CRM duplicate re-run - failed Rule 2 		Richard 29/09/17</a:t>
          </a:r>
        </a:p>
        <a:p xmlns:a="http://schemas.openxmlformats.org/drawingml/2006/main">
          <a:r>
            <a:rPr lang="en-ZA" sz="1000" baseline="0"/>
            <a:t>D - New CRM run - failed Rule 2.  Work supsended -Manager Informed		Richard 29/09/17</a:t>
          </a:r>
        </a:p>
        <a:p xmlns:a="http://schemas.openxmlformats.org/drawingml/2006/main">
          <a:endParaRPr lang="en-ZA" sz="1000"/>
        </a:p>
      </cdr:txBody>
    </cdr:sp>
  </cdr:relSizeAnchor>
  <cdr:relSizeAnchor xmlns:cdr="http://schemas.openxmlformats.org/drawingml/2006/chartDrawing">
    <cdr:from>
      <cdr:x>0.69348</cdr:x>
      <cdr:y>0.49788</cdr:y>
    </cdr:from>
    <cdr:to>
      <cdr:x>0.7433</cdr:x>
      <cdr:y>0.56704</cdr:y>
    </cdr:to>
    <cdr:sp macro="" textlink="">
      <cdr:nvSpPr>
        <cdr:cNvPr id="6" name="TextBox 1"/>
        <cdr:cNvSpPr txBox="1"/>
      </cdr:nvSpPr>
      <cdr:spPr>
        <a:xfrm xmlns:a="http://schemas.openxmlformats.org/drawingml/2006/main">
          <a:off x="4508122" y="2007716"/>
          <a:ext cx="323866" cy="27889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0.76318</cdr:x>
      <cdr:y>0.49877</cdr:y>
    </cdr:from>
    <cdr:to>
      <cdr:x>0.813</cdr:x>
      <cdr:y>0.56793</cdr:y>
    </cdr:to>
    <cdr:sp macro="" textlink="">
      <cdr:nvSpPr>
        <cdr:cNvPr id="7" name="TextBox 1"/>
        <cdr:cNvSpPr txBox="1"/>
      </cdr:nvSpPr>
      <cdr:spPr>
        <a:xfrm xmlns:a="http://schemas.openxmlformats.org/drawingml/2006/main">
          <a:off x="4961223" y="2011334"/>
          <a:ext cx="323866" cy="27889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0.84771</cdr:x>
      <cdr:y>0.50006</cdr:y>
    </cdr:from>
    <cdr:to>
      <cdr:x>0.89753</cdr:x>
      <cdr:y>0.56922</cdr:y>
    </cdr:to>
    <cdr:sp macro="" textlink="">
      <cdr:nvSpPr>
        <cdr:cNvPr id="11" name="TextBox 1"/>
        <cdr:cNvSpPr txBox="1"/>
      </cdr:nvSpPr>
      <cdr:spPr>
        <a:xfrm xmlns:a="http://schemas.openxmlformats.org/drawingml/2006/main">
          <a:off x="5510715" y="2016512"/>
          <a:ext cx="323866" cy="27889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cdr:x>
      <cdr:y>0</cdr:y>
    </cdr:from>
    <cdr:to>
      <cdr:x>0.00396</cdr:x>
      <cdr:y>0.00637</cdr:y>
    </cdr:to>
    <cdr:pic>
      <cdr:nvPicPr>
        <cdr:cNvPr id="12" name="chart">
          <a:extLst xmlns:a="http://schemas.openxmlformats.org/drawingml/2006/main">
            <a:ext uri="{FF2B5EF4-FFF2-40B4-BE49-F238E27FC236}">
              <a16:creationId xmlns:a16="http://schemas.microsoft.com/office/drawing/2014/main" id="{C20972F1-6792-4D75-A708-DD8B7D18320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0.8853</cdr:x>
      <cdr:y>0.21886</cdr:y>
    </cdr:from>
    <cdr:to>
      <cdr:x>0.95106</cdr:x>
      <cdr:y>0.26706</cdr:y>
    </cdr:to>
    <cdr:sp macro="" textlink="">
      <cdr:nvSpPr>
        <cdr:cNvPr id="14" name="TextBox 1"/>
        <cdr:cNvSpPr txBox="1"/>
      </cdr:nvSpPr>
      <cdr:spPr>
        <a:xfrm xmlns:a="http://schemas.openxmlformats.org/drawingml/2006/main">
          <a:off x="5755093" y="882572"/>
          <a:ext cx="427487" cy="19437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0.90233</cdr:x>
      <cdr:y>0.30179</cdr:y>
    </cdr:from>
    <cdr:to>
      <cdr:x>0.9317</cdr:x>
      <cdr:y>0.36041</cdr:y>
    </cdr:to>
    <cdr:sp macro="" textlink="">
      <cdr:nvSpPr>
        <cdr:cNvPr id="15" name="TextBox 2"/>
        <cdr:cNvSpPr txBox="1"/>
      </cdr:nvSpPr>
      <cdr:spPr>
        <a:xfrm xmlns:a="http://schemas.openxmlformats.org/drawingml/2006/main">
          <a:off x="5865775" y="1216974"/>
          <a:ext cx="190926" cy="23638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0.88876</cdr:x>
      <cdr:y>0.41567</cdr:y>
    </cdr:from>
    <cdr:to>
      <cdr:x>0.93576</cdr:x>
      <cdr:y>0.47428</cdr:y>
    </cdr:to>
    <cdr:sp macro="" textlink="">
      <cdr:nvSpPr>
        <cdr:cNvPr id="16" name="TextBox 3"/>
        <cdr:cNvSpPr txBox="1"/>
      </cdr:nvSpPr>
      <cdr:spPr>
        <a:xfrm xmlns:a="http://schemas.openxmlformats.org/drawingml/2006/main">
          <a:off x="5777598" y="1676222"/>
          <a:ext cx="305534" cy="23634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0.89011</cdr:x>
      <cdr:y>0.47272</cdr:y>
    </cdr:from>
    <cdr:to>
      <cdr:x>0.93711</cdr:x>
      <cdr:y>0.53133</cdr:y>
    </cdr:to>
    <cdr:sp macro="" textlink="">
      <cdr:nvSpPr>
        <cdr:cNvPr id="17" name="TextBox 4"/>
        <cdr:cNvSpPr txBox="1"/>
      </cdr:nvSpPr>
      <cdr:spPr>
        <a:xfrm xmlns:a="http://schemas.openxmlformats.org/drawingml/2006/main">
          <a:off x="5786348" y="1906270"/>
          <a:ext cx="305534" cy="23634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0.88157</cdr:x>
      <cdr:y>0.16718</cdr:y>
    </cdr:from>
    <cdr:to>
      <cdr:x>0.94292</cdr:x>
      <cdr:y>0.21746</cdr:y>
    </cdr:to>
    <cdr:sp macro="" textlink="">
      <cdr:nvSpPr>
        <cdr:cNvPr id="18" name="TextBox 16"/>
        <cdr:cNvSpPr txBox="1"/>
      </cdr:nvSpPr>
      <cdr:spPr>
        <a:xfrm xmlns:a="http://schemas.openxmlformats.org/drawingml/2006/main">
          <a:off x="5730819" y="674169"/>
          <a:ext cx="398819" cy="20275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34.xml><?xml version="1.0" encoding="utf-8"?>
<c:userShapes xmlns:c="http://schemas.openxmlformats.org/drawingml/2006/chart">
  <cdr:relSizeAnchor xmlns:cdr="http://schemas.openxmlformats.org/drawingml/2006/chartDrawing">
    <cdr:from>
      <cdr:x>0.39225</cdr:x>
      <cdr:y>0.04455</cdr:y>
    </cdr:from>
    <cdr:to>
      <cdr:x>0.66202</cdr:x>
      <cdr:y>0.12871</cdr:y>
    </cdr:to>
    <cdr:sp macro="" textlink="">
      <cdr:nvSpPr>
        <cdr:cNvPr id="3" name="TextBox 2"/>
        <cdr:cNvSpPr txBox="1"/>
      </cdr:nvSpPr>
      <cdr:spPr>
        <a:xfrm xmlns:a="http://schemas.openxmlformats.org/drawingml/2006/main">
          <a:off x="2409825" y="171450"/>
          <a:ext cx="1657350" cy="3238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900" b="1"/>
        </a:p>
        <a:p xmlns:a="http://schemas.openxmlformats.org/drawingml/2006/main">
          <a:r>
            <a:rPr lang="en-ZA" sz="1400" b="1" baseline="0"/>
            <a:t> 1 Failure</a:t>
          </a:r>
          <a:endParaRPr lang="en-ZA" sz="1400" b="1"/>
        </a:p>
      </cdr:txBody>
    </cdr:sp>
  </cdr:relSizeAnchor>
  <cdr:relSizeAnchor xmlns:cdr="http://schemas.openxmlformats.org/drawingml/2006/chartDrawing">
    <cdr:from>
      <cdr:x>0.45001</cdr:x>
      <cdr:y>0.50138</cdr:y>
    </cdr:from>
    <cdr:to>
      <cdr:x>0.49983</cdr:x>
      <cdr:y>0.57054</cdr:y>
    </cdr:to>
    <cdr:sp macro="" textlink="">
      <cdr:nvSpPr>
        <cdr:cNvPr id="4" name="TextBox 3"/>
        <cdr:cNvSpPr txBox="1"/>
      </cdr:nvSpPr>
      <cdr:spPr>
        <a:xfrm xmlns:a="http://schemas.openxmlformats.org/drawingml/2006/main">
          <a:off x="2772303" y="1918229"/>
          <a:ext cx="306917" cy="26458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100" b="1">
            <a:solidFill>
              <a:srgbClr val="FF0000"/>
            </a:solidFill>
          </a:endParaRPr>
        </a:p>
      </cdr:txBody>
    </cdr:sp>
  </cdr:relSizeAnchor>
  <cdr:relSizeAnchor xmlns:cdr="http://schemas.openxmlformats.org/drawingml/2006/chartDrawing">
    <cdr:from>
      <cdr:x>0.07483</cdr:x>
      <cdr:y>0.7975</cdr:y>
    </cdr:from>
    <cdr:to>
      <cdr:x>0.9287</cdr:x>
      <cdr:y>0.94744</cdr:y>
    </cdr:to>
    <cdr:sp macro="" textlink="">
      <cdr:nvSpPr>
        <cdr:cNvPr id="5" name="TextBox 4"/>
        <cdr:cNvSpPr txBox="1"/>
      </cdr:nvSpPr>
      <cdr:spPr>
        <a:xfrm xmlns:a="http://schemas.openxmlformats.org/drawingml/2006/main">
          <a:off x="460939" y="3051268"/>
          <a:ext cx="5259917" cy="57369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100"/>
        </a:p>
        <a:p xmlns:a="http://schemas.openxmlformats.org/drawingml/2006/main">
          <a:r>
            <a:rPr lang="en-ZA" sz="1100"/>
            <a:t>A</a:t>
          </a:r>
          <a:r>
            <a:rPr lang="en-ZA" sz="1100" baseline="0"/>
            <a:t> - Rule 2 failure			Richard 29/09/17</a:t>
          </a:r>
        </a:p>
        <a:p xmlns:a="http://schemas.openxmlformats.org/drawingml/2006/main">
          <a:r>
            <a:rPr lang="en-ZA" sz="1100" baseline="0"/>
            <a:t>B- CRM duplicate re-run - OK			Richard 29/09/17</a:t>
          </a:r>
          <a:endParaRPr lang="en-ZA" sz="1100"/>
        </a:p>
      </cdr:txBody>
    </cdr:sp>
  </cdr:relSizeAnchor>
  <cdr:relSizeAnchor xmlns:cdr="http://schemas.openxmlformats.org/drawingml/2006/chartDrawing">
    <cdr:from>
      <cdr:x>0.28959</cdr:x>
      <cdr:y>0.04823</cdr:y>
    </cdr:from>
    <cdr:to>
      <cdr:x>0.74575</cdr:x>
      <cdr:y>0.13239</cdr:y>
    </cdr:to>
    <cdr:sp macro="" textlink="">
      <cdr:nvSpPr>
        <cdr:cNvPr id="6" name="TextBox 1"/>
        <cdr:cNvSpPr txBox="1"/>
      </cdr:nvSpPr>
      <cdr:spPr>
        <a:xfrm xmlns:a="http://schemas.openxmlformats.org/drawingml/2006/main">
          <a:off x="1806694" y="203310"/>
          <a:ext cx="2845926" cy="35477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Arial"/>
            </a:defRPr>
          </a:lvl1pPr>
          <a:lvl2pPr marL="457200" indent="0">
            <a:defRPr sz="1100">
              <a:latin typeface="Arial"/>
            </a:defRPr>
          </a:lvl2pPr>
          <a:lvl3pPr marL="914400" indent="0">
            <a:defRPr sz="1100">
              <a:latin typeface="Arial"/>
            </a:defRPr>
          </a:lvl3pPr>
          <a:lvl4pPr marL="1371600" indent="0">
            <a:defRPr sz="1100">
              <a:latin typeface="Arial"/>
            </a:defRPr>
          </a:lvl4pPr>
          <a:lvl5pPr marL="1828800" indent="0">
            <a:defRPr sz="1100">
              <a:latin typeface="Arial"/>
            </a:defRPr>
          </a:lvl5pPr>
          <a:lvl6pPr marL="2286000" indent="0">
            <a:defRPr sz="1100">
              <a:latin typeface="Arial"/>
            </a:defRPr>
          </a:lvl6pPr>
          <a:lvl7pPr marL="2743200" indent="0">
            <a:defRPr sz="1100">
              <a:latin typeface="Arial"/>
            </a:defRPr>
          </a:lvl7pPr>
          <a:lvl8pPr marL="3200400" indent="0">
            <a:defRPr sz="1100">
              <a:latin typeface="Arial"/>
            </a:defRPr>
          </a:lvl8pPr>
          <a:lvl9pPr marL="3657600" indent="0">
            <a:defRPr sz="1100">
              <a:latin typeface="Arial"/>
            </a:defRPr>
          </a:lvl9pPr>
        </a:lstStyle>
        <a:p xmlns:a="http://schemas.openxmlformats.org/drawingml/2006/main">
          <a:r>
            <a:rPr lang="en-ZA" sz="1400" b="1">
              <a:latin typeface="Calibri" pitchFamily="34" charset="0"/>
            </a:rPr>
            <a:t>Rule</a:t>
          </a:r>
          <a:r>
            <a:rPr lang="en-ZA" sz="1400" b="1" baseline="0">
              <a:latin typeface="Calibri" pitchFamily="34" charset="0"/>
            </a:rPr>
            <a:t> 2 Failure ( &gt; +2s) Graph 1</a:t>
          </a:r>
          <a:endParaRPr lang="en-ZA" sz="1400" b="1">
            <a:latin typeface="Calibri" pitchFamily="34" charset="0"/>
          </a:endParaRPr>
        </a:p>
      </cdr:txBody>
    </cdr:sp>
  </cdr:relSizeAnchor>
  <cdr:relSizeAnchor xmlns:cdr="http://schemas.openxmlformats.org/drawingml/2006/chartDrawing">
    <cdr:from>
      <cdr:x>0.6219</cdr:x>
      <cdr:y>0.15204</cdr:y>
    </cdr:from>
    <cdr:to>
      <cdr:x>0.67185</cdr:x>
      <cdr:y>0.22063</cdr:y>
    </cdr:to>
    <cdr:sp macro="" textlink="">
      <cdr:nvSpPr>
        <cdr:cNvPr id="7" name="TextBox 1"/>
        <cdr:cNvSpPr txBox="1"/>
      </cdr:nvSpPr>
      <cdr:spPr>
        <a:xfrm xmlns:a="http://schemas.openxmlformats.org/drawingml/2006/main">
          <a:off x="3898598" y="640912"/>
          <a:ext cx="313127" cy="28913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0.69795</cdr:x>
      <cdr:y>0.34281</cdr:y>
    </cdr:from>
    <cdr:to>
      <cdr:x>0.7479</cdr:x>
      <cdr:y>0.41139</cdr:y>
    </cdr:to>
    <cdr:sp macro="" textlink="">
      <cdr:nvSpPr>
        <cdr:cNvPr id="8" name="TextBox 1"/>
        <cdr:cNvSpPr txBox="1"/>
      </cdr:nvSpPr>
      <cdr:spPr>
        <a:xfrm xmlns:a="http://schemas.openxmlformats.org/drawingml/2006/main">
          <a:off x="4375295" y="1445086"/>
          <a:ext cx="313127" cy="28909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0.81985</cdr:x>
      <cdr:y>0.2189</cdr:y>
    </cdr:from>
    <cdr:to>
      <cdr:x>0.8855</cdr:x>
      <cdr:y>0.26502</cdr:y>
    </cdr:to>
    <cdr:sp macro="" textlink="">
      <cdr:nvSpPr>
        <cdr:cNvPr id="9" name="TextBox 1"/>
        <cdr:cNvSpPr txBox="1"/>
      </cdr:nvSpPr>
      <cdr:spPr>
        <a:xfrm xmlns:a="http://schemas.openxmlformats.org/drawingml/2006/main">
          <a:off x="5114925" y="922769"/>
          <a:ext cx="409583" cy="19438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0.83187</cdr:x>
      <cdr:y>0.30075</cdr:y>
    </cdr:from>
    <cdr:to>
      <cdr:x>0.86119</cdr:x>
      <cdr:y>0.35682</cdr:y>
    </cdr:to>
    <cdr:sp macro="" textlink="">
      <cdr:nvSpPr>
        <cdr:cNvPr id="10" name="TextBox 2"/>
        <cdr:cNvSpPr txBox="1"/>
      </cdr:nvSpPr>
      <cdr:spPr>
        <a:xfrm xmlns:a="http://schemas.openxmlformats.org/drawingml/2006/main">
          <a:off x="5189933" y="1267772"/>
          <a:ext cx="182953" cy="2363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0.82494</cdr:x>
      <cdr:y>0.42976</cdr:y>
    </cdr:from>
    <cdr:to>
      <cdr:x>0.87186</cdr:x>
      <cdr:y>0.48584</cdr:y>
    </cdr:to>
    <cdr:sp macro="" textlink="">
      <cdr:nvSpPr>
        <cdr:cNvPr id="11" name="TextBox 3"/>
        <cdr:cNvSpPr txBox="1"/>
      </cdr:nvSpPr>
      <cdr:spPr>
        <a:xfrm xmlns:a="http://schemas.openxmlformats.org/drawingml/2006/main">
          <a:off x="5146667" y="1811646"/>
          <a:ext cx="292737"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0.82293</cdr:x>
      <cdr:y>0.47656</cdr:y>
    </cdr:from>
    <cdr:to>
      <cdr:x>0.86985</cdr:x>
      <cdr:y>0.53263</cdr:y>
    </cdr:to>
    <cdr:sp macro="" textlink="">
      <cdr:nvSpPr>
        <cdr:cNvPr id="12" name="TextBox 4"/>
        <cdr:cNvSpPr txBox="1"/>
      </cdr:nvSpPr>
      <cdr:spPr>
        <a:xfrm xmlns:a="http://schemas.openxmlformats.org/drawingml/2006/main">
          <a:off x="5134135" y="2008901"/>
          <a:ext cx="292737"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0.821</cdr:x>
      <cdr:y>0.16947</cdr:y>
    </cdr:from>
    <cdr:to>
      <cdr:x>0.88225</cdr:x>
      <cdr:y>0.21756</cdr:y>
    </cdr:to>
    <cdr:sp macro="" textlink="">
      <cdr:nvSpPr>
        <cdr:cNvPr id="13" name="TextBox 16"/>
        <cdr:cNvSpPr txBox="1"/>
      </cdr:nvSpPr>
      <cdr:spPr>
        <a:xfrm xmlns:a="http://schemas.openxmlformats.org/drawingml/2006/main">
          <a:off x="5122110" y="714375"/>
          <a:ext cx="382153" cy="20275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35.xml><?xml version="1.0" encoding="utf-8"?>
<c:userShapes xmlns:c="http://schemas.openxmlformats.org/drawingml/2006/chart">
  <cdr:relSizeAnchor xmlns:cdr="http://schemas.openxmlformats.org/drawingml/2006/chartDrawing">
    <cdr:from>
      <cdr:x>0.29511</cdr:x>
      <cdr:y>0.06505</cdr:y>
    </cdr:from>
    <cdr:to>
      <cdr:x>0.71721</cdr:x>
      <cdr:y>0.14921</cdr:y>
    </cdr:to>
    <cdr:sp macro="" textlink="">
      <cdr:nvSpPr>
        <cdr:cNvPr id="3" name="TextBox 2"/>
        <cdr:cNvSpPr txBox="1"/>
      </cdr:nvSpPr>
      <cdr:spPr>
        <a:xfrm xmlns:a="http://schemas.openxmlformats.org/drawingml/2006/main">
          <a:off x="1843973" y="271944"/>
          <a:ext cx="2637450" cy="3518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2 Failure ( &gt; +2s) Graph 2</a:t>
          </a:r>
          <a:endParaRPr lang="en-ZA" sz="1400" b="1"/>
        </a:p>
      </cdr:txBody>
    </cdr:sp>
  </cdr:relSizeAnchor>
  <cdr:relSizeAnchor xmlns:cdr="http://schemas.openxmlformats.org/drawingml/2006/chartDrawing">
    <cdr:from>
      <cdr:x>0.60708</cdr:x>
      <cdr:y>0.1583</cdr:y>
    </cdr:from>
    <cdr:to>
      <cdr:x>0.6569</cdr:x>
      <cdr:y>0.22747</cdr:y>
    </cdr:to>
    <cdr:sp macro="" textlink="">
      <cdr:nvSpPr>
        <cdr:cNvPr id="4" name="TextBox 3"/>
        <cdr:cNvSpPr txBox="1"/>
      </cdr:nvSpPr>
      <cdr:spPr>
        <a:xfrm xmlns:a="http://schemas.openxmlformats.org/drawingml/2006/main">
          <a:off x="3777378" y="661780"/>
          <a:ext cx="309990" cy="2891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0.13563</cdr:x>
      <cdr:y>0.761</cdr:y>
    </cdr:from>
    <cdr:to>
      <cdr:x>0.93627</cdr:x>
      <cdr:y>1</cdr:y>
    </cdr:to>
    <cdr:sp macro="" textlink="">
      <cdr:nvSpPr>
        <cdr:cNvPr id="5" name="TextBox 4"/>
        <cdr:cNvSpPr txBox="1"/>
      </cdr:nvSpPr>
      <cdr:spPr>
        <a:xfrm xmlns:a="http://schemas.openxmlformats.org/drawingml/2006/main">
          <a:off x="835555" y="2911491"/>
          <a:ext cx="4932361" cy="91438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2 failure				Richard 29/09/17</a:t>
          </a:r>
        </a:p>
        <a:p xmlns:a="http://schemas.openxmlformats.org/drawingml/2006/main">
          <a:r>
            <a:rPr lang="en-ZA" sz="1000" baseline="0"/>
            <a:t>B - CRM duplicate re-run - failed	 Rule 2		Richard 29/09/17</a:t>
          </a:r>
        </a:p>
        <a:p xmlns:a="http://schemas.openxmlformats.org/drawingml/2006/main">
          <a:r>
            <a:rPr lang="en-ZA" sz="1000" baseline="0"/>
            <a:t>C - Analyser recalibrated, CRM duplicate re-run - OK 		Richard 29/09/17</a:t>
          </a:r>
          <a:endParaRPr lang="en-ZA" sz="1000"/>
        </a:p>
      </cdr:txBody>
    </cdr:sp>
  </cdr:relSizeAnchor>
  <cdr:relSizeAnchor xmlns:cdr="http://schemas.openxmlformats.org/drawingml/2006/chartDrawing">
    <cdr:from>
      <cdr:x>0.69282</cdr:x>
      <cdr:y>0.14907</cdr:y>
    </cdr:from>
    <cdr:to>
      <cdr:x>0.74264</cdr:x>
      <cdr:y>0.21823</cdr:y>
    </cdr:to>
    <cdr:sp macro="" textlink="">
      <cdr:nvSpPr>
        <cdr:cNvPr id="6" name="TextBox 1"/>
        <cdr:cNvSpPr txBox="1"/>
      </cdr:nvSpPr>
      <cdr:spPr>
        <a:xfrm xmlns:a="http://schemas.openxmlformats.org/drawingml/2006/main">
          <a:off x="4310879" y="623187"/>
          <a:ext cx="309991" cy="28911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0.76296</cdr:x>
      <cdr:y>0.33659</cdr:y>
    </cdr:from>
    <cdr:to>
      <cdr:x>0.81278</cdr:x>
      <cdr:y>0.40575</cdr:y>
    </cdr:to>
    <cdr:sp macro="" textlink="">
      <cdr:nvSpPr>
        <cdr:cNvPr id="7" name="TextBox 1"/>
        <cdr:cNvSpPr txBox="1"/>
      </cdr:nvSpPr>
      <cdr:spPr>
        <a:xfrm xmlns:a="http://schemas.openxmlformats.org/drawingml/2006/main">
          <a:off x="4747282" y="1407096"/>
          <a:ext cx="309991" cy="2891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0.84968</cdr:x>
      <cdr:y>0.21846</cdr:y>
    </cdr:from>
    <cdr:to>
      <cdr:x>0.91523</cdr:x>
      <cdr:y>0.26496</cdr:y>
    </cdr:to>
    <cdr:sp macro="" textlink="">
      <cdr:nvSpPr>
        <cdr:cNvPr id="8" name="TextBox 7"/>
        <cdr:cNvSpPr txBox="1"/>
      </cdr:nvSpPr>
      <cdr:spPr>
        <a:xfrm xmlns:a="http://schemas.openxmlformats.org/drawingml/2006/main">
          <a:off x="5309158" y="913264"/>
          <a:ext cx="409583" cy="19438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0.86169</cdr:x>
      <cdr:y>0.30099</cdr:y>
    </cdr:from>
    <cdr:to>
      <cdr:x>0.89097</cdr:x>
      <cdr:y>0.35753</cdr:y>
    </cdr:to>
    <cdr:sp macro="" textlink="">
      <cdr:nvSpPr>
        <cdr:cNvPr id="9" name="TextBox 8"/>
        <cdr:cNvSpPr txBox="1"/>
      </cdr:nvSpPr>
      <cdr:spPr>
        <a:xfrm xmlns:a="http://schemas.openxmlformats.org/drawingml/2006/main">
          <a:off x="5384166" y="1258267"/>
          <a:ext cx="182953" cy="2363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0.85476</cdr:x>
      <cdr:y>0.43109</cdr:y>
    </cdr:from>
    <cdr:to>
      <cdr:x>0.90161</cdr:x>
      <cdr:y>0.48763</cdr:y>
    </cdr:to>
    <cdr:sp macro="" textlink="">
      <cdr:nvSpPr>
        <cdr:cNvPr id="10" name="TextBox 9"/>
        <cdr:cNvSpPr txBox="1"/>
      </cdr:nvSpPr>
      <cdr:spPr>
        <a:xfrm xmlns:a="http://schemas.openxmlformats.org/drawingml/2006/main">
          <a:off x="5340900" y="1802141"/>
          <a:ext cx="292737"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0.85276</cdr:x>
      <cdr:y>0.47828</cdr:y>
    </cdr:from>
    <cdr:to>
      <cdr:x>0.89961</cdr:x>
      <cdr:y>0.53482</cdr:y>
    </cdr:to>
    <cdr:sp macro="" textlink="">
      <cdr:nvSpPr>
        <cdr:cNvPr id="11" name="TextBox 10"/>
        <cdr:cNvSpPr txBox="1"/>
      </cdr:nvSpPr>
      <cdr:spPr>
        <a:xfrm xmlns:a="http://schemas.openxmlformats.org/drawingml/2006/main">
          <a:off x="5328368" y="1999396"/>
          <a:ext cx="292737"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0.85083</cdr:x>
      <cdr:y>0.16861</cdr:y>
    </cdr:from>
    <cdr:to>
      <cdr:x>0.91199</cdr:x>
      <cdr:y>0.21711</cdr:y>
    </cdr:to>
    <cdr:sp macro="" textlink="">
      <cdr:nvSpPr>
        <cdr:cNvPr id="12" name="TextBox 16"/>
        <cdr:cNvSpPr txBox="1"/>
      </cdr:nvSpPr>
      <cdr:spPr>
        <a:xfrm xmlns:a="http://schemas.openxmlformats.org/drawingml/2006/main">
          <a:off x="5316343" y="704870"/>
          <a:ext cx="382153" cy="20275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36.xml><?xml version="1.0" encoding="utf-8"?>
<c:userShapes xmlns:c="http://schemas.openxmlformats.org/drawingml/2006/chart">
  <cdr:relSizeAnchor xmlns:cdr="http://schemas.openxmlformats.org/drawingml/2006/chartDrawing">
    <cdr:from>
      <cdr:x>0.63059</cdr:x>
      <cdr:y>0.26422</cdr:y>
    </cdr:from>
    <cdr:to>
      <cdr:x>0.68041</cdr:x>
      <cdr:y>0.33339</cdr:y>
    </cdr:to>
    <cdr:sp macro="" textlink="">
      <cdr:nvSpPr>
        <cdr:cNvPr id="4" name="TextBox 3"/>
        <cdr:cNvSpPr txBox="1"/>
      </cdr:nvSpPr>
      <cdr:spPr>
        <a:xfrm xmlns:a="http://schemas.openxmlformats.org/drawingml/2006/main">
          <a:off x="3928169" y="1030079"/>
          <a:ext cx="310346" cy="26966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0.87014</cdr:x>
      <cdr:y>0.25853</cdr:y>
    </cdr:from>
    <cdr:to>
      <cdr:x>0.93583</cdr:x>
      <cdr:y>0.30655</cdr:y>
    </cdr:to>
    <cdr:sp macro="" textlink="">
      <cdr:nvSpPr>
        <cdr:cNvPr id="8" name="TextBox 1"/>
        <cdr:cNvSpPr txBox="1"/>
      </cdr:nvSpPr>
      <cdr:spPr>
        <a:xfrm xmlns:a="http://schemas.openxmlformats.org/drawingml/2006/main">
          <a:off x="5420392" y="1046610"/>
          <a:ext cx="409206" cy="1943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0.8793</cdr:x>
      <cdr:y>0.33904</cdr:y>
    </cdr:from>
    <cdr:to>
      <cdr:x>0.90864</cdr:x>
      <cdr:y>0.39743</cdr:y>
    </cdr:to>
    <cdr:sp macro="" textlink="">
      <cdr:nvSpPr>
        <cdr:cNvPr id="9" name="TextBox 2"/>
        <cdr:cNvSpPr txBox="1"/>
      </cdr:nvSpPr>
      <cdr:spPr>
        <a:xfrm xmlns:a="http://schemas.openxmlformats.org/drawingml/2006/main">
          <a:off x="5477471" y="1372550"/>
          <a:ext cx="182769" cy="236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0.8691</cdr:x>
      <cdr:y>0.46399</cdr:y>
    </cdr:from>
    <cdr:to>
      <cdr:x>0.91606</cdr:x>
      <cdr:y>0.52237</cdr:y>
    </cdr:to>
    <cdr:sp macro="" textlink="">
      <cdr:nvSpPr>
        <cdr:cNvPr id="10" name="TextBox 3"/>
        <cdr:cNvSpPr txBox="1"/>
      </cdr:nvSpPr>
      <cdr:spPr>
        <a:xfrm xmlns:a="http://schemas.openxmlformats.org/drawingml/2006/main">
          <a:off x="5413937" y="1878366"/>
          <a:ext cx="292531" cy="23633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0.87331</cdr:x>
      <cdr:y>0.50801</cdr:y>
    </cdr:from>
    <cdr:to>
      <cdr:x>0.92026</cdr:x>
      <cdr:y>0.56639</cdr:y>
    </cdr:to>
    <cdr:sp macro="" textlink="">
      <cdr:nvSpPr>
        <cdr:cNvPr id="12" name="TextBox 4"/>
        <cdr:cNvSpPr txBox="1"/>
      </cdr:nvSpPr>
      <cdr:spPr>
        <a:xfrm xmlns:a="http://schemas.openxmlformats.org/drawingml/2006/main">
          <a:off x="5440139" y="2056560"/>
          <a:ext cx="292468" cy="23634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0.87587</cdr:x>
      <cdr:y>0.20235</cdr:y>
    </cdr:from>
    <cdr:to>
      <cdr:x>0.93716</cdr:x>
      <cdr:y>0.25244</cdr:y>
    </cdr:to>
    <cdr:sp macro="" textlink="">
      <cdr:nvSpPr>
        <cdr:cNvPr id="13" name="TextBox 16"/>
        <cdr:cNvSpPr txBox="1"/>
      </cdr:nvSpPr>
      <cdr:spPr>
        <a:xfrm xmlns:a="http://schemas.openxmlformats.org/drawingml/2006/main">
          <a:off x="5456131" y="819154"/>
          <a:ext cx="381797" cy="202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0.29295</cdr:x>
      <cdr:y>0.07858</cdr:y>
    </cdr:from>
    <cdr:to>
      <cdr:x>0.70189</cdr:x>
      <cdr:y>0.16274</cdr:y>
    </cdr:to>
    <cdr:sp macro="" textlink="">
      <cdr:nvSpPr>
        <cdr:cNvPr id="2" name="TextBox 2"/>
        <cdr:cNvSpPr txBox="1"/>
      </cdr:nvSpPr>
      <cdr:spPr>
        <a:xfrm xmlns:a="http://schemas.openxmlformats.org/drawingml/2006/main">
          <a:off x="1824894" y="306346"/>
          <a:ext cx="2547430" cy="32810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2 Failure ( &gt; +2s) Graph 3</a:t>
          </a:r>
          <a:endParaRPr lang="en-ZA" sz="1400" b="1"/>
        </a:p>
      </cdr:txBody>
    </cdr:sp>
  </cdr:relSizeAnchor>
  <cdr:relSizeAnchor xmlns:cdr="http://schemas.openxmlformats.org/drawingml/2006/chartDrawing">
    <cdr:from>
      <cdr:x>0.13901</cdr:x>
      <cdr:y>0.74743</cdr:y>
    </cdr:from>
    <cdr:to>
      <cdr:x>0.93965</cdr:x>
      <cdr:y>0.98643</cdr:y>
    </cdr:to>
    <cdr:sp macro="" textlink="">
      <cdr:nvSpPr>
        <cdr:cNvPr id="15" name="TextBox 4"/>
        <cdr:cNvSpPr txBox="1"/>
      </cdr:nvSpPr>
      <cdr:spPr>
        <a:xfrm xmlns:a="http://schemas.openxmlformats.org/drawingml/2006/main">
          <a:off x="870934" y="2913931"/>
          <a:ext cx="5016276" cy="93176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2 failure				Richard 29/09/17</a:t>
          </a:r>
        </a:p>
        <a:p xmlns:a="http://schemas.openxmlformats.org/drawingml/2006/main">
          <a:r>
            <a:rPr lang="en-ZA" sz="1000" baseline="0"/>
            <a:t>B - CRM duplicate re-run - failed	 Rule 2		Richard 29/09/17</a:t>
          </a:r>
        </a:p>
        <a:p xmlns:a="http://schemas.openxmlformats.org/drawingml/2006/main">
          <a:r>
            <a:rPr lang="en-ZA" sz="1000" baseline="0"/>
            <a:t>C - Analyser recalibrated, CRM duplicate re-run - failed Rule 2 	Richard 29/09/17</a:t>
          </a:r>
        </a:p>
        <a:p xmlns:a="http://schemas.openxmlformats.org/drawingml/2006/main">
          <a:r>
            <a:rPr lang="en-ZA" sz="1000" baseline="0"/>
            <a:t>D - New CRM run - OK			Richard 29/09/17</a:t>
          </a:r>
          <a:endParaRPr lang="en-ZA" sz="1000"/>
        </a:p>
      </cdr:txBody>
    </cdr:sp>
  </cdr:relSizeAnchor>
  <cdr:relSizeAnchor xmlns:cdr="http://schemas.openxmlformats.org/drawingml/2006/chartDrawing">
    <cdr:from>
      <cdr:x>0.69778</cdr:x>
      <cdr:y>0.17062</cdr:y>
    </cdr:from>
    <cdr:to>
      <cdr:x>0.7476</cdr:x>
      <cdr:y>0.23978</cdr:y>
    </cdr:to>
    <cdr:sp macro="" textlink="">
      <cdr:nvSpPr>
        <cdr:cNvPr id="16" name="TextBox 1"/>
        <cdr:cNvSpPr txBox="1"/>
      </cdr:nvSpPr>
      <cdr:spPr>
        <a:xfrm xmlns:a="http://schemas.openxmlformats.org/drawingml/2006/main">
          <a:off x="4328451" y="665188"/>
          <a:ext cx="309041" cy="26962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0.77447</cdr:x>
      <cdr:y>0.18318</cdr:y>
    </cdr:from>
    <cdr:to>
      <cdr:x>0.82429</cdr:x>
      <cdr:y>0.25234</cdr:y>
    </cdr:to>
    <cdr:sp macro="" textlink="">
      <cdr:nvSpPr>
        <cdr:cNvPr id="17" name="TextBox 1"/>
        <cdr:cNvSpPr txBox="1"/>
      </cdr:nvSpPr>
      <cdr:spPr>
        <a:xfrm xmlns:a="http://schemas.openxmlformats.org/drawingml/2006/main">
          <a:off x="4852305" y="714131"/>
          <a:ext cx="312140" cy="26962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0.83506</cdr:x>
      <cdr:y>0.36897</cdr:y>
    </cdr:from>
    <cdr:to>
      <cdr:x>0.88488</cdr:x>
      <cdr:y>0.43813</cdr:y>
    </cdr:to>
    <cdr:sp macro="" textlink="">
      <cdr:nvSpPr>
        <cdr:cNvPr id="18" name="TextBox 1"/>
        <cdr:cNvSpPr txBox="1"/>
      </cdr:nvSpPr>
      <cdr:spPr>
        <a:xfrm xmlns:a="http://schemas.openxmlformats.org/drawingml/2006/main">
          <a:off x="5179982" y="1438461"/>
          <a:ext cx="309041" cy="26962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0.87014</cdr:x>
      <cdr:y>0.25853</cdr:y>
    </cdr:from>
    <cdr:to>
      <cdr:x>0.93583</cdr:x>
      <cdr:y>0.30655</cdr:y>
    </cdr:to>
    <cdr:sp macro="" textlink="">
      <cdr:nvSpPr>
        <cdr:cNvPr id="19" name="TextBox 1"/>
        <cdr:cNvSpPr txBox="1"/>
      </cdr:nvSpPr>
      <cdr:spPr>
        <a:xfrm xmlns:a="http://schemas.openxmlformats.org/drawingml/2006/main">
          <a:off x="5420392" y="1046610"/>
          <a:ext cx="409206" cy="1943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0.8793</cdr:x>
      <cdr:y>0.33904</cdr:y>
    </cdr:from>
    <cdr:to>
      <cdr:x>0.90864</cdr:x>
      <cdr:y>0.39743</cdr:y>
    </cdr:to>
    <cdr:sp macro="" textlink="">
      <cdr:nvSpPr>
        <cdr:cNvPr id="20" name="TextBox 2"/>
        <cdr:cNvSpPr txBox="1"/>
      </cdr:nvSpPr>
      <cdr:spPr>
        <a:xfrm xmlns:a="http://schemas.openxmlformats.org/drawingml/2006/main">
          <a:off x="5477471" y="1372550"/>
          <a:ext cx="182769" cy="236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0.8691</cdr:x>
      <cdr:y>0.46399</cdr:y>
    </cdr:from>
    <cdr:to>
      <cdr:x>0.91606</cdr:x>
      <cdr:y>0.52237</cdr:y>
    </cdr:to>
    <cdr:sp macro="" textlink="">
      <cdr:nvSpPr>
        <cdr:cNvPr id="21" name="TextBox 3"/>
        <cdr:cNvSpPr txBox="1"/>
      </cdr:nvSpPr>
      <cdr:spPr>
        <a:xfrm xmlns:a="http://schemas.openxmlformats.org/drawingml/2006/main">
          <a:off x="5413937" y="1878366"/>
          <a:ext cx="292531" cy="23633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0.87331</cdr:x>
      <cdr:y>0.50801</cdr:y>
    </cdr:from>
    <cdr:to>
      <cdr:x>0.92026</cdr:x>
      <cdr:y>0.56639</cdr:y>
    </cdr:to>
    <cdr:sp macro="" textlink="">
      <cdr:nvSpPr>
        <cdr:cNvPr id="22" name="TextBox 4"/>
        <cdr:cNvSpPr txBox="1"/>
      </cdr:nvSpPr>
      <cdr:spPr>
        <a:xfrm xmlns:a="http://schemas.openxmlformats.org/drawingml/2006/main">
          <a:off x="5440139" y="2056560"/>
          <a:ext cx="292468" cy="23634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0.87587</cdr:x>
      <cdr:y>0.20235</cdr:y>
    </cdr:from>
    <cdr:to>
      <cdr:x>0.93716</cdr:x>
      <cdr:y>0.25244</cdr:y>
    </cdr:to>
    <cdr:sp macro="" textlink="">
      <cdr:nvSpPr>
        <cdr:cNvPr id="23" name="TextBox 16"/>
        <cdr:cNvSpPr txBox="1"/>
      </cdr:nvSpPr>
      <cdr:spPr>
        <a:xfrm xmlns:a="http://schemas.openxmlformats.org/drawingml/2006/main">
          <a:off x="5456131" y="819154"/>
          <a:ext cx="381797" cy="202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37.xml><?xml version="1.0" encoding="utf-8"?>
<c:userShapes xmlns:c="http://schemas.openxmlformats.org/drawingml/2006/chart">
  <cdr:relSizeAnchor xmlns:cdr="http://schemas.openxmlformats.org/drawingml/2006/chartDrawing">
    <cdr:from>
      <cdr:x>0.29448</cdr:x>
      <cdr:y>0.04926</cdr:y>
    </cdr:from>
    <cdr:to>
      <cdr:x>0.70342</cdr:x>
      <cdr:y>0.13342</cdr:y>
    </cdr:to>
    <cdr:sp macro="" textlink="">
      <cdr:nvSpPr>
        <cdr:cNvPr id="3" name="TextBox 2"/>
        <cdr:cNvSpPr txBox="1"/>
      </cdr:nvSpPr>
      <cdr:spPr>
        <a:xfrm xmlns:a="http://schemas.openxmlformats.org/drawingml/2006/main">
          <a:off x="1721261" y="199402"/>
          <a:ext cx="2390342" cy="3407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2 Failure ( &gt; +2s) Graph 3</a:t>
          </a:r>
          <a:endParaRPr lang="en-ZA" sz="1400" b="1"/>
        </a:p>
      </cdr:txBody>
    </cdr:sp>
  </cdr:relSizeAnchor>
  <cdr:relSizeAnchor xmlns:cdr="http://schemas.openxmlformats.org/drawingml/2006/chartDrawing">
    <cdr:from>
      <cdr:x>0.61756</cdr:x>
      <cdr:y>0.18295</cdr:y>
    </cdr:from>
    <cdr:to>
      <cdr:x>0.66738</cdr:x>
      <cdr:y>0.25212</cdr:y>
    </cdr:to>
    <cdr:sp macro="" textlink="">
      <cdr:nvSpPr>
        <cdr:cNvPr id="4" name="TextBox 3"/>
        <cdr:cNvSpPr txBox="1"/>
      </cdr:nvSpPr>
      <cdr:spPr>
        <a:xfrm xmlns:a="http://schemas.openxmlformats.org/drawingml/2006/main">
          <a:off x="3869246" y="740646"/>
          <a:ext cx="312139" cy="2800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0.03976</cdr:x>
      <cdr:y>0.78114</cdr:y>
    </cdr:from>
    <cdr:to>
      <cdr:x>0.97095</cdr:x>
      <cdr:y>1</cdr:y>
    </cdr:to>
    <cdr:sp macro="" textlink="">
      <cdr:nvSpPr>
        <cdr:cNvPr id="5" name="TextBox 4"/>
        <cdr:cNvSpPr txBox="1"/>
      </cdr:nvSpPr>
      <cdr:spPr>
        <a:xfrm xmlns:a="http://schemas.openxmlformats.org/drawingml/2006/main">
          <a:off x="249110" y="3162286"/>
          <a:ext cx="5834215" cy="88601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2 failure					Richard 29/09/17</a:t>
          </a:r>
        </a:p>
        <a:p xmlns:a="http://schemas.openxmlformats.org/drawingml/2006/main">
          <a:r>
            <a:rPr lang="en-ZA" sz="1000" baseline="0"/>
            <a:t>B - CRM duplicate re-run - failed	 Rule 2			Richard 29/09/17</a:t>
          </a:r>
        </a:p>
        <a:p xmlns:a="http://schemas.openxmlformats.org/drawingml/2006/main">
          <a:r>
            <a:rPr lang="en-ZA" sz="1000" baseline="0"/>
            <a:t>C - Analyser recalibrated, CRM duplicate re-run - failed Rule 2 		Richard 29/09/17</a:t>
          </a:r>
        </a:p>
        <a:p xmlns:a="http://schemas.openxmlformats.org/drawingml/2006/main">
          <a:r>
            <a:rPr lang="en-ZA" sz="1000" baseline="0">
              <a:latin typeface="+mn-lt"/>
              <a:ea typeface="+mn-ea"/>
              <a:cs typeface="+mn-cs"/>
            </a:rPr>
            <a:t>D - New CRM run - failed Rule 2.  Work supsended -Manager Informed</a:t>
          </a:r>
          <a:r>
            <a:rPr lang="en-ZA" sz="1100" baseline="0">
              <a:latin typeface="+mn-lt"/>
              <a:ea typeface="+mn-ea"/>
              <a:cs typeface="+mn-cs"/>
            </a:rPr>
            <a:t>		</a:t>
          </a:r>
          <a:r>
            <a:rPr lang="en-ZA" sz="1000" baseline="0"/>
            <a:t>Richard 29/09/17</a:t>
          </a:r>
          <a:endParaRPr lang="en-ZA" sz="1000"/>
        </a:p>
      </cdr:txBody>
    </cdr:sp>
  </cdr:relSizeAnchor>
  <cdr:relSizeAnchor xmlns:cdr="http://schemas.openxmlformats.org/drawingml/2006/chartDrawing">
    <cdr:from>
      <cdr:x>0.68989</cdr:x>
      <cdr:y>0.16962</cdr:y>
    </cdr:from>
    <cdr:to>
      <cdr:x>0.73971</cdr:x>
      <cdr:y>0.23878</cdr:y>
    </cdr:to>
    <cdr:sp macro="" textlink="">
      <cdr:nvSpPr>
        <cdr:cNvPr id="6" name="TextBox 1"/>
        <cdr:cNvSpPr txBox="1"/>
      </cdr:nvSpPr>
      <cdr:spPr>
        <a:xfrm xmlns:a="http://schemas.openxmlformats.org/drawingml/2006/main">
          <a:off x="4322391" y="686653"/>
          <a:ext cx="312139" cy="27998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0.63058</cdr:x>
      <cdr:y>0.23218</cdr:y>
    </cdr:from>
    <cdr:to>
      <cdr:x>0.6804</cdr:x>
      <cdr:y>0.30134</cdr:y>
    </cdr:to>
    <cdr:sp macro="" textlink="">
      <cdr:nvSpPr>
        <cdr:cNvPr id="7" name="TextBox 1"/>
        <cdr:cNvSpPr txBox="1"/>
      </cdr:nvSpPr>
      <cdr:spPr>
        <a:xfrm xmlns:a="http://schemas.openxmlformats.org/drawingml/2006/main">
          <a:off x="3928100" y="939926"/>
          <a:ext cx="310347"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0.83346</cdr:x>
      <cdr:y>0.1571</cdr:y>
    </cdr:from>
    <cdr:to>
      <cdr:x>0.88328</cdr:x>
      <cdr:y>0.22626</cdr:y>
    </cdr:to>
    <cdr:sp macro="" textlink="">
      <cdr:nvSpPr>
        <cdr:cNvPr id="11" name="TextBox 1"/>
        <cdr:cNvSpPr txBox="1"/>
      </cdr:nvSpPr>
      <cdr:spPr>
        <a:xfrm xmlns:a="http://schemas.openxmlformats.org/drawingml/2006/main">
          <a:off x="5221882" y="635987"/>
          <a:ext cx="312139"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0.87014</cdr:x>
      <cdr:y>0.25853</cdr:y>
    </cdr:from>
    <cdr:to>
      <cdr:x>0.93583</cdr:x>
      <cdr:y>0.30655</cdr:y>
    </cdr:to>
    <cdr:sp macro="" textlink="">
      <cdr:nvSpPr>
        <cdr:cNvPr id="8" name="TextBox 1"/>
        <cdr:cNvSpPr txBox="1"/>
      </cdr:nvSpPr>
      <cdr:spPr>
        <a:xfrm xmlns:a="http://schemas.openxmlformats.org/drawingml/2006/main">
          <a:off x="5420392" y="1046610"/>
          <a:ext cx="409206" cy="1943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0.8793</cdr:x>
      <cdr:y>0.33904</cdr:y>
    </cdr:from>
    <cdr:to>
      <cdr:x>0.90864</cdr:x>
      <cdr:y>0.39743</cdr:y>
    </cdr:to>
    <cdr:sp macro="" textlink="">
      <cdr:nvSpPr>
        <cdr:cNvPr id="9" name="TextBox 2"/>
        <cdr:cNvSpPr txBox="1"/>
      </cdr:nvSpPr>
      <cdr:spPr>
        <a:xfrm xmlns:a="http://schemas.openxmlformats.org/drawingml/2006/main">
          <a:off x="5477471" y="1372550"/>
          <a:ext cx="182769" cy="236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0.8691</cdr:x>
      <cdr:y>0.46399</cdr:y>
    </cdr:from>
    <cdr:to>
      <cdr:x>0.91606</cdr:x>
      <cdr:y>0.52237</cdr:y>
    </cdr:to>
    <cdr:sp macro="" textlink="">
      <cdr:nvSpPr>
        <cdr:cNvPr id="10" name="TextBox 3"/>
        <cdr:cNvSpPr txBox="1"/>
      </cdr:nvSpPr>
      <cdr:spPr>
        <a:xfrm xmlns:a="http://schemas.openxmlformats.org/drawingml/2006/main">
          <a:off x="5413937" y="1878366"/>
          <a:ext cx="292531" cy="23633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0.87331</cdr:x>
      <cdr:y>0.50801</cdr:y>
    </cdr:from>
    <cdr:to>
      <cdr:x>0.92026</cdr:x>
      <cdr:y>0.56639</cdr:y>
    </cdr:to>
    <cdr:sp macro="" textlink="">
      <cdr:nvSpPr>
        <cdr:cNvPr id="12" name="TextBox 4"/>
        <cdr:cNvSpPr txBox="1"/>
      </cdr:nvSpPr>
      <cdr:spPr>
        <a:xfrm xmlns:a="http://schemas.openxmlformats.org/drawingml/2006/main">
          <a:off x="5440139" y="2056560"/>
          <a:ext cx="292468" cy="23634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0.87587</cdr:x>
      <cdr:y>0.20235</cdr:y>
    </cdr:from>
    <cdr:to>
      <cdr:x>0.93716</cdr:x>
      <cdr:y>0.25244</cdr:y>
    </cdr:to>
    <cdr:sp macro="" textlink="">
      <cdr:nvSpPr>
        <cdr:cNvPr id="13" name="TextBox 16"/>
        <cdr:cNvSpPr txBox="1"/>
      </cdr:nvSpPr>
      <cdr:spPr>
        <a:xfrm xmlns:a="http://schemas.openxmlformats.org/drawingml/2006/main">
          <a:off x="5456131" y="819154"/>
          <a:ext cx="381797" cy="202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0.76351</cdr:x>
      <cdr:y>0.27973</cdr:y>
    </cdr:from>
    <cdr:to>
      <cdr:x>0.81333</cdr:x>
      <cdr:y>0.34889</cdr:y>
    </cdr:to>
    <cdr:sp macro="" textlink="">
      <cdr:nvSpPr>
        <cdr:cNvPr id="14" name="TextBox 1"/>
        <cdr:cNvSpPr txBox="1"/>
      </cdr:nvSpPr>
      <cdr:spPr>
        <a:xfrm xmlns:a="http://schemas.openxmlformats.org/drawingml/2006/main">
          <a:off x="4783667" y="1132416"/>
          <a:ext cx="312139" cy="27998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userShapes>
</file>

<file path=xl/drawings/drawing38.xml><?xml version="1.0" encoding="utf-8"?>
<xdr:wsDr xmlns:xdr="http://schemas.openxmlformats.org/drawingml/2006/spreadsheetDrawing" xmlns:a="http://schemas.openxmlformats.org/drawingml/2006/main">
  <xdr:twoCellAnchor>
    <xdr:from>
      <xdr:col>1</xdr:col>
      <xdr:colOff>602686</xdr:colOff>
      <xdr:row>29</xdr:row>
      <xdr:rowOff>0</xdr:rowOff>
    </xdr:from>
    <xdr:to>
      <xdr:col>11</xdr:col>
      <xdr:colOff>973666</xdr:colOff>
      <xdr:row>51</xdr:row>
      <xdr:rowOff>20109</xdr:rowOff>
    </xdr:to>
    <xdr:graphicFrame macro="">
      <xdr:nvGraphicFramePr>
        <xdr:cNvPr id="2" name="Chart 1">
          <a:extLst>
            <a:ext uri="{FF2B5EF4-FFF2-40B4-BE49-F238E27FC236}">
              <a16:creationId xmlns:a16="http://schemas.microsoft.com/office/drawing/2014/main" id="{00000000-0008-0000-1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17291</xdr:colOff>
      <xdr:row>33</xdr:row>
      <xdr:rowOff>148532</xdr:rowOff>
    </xdr:from>
    <xdr:to>
      <xdr:col>11</xdr:col>
      <xdr:colOff>402166</xdr:colOff>
      <xdr:row>34</xdr:row>
      <xdr:rowOff>152400</xdr:rowOff>
    </xdr:to>
    <xdr:sp macro="" textlink="">
      <xdr:nvSpPr>
        <xdr:cNvPr id="3" name="TextBox 2">
          <a:extLst>
            <a:ext uri="{FF2B5EF4-FFF2-40B4-BE49-F238E27FC236}">
              <a16:creationId xmlns:a16="http://schemas.microsoft.com/office/drawing/2014/main" id="{00000000-0008-0000-1A00-000003000000}"/>
            </a:ext>
          </a:extLst>
        </xdr:cNvPr>
        <xdr:cNvSpPr txBox="1"/>
      </xdr:nvSpPr>
      <xdr:spPr>
        <a:xfrm>
          <a:off x="6722891" y="6530282"/>
          <a:ext cx="384875" cy="194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ZA" sz="900" b="1"/>
            <a:t>+2s</a:t>
          </a:r>
        </a:p>
      </xdr:txBody>
    </xdr:sp>
    <xdr:clientData/>
  </xdr:twoCellAnchor>
  <xdr:twoCellAnchor>
    <xdr:from>
      <xdr:col>11</xdr:col>
      <xdr:colOff>78814</xdr:colOff>
      <xdr:row>35</xdr:row>
      <xdr:rowOff>102990</xdr:rowOff>
    </xdr:from>
    <xdr:to>
      <xdr:col>11</xdr:col>
      <xdr:colOff>250745</xdr:colOff>
      <xdr:row>36</xdr:row>
      <xdr:rowOff>148853</xdr:rowOff>
    </xdr:to>
    <xdr:sp macro="" textlink="">
      <xdr:nvSpPr>
        <xdr:cNvPr id="4" name="TextBox 3">
          <a:extLst>
            <a:ext uri="{FF2B5EF4-FFF2-40B4-BE49-F238E27FC236}">
              <a16:creationId xmlns:a16="http://schemas.microsoft.com/office/drawing/2014/main" id="{00000000-0008-0000-1A00-000004000000}"/>
            </a:ext>
          </a:extLst>
        </xdr:cNvPr>
        <xdr:cNvSpPr txBox="1"/>
      </xdr:nvSpPr>
      <xdr:spPr>
        <a:xfrm>
          <a:off x="6784414" y="6865740"/>
          <a:ext cx="171931" cy="23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900" b="1" baseline="0"/>
            <a:t>x͞</a:t>
          </a:r>
        </a:p>
      </xdr:txBody>
    </xdr:sp>
    <xdr:clientData/>
  </xdr:twoCellAnchor>
  <xdr:twoCellAnchor>
    <xdr:from>
      <xdr:col>11</xdr:col>
      <xdr:colOff>47104</xdr:colOff>
      <xdr:row>38</xdr:row>
      <xdr:rowOff>75376</xdr:rowOff>
    </xdr:from>
    <xdr:to>
      <xdr:col>11</xdr:col>
      <xdr:colOff>322204</xdr:colOff>
      <xdr:row>39</xdr:row>
      <xdr:rowOff>121239</xdr:rowOff>
    </xdr:to>
    <xdr:sp macro="" textlink="">
      <xdr:nvSpPr>
        <xdr:cNvPr id="5" name="TextBox 4">
          <a:extLst>
            <a:ext uri="{FF2B5EF4-FFF2-40B4-BE49-F238E27FC236}">
              <a16:creationId xmlns:a16="http://schemas.microsoft.com/office/drawing/2014/main" id="{00000000-0008-0000-1A00-000005000000}"/>
            </a:ext>
          </a:extLst>
        </xdr:cNvPr>
        <xdr:cNvSpPr txBox="1"/>
      </xdr:nvSpPr>
      <xdr:spPr>
        <a:xfrm>
          <a:off x="6752704" y="7409626"/>
          <a:ext cx="275100" cy="23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900" b="1"/>
            <a:t>-2s</a:t>
          </a:r>
        </a:p>
      </xdr:txBody>
    </xdr:sp>
    <xdr:clientData/>
  </xdr:twoCellAnchor>
  <xdr:twoCellAnchor>
    <xdr:from>
      <xdr:col>11</xdr:col>
      <xdr:colOff>35887</xdr:colOff>
      <xdr:row>39</xdr:row>
      <xdr:rowOff>72597</xdr:rowOff>
    </xdr:from>
    <xdr:to>
      <xdr:col>11</xdr:col>
      <xdr:colOff>310987</xdr:colOff>
      <xdr:row>40</xdr:row>
      <xdr:rowOff>118460</xdr:rowOff>
    </xdr:to>
    <xdr:sp macro="" textlink="">
      <xdr:nvSpPr>
        <xdr:cNvPr id="6" name="TextBox 5">
          <a:extLst>
            <a:ext uri="{FF2B5EF4-FFF2-40B4-BE49-F238E27FC236}">
              <a16:creationId xmlns:a16="http://schemas.microsoft.com/office/drawing/2014/main" id="{00000000-0008-0000-1A00-000006000000}"/>
            </a:ext>
          </a:extLst>
        </xdr:cNvPr>
        <xdr:cNvSpPr txBox="1"/>
      </xdr:nvSpPr>
      <xdr:spPr>
        <a:xfrm>
          <a:off x="6741487" y="7597347"/>
          <a:ext cx="275100" cy="23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900" b="1"/>
            <a:t>-3s</a:t>
          </a:r>
        </a:p>
      </xdr:txBody>
    </xdr:sp>
    <xdr:clientData/>
  </xdr:twoCellAnchor>
  <xdr:twoCellAnchor>
    <xdr:from>
      <xdr:col>9</xdr:col>
      <xdr:colOff>309949</xdr:colOff>
      <xdr:row>33</xdr:row>
      <xdr:rowOff>52918</xdr:rowOff>
    </xdr:from>
    <xdr:to>
      <xdr:col>9</xdr:col>
      <xdr:colOff>529166</xdr:colOff>
      <xdr:row>34</xdr:row>
      <xdr:rowOff>93134</xdr:rowOff>
    </xdr:to>
    <xdr:sp macro="" textlink="">
      <xdr:nvSpPr>
        <xdr:cNvPr id="7" name="TextBox 6">
          <a:extLst>
            <a:ext uri="{FF2B5EF4-FFF2-40B4-BE49-F238E27FC236}">
              <a16:creationId xmlns:a16="http://schemas.microsoft.com/office/drawing/2014/main" id="{00000000-0008-0000-1A00-000007000000}"/>
            </a:ext>
          </a:extLst>
        </xdr:cNvPr>
        <xdr:cNvSpPr txBox="1"/>
      </xdr:nvSpPr>
      <xdr:spPr>
        <a:xfrm>
          <a:off x="5796349" y="6434668"/>
          <a:ext cx="219217" cy="2307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1100" b="1">
              <a:solidFill>
                <a:sysClr val="windowText" lastClr="000000"/>
              </a:solidFill>
            </a:rPr>
            <a:t>B</a:t>
          </a:r>
        </a:p>
      </xdr:txBody>
    </xdr:sp>
    <xdr:clientData/>
  </xdr:twoCellAnchor>
  <xdr:twoCellAnchor>
    <xdr:from>
      <xdr:col>2</xdr:col>
      <xdr:colOff>0</xdr:colOff>
      <xdr:row>55</xdr:row>
      <xdr:rowOff>10583</xdr:rowOff>
    </xdr:from>
    <xdr:to>
      <xdr:col>11</xdr:col>
      <xdr:colOff>994833</xdr:colOff>
      <xdr:row>77</xdr:row>
      <xdr:rowOff>0</xdr:rowOff>
    </xdr:to>
    <xdr:graphicFrame macro="">
      <xdr:nvGraphicFramePr>
        <xdr:cNvPr id="8" name="Chart 7">
          <a:extLst>
            <a:ext uri="{FF2B5EF4-FFF2-40B4-BE49-F238E27FC236}">
              <a16:creationId xmlns:a16="http://schemas.microsoft.com/office/drawing/2014/main" id="{00000000-0008-0000-1A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41297</xdr:colOff>
      <xdr:row>83</xdr:row>
      <xdr:rowOff>177019</xdr:rowOff>
    </xdr:from>
    <xdr:to>
      <xdr:col>12</xdr:col>
      <xdr:colOff>9525</xdr:colOff>
      <xdr:row>105</xdr:row>
      <xdr:rowOff>34315</xdr:rowOff>
    </xdr:to>
    <xdr:graphicFrame macro="">
      <xdr:nvGraphicFramePr>
        <xdr:cNvPr id="9" name="Chart 8">
          <a:extLst>
            <a:ext uri="{FF2B5EF4-FFF2-40B4-BE49-F238E27FC236}">
              <a16:creationId xmlns:a16="http://schemas.microsoft.com/office/drawing/2014/main" id="{00000000-0008-0000-1A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21166</xdr:colOff>
      <xdr:row>106</xdr:row>
      <xdr:rowOff>169333</xdr:rowOff>
    </xdr:from>
    <xdr:to>
      <xdr:col>11</xdr:col>
      <xdr:colOff>997388</xdr:colOff>
      <xdr:row>128</xdr:row>
      <xdr:rowOff>10895</xdr:rowOff>
    </xdr:to>
    <xdr:graphicFrame macro="">
      <xdr:nvGraphicFramePr>
        <xdr:cNvPr id="10" name="Chart 9">
          <a:extLst>
            <a:ext uri="{FF2B5EF4-FFF2-40B4-BE49-F238E27FC236}">
              <a16:creationId xmlns:a16="http://schemas.microsoft.com/office/drawing/2014/main" id="{00000000-0008-0000-1A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501854</xdr:colOff>
      <xdr:row>39</xdr:row>
      <xdr:rowOff>5577</xdr:rowOff>
    </xdr:from>
    <xdr:to>
      <xdr:col>9</xdr:col>
      <xdr:colOff>176183</xdr:colOff>
      <xdr:row>40</xdr:row>
      <xdr:rowOff>81102</xdr:rowOff>
    </xdr:to>
    <xdr:sp macro="" textlink="">
      <xdr:nvSpPr>
        <xdr:cNvPr id="11" name="TextBox 10">
          <a:extLst>
            <a:ext uri="{FF2B5EF4-FFF2-40B4-BE49-F238E27FC236}">
              <a16:creationId xmlns:a16="http://schemas.microsoft.com/office/drawing/2014/main" id="{00000000-0008-0000-1A00-00000B000000}"/>
            </a:ext>
          </a:extLst>
        </xdr:cNvPr>
        <xdr:cNvSpPr txBox="1"/>
      </xdr:nvSpPr>
      <xdr:spPr>
        <a:xfrm>
          <a:off x="5378654" y="7530327"/>
          <a:ext cx="283929" cy="266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1100" b="1">
              <a:solidFill>
                <a:sysClr val="windowText" lastClr="000000"/>
              </a:solidFill>
            </a:rPr>
            <a:t>A</a:t>
          </a:r>
        </a:p>
      </xdr:txBody>
    </xdr:sp>
    <xdr:clientData/>
  </xdr:twoCellAnchor>
  <xdr:twoCellAnchor>
    <xdr:from>
      <xdr:col>11</xdr:col>
      <xdr:colOff>24053</xdr:colOff>
      <xdr:row>32</xdr:row>
      <xdr:rowOff>130605</xdr:rowOff>
    </xdr:from>
    <xdr:to>
      <xdr:col>11</xdr:col>
      <xdr:colOff>383117</xdr:colOff>
      <xdr:row>33</xdr:row>
      <xdr:rowOff>142875</xdr:rowOff>
    </xdr:to>
    <xdr:sp macro="" textlink="">
      <xdr:nvSpPr>
        <xdr:cNvPr id="12" name="TextBox 11">
          <a:extLst>
            <a:ext uri="{FF2B5EF4-FFF2-40B4-BE49-F238E27FC236}">
              <a16:creationId xmlns:a16="http://schemas.microsoft.com/office/drawing/2014/main" id="{00000000-0008-0000-1A00-00000C000000}"/>
            </a:ext>
          </a:extLst>
        </xdr:cNvPr>
        <xdr:cNvSpPr txBox="1"/>
      </xdr:nvSpPr>
      <xdr:spPr>
        <a:xfrm>
          <a:off x="6729653" y="6321855"/>
          <a:ext cx="359064" cy="202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ZA" sz="900" b="1"/>
            <a:t>+3s</a:t>
          </a:r>
        </a:p>
      </xdr:txBody>
    </xdr:sp>
    <xdr:clientData/>
  </xdr:twoCellAnchor>
  <xdr:twoCellAnchor>
    <xdr:from>
      <xdr:col>15</xdr:col>
      <xdr:colOff>9525</xdr:colOff>
      <xdr:row>29</xdr:row>
      <xdr:rowOff>9525</xdr:rowOff>
    </xdr:from>
    <xdr:to>
      <xdr:col>25</xdr:col>
      <xdr:colOff>19050</xdr:colOff>
      <xdr:row>51</xdr:row>
      <xdr:rowOff>33960</xdr:rowOff>
    </xdr:to>
    <xdr:graphicFrame macro="">
      <xdr:nvGraphicFramePr>
        <xdr:cNvPr id="13" name="Chart 12">
          <a:extLst>
            <a:ext uri="{FF2B5EF4-FFF2-40B4-BE49-F238E27FC236}">
              <a16:creationId xmlns:a16="http://schemas.microsoft.com/office/drawing/2014/main" id="{00000000-0008-0000-1A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55</xdr:row>
      <xdr:rowOff>0</xdr:rowOff>
    </xdr:from>
    <xdr:to>
      <xdr:col>25</xdr:col>
      <xdr:colOff>19050</xdr:colOff>
      <xdr:row>76</xdr:row>
      <xdr:rowOff>179917</xdr:rowOff>
    </xdr:to>
    <xdr:graphicFrame macro="">
      <xdr:nvGraphicFramePr>
        <xdr:cNvPr id="14" name="Chart 13">
          <a:extLst>
            <a:ext uri="{FF2B5EF4-FFF2-40B4-BE49-F238E27FC236}">
              <a16:creationId xmlns:a16="http://schemas.microsoft.com/office/drawing/2014/main" id="{00000000-0008-0000-1A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83</xdr:row>
      <xdr:rowOff>149678</xdr:rowOff>
    </xdr:from>
    <xdr:to>
      <xdr:col>25</xdr:col>
      <xdr:colOff>0</xdr:colOff>
      <xdr:row>104</xdr:row>
      <xdr:rowOff>47795</xdr:rowOff>
    </xdr:to>
    <xdr:graphicFrame macro="">
      <xdr:nvGraphicFramePr>
        <xdr:cNvPr id="15" name="Chart 14">
          <a:extLst>
            <a:ext uri="{FF2B5EF4-FFF2-40B4-BE49-F238E27FC236}">
              <a16:creationId xmlns:a16="http://schemas.microsoft.com/office/drawing/2014/main" id="{00000000-0008-0000-1A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107</xdr:row>
      <xdr:rowOff>0</xdr:rowOff>
    </xdr:from>
    <xdr:to>
      <xdr:col>25</xdr:col>
      <xdr:colOff>0</xdr:colOff>
      <xdr:row>128</xdr:row>
      <xdr:rowOff>47796</xdr:rowOff>
    </xdr:to>
    <xdr:graphicFrame macro="">
      <xdr:nvGraphicFramePr>
        <xdr:cNvPr id="16" name="Chart 15">
          <a:extLst>
            <a:ext uri="{FF2B5EF4-FFF2-40B4-BE49-F238E27FC236}">
              <a16:creationId xmlns:a16="http://schemas.microsoft.com/office/drawing/2014/main" id="{00000000-0008-0000-1A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9.xml><?xml version="1.0" encoding="utf-8"?>
<c:userShapes xmlns:c="http://schemas.openxmlformats.org/drawingml/2006/chart">
  <cdr:relSizeAnchor xmlns:cdr="http://schemas.openxmlformats.org/drawingml/2006/chartDrawing">
    <cdr:from>
      <cdr:x>0.39225</cdr:x>
      <cdr:y>0.04455</cdr:y>
    </cdr:from>
    <cdr:to>
      <cdr:x>0.66202</cdr:x>
      <cdr:y>0.12871</cdr:y>
    </cdr:to>
    <cdr:sp macro="" textlink="">
      <cdr:nvSpPr>
        <cdr:cNvPr id="3" name="TextBox 2"/>
        <cdr:cNvSpPr txBox="1"/>
      </cdr:nvSpPr>
      <cdr:spPr>
        <a:xfrm xmlns:a="http://schemas.openxmlformats.org/drawingml/2006/main">
          <a:off x="2409825" y="171450"/>
          <a:ext cx="1657350" cy="3238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900" b="1"/>
        </a:p>
        <a:p xmlns:a="http://schemas.openxmlformats.org/drawingml/2006/main">
          <a:r>
            <a:rPr lang="en-ZA" sz="1400" b="1" baseline="0"/>
            <a:t> 1 Failure</a:t>
          </a:r>
          <a:endParaRPr lang="en-ZA" sz="1400" b="1"/>
        </a:p>
      </cdr:txBody>
    </cdr:sp>
  </cdr:relSizeAnchor>
  <cdr:relSizeAnchor xmlns:cdr="http://schemas.openxmlformats.org/drawingml/2006/chartDrawing">
    <cdr:from>
      <cdr:x>0.45001</cdr:x>
      <cdr:y>0.50138</cdr:y>
    </cdr:from>
    <cdr:to>
      <cdr:x>0.49983</cdr:x>
      <cdr:y>0.57054</cdr:y>
    </cdr:to>
    <cdr:sp macro="" textlink="">
      <cdr:nvSpPr>
        <cdr:cNvPr id="4" name="TextBox 3"/>
        <cdr:cNvSpPr txBox="1"/>
      </cdr:nvSpPr>
      <cdr:spPr>
        <a:xfrm xmlns:a="http://schemas.openxmlformats.org/drawingml/2006/main">
          <a:off x="2772303" y="1918229"/>
          <a:ext cx="306917" cy="26458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100" b="1">
            <a:solidFill>
              <a:srgbClr val="FF0000"/>
            </a:solidFill>
          </a:endParaRPr>
        </a:p>
      </cdr:txBody>
    </cdr:sp>
  </cdr:relSizeAnchor>
  <cdr:relSizeAnchor xmlns:cdr="http://schemas.openxmlformats.org/drawingml/2006/chartDrawing">
    <cdr:from>
      <cdr:x>0.07483</cdr:x>
      <cdr:y>0.7975</cdr:y>
    </cdr:from>
    <cdr:to>
      <cdr:x>0.9287</cdr:x>
      <cdr:y>0.94744</cdr:y>
    </cdr:to>
    <cdr:sp macro="" textlink="">
      <cdr:nvSpPr>
        <cdr:cNvPr id="5" name="TextBox 4"/>
        <cdr:cNvSpPr txBox="1"/>
      </cdr:nvSpPr>
      <cdr:spPr>
        <a:xfrm xmlns:a="http://schemas.openxmlformats.org/drawingml/2006/main">
          <a:off x="460939" y="3051268"/>
          <a:ext cx="5259917" cy="57369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100"/>
        </a:p>
        <a:p xmlns:a="http://schemas.openxmlformats.org/drawingml/2006/main">
          <a:r>
            <a:rPr lang="en-ZA" sz="1100"/>
            <a:t>A</a:t>
          </a:r>
          <a:r>
            <a:rPr lang="en-ZA" sz="1100" baseline="0"/>
            <a:t> - Rule 3 failure			Richard 29/09/17</a:t>
          </a:r>
        </a:p>
        <a:p xmlns:a="http://schemas.openxmlformats.org/drawingml/2006/main">
          <a:r>
            <a:rPr lang="en-ZA" sz="1100" baseline="0"/>
            <a:t>B- CRM duplicate re-run - OK			Richard 29/09/17</a:t>
          </a:r>
          <a:endParaRPr lang="en-ZA" sz="1100"/>
        </a:p>
      </cdr:txBody>
    </cdr:sp>
  </cdr:relSizeAnchor>
  <cdr:relSizeAnchor xmlns:cdr="http://schemas.openxmlformats.org/drawingml/2006/chartDrawing">
    <cdr:from>
      <cdr:x>0.29264</cdr:x>
      <cdr:y>0.04823</cdr:y>
    </cdr:from>
    <cdr:to>
      <cdr:x>0.7488</cdr:x>
      <cdr:y>0.13239</cdr:y>
    </cdr:to>
    <cdr:sp macro="" textlink="">
      <cdr:nvSpPr>
        <cdr:cNvPr id="6" name="TextBox 1"/>
        <cdr:cNvSpPr txBox="1"/>
      </cdr:nvSpPr>
      <cdr:spPr>
        <a:xfrm xmlns:a="http://schemas.openxmlformats.org/drawingml/2006/main">
          <a:off x="1713786" y="203326"/>
          <a:ext cx="2671453" cy="35477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Arial"/>
            </a:defRPr>
          </a:lvl1pPr>
          <a:lvl2pPr marL="457200" indent="0">
            <a:defRPr sz="1100">
              <a:latin typeface="Arial"/>
            </a:defRPr>
          </a:lvl2pPr>
          <a:lvl3pPr marL="914400" indent="0">
            <a:defRPr sz="1100">
              <a:latin typeface="Arial"/>
            </a:defRPr>
          </a:lvl3pPr>
          <a:lvl4pPr marL="1371600" indent="0">
            <a:defRPr sz="1100">
              <a:latin typeface="Arial"/>
            </a:defRPr>
          </a:lvl4pPr>
          <a:lvl5pPr marL="1828800" indent="0">
            <a:defRPr sz="1100">
              <a:latin typeface="Arial"/>
            </a:defRPr>
          </a:lvl5pPr>
          <a:lvl6pPr marL="2286000" indent="0">
            <a:defRPr sz="1100">
              <a:latin typeface="Arial"/>
            </a:defRPr>
          </a:lvl6pPr>
          <a:lvl7pPr marL="2743200" indent="0">
            <a:defRPr sz="1100">
              <a:latin typeface="Arial"/>
            </a:defRPr>
          </a:lvl7pPr>
          <a:lvl8pPr marL="3200400" indent="0">
            <a:defRPr sz="1100">
              <a:latin typeface="Arial"/>
            </a:defRPr>
          </a:lvl8pPr>
          <a:lvl9pPr marL="3657600" indent="0">
            <a:defRPr sz="1100">
              <a:latin typeface="Arial"/>
            </a:defRPr>
          </a:lvl9pPr>
        </a:lstStyle>
        <a:p xmlns:a="http://schemas.openxmlformats.org/drawingml/2006/main">
          <a:r>
            <a:rPr lang="en-ZA" sz="1400" b="1">
              <a:latin typeface="Calibri" pitchFamily="34" charset="0"/>
            </a:rPr>
            <a:t>Rule</a:t>
          </a:r>
          <a:r>
            <a:rPr lang="en-ZA" sz="1400" b="1" baseline="0">
              <a:latin typeface="Calibri" pitchFamily="34" charset="0"/>
            </a:rPr>
            <a:t> 3 Failure ( -ve bias) Graph 1</a:t>
          </a:r>
          <a:endParaRPr lang="en-ZA" sz="1400" b="1">
            <a:latin typeface="Calibri" pitchFamily="34" charset="0"/>
          </a:endParaRPr>
        </a:p>
      </cdr:txBody>
    </cdr:sp>
  </cdr:relSizeAnchor>
</c:userShapes>
</file>

<file path=xl/drawings/drawing40.xml><?xml version="1.0" encoding="utf-8"?>
<c:userShapes xmlns:c="http://schemas.openxmlformats.org/drawingml/2006/chart">
  <cdr:relSizeAnchor xmlns:cdr="http://schemas.openxmlformats.org/drawingml/2006/chartDrawing">
    <cdr:from>
      <cdr:x>0.29816</cdr:x>
      <cdr:y>0.03771</cdr:y>
    </cdr:from>
    <cdr:to>
      <cdr:x>0.72026</cdr:x>
      <cdr:y>0.12187</cdr:y>
    </cdr:to>
    <cdr:sp macro="" textlink="">
      <cdr:nvSpPr>
        <cdr:cNvPr id="3" name="TextBox 2"/>
        <cdr:cNvSpPr txBox="1"/>
      </cdr:nvSpPr>
      <cdr:spPr>
        <a:xfrm xmlns:a="http://schemas.openxmlformats.org/drawingml/2006/main">
          <a:off x="1750698" y="157663"/>
          <a:ext cx="2478402" cy="3518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3 Failure ( -ve bias) Graph 2</a:t>
          </a:r>
          <a:endParaRPr lang="en-ZA" sz="1400" b="1"/>
        </a:p>
      </cdr:txBody>
    </cdr:sp>
  </cdr:relSizeAnchor>
  <cdr:relSizeAnchor xmlns:cdr="http://schemas.openxmlformats.org/drawingml/2006/chartDrawing">
    <cdr:from>
      <cdr:x>0.61051</cdr:x>
      <cdr:y>0.48666</cdr:y>
    </cdr:from>
    <cdr:to>
      <cdr:x>0.66033</cdr:x>
      <cdr:y>0.55583</cdr:y>
    </cdr:to>
    <cdr:sp macro="" textlink="">
      <cdr:nvSpPr>
        <cdr:cNvPr id="4" name="TextBox 3"/>
        <cdr:cNvSpPr txBox="1"/>
      </cdr:nvSpPr>
      <cdr:spPr>
        <a:xfrm xmlns:a="http://schemas.openxmlformats.org/drawingml/2006/main">
          <a:off x="3980100" y="2034427"/>
          <a:ext cx="324793" cy="28915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0.13563</cdr:x>
      <cdr:y>0.761</cdr:y>
    </cdr:from>
    <cdr:to>
      <cdr:x>0.93627</cdr:x>
      <cdr:y>1</cdr:y>
    </cdr:to>
    <cdr:sp macro="" textlink="">
      <cdr:nvSpPr>
        <cdr:cNvPr id="5" name="TextBox 4"/>
        <cdr:cNvSpPr txBox="1"/>
      </cdr:nvSpPr>
      <cdr:spPr>
        <a:xfrm xmlns:a="http://schemas.openxmlformats.org/drawingml/2006/main">
          <a:off x="835555" y="2911491"/>
          <a:ext cx="4932361" cy="91438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Rule3failure				Richard 29/09/17</a:t>
          </a:r>
        </a:p>
        <a:p xmlns:a="http://schemas.openxmlformats.org/drawingml/2006/main">
          <a:r>
            <a:rPr lang="en-ZA" sz="1000" baseline="0"/>
            <a:t>B - CRM duplicate re-run - failed	 Rule 3		Richard 29/09/17</a:t>
          </a:r>
        </a:p>
        <a:p xmlns:a="http://schemas.openxmlformats.org/drawingml/2006/main">
          <a:r>
            <a:rPr lang="en-ZA" sz="1000" baseline="0"/>
            <a:t>C - Analyser recalibrated, CRM duplicate re-run - OK 		Richard 29/09/17</a:t>
          </a:r>
          <a:endParaRPr lang="en-ZA" sz="1000"/>
        </a:p>
      </cdr:txBody>
    </cdr:sp>
  </cdr:relSizeAnchor>
  <cdr:relSizeAnchor xmlns:cdr="http://schemas.openxmlformats.org/drawingml/2006/chartDrawing">
    <cdr:from>
      <cdr:x>0.68668</cdr:x>
      <cdr:y>0.49609</cdr:y>
    </cdr:from>
    <cdr:to>
      <cdr:x>0.7365</cdr:x>
      <cdr:y>0.56525</cdr:y>
    </cdr:to>
    <cdr:sp macro="" textlink="">
      <cdr:nvSpPr>
        <cdr:cNvPr id="6" name="TextBox 1"/>
        <cdr:cNvSpPr txBox="1"/>
      </cdr:nvSpPr>
      <cdr:spPr>
        <a:xfrm xmlns:a="http://schemas.openxmlformats.org/drawingml/2006/main">
          <a:off x="4476723" y="2073877"/>
          <a:ext cx="324793" cy="28911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0.7701</cdr:x>
      <cdr:y>0.25817</cdr:y>
    </cdr:from>
    <cdr:to>
      <cdr:x>0.81992</cdr:x>
      <cdr:y>0.32733</cdr:y>
    </cdr:to>
    <cdr:sp macro="" textlink="">
      <cdr:nvSpPr>
        <cdr:cNvPr id="7" name="TextBox 1"/>
        <cdr:cNvSpPr txBox="1"/>
      </cdr:nvSpPr>
      <cdr:spPr>
        <a:xfrm xmlns:a="http://schemas.openxmlformats.org/drawingml/2006/main">
          <a:off x="5020545" y="1079260"/>
          <a:ext cx="324793" cy="2891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0.8549</cdr:x>
      <cdr:y>0.20707</cdr:y>
    </cdr:from>
    <cdr:to>
      <cdr:x>0.92045</cdr:x>
      <cdr:y>0.25357</cdr:y>
    </cdr:to>
    <cdr:sp macro="" textlink="">
      <cdr:nvSpPr>
        <cdr:cNvPr id="8" name="TextBox 7"/>
        <cdr:cNvSpPr txBox="1"/>
      </cdr:nvSpPr>
      <cdr:spPr>
        <a:xfrm xmlns:a="http://schemas.openxmlformats.org/drawingml/2006/main">
          <a:off x="5019675" y="865652"/>
          <a:ext cx="384875" cy="19436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0.86538</cdr:x>
      <cdr:y>0.28732</cdr:y>
    </cdr:from>
    <cdr:to>
      <cdr:x>0.89466</cdr:x>
      <cdr:y>0.34386</cdr:y>
    </cdr:to>
    <cdr:sp macro="" textlink="">
      <cdr:nvSpPr>
        <cdr:cNvPr id="9" name="TextBox 8"/>
        <cdr:cNvSpPr txBox="1"/>
      </cdr:nvSpPr>
      <cdr:spPr>
        <a:xfrm xmlns:a="http://schemas.openxmlformats.org/drawingml/2006/main">
          <a:off x="5081198" y="1201110"/>
          <a:ext cx="171931" cy="23636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0.85998</cdr:x>
      <cdr:y>0.3878</cdr:y>
    </cdr:from>
    <cdr:to>
      <cdr:x>0.90683</cdr:x>
      <cdr:y>0.44434</cdr:y>
    </cdr:to>
    <cdr:sp macro="" textlink="">
      <cdr:nvSpPr>
        <cdr:cNvPr id="10" name="TextBox 9"/>
        <cdr:cNvSpPr txBox="1"/>
      </cdr:nvSpPr>
      <cdr:spPr>
        <a:xfrm xmlns:a="http://schemas.openxmlformats.org/drawingml/2006/main">
          <a:off x="5049488" y="1621171"/>
          <a:ext cx="275100" cy="23636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0.85645</cdr:x>
      <cdr:y>0.42815</cdr:y>
    </cdr:from>
    <cdr:to>
      <cdr:x>0.9033</cdr:x>
      <cdr:y>0.48469</cdr:y>
    </cdr:to>
    <cdr:sp macro="" textlink="">
      <cdr:nvSpPr>
        <cdr:cNvPr id="11" name="TextBox 10"/>
        <cdr:cNvSpPr txBox="1"/>
      </cdr:nvSpPr>
      <cdr:spPr>
        <a:xfrm xmlns:a="http://schemas.openxmlformats.org/drawingml/2006/main">
          <a:off x="5028746" y="1789842"/>
          <a:ext cx="275100" cy="23636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0.85605</cdr:x>
      <cdr:y>0.15722</cdr:y>
    </cdr:from>
    <cdr:to>
      <cdr:x>0.91721</cdr:x>
      <cdr:y>0.20572</cdr:y>
    </cdr:to>
    <cdr:sp macro="" textlink="">
      <cdr:nvSpPr>
        <cdr:cNvPr id="12" name="TextBox 16"/>
        <cdr:cNvSpPr txBox="1"/>
      </cdr:nvSpPr>
      <cdr:spPr>
        <a:xfrm xmlns:a="http://schemas.openxmlformats.org/drawingml/2006/main">
          <a:off x="5026437" y="657225"/>
          <a:ext cx="359064" cy="20277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41.xml><?xml version="1.0" encoding="utf-8"?>
<c:userShapes xmlns:c="http://schemas.openxmlformats.org/drawingml/2006/chart">
  <cdr:relSizeAnchor xmlns:cdr="http://schemas.openxmlformats.org/drawingml/2006/chartDrawing">
    <cdr:from>
      <cdr:x>0.29448</cdr:x>
      <cdr:y>0.04926</cdr:y>
    </cdr:from>
    <cdr:to>
      <cdr:x>0.70342</cdr:x>
      <cdr:y>0.13342</cdr:y>
    </cdr:to>
    <cdr:sp macro="" textlink="">
      <cdr:nvSpPr>
        <cdr:cNvPr id="3" name="TextBox 2"/>
        <cdr:cNvSpPr txBox="1"/>
      </cdr:nvSpPr>
      <cdr:spPr>
        <a:xfrm xmlns:a="http://schemas.openxmlformats.org/drawingml/2006/main">
          <a:off x="1721261" y="199402"/>
          <a:ext cx="2390342" cy="3407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3 Failure ( -ve bias) Graph 3</a:t>
          </a:r>
          <a:endParaRPr lang="en-ZA" sz="1400" b="1"/>
        </a:p>
      </cdr:txBody>
    </cdr:sp>
  </cdr:relSizeAnchor>
  <cdr:relSizeAnchor xmlns:cdr="http://schemas.openxmlformats.org/drawingml/2006/chartDrawing">
    <cdr:from>
      <cdr:x>0.61632</cdr:x>
      <cdr:y>0.5168</cdr:y>
    </cdr:from>
    <cdr:to>
      <cdr:x>0.66614</cdr:x>
      <cdr:y>0.58597</cdr:y>
    </cdr:to>
    <cdr:sp macro="" textlink="">
      <cdr:nvSpPr>
        <cdr:cNvPr id="4" name="TextBox 3"/>
        <cdr:cNvSpPr txBox="1"/>
      </cdr:nvSpPr>
      <cdr:spPr>
        <a:xfrm xmlns:a="http://schemas.openxmlformats.org/drawingml/2006/main">
          <a:off x="4004964" y="2092140"/>
          <a:ext cx="323738" cy="2800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0.13563</cdr:x>
      <cdr:y>0.77977</cdr:y>
    </cdr:from>
    <cdr:to>
      <cdr:x>0.93627</cdr:x>
      <cdr:y>1</cdr:y>
    </cdr:to>
    <cdr:sp macro="" textlink="">
      <cdr:nvSpPr>
        <cdr:cNvPr id="5" name="TextBox 4"/>
        <cdr:cNvSpPr txBox="1"/>
      </cdr:nvSpPr>
      <cdr:spPr>
        <a:xfrm xmlns:a="http://schemas.openxmlformats.org/drawingml/2006/main">
          <a:off x="875458" y="3156731"/>
          <a:ext cx="5167934" cy="89156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3 failure				Richard 29/09/17</a:t>
          </a:r>
        </a:p>
        <a:p xmlns:a="http://schemas.openxmlformats.org/drawingml/2006/main">
          <a:r>
            <a:rPr lang="en-ZA" sz="1000" baseline="0"/>
            <a:t>B - CRM duplicate re-run - failed	 Rule 3		Richard 29/09/17</a:t>
          </a:r>
        </a:p>
        <a:p xmlns:a="http://schemas.openxmlformats.org/drawingml/2006/main">
          <a:r>
            <a:rPr lang="en-ZA" sz="1000" baseline="0"/>
            <a:t>C - Analyser recalibrated, CRM duplicate re-run - failed Rule 3 	Richard 29/09/17</a:t>
          </a:r>
        </a:p>
        <a:p xmlns:a="http://schemas.openxmlformats.org/drawingml/2006/main">
          <a:r>
            <a:rPr lang="en-ZA" sz="1000" baseline="0"/>
            <a:t>D - New CRM run - OK			Richard 29/09/17</a:t>
          </a:r>
          <a:endParaRPr lang="en-ZA" sz="1000"/>
        </a:p>
      </cdr:txBody>
    </cdr:sp>
  </cdr:relSizeAnchor>
  <cdr:relSizeAnchor xmlns:cdr="http://schemas.openxmlformats.org/drawingml/2006/chartDrawing">
    <cdr:from>
      <cdr:x>0.69922</cdr:x>
      <cdr:y>0.52357</cdr:y>
    </cdr:from>
    <cdr:to>
      <cdr:x>0.74904</cdr:x>
      <cdr:y>0.58725</cdr:y>
    </cdr:to>
    <cdr:sp macro="" textlink="">
      <cdr:nvSpPr>
        <cdr:cNvPr id="6" name="TextBox 1"/>
        <cdr:cNvSpPr txBox="1"/>
      </cdr:nvSpPr>
      <cdr:spPr>
        <a:xfrm xmlns:a="http://schemas.openxmlformats.org/drawingml/2006/main">
          <a:off x="4543608" y="2119564"/>
          <a:ext cx="323738" cy="25779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0.75781</cdr:x>
      <cdr:y>0.50929</cdr:y>
    </cdr:from>
    <cdr:to>
      <cdr:x>0.80763</cdr:x>
      <cdr:y>0.57845</cdr:y>
    </cdr:to>
    <cdr:sp macro="" textlink="">
      <cdr:nvSpPr>
        <cdr:cNvPr id="7" name="TextBox 1"/>
        <cdr:cNvSpPr txBox="1"/>
      </cdr:nvSpPr>
      <cdr:spPr>
        <a:xfrm xmlns:a="http://schemas.openxmlformats.org/drawingml/2006/main">
          <a:off x="4924382" y="2061769"/>
          <a:ext cx="323738"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0.80517</cdr:x>
      <cdr:y>0.29618</cdr:y>
    </cdr:from>
    <cdr:to>
      <cdr:x>0.85499</cdr:x>
      <cdr:y>0.36534</cdr:y>
    </cdr:to>
    <cdr:sp macro="" textlink="">
      <cdr:nvSpPr>
        <cdr:cNvPr id="11" name="TextBox 1"/>
        <cdr:cNvSpPr txBox="1"/>
      </cdr:nvSpPr>
      <cdr:spPr>
        <a:xfrm xmlns:a="http://schemas.openxmlformats.org/drawingml/2006/main">
          <a:off x="5232107" y="1199028"/>
          <a:ext cx="323738" cy="27998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0.85321</cdr:x>
      <cdr:y>0.23736</cdr:y>
    </cdr:from>
    <cdr:to>
      <cdr:x>0.9189</cdr:x>
      <cdr:y>0.28538</cdr:y>
    </cdr:to>
    <cdr:sp macro="" textlink="">
      <cdr:nvSpPr>
        <cdr:cNvPr id="8" name="TextBox 1"/>
        <cdr:cNvSpPr txBox="1"/>
      </cdr:nvSpPr>
      <cdr:spPr>
        <a:xfrm xmlns:a="http://schemas.openxmlformats.org/drawingml/2006/main">
          <a:off x="5507268" y="960885"/>
          <a:ext cx="424013" cy="1943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0.86696</cdr:x>
      <cdr:y>0.29905</cdr:y>
    </cdr:from>
    <cdr:to>
      <cdr:x>0.8963</cdr:x>
      <cdr:y>0.35744</cdr:y>
    </cdr:to>
    <cdr:sp macro="" textlink="">
      <cdr:nvSpPr>
        <cdr:cNvPr id="9" name="TextBox 2"/>
        <cdr:cNvSpPr txBox="1"/>
      </cdr:nvSpPr>
      <cdr:spPr>
        <a:xfrm xmlns:a="http://schemas.openxmlformats.org/drawingml/2006/main">
          <a:off x="5596021" y="1210625"/>
          <a:ext cx="189383" cy="236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0.85829</cdr:x>
      <cdr:y>0.38635</cdr:y>
    </cdr:from>
    <cdr:to>
      <cdr:x>0.90525</cdr:x>
      <cdr:y>0.44473</cdr:y>
    </cdr:to>
    <cdr:sp macro="" textlink="">
      <cdr:nvSpPr>
        <cdr:cNvPr id="10" name="TextBox 3"/>
        <cdr:cNvSpPr txBox="1"/>
      </cdr:nvSpPr>
      <cdr:spPr>
        <a:xfrm xmlns:a="http://schemas.openxmlformats.org/drawingml/2006/main">
          <a:off x="5540058" y="1564041"/>
          <a:ext cx="303116" cy="23633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0.85638</cdr:x>
      <cdr:y>0.43272</cdr:y>
    </cdr:from>
    <cdr:to>
      <cdr:x>0.90333</cdr:x>
      <cdr:y>0.4911</cdr:y>
    </cdr:to>
    <cdr:sp macro="" textlink="">
      <cdr:nvSpPr>
        <cdr:cNvPr id="12" name="TextBox 4"/>
        <cdr:cNvSpPr txBox="1"/>
      </cdr:nvSpPr>
      <cdr:spPr>
        <a:xfrm xmlns:a="http://schemas.openxmlformats.org/drawingml/2006/main">
          <a:off x="5527730" y="1751760"/>
          <a:ext cx="303051" cy="23634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0.85436</cdr:x>
      <cdr:y>0.18588</cdr:y>
    </cdr:from>
    <cdr:to>
      <cdr:x>0.91565</cdr:x>
      <cdr:y>0.23597</cdr:y>
    </cdr:to>
    <cdr:sp macro="" textlink="">
      <cdr:nvSpPr>
        <cdr:cNvPr id="13" name="TextBox 16"/>
        <cdr:cNvSpPr txBox="1"/>
      </cdr:nvSpPr>
      <cdr:spPr>
        <a:xfrm xmlns:a="http://schemas.openxmlformats.org/drawingml/2006/main">
          <a:off x="5514691" y="752479"/>
          <a:ext cx="395612" cy="202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42.xml><?xml version="1.0" encoding="utf-8"?>
<c:userShapes xmlns:c="http://schemas.openxmlformats.org/drawingml/2006/chart">
  <cdr:relSizeAnchor xmlns:cdr="http://schemas.openxmlformats.org/drawingml/2006/chartDrawing">
    <cdr:from>
      <cdr:x>0.30274</cdr:x>
      <cdr:y>0.05636</cdr:y>
    </cdr:from>
    <cdr:to>
      <cdr:x>0.71242</cdr:x>
      <cdr:y>0.14052</cdr:y>
    </cdr:to>
    <cdr:sp macro="" textlink="">
      <cdr:nvSpPr>
        <cdr:cNvPr id="3" name="TextBox 2"/>
        <cdr:cNvSpPr txBox="1"/>
      </cdr:nvSpPr>
      <cdr:spPr>
        <a:xfrm xmlns:a="http://schemas.openxmlformats.org/drawingml/2006/main">
          <a:off x="1771972" y="227276"/>
          <a:ext cx="2397861" cy="3393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3Failure ( -ve bias) Graph 4</a:t>
          </a:r>
          <a:endParaRPr lang="en-ZA" sz="1400" b="1"/>
        </a:p>
      </cdr:txBody>
    </cdr:sp>
  </cdr:relSizeAnchor>
  <cdr:relSizeAnchor xmlns:cdr="http://schemas.openxmlformats.org/drawingml/2006/chartDrawing">
    <cdr:from>
      <cdr:x>0.6265</cdr:x>
      <cdr:y>0.49593</cdr:y>
    </cdr:from>
    <cdr:to>
      <cdr:x>0.67632</cdr:x>
      <cdr:y>0.5651</cdr:y>
    </cdr:to>
    <cdr:sp macro="" textlink="">
      <cdr:nvSpPr>
        <cdr:cNvPr id="4" name="TextBox 3"/>
        <cdr:cNvSpPr txBox="1"/>
      </cdr:nvSpPr>
      <cdr:spPr>
        <a:xfrm xmlns:a="http://schemas.openxmlformats.org/drawingml/2006/main">
          <a:off x="4072717" y="1999871"/>
          <a:ext cx="323866" cy="27893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0.01718</cdr:x>
      <cdr:y>0.761</cdr:y>
    </cdr:from>
    <cdr:to>
      <cdr:x>0.98419</cdr:x>
      <cdr:y>1</cdr:y>
    </cdr:to>
    <cdr:sp macro="" textlink="">
      <cdr:nvSpPr>
        <cdr:cNvPr id="5" name="TextBox 4"/>
        <cdr:cNvSpPr txBox="1"/>
      </cdr:nvSpPr>
      <cdr:spPr>
        <a:xfrm xmlns:a="http://schemas.openxmlformats.org/drawingml/2006/main">
          <a:off x="100555" y="3068780"/>
          <a:ext cx="5659954" cy="96378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2 failure					Richard 29/09/17</a:t>
          </a:r>
        </a:p>
        <a:p xmlns:a="http://schemas.openxmlformats.org/drawingml/2006/main">
          <a:r>
            <a:rPr lang="en-ZA" sz="1000" baseline="0"/>
            <a:t>B - CRM duplicate re-run - failed Rule 2			Richard 29/09/17</a:t>
          </a:r>
        </a:p>
        <a:p xmlns:a="http://schemas.openxmlformats.org/drawingml/2006/main">
          <a:r>
            <a:rPr lang="en-ZA" sz="1000" baseline="0"/>
            <a:t>C - Analyser recalibrated, CRM duplicate re-run - failed Rule 2 		Richard 29/09/17</a:t>
          </a:r>
        </a:p>
        <a:p xmlns:a="http://schemas.openxmlformats.org/drawingml/2006/main">
          <a:r>
            <a:rPr lang="en-ZA" sz="1000" baseline="0"/>
            <a:t>D - New CRM run - failed Rule 2.  Work supsended -Manager Informed		Richard 29/09/17</a:t>
          </a:r>
        </a:p>
        <a:p xmlns:a="http://schemas.openxmlformats.org/drawingml/2006/main">
          <a:endParaRPr lang="en-ZA" sz="1000"/>
        </a:p>
      </cdr:txBody>
    </cdr:sp>
  </cdr:relSizeAnchor>
  <cdr:relSizeAnchor xmlns:cdr="http://schemas.openxmlformats.org/drawingml/2006/chartDrawing">
    <cdr:from>
      <cdr:x>0.69348</cdr:x>
      <cdr:y>0.49788</cdr:y>
    </cdr:from>
    <cdr:to>
      <cdr:x>0.7433</cdr:x>
      <cdr:y>0.56704</cdr:y>
    </cdr:to>
    <cdr:sp macro="" textlink="">
      <cdr:nvSpPr>
        <cdr:cNvPr id="6" name="TextBox 1"/>
        <cdr:cNvSpPr txBox="1"/>
      </cdr:nvSpPr>
      <cdr:spPr>
        <a:xfrm xmlns:a="http://schemas.openxmlformats.org/drawingml/2006/main">
          <a:off x="4508122" y="2007716"/>
          <a:ext cx="323866" cy="27889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0.76318</cdr:x>
      <cdr:y>0.49877</cdr:y>
    </cdr:from>
    <cdr:to>
      <cdr:x>0.813</cdr:x>
      <cdr:y>0.56793</cdr:y>
    </cdr:to>
    <cdr:sp macro="" textlink="">
      <cdr:nvSpPr>
        <cdr:cNvPr id="7" name="TextBox 1"/>
        <cdr:cNvSpPr txBox="1"/>
      </cdr:nvSpPr>
      <cdr:spPr>
        <a:xfrm xmlns:a="http://schemas.openxmlformats.org/drawingml/2006/main">
          <a:off x="4961223" y="2011334"/>
          <a:ext cx="323866" cy="27889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0.84771</cdr:x>
      <cdr:y>0.50006</cdr:y>
    </cdr:from>
    <cdr:to>
      <cdr:x>0.89753</cdr:x>
      <cdr:y>0.56922</cdr:y>
    </cdr:to>
    <cdr:sp macro="" textlink="">
      <cdr:nvSpPr>
        <cdr:cNvPr id="11" name="TextBox 1"/>
        <cdr:cNvSpPr txBox="1"/>
      </cdr:nvSpPr>
      <cdr:spPr>
        <a:xfrm xmlns:a="http://schemas.openxmlformats.org/drawingml/2006/main">
          <a:off x="5510715" y="2016512"/>
          <a:ext cx="323866" cy="27889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cdr:x>
      <cdr:y>0</cdr:y>
    </cdr:from>
    <cdr:to>
      <cdr:x>0.00396</cdr:x>
      <cdr:y>0.00637</cdr:y>
    </cdr:to>
    <cdr:pic>
      <cdr:nvPicPr>
        <cdr:cNvPr id="12" name="chart">
          <a:extLst xmlns:a="http://schemas.openxmlformats.org/drawingml/2006/main">
            <a:ext uri="{FF2B5EF4-FFF2-40B4-BE49-F238E27FC236}">
              <a16:creationId xmlns:a16="http://schemas.microsoft.com/office/drawing/2014/main" id="{A3A890B7-0A99-46B8-8DDE-321FF6F09F6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0.8853</cdr:x>
      <cdr:y>0.21886</cdr:y>
    </cdr:from>
    <cdr:to>
      <cdr:x>0.95106</cdr:x>
      <cdr:y>0.26706</cdr:y>
    </cdr:to>
    <cdr:sp macro="" textlink="">
      <cdr:nvSpPr>
        <cdr:cNvPr id="14" name="TextBox 1"/>
        <cdr:cNvSpPr txBox="1"/>
      </cdr:nvSpPr>
      <cdr:spPr>
        <a:xfrm xmlns:a="http://schemas.openxmlformats.org/drawingml/2006/main">
          <a:off x="5755093" y="882572"/>
          <a:ext cx="427487" cy="19437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0.90233</cdr:x>
      <cdr:y>0.30179</cdr:y>
    </cdr:from>
    <cdr:to>
      <cdr:x>0.9317</cdr:x>
      <cdr:y>0.36041</cdr:y>
    </cdr:to>
    <cdr:sp macro="" textlink="">
      <cdr:nvSpPr>
        <cdr:cNvPr id="15" name="TextBox 2"/>
        <cdr:cNvSpPr txBox="1"/>
      </cdr:nvSpPr>
      <cdr:spPr>
        <a:xfrm xmlns:a="http://schemas.openxmlformats.org/drawingml/2006/main">
          <a:off x="5865775" y="1216974"/>
          <a:ext cx="190926" cy="23638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0.88876</cdr:x>
      <cdr:y>0.41567</cdr:y>
    </cdr:from>
    <cdr:to>
      <cdr:x>0.93576</cdr:x>
      <cdr:y>0.47428</cdr:y>
    </cdr:to>
    <cdr:sp macro="" textlink="">
      <cdr:nvSpPr>
        <cdr:cNvPr id="16" name="TextBox 3"/>
        <cdr:cNvSpPr txBox="1"/>
      </cdr:nvSpPr>
      <cdr:spPr>
        <a:xfrm xmlns:a="http://schemas.openxmlformats.org/drawingml/2006/main">
          <a:off x="5777598" y="1676222"/>
          <a:ext cx="305534" cy="23634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0.89011</cdr:x>
      <cdr:y>0.47272</cdr:y>
    </cdr:from>
    <cdr:to>
      <cdr:x>0.93711</cdr:x>
      <cdr:y>0.53133</cdr:y>
    </cdr:to>
    <cdr:sp macro="" textlink="">
      <cdr:nvSpPr>
        <cdr:cNvPr id="17" name="TextBox 4"/>
        <cdr:cNvSpPr txBox="1"/>
      </cdr:nvSpPr>
      <cdr:spPr>
        <a:xfrm xmlns:a="http://schemas.openxmlformats.org/drawingml/2006/main">
          <a:off x="5786348" y="1906270"/>
          <a:ext cx="305534" cy="23634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0.88157</cdr:x>
      <cdr:y>0.16718</cdr:y>
    </cdr:from>
    <cdr:to>
      <cdr:x>0.94292</cdr:x>
      <cdr:y>0.21746</cdr:y>
    </cdr:to>
    <cdr:sp macro="" textlink="">
      <cdr:nvSpPr>
        <cdr:cNvPr id="18" name="TextBox 16"/>
        <cdr:cNvSpPr txBox="1"/>
      </cdr:nvSpPr>
      <cdr:spPr>
        <a:xfrm xmlns:a="http://schemas.openxmlformats.org/drawingml/2006/main">
          <a:off x="5730819" y="674169"/>
          <a:ext cx="398819" cy="20275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43.xml><?xml version="1.0" encoding="utf-8"?>
<c:userShapes xmlns:c="http://schemas.openxmlformats.org/drawingml/2006/chart">
  <cdr:relSizeAnchor xmlns:cdr="http://schemas.openxmlformats.org/drawingml/2006/chartDrawing">
    <cdr:from>
      <cdr:x>0.39225</cdr:x>
      <cdr:y>0.04455</cdr:y>
    </cdr:from>
    <cdr:to>
      <cdr:x>0.66202</cdr:x>
      <cdr:y>0.12871</cdr:y>
    </cdr:to>
    <cdr:sp macro="" textlink="">
      <cdr:nvSpPr>
        <cdr:cNvPr id="3" name="TextBox 2"/>
        <cdr:cNvSpPr txBox="1"/>
      </cdr:nvSpPr>
      <cdr:spPr>
        <a:xfrm xmlns:a="http://schemas.openxmlformats.org/drawingml/2006/main">
          <a:off x="2409825" y="171450"/>
          <a:ext cx="1657350" cy="3238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900" b="1"/>
        </a:p>
        <a:p xmlns:a="http://schemas.openxmlformats.org/drawingml/2006/main">
          <a:r>
            <a:rPr lang="en-ZA" sz="1400" b="1" baseline="0"/>
            <a:t> 1 Failure</a:t>
          </a:r>
          <a:endParaRPr lang="en-ZA" sz="1400" b="1"/>
        </a:p>
      </cdr:txBody>
    </cdr:sp>
  </cdr:relSizeAnchor>
  <cdr:relSizeAnchor xmlns:cdr="http://schemas.openxmlformats.org/drawingml/2006/chartDrawing">
    <cdr:from>
      <cdr:x>0.45001</cdr:x>
      <cdr:y>0.50138</cdr:y>
    </cdr:from>
    <cdr:to>
      <cdr:x>0.49983</cdr:x>
      <cdr:y>0.57054</cdr:y>
    </cdr:to>
    <cdr:sp macro="" textlink="">
      <cdr:nvSpPr>
        <cdr:cNvPr id="4" name="TextBox 3"/>
        <cdr:cNvSpPr txBox="1"/>
      </cdr:nvSpPr>
      <cdr:spPr>
        <a:xfrm xmlns:a="http://schemas.openxmlformats.org/drawingml/2006/main">
          <a:off x="2772303" y="1918229"/>
          <a:ext cx="306917" cy="26458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100" b="1">
            <a:solidFill>
              <a:srgbClr val="FF0000"/>
            </a:solidFill>
          </a:endParaRPr>
        </a:p>
      </cdr:txBody>
    </cdr:sp>
  </cdr:relSizeAnchor>
  <cdr:relSizeAnchor xmlns:cdr="http://schemas.openxmlformats.org/drawingml/2006/chartDrawing">
    <cdr:from>
      <cdr:x>0.07483</cdr:x>
      <cdr:y>0.7975</cdr:y>
    </cdr:from>
    <cdr:to>
      <cdr:x>0.9287</cdr:x>
      <cdr:y>0.94744</cdr:y>
    </cdr:to>
    <cdr:sp macro="" textlink="">
      <cdr:nvSpPr>
        <cdr:cNvPr id="5" name="TextBox 4"/>
        <cdr:cNvSpPr txBox="1"/>
      </cdr:nvSpPr>
      <cdr:spPr>
        <a:xfrm xmlns:a="http://schemas.openxmlformats.org/drawingml/2006/main">
          <a:off x="460939" y="3051268"/>
          <a:ext cx="5259917" cy="57369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100"/>
        </a:p>
        <a:p xmlns:a="http://schemas.openxmlformats.org/drawingml/2006/main">
          <a:r>
            <a:rPr lang="en-ZA" sz="1100"/>
            <a:t>A</a:t>
          </a:r>
          <a:r>
            <a:rPr lang="en-ZA" sz="1100" baseline="0"/>
            <a:t> - Rule 3 failure			Richard 29/09/17</a:t>
          </a:r>
        </a:p>
        <a:p xmlns:a="http://schemas.openxmlformats.org/drawingml/2006/main">
          <a:r>
            <a:rPr lang="en-ZA" sz="1100" baseline="0"/>
            <a:t>B- CRM duplicate re-run - OK			Richard 29/09/17</a:t>
          </a:r>
          <a:endParaRPr lang="en-ZA" sz="1100"/>
        </a:p>
      </cdr:txBody>
    </cdr:sp>
  </cdr:relSizeAnchor>
  <cdr:relSizeAnchor xmlns:cdr="http://schemas.openxmlformats.org/drawingml/2006/chartDrawing">
    <cdr:from>
      <cdr:x>0.28959</cdr:x>
      <cdr:y>0.04823</cdr:y>
    </cdr:from>
    <cdr:to>
      <cdr:x>0.74575</cdr:x>
      <cdr:y>0.13239</cdr:y>
    </cdr:to>
    <cdr:sp macro="" textlink="">
      <cdr:nvSpPr>
        <cdr:cNvPr id="6" name="TextBox 1"/>
        <cdr:cNvSpPr txBox="1"/>
      </cdr:nvSpPr>
      <cdr:spPr>
        <a:xfrm xmlns:a="http://schemas.openxmlformats.org/drawingml/2006/main">
          <a:off x="1806694" y="203310"/>
          <a:ext cx="2845926" cy="35477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Arial"/>
            </a:defRPr>
          </a:lvl1pPr>
          <a:lvl2pPr marL="457200" indent="0">
            <a:defRPr sz="1100">
              <a:latin typeface="Arial"/>
            </a:defRPr>
          </a:lvl2pPr>
          <a:lvl3pPr marL="914400" indent="0">
            <a:defRPr sz="1100">
              <a:latin typeface="Arial"/>
            </a:defRPr>
          </a:lvl3pPr>
          <a:lvl4pPr marL="1371600" indent="0">
            <a:defRPr sz="1100">
              <a:latin typeface="Arial"/>
            </a:defRPr>
          </a:lvl4pPr>
          <a:lvl5pPr marL="1828800" indent="0">
            <a:defRPr sz="1100">
              <a:latin typeface="Arial"/>
            </a:defRPr>
          </a:lvl5pPr>
          <a:lvl6pPr marL="2286000" indent="0">
            <a:defRPr sz="1100">
              <a:latin typeface="Arial"/>
            </a:defRPr>
          </a:lvl6pPr>
          <a:lvl7pPr marL="2743200" indent="0">
            <a:defRPr sz="1100">
              <a:latin typeface="Arial"/>
            </a:defRPr>
          </a:lvl7pPr>
          <a:lvl8pPr marL="3200400" indent="0">
            <a:defRPr sz="1100">
              <a:latin typeface="Arial"/>
            </a:defRPr>
          </a:lvl8pPr>
          <a:lvl9pPr marL="3657600" indent="0">
            <a:defRPr sz="1100">
              <a:latin typeface="Arial"/>
            </a:defRPr>
          </a:lvl9pPr>
        </a:lstStyle>
        <a:p xmlns:a="http://schemas.openxmlformats.org/drawingml/2006/main">
          <a:r>
            <a:rPr lang="en-ZA" sz="1400" b="1">
              <a:latin typeface="Calibri" pitchFamily="34" charset="0"/>
            </a:rPr>
            <a:t>Rule</a:t>
          </a:r>
          <a:r>
            <a:rPr lang="en-ZA" sz="1400" b="1" baseline="0">
              <a:latin typeface="Calibri" pitchFamily="34" charset="0"/>
            </a:rPr>
            <a:t> 3 Failure ( +ve bias) Graph 1</a:t>
          </a:r>
          <a:endParaRPr lang="en-ZA" sz="1400" b="1">
            <a:latin typeface="Calibri" pitchFamily="34" charset="0"/>
          </a:endParaRPr>
        </a:p>
      </cdr:txBody>
    </cdr:sp>
  </cdr:relSizeAnchor>
  <cdr:relSizeAnchor xmlns:cdr="http://schemas.openxmlformats.org/drawingml/2006/chartDrawing">
    <cdr:from>
      <cdr:x>0.63202</cdr:x>
      <cdr:y>0.23238</cdr:y>
    </cdr:from>
    <cdr:to>
      <cdr:x>0.68197</cdr:x>
      <cdr:y>0.30097</cdr:y>
    </cdr:to>
    <cdr:sp macro="" textlink="">
      <cdr:nvSpPr>
        <cdr:cNvPr id="7" name="TextBox 1"/>
        <cdr:cNvSpPr txBox="1"/>
      </cdr:nvSpPr>
      <cdr:spPr>
        <a:xfrm xmlns:a="http://schemas.openxmlformats.org/drawingml/2006/main">
          <a:off x="3965834" y="979581"/>
          <a:ext cx="313429" cy="28913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0.69795</cdr:x>
      <cdr:y>0.34281</cdr:y>
    </cdr:from>
    <cdr:to>
      <cdr:x>0.7479</cdr:x>
      <cdr:y>0.41139</cdr:y>
    </cdr:to>
    <cdr:sp macro="" textlink="">
      <cdr:nvSpPr>
        <cdr:cNvPr id="8" name="TextBox 1"/>
        <cdr:cNvSpPr txBox="1"/>
      </cdr:nvSpPr>
      <cdr:spPr>
        <a:xfrm xmlns:a="http://schemas.openxmlformats.org/drawingml/2006/main">
          <a:off x="4375295" y="1445086"/>
          <a:ext cx="313127" cy="28909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0.81985</cdr:x>
      <cdr:y>0.2189</cdr:y>
    </cdr:from>
    <cdr:to>
      <cdr:x>0.8855</cdr:x>
      <cdr:y>0.26502</cdr:y>
    </cdr:to>
    <cdr:sp macro="" textlink="">
      <cdr:nvSpPr>
        <cdr:cNvPr id="9" name="TextBox 1"/>
        <cdr:cNvSpPr txBox="1"/>
      </cdr:nvSpPr>
      <cdr:spPr>
        <a:xfrm xmlns:a="http://schemas.openxmlformats.org/drawingml/2006/main">
          <a:off x="5114925" y="922769"/>
          <a:ext cx="409583" cy="19438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0.83187</cdr:x>
      <cdr:y>0.30075</cdr:y>
    </cdr:from>
    <cdr:to>
      <cdr:x>0.86119</cdr:x>
      <cdr:y>0.35682</cdr:y>
    </cdr:to>
    <cdr:sp macro="" textlink="">
      <cdr:nvSpPr>
        <cdr:cNvPr id="10" name="TextBox 2"/>
        <cdr:cNvSpPr txBox="1"/>
      </cdr:nvSpPr>
      <cdr:spPr>
        <a:xfrm xmlns:a="http://schemas.openxmlformats.org/drawingml/2006/main">
          <a:off x="5189933" y="1267772"/>
          <a:ext cx="182953" cy="2363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0.82494</cdr:x>
      <cdr:y>0.42976</cdr:y>
    </cdr:from>
    <cdr:to>
      <cdr:x>0.87186</cdr:x>
      <cdr:y>0.48584</cdr:y>
    </cdr:to>
    <cdr:sp macro="" textlink="">
      <cdr:nvSpPr>
        <cdr:cNvPr id="11" name="TextBox 3"/>
        <cdr:cNvSpPr txBox="1"/>
      </cdr:nvSpPr>
      <cdr:spPr>
        <a:xfrm xmlns:a="http://schemas.openxmlformats.org/drawingml/2006/main">
          <a:off x="5146667" y="1811646"/>
          <a:ext cx="292737"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0.82293</cdr:x>
      <cdr:y>0.47656</cdr:y>
    </cdr:from>
    <cdr:to>
      <cdr:x>0.86985</cdr:x>
      <cdr:y>0.53263</cdr:y>
    </cdr:to>
    <cdr:sp macro="" textlink="">
      <cdr:nvSpPr>
        <cdr:cNvPr id="12" name="TextBox 4"/>
        <cdr:cNvSpPr txBox="1"/>
      </cdr:nvSpPr>
      <cdr:spPr>
        <a:xfrm xmlns:a="http://schemas.openxmlformats.org/drawingml/2006/main">
          <a:off x="5134135" y="2008901"/>
          <a:ext cx="292737"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0.821</cdr:x>
      <cdr:y>0.16947</cdr:y>
    </cdr:from>
    <cdr:to>
      <cdr:x>0.88225</cdr:x>
      <cdr:y>0.21756</cdr:y>
    </cdr:to>
    <cdr:sp macro="" textlink="">
      <cdr:nvSpPr>
        <cdr:cNvPr id="13" name="TextBox 16"/>
        <cdr:cNvSpPr txBox="1"/>
      </cdr:nvSpPr>
      <cdr:spPr>
        <a:xfrm xmlns:a="http://schemas.openxmlformats.org/drawingml/2006/main">
          <a:off x="5122110" y="714375"/>
          <a:ext cx="382153" cy="20275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44.xml><?xml version="1.0" encoding="utf-8"?>
<c:userShapes xmlns:c="http://schemas.openxmlformats.org/drawingml/2006/chart">
  <cdr:relSizeAnchor xmlns:cdr="http://schemas.openxmlformats.org/drawingml/2006/chartDrawing">
    <cdr:from>
      <cdr:x>0.29511</cdr:x>
      <cdr:y>0.06505</cdr:y>
    </cdr:from>
    <cdr:to>
      <cdr:x>0.71721</cdr:x>
      <cdr:y>0.14921</cdr:y>
    </cdr:to>
    <cdr:sp macro="" textlink="">
      <cdr:nvSpPr>
        <cdr:cNvPr id="3" name="TextBox 2"/>
        <cdr:cNvSpPr txBox="1"/>
      </cdr:nvSpPr>
      <cdr:spPr>
        <a:xfrm xmlns:a="http://schemas.openxmlformats.org/drawingml/2006/main">
          <a:off x="1843973" y="271944"/>
          <a:ext cx="2637450" cy="3518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3 Failure ( +ve bias) Graph 2</a:t>
          </a:r>
          <a:endParaRPr lang="en-ZA" sz="1400" b="1"/>
        </a:p>
      </cdr:txBody>
    </cdr:sp>
  </cdr:relSizeAnchor>
  <cdr:relSizeAnchor xmlns:cdr="http://schemas.openxmlformats.org/drawingml/2006/chartDrawing">
    <cdr:from>
      <cdr:x>0.61718</cdr:x>
      <cdr:y>0.19374</cdr:y>
    </cdr:from>
    <cdr:to>
      <cdr:x>0.667</cdr:x>
      <cdr:y>0.26291</cdr:y>
    </cdr:to>
    <cdr:sp macro="" textlink="">
      <cdr:nvSpPr>
        <cdr:cNvPr id="4" name="TextBox 3"/>
        <cdr:cNvSpPr txBox="1"/>
      </cdr:nvSpPr>
      <cdr:spPr>
        <a:xfrm xmlns:a="http://schemas.openxmlformats.org/drawingml/2006/main">
          <a:off x="3878623" y="809927"/>
          <a:ext cx="313088" cy="28915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0.13563</cdr:x>
      <cdr:y>0.761</cdr:y>
    </cdr:from>
    <cdr:to>
      <cdr:x>0.93627</cdr:x>
      <cdr:y>1</cdr:y>
    </cdr:to>
    <cdr:sp macro="" textlink="">
      <cdr:nvSpPr>
        <cdr:cNvPr id="5" name="TextBox 4"/>
        <cdr:cNvSpPr txBox="1"/>
      </cdr:nvSpPr>
      <cdr:spPr>
        <a:xfrm xmlns:a="http://schemas.openxmlformats.org/drawingml/2006/main">
          <a:off x="835555" y="2911491"/>
          <a:ext cx="4932361" cy="91438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3 failure				Richard 29/09/17</a:t>
          </a:r>
        </a:p>
        <a:p xmlns:a="http://schemas.openxmlformats.org/drawingml/2006/main">
          <a:r>
            <a:rPr lang="en-ZA" sz="1000" baseline="0"/>
            <a:t>B - CRM duplicate re-run - failed	 Rule 3		Richard 29/09/17</a:t>
          </a:r>
        </a:p>
        <a:p xmlns:a="http://schemas.openxmlformats.org/drawingml/2006/main">
          <a:r>
            <a:rPr lang="en-ZA" sz="1000" baseline="0"/>
            <a:t>C - Analyser recalibrated, CRM duplicate re-run - OK 		Richard 29/09/17</a:t>
          </a:r>
          <a:endParaRPr lang="en-ZA" sz="1000"/>
        </a:p>
      </cdr:txBody>
    </cdr:sp>
  </cdr:relSizeAnchor>
  <cdr:relSizeAnchor xmlns:cdr="http://schemas.openxmlformats.org/drawingml/2006/chartDrawing">
    <cdr:from>
      <cdr:x>0.69956</cdr:x>
      <cdr:y>0.25287</cdr:y>
    </cdr:from>
    <cdr:to>
      <cdr:x>0.74938</cdr:x>
      <cdr:y>0.32203</cdr:y>
    </cdr:to>
    <cdr:sp macro="" textlink="">
      <cdr:nvSpPr>
        <cdr:cNvPr id="6" name="TextBox 1"/>
        <cdr:cNvSpPr txBox="1"/>
      </cdr:nvSpPr>
      <cdr:spPr>
        <a:xfrm xmlns:a="http://schemas.openxmlformats.org/drawingml/2006/main">
          <a:off x="4396279" y="1057091"/>
          <a:ext cx="313088" cy="28911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0.7697</cdr:x>
      <cdr:y>0.34925</cdr:y>
    </cdr:from>
    <cdr:to>
      <cdr:x>0.81952</cdr:x>
      <cdr:y>0.41841</cdr:y>
    </cdr:to>
    <cdr:sp macro="" textlink="">
      <cdr:nvSpPr>
        <cdr:cNvPr id="7" name="TextBox 1"/>
        <cdr:cNvSpPr txBox="1"/>
      </cdr:nvSpPr>
      <cdr:spPr>
        <a:xfrm xmlns:a="http://schemas.openxmlformats.org/drawingml/2006/main">
          <a:off x="4837066" y="1460004"/>
          <a:ext cx="313088" cy="28911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0.84968</cdr:x>
      <cdr:y>0.21846</cdr:y>
    </cdr:from>
    <cdr:to>
      <cdr:x>0.91523</cdr:x>
      <cdr:y>0.26496</cdr:y>
    </cdr:to>
    <cdr:sp macro="" textlink="">
      <cdr:nvSpPr>
        <cdr:cNvPr id="8" name="TextBox 7"/>
        <cdr:cNvSpPr txBox="1"/>
      </cdr:nvSpPr>
      <cdr:spPr>
        <a:xfrm xmlns:a="http://schemas.openxmlformats.org/drawingml/2006/main">
          <a:off x="5309158" y="913264"/>
          <a:ext cx="409583" cy="19438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0.86169</cdr:x>
      <cdr:y>0.30099</cdr:y>
    </cdr:from>
    <cdr:to>
      <cdr:x>0.89097</cdr:x>
      <cdr:y>0.35753</cdr:y>
    </cdr:to>
    <cdr:sp macro="" textlink="">
      <cdr:nvSpPr>
        <cdr:cNvPr id="9" name="TextBox 8"/>
        <cdr:cNvSpPr txBox="1"/>
      </cdr:nvSpPr>
      <cdr:spPr>
        <a:xfrm xmlns:a="http://schemas.openxmlformats.org/drawingml/2006/main">
          <a:off x="5384166" y="1258267"/>
          <a:ext cx="182953" cy="2363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0.85476</cdr:x>
      <cdr:y>0.43109</cdr:y>
    </cdr:from>
    <cdr:to>
      <cdr:x>0.90161</cdr:x>
      <cdr:y>0.48763</cdr:y>
    </cdr:to>
    <cdr:sp macro="" textlink="">
      <cdr:nvSpPr>
        <cdr:cNvPr id="10" name="TextBox 9"/>
        <cdr:cNvSpPr txBox="1"/>
      </cdr:nvSpPr>
      <cdr:spPr>
        <a:xfrm xmlns:a="http://schemas.openxmlformats.org/drawingml/2006/main">
          <a:off x="5340900" y="1802141"/>
          <a:ext cx="292737"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0.85276</cdr:x>
      <cdr:y>0.47828</cdr:y>
    </cdr:from>
    <cdr:to>
      <cdr:x>0.89961</cdr:x>
      <cdr:y>0.53482</cdr:y>
    </cdr:to>
    <cdr:sp macro="" textlink="">
      <cdr:nvSpPr>
        <cdr:cNvPr id="11" name="TextBox 10"/>
        <cdr:cNvSpPr txBox="1"/>
      </cdr:nvSpPr>
      <cdr:spPr>
        <a:xfrm xmlns:a="http://schemas.openxmlformats.org/drawingml/2006/main">
          <a:off x="5328368" y="1999396"/>
          <a:ext cx="292737"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0.85083</cdr:x>
      <cdr:y>0.16861</cdr:y>
    </cdr:from>
    <cdr:to>
      <cdr:x>0.91199</cdr:x>
      <cdr:y>0.21711</cdr:y>
    </cdr:to>
    <cdr:sp macro="" textlink="">
      <cdr:nvSpPr>
        <cdr:cNvPr id="12" name="TextBox 16"/>
        <cdr:cNvSpPr txBox="1"/>
      </cdr:nvSpPr>
      <cdr:spPr>
        <a:xfrm xmlns:a="http://schemas.openxmlformats.org/drawingml/2006/main">
          <a:off x="5316343" y="704870"/>
          <a:ext cx="382153" cy="20275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45.xml><?xml version="1.0" encoding="utf-8"?>
<c:userShapes xmlns:c="http://schemas.openxmlformats.org/drawingml/2006/chart">
  <cdr:relSizeAnchor xmlns:cdr="http://schemas.openxmlformats.org/drawingml/2006/chartDrawing">
    <cdr:from>
      <cdr:x>0.63186</cdr:x>
      <cdr:y>0.30019</cdr:y>
    </cdr:from>
    <cdr:to>
      <cdr:x>0.68168</cdr:x>
      <cdr:y>0.36936</cdr:y>
    </cdr:to>
    <cdr:sp macro="" textlink="">
      <cdr:nvSpPr>
        <cdr:cNvPr id="4" name="TextBox 3"/>
        <cdr:cNvSpPr txBox="1"/>
      </cdr:nvSpPr>
      <cdr:spPr>
        <a:xfrm xmlns:a="http://schemas.openxmlformats.org/drawingml/2006/main">
          <a:off x="3947114" y="1170323"/>
          <a:ext cx="311216" cy="26966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0.87014</cdr:x>
      <cdr:y>0.25853</cdr:y>
    </cdr:from>
    <cdr:to>
      <cdr:x>0.93583</cdr:x>
      <cdr:y>0.30655</cdr:y>
    </cdr:to>
    <cdr:sp macro="" textlink="">
      <cdr:nvSpPr>
        <cdr:cNvPr id="8" name="TextBox 1"/>
        <cdr:cNvSpPr txBox="1"/>
      </cdr:nvSpPr>
      <cdr:spPr>
        <a:xfrm xmlns:a="http://schemas.openxmlformats.org/drawingml/2006/main">
          <a:off x="5420392" y="1046610"/>
          <a:ext cx="409206" cy="1943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0.8793</cdr:x>
      <cdr:y>0.33904</cdr:y>
    </cdr:from>
    <cdr:to>
      <cdr:x>0.90864</cdr:x>
      <cdr:y>0.39743</cdr:y>
    </cdr:to>
    <cdr:sp macro="" textlink="">
      <cdr:nvSpPr>
        <cdr:cNvPr id="9" name="TextBox 2"/>
        <cdr:cNvSpPr txBox="1"/>
      </cdr:nvSpPr>
      <cdr:spPr>
        <a:xfrm xmlns:a="http://schemas.openxmlformats.org/drawingml/2006/main">
          <a:off x="5477471" y="1372550"/>
          <a:ext cx="182769" cy="236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0.8691</cdr:x>
      <cdr:y>0.46399</cdr:y>
    </cdr:from>
    <cdr:to>
      <cdr:x>0.91606</cdr:x>
      <cdr:y>0.52237</cdr:y>
    </cdr:to>
    <cdr:sp macro="" textlink="">
      <cdr:nvSpPr>
        <cdr:cNvPr id="10" name="TextBox 3"/>
        <cdr:cNvSpPr txBox="1"/>
      </cdr:nvSpPr>
      <cdr:spPr>
        <a:xfrm xmlns:a="http://schemas.openxmlformats.org/drawingml/2006/main">
          <a:off x="5413937" y="1878366"/>
          <a:ext cx="292531" cy="23633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0.87331</cdr:x>
      <cdr:y>0.50801</cdr:y>
    </cdr:from>
    <cdr:to>
      <cdr:x>0.92026</cdr:x>
      <cdr:y>0.56639</cdr:y>
    </cdr:to>
    <cdr:sp macro="" textlink="">
      <cdr:nvSpPr>
        <cdr:cNvPr id="12" name="TextBox 4"/>
        <cdr:cNvSpPr txBox="1"/>
      </cdr:nvSpPr>
      <cdr:spPr>
        <a:xfrm xmlns:a="http://schemas.openxmlformats.org/drawingml/2006/main">
          <a:off x="5440139" y="2056560"/>
          <a:ext cx="292468" cy="23634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0.87587</cdr:x>
      <cdr:y>0.20235</cdr:y>
    </cdr:from>
    <cdr:to>
      <cdr:x>0.93716</cdr:x>
      <cdr:y>0.25244</cdr:y>
    </cdr:to>
    <cdr:sp macro="" textlink="">
      <cdr:nvSpPr>
        <cdr:cNvPr id="13" name="TextBox 16"/>
        <cdr:cNvSpPr txBox="1"/>
      </cdr:nvSpPr>
      <cdr:spPr>
        <a:xfrm xmlns:a="http://schemas.openxmlformats.org/drawingml/2006/main">
          <a:off x="5456131" y="819154"/>
          <a:ext cx="381797" cy="202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0.29295</cdr:x>
      <cdr:y>0.07858</cdr:y>
    </cdr:from>
    <cdr:to>
      <cdr:x>0.70189</cdr:x>
      <cdr:y>0.16274</cdr:y>
    </cdr:to>
    <cdr:sp macro="" textlink="">
      <cdr:nvSpPr>
        <cdr:cNvPr id="2" name="TextBox 2"/>
        <cdr:cNvSpPr txBox="1"/>
      </cdr:nvSpPr>
      <cdr:spPr>
        <a:xfrm xmlns:a="http://schemas.openxmlformats.org/drawingml/2006/main">
          <a:off x="1824894" y="306346"/>
          <a:ext cx="2547430" cy="32810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3 Failure ( +ve bias) Graph 3</a:t>
          </a:r>
          <a:endParaRPr lang="en-ZA" sz="1400" b="1"/>
        </a:p>
      </cdr:txBody>
    </cdr:sp>
  </cdr:relSizeAnchor>
  <cdr:relSizeAnchor xmlns:cdr="http://schemas.openxmlformats.org/drawingml/2006/chartDrawing">
    <cdr:from>
      <cdr:x>0.11874</cdr:x>
      <cdr:y>0.761</cdr:y>
    </cdr:from>
    <cdr:to>
      <cdr:x>0.91938</cdr:x>
      <cdr:y>1</cdr:y>
    </cdr:to>
    <cdr:sp macro="" textlink="">
      <cdr:nvSpPr>
        <cdr:cNvPr id="15" name="TextBox 4"/>
        <cdr:cNvSpPr txBox="1"/>
      </cdr:nvSpPr>
      <cdr:spPr>
        <a:xfrm xmlns:a="http://schemas.openxmlformats.org/drawingml/2006/main">
          <a:off x="743934" y="3062098"/>
          <a:ext cx="5016276" cy="93176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3 failure				Richard 29/09/17</a:t>
          </a:r>
        </a:p>
        <a:p xmlns:a="http://schemas.openxmlformats.org/drawingml/2006/main">
          <a:r>
            <a:rPr lang="en-ZA" sz="1000" baseline="0"/>
            <a:t>B - CRM duplicate re-run - failed	 Rule 3		Richard 29/09/17</a:t>
          </a:r>
        </a:p>
        <a:p xmlns:a="http://schemas.openxmlformats.org/drawingml/2006/main">
          <a:r>
            <a:rPr lang="en-ZA" sz="1000" baseline="0"/>
            <a:t>C - Analyser recalibrated, CRM duplicate re-run - failed Rule 3 	Richard 29/09/17</a:t>
          </a:r>
        </a:p>
        <a:p xmlns:a="http://schemas.openxmlformats.org/drawingml/2006/main">
          <a:r>
            <a:rPr lang="en-ZA" sz="1000" baseline="0"/>
            <a:t>D - New CRM run - OK			Richard 29/09/17</a:t>
          </a:r>
          <a:endParaRPr lang="en-ZA" sz="1000"/>
        </a:p>
      </cdr:txBody>
    </cdr:sp>
  </cdr:relSizeAnchor>
  <cdr:relSizeAnchor xmlns:cdr="http://schemas.openxmlformats.org/drawingml/2006/chartDrawing">
    <cdr:from>
      <cdr:x>0.69778</cdr:x>
      <cdr:y>0.27446</cdr:y>
    </cdr:from>
    <cdr:to>
      <cdr:x>0.7476</cdr:x>
      <cdr:y>0.34361</cdr:y>
    </cdr:to>
    <cdr:sp macro="" textlink="">
      <cdr:nvSpPr>
        <cdr:cNvPr id="16" name="TextBox 1"/>
        <cdr:cNvSpPr txBox="1"/>
      </cdr:nvSpPr>
      <cdr:spPr>
        <a:xfrm xmlns:a="http://schemas.openxmlformats.org/drawingml/2006/main">
          <a:off x="4358900" y="1069995"/>
          <a:ext cx="311217" cy="26962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0.78718</cdr:x>
      <cdr:y>0.2748</cdr:y>
    </cdr:from>
    <cdr:to>
      <cdr:x>0.837</cdr:x>
      <cdr:y>0.34396</cdr:y>
    </cdr:to>
    <cdr:sp macro="" textlink="">
      <cdr:nvSpPr>
        <cdr:cNvPr id="17" name="TextBox 1"/>
        <cdr:cNvSpPr txBox="1"/>
      </cdr:nvSpPr>
      <cdr:spPr>
        <a:xfrm xmlns:a="http://schemas.openxmlformats.org/drawingml/2006/main">
          <a:off x="4917343" y="1071336"/>
          <a:ext cx="311217" cy="26962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0.82617</cdr:x>
      <cdr:y>0.39137</cdr:y>
    </cdr:from>
    <cdr:to>
      <cdr:x>0.87599</cdr:x>
      <cdr:y>0.46053</cdr:y>
    </cdr:to>
    <cdr:sp macro="" textlink="">
      <cdr:nvSpPr>
        <cdr:cNvPr id="18" name="TextBox 1"/>
        <cdr:cNvSpPr txBox="1"/>
      </cdr:nvSpPr>
      <cdr:spPr>
        <a:xfrm xmlns:a="http://schemas.openxmlformats.org/drawingml/2006/main">
          <a:off x="5160900" y="1525786"/>
          <a:ext cx="311216" cy="26962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0.87014</cdr:x>
      <cdr:y>0.25853</cdr:y>
    </cdr:from>
    <cdr:to>
      <cdr:x>0.93583</cdr:x>
      <cdr:y>0.30655</cdr:y>
    </cdr:to>
    <cdr:sp macro="" textlink="">
      <cdr:nvSpPr>
        <cdr:cNvPr id="19" name="TextBox 1"/>
        <cdr:cNvSpPr txBox="1"/>
      </cdr:nvSpPr>
      <cdr:spPr>
        <a:xfrm xmlns:a="http://schemas.openxmlformats.org/drawingml/2006/main">
          <a:off x="5420392" y="1046610"/>
          <a:ext cx="409206" cy="1943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0.8793</cdr:x>
      <cdr:y>0.33904</cdr:y>
    </cdr:from>
    <cdr:to>
      <cdr:x>0.90864</cdr:x>
      <cdr:y>0.39743</cdr:y>
    </cdr:to>
    <cdr:sp macro="" textlink="">
      <cdr:nvSpPr>
        <cdr:cNvPr id="20" name="TextBox 2"/>
        <cdr:cNvSpPr txBox="1"/>
      </cdr:nvSpPr>
      <cdr:spPr>
        <a:xfrm xmlns:a="http://schemas.openxmlformats.org/drawingml/2006/main">
          <a:off x="5477471" y="1372550"/>
          <a:ext cx="182769" cy="236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0.8691</cdr:x>
      <cdr:y>0.46399</cdr:y>
    </cdr:from>
    <cdr:to>
      <cdr:x>0.91606</cdr:x>
      <cdr:y>0.52237</cdr:y>
    </cdr:to>
    <cdr:sp macro="" textlink="">
      <cdr:nvSpPr>
        <cdr:cNvPr id="21" name="TextBox 3"/>
        <cdr:cNvSpPr txBox="1"/>
      </cdr:nvSpPr>
      <cdr:spPr>
        <a:xfrm xmlns:a="http://schemas.openxmlformats.org/drawingml/2006/main">
          <a:off x="5413937" y="1878366"/>
          <a:ext cx="292531" cy="23633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0.87331</cdr:x>
      <cdr:y>0.50801</cdr:y>
    </cdr:from>
    <cdr:to>
      <cdr:x>0.92026</cdr:x>
      <cdr:y>0.56639</cdr:y>
    </cdr:to>
    <cdr:sp macro="" textlink="">
      <cdr:nvSpPr>
        <cdr:cNvPr id="22" name="TextBox 4"/>
        <cdr:cNvSpPr txBox="1"/>
      </cdr:nvSpPr>
      <cdr:spPr>
        <a:xfrm xmlns:a="http://schemas.openxmlformats.org/drawingml/2006/main">
          <a:off x="5440139" y="2056560"/>
          <a:ext cx="292468" cy="23634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0.87587</cdr:x>
      <cdr:y>0.20235</cdr:y>
    </cdr:from>
    <cdr:to>
      <cdr:x>0.93716</cdr:x>
      <cdr:y>0.25244</cdr:y>
    </cdr:to>
    <cdr:sp macro="" textlink="">
      <cdr:nvSpPr>
        <cdr:cNvPr id="23" name="TextBox 16"/>
        <cdr:cNvSpPr txBox="1"/>
      </cdr:nvSpPr>
      <cdr:spPr>
        <a:xfrm xmlns:a="http://schemas.openxmlformats.org/drawingml/2006/main">
          <a:off x="5456131" y="819154"/>
          <a:ext cx="381797" cy="202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46.xml><?xml version="1.0" encoding="utf-8"?>
<c:userShapes xmlns:c="http://schemas.openxmlformats.org/drawingml/2006/chart">
  <cdr:relSizeAnchor xmlns:cdr="http://schemas.openxmlformats.org/drawingml/2006/chartDrawing">
    <cdr:from>
      <cdr:x>0.29448</cdr:x>
      <cdr:y>0.04926</cdr:y>
    </cdr:from>
    <cdr:to>
      <cdr:x>0.70342</cdr:x>
      <cdr:y>0.13342</cdr:y>
    </cdr:to>
    <cdr:sp macro="" textlink="">
      <cdr:nvSpPr>
        <cdr:cNvPr id="3" name="TextBox 2"/>
        <cdr:cNvSpPr txBox="1"/>
      </cdr:nvSpPr>
      <cdr:spPr>
        <a:xfrm xmlns:a="http://schemas.openxmlformats.org/drawingml/2006/main">
          <a:off x="1721261" y="199402"/>
          <a:ext cx="2390342" cy="3407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3 Failure ( +ve bias) Graph 3</a:t>
          </a:r>
          <a:endParaRPr lang="en-ZA" sz="1400" b="1"/>
        </a:p>
      </cdr:txBody>
    </cdr:sp>
  </cdr:relSizeAnchor>
  <cdr:relSizeAnchor xmlns:cdr="http://schemas.openxmlformats.org/drawingml/2006/chartDrawing">
    <cdr:from>
      <cdr:x>0.629</cdr:x>
      <cdr:y>0.28491</cdr:y>
    </cdr:from>
    <cdr:to>
      <cdr:x>0.67882</cdr:x>
      <cdr:y>0.35408</cdr:y>
    </cdr:to>
    <cdr:sp macro="" textlink="">
      <cdr:nvSpPr>
        <cdr:cNvPr id="4" name="TextBox 3"/>
        <cdr:cNvSpPr txBox="1"/>
      </cdr:nvSpPr>
      <cdr:spPr>
        <a:xfrm xmlns:a="http://schemas.openxmlformats.org/drawingml/2006/main">
          <a:off x="3929218" y="1153386"/>
          <a:ext cx="311216" cy="2800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0.03976</cdr:x>
      <cdr:y>0.78114</cdr:y>
    </cdr:from>
    <cdr:to>
      <cdr:x>0.97095</cdr:x>
      <cdr:y>1</cdr:y>
    </cdr:to>
    <cdr:sp macro="" textlink="">
      <cdr:nvSpPr>
        <cdr:cNvPr id="5" name="TextBox 4"/>
        <cdr:cNvSpPr txBox="1"/>
      </cdr:nvSpPr>
      <cdr:spPr>
        <a:xfrm xmlns:a="http://schemas.openxmlformats.org/drawingml/2006/main">
          <a:off x="247651" y="3162300"/>
          <a:ext cx="5800724" cy="8859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3 failure					Richard 29/09/17</a:t>
          </a:r>
        </a:p>
        <a:p xmlns:a="http://schemas.openxmlformats.org/drawingml/2006/main">
          <a:r>
            <a:rPr lang="en-ZA" sz="1000" baseline="0"/>
            <a:t>B - CRM duplicate re-run - failed	 Rule 3			Richard 29/09/17</a:t>
          </a:r>
        </a:p>
        <a:p xmlns:a="http://schemas.openxmlformats.org/drawingml/2006/main">
          <a:r>
            <a:rPr lang="en-ZA" sz="1000" baseline="0"/>
            <a:t>C - Analyser recalibrated, CRM duplicate re-run - failed Rule 3 		Richard 29/09/17</a:t>
          </a:r>
        </a:p>
        <a:p xmlns:a="http://schemas.openxmlformats.org/drawingml/2006/main">
          <a:r>
            <a:rPr lang="en-ZA" sz="1000" baseline="0">
              <a:latin typeface="+mn-lt"/>
              <a:ea typeface="+mn-ea"/>
              <a:cs typeface="+mn-cs"/>
            </a:rPr>
            <a:t>D - New CRM run - failed Rule 3.  Work supsended -Manager Informed</a:t>
          </a:r>
          <a:r>
            <a:rPr lang="en-ZA" sz="1100" baseline="0">
              <a:latin typeface="+mn-lt"/>
              <a:ea typeface="+mn-ea"/>
              <a:cs typeface="+mn-cs"/>
            </a:rPr>
            <a:t>		</a:t>
          </a:r>
          <a:r>
            <a:rPr lang="en-ZA" sz="1000" baseline="0"/>
            <a:t>Richard 29/09/17</a:t>
          </a:r>
          <a:endParaRPr lang="en-ZA" sz="1000"/>
        </a:p>
      </cdr:txBody>
    </cdr:sp>
  </cdr:relSizeAnchor>
  <cdr:relSizeAnchor xmlns:cdr="http://schemas.openxmlformats.org/drawingml/2006/chartDrawing">
    <cdr:from>
      <cdr:x>0.69878</cdr:x>
      <cdr:y>0.27158</cdr:y>
    </cdr:from>
    <cdr:to>
      <cdr:x>0.7486</cdr:x>
      <cdr:y>0.34074</cdr:y>
    </cdr:to>
    <cdr:sp macro="" textlink="">
      <cdr:nvSpPr>
        <cdr:cNvPr id="6" name="TextBox 1"/>
        <cdr:cNvSpPr txBox="1"/>
      </cdr:nvSpPr>
      <cdr:spPr>
        <a:xfrm xmlns:a="http://schemas.openxmlformats.org/drawingml/2006/main">
          <a:off x="4365176" y="1099422"/>
          <a:ext cx="311216"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0.77035</cdr:x>
      <cdr:y>0.25767</cdr:y>
    </cdr:from>
    <cdr:to>
      <cdr:x>0.82017</cdr:x>
      <cdr:y>0.32683</cdr:y>
    </cdr:to>
    <cdr:sp macro="" textlink="">
      <cdr:nvSpPr>
        <cdr:cNvPr id="7" name="TextBox 1"/>
        <cdr:cNvSpPr txBox="1"/>
      </cdr:nvSpPr>
      <cdr:spPr>
        <a:xfrm xmlns:a="http://schemas.openxmlformats.org/drawingml/2006/main">
          <a:off x="4812240" y="1043120"/>
          <a:ext cx="311216" cy="27998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0.83727</cdr:x>
      <cdr:y>0.34533</cdr:y>
    </cdr:from>
    <cdr:to>
      <cdr:x>0.88709</cdr:x>
      <cdr:y>0.41449</cdr:y>
    </cdr:to>
    <cdr:sp macro="" textlink="">
      <cdr:nvSpPr>
        <cdr:cNvPr id="11" name="TextBox 1"/>
        <cdr:cNvSpPr txBox="1"/>
      </cdr:nvSpPr>
      <cdr:spPr>
        <a:xfrm xmlns:a="http://schemas.openxmlformats.org/drawingml/2006/main">
          <a:off x="5230281" y="1397987"/>
          <a:ext cx="311216"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0.87014</cdr:x>
      <cdr:y>0.25853</cdr:y>
    </cdr:from>
    <cdr:to>
      <cdr:x>0.93583</cdr:x>
      <cdr:y>0.30655</cdr:y>
    </cdr:to>
    <cdr:sp macro="" textlink="">
      <cdr:nvSpPr>
        <cdr:cNvPr id="8" name="TextBox 1"/>
        <cdr:cNvSpPr txBox="1"/>
      </cdr:nvSpPr>
      <cdr:spPr>
        <a:xfrm xmlns:a="http://schemas.openxmlformats.org/drawingml/2006/main">
          <a:off x="5420392" y="1046610"/>
          <a:ext cx="409206" cy="1943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0.8793</cdr:x>
      <cdr:y>0.33904</cdr:y>
    </cdr:from>
    <cdr:to>
      <cdr:x>0.90864</cdr:x>
      <cdr:y>0.39743</cdr:y>
    </cdr:to>
    <cdr:sp macro="" textlink="">
      <cdr:nvSpPr>
        <cdr:cNvPr id="9" name="TextBox 2"/>
        <cdr:cNvSpPr txBox="1"/>
      </cdr:nvSpPr>
      <cdr:spPr>
        <a:xfrm xmlns:a="http://schemas.openxmlformats.org/drawingml/2006/main">
          <a:off x="5477471" y="1372550"/>
          <a:ext cx="182769" cy="236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0.8691</cdr:x>
      <cdr:y>0.46399</cdr:y>
    </cdr:from>
    <cdr:to>
      <cdr:x>0.91606</cdr:x>
      <cdr:y>0.52237</cdr:y>
    </cdr:to>
    <cdr:sp macro="" textlink="">
      <cdr:nvSpPr>
        <cdr:cNvPr id="10" name="TextBox 3"/>
        <cdr:cNvSpPr txBox="1"/>
      </cdr:nvSpPr>
      <cdr:spPr>
        <a:xfrm xmlns:a="http://schemas.openxmlformats.org/drawingml/2006/main">
          <a:off x="5413937" y="1878366"/>
          <a:ext cx="292531" cy="23633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0.87331</cdr:x>
      <cdr:y>0.50801</cdr:y>
    </cdr:from>
    <cdr:to>
      <cdr:x>0.92026</cdr:x>
      <cdr:y>0.56639</cdr:y>
    </cdr:to>
    <cdr:sp macro="" textlink="">
      <cdr:nvSpPr>
        <cdr:cNvPr id="12" name="TextBox 4"/>
        <cdr:cNvSpPr txBox="1"/>
      </cdr:nvSpPr>
      <cdr:spPr>
        <a:xfrm xmlns:a="http://schemas.openxmlformats.org/drawingml/2006/main">
          <a:off x="5440139" y="2056560"/>
          <a:ext cx="292468" cy="23634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0.87587</cdr:x>
      <cdr:y>0.20235</cdr:y>
    </cdr:from>
    <cdr:to>
      <cdr:x>0.93716</cdr:x>
      <cdr:y>0.25244</cdr:y>
    </cdr:to>
    <cdr:sp macro="" textlink="">
      <cdr:nvSpPr>
        <cdr:cNvPr id="13" name="TextBox 16"/>
        <cdr:cNvSpPr txBox="1"/>
      </cdr:nvSpPr>
      <cdr:spPr>
        <a:xfrm xmlns:a="http://schemas.openxmlformats.org/drawingml/2006/main">
          <a:off x="5456131" y="819154"/>
          <a:ext cx="381797" cy="202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47.xml><?xml version="1.0" encoding="utf-8"?>
<xdr:wsDr xmlns:xdr="http://schemas.openxmlformats.org/drawingml/2006/spreadsheetDrawing" xmlns:a="http://schemas.openxmlformats.org/drawingml/2006/main">
  <xdr:twoCellAnchor>
    <xdr:from>
      <xdr:col>1</xdr:col>
      <xdr:colOff>602686</xdr:colOff>
      <xdr:row>29</xdr:row>
      <xdr:rowOff>0</xdr:rowOff>
    </xdr:from>
    <xdr:to>
      <xdr:col>11</xdr:col>
      <xdr:colOff>973666</xdr:colOff>
      <xdr:row>51</xdr:row>
      <xdr:rowOff>20109</xdr:rowOff>
    </xdr:to>
    <xdr:graphicFrame macro="">
      <xdr:nvGraphicFramePr>
        <xdr:cNvPr id="2" name="Chart 1">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17291</xdr:colOff>
      <xdr:row>33</xdr:row>
      <xdr:rowOff>148532</xdr:rowOff>
    </xdr:from>
    <xdr:to>
      <xdr:col>11</xdr:col>
      <xdr:colOff>402166</xdr:colOff>
      <xdr:row>34</xdr:row>
      <xdr:rowOff>152400</xdr:rowOff>
    </xdr:to>
    <xdr:sp macro="" textlink="">
      <xdr:nvSpPr>
        <xdr:cNvPr id="3" name="TextBox 2">
          <a:extLst>
            <a:ext uri="{FF2B5EF4-FFF2-40B4-BE49-F238E27FC236}">
              <a16:creationId xmlns:a16="http://schemas.microsoft.com/office/drawing/2014/main" id="{00000000-0008-0000-1B00-000003000000}"/>
            </a:ext>
          </a:extLst>
        </xdr:cNvPr>
        <xdr:cNvSpPr txBox="1"/>
      </xdr:nvSpPr>
      <xdr:spPr>
        <a:xfrm>
          <a:off x="6722891" y="6530282"/>
          <a:ext cx="384875" cy="194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ZA" sz="900" b="1"/>
            <a:t>+2s</a:t>
          </a:r>
        </a:p>
      </xdr:txBody>
    </xdr:sp>
    <xdr:clientData/>
  </xdr:twoCellAnchor>
  <xdr:twoCellAnchor>
    <xdr:from>
      <xdr:col>11</xdr:col>
      <xdr:colOff>78814</xdr:colOff>
      <xdr:row>35</xdr:row>
      <xdr:rowOff>102990</xdr:rowOff>
    </xdr:from>
    <xdr:to>
      <xdr:col>11</xdr:col>
      <xdr:colOff>250745</xdr:colOff>
      <xdr:row>36</xdr:row>
      <xdr:rowOff>148853</xdr:rowOff>
    </xdr:to>
    <xdr:sp macro="" textlink="">
      <xdr:nvSpPr>
        <xdr:cNvPr id="4" name="TextBox 3">
          <a:extLst>
            <a:ext uri="{FF2B5EF4-FFF2-40B4-BE49-F238E27FC236}">
              <a16:creationId xmlns:a16="http://schemas.microsoft.com/office/drawing/2014/main" id="{00000000-0008-0000-1B00-000004000000}"/>
            </a:ext>
          </a:extLst>
        </xdr:cNvPr>
        <xdr:cNvSpPr txBox="1"/>
      </xdr:nvSpPr>
      <xdr:spPr>
        <a:xfrm>
          <a:off x="6784414" y="6865740"/>
          <a:ext cx="171931" cy="23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900" b="1" baseline="0"/>
            <a:t>x͞</a:t>
          </a:r>
        </a:p>
      </xdr:txBody>
    </xdr:sp>
    <xdr:clientData/>
  </xdr:twoCellAnchor>
  <xdr:twoCellAnchor>
    <xdr:from>
      <xdr:col>11</xdr:col>
      <xdr:colOff>47104</xdr:colOff>
      <xdr:row>38</xdr:row>
      <xdr:rowOff>75376</xdr:rowOff>
    </xdr:from>
    <xdr:to>
      <xdr:col>11</xdr:col>
      <xdr:colOff>322204</xdr:colOff>
      <xdr:row>39</xdr:row>
      <xdr:rowOff>121239</xdr:rowOff>
    </xdr:to>
    <xdr:sp macro="" textlink="">
      <xdr:nvSpPr>
        <xdr:cNvPr id="5" name="TextBox 4">
          <a:extLst>
            <a:ext uri="{FF2B5EF4-FFF2-40B4-BE49-F238E27FC236}">
              <a16:creationId xmlns:a16="http://schemas.microsoft.com/office/drawing/2014/main" id="{00000000-0008-0000-1B00-000005000000}"/>
            </a:ext>
          </a:extLst>
        </xdr:cNvPr>
        <xdr:cNvSpPr txBox="1"/>
      </xdr:nvSpPr>
      <xdr:spPr>
        <a:xfrm>
          <a:off x="6752704" y="7409626"/>
          <a:ext cx="275100" cy="23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900" b="1"/>
            <a:t>-2s</a:t>
          </a:r>
        </a:p>
      </xdr:txBody>
    </xdr:sp>
    <xdr:clientData/>
  </xdr:twoCellAnchor>
  <xdr:twoCellAnchor>
    <xdr:from>
      <xdr:col>11</xdr:col>
      <xdr:colOff>35887</xdr:colOff>
      <xdr:row>39</xdr:row>
      <xdr:rowOff>72597</xdr:rowOff>
    </xdr:from>
    <xdr:to>
      <xdr:col>11</xdr:col>
      <xdr:colOff>310987</xdr:colOff>
      <xdr:row>40</xdr:row>
      <xdr:rowOff>118460</xdr:rowOff>
    </xdr:to>
    <xdr:sp macro="" textlink="">
      <xdr:nvSpPr>
        <xdr:cNvPr id="6" name="TextBox 5">
          <a:extLst>
            <a:ext uri="{FF2B5EF4-FFF2-40B4-BE49-F238E27FC236}">
              <a16:creationId xmlns:a16="http://schemas.microsoft.com/office/drawing/2014/main" id="{00000000-0008-0000-1B00-000006000000}"/>
            </a:ext>
          </a:extLst>
        </xdr:cNvPr>
        <xdr:cNvSpPr txBox="1"/>
      </xdr:nvSpPr>
      <xdr:spPr>
        <a:xfrm>
          <a:off x="6741487" y="7597347"/>
          <a:ext cx="275100" cy="23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900" b="1"/>
            <a:t>-3s</a:t>
          </a:r>
        </a:p>
      </xdr:txBody>
    </xdr:sp>
    <xdr:clientData/>
  </xdr:twoCellAnchor>
  <xdr:twoCellAnchor>
    <xdr:from>
      <xdr:col>9</xdr:col>
      <xdr:colOff>288782</xdr:colOff>
      <xdr:row>37</xdr:row>
      <xdr:rowOff>105835</xdr:rowOff>
    </xdr:from>
    <xdr:to>
      <xdr:col>9</xdr:col>
      <xdr:colOff>507999</xdr:colOff>
      <xdr:row>38</xdr:row>
      <xdr:rowOff>146051</xdr:rowOff>
    </xdr:to>
    <xdr:sp macro="" textlink="">
      <xdr:nvSpPr>
        <xdr:cNvPr id="7" name="TextBox 6">
          <a:extLst>
            <a:ext uri="{FF2B5EF4-FFF2-40B4-BE49-F238E27FC236}">
              <a16:creationId xmlns:a16="http://schemas.microsoft.com/office/drawing/2014/main" id="{00000000-0008-0000-1B00-000007000000}"/>
            </a:ext>
          </a:extLst>
        </xdr:cNvPr>
        <xdr:cNvSpPr txBox="1"/>
      </xdr:nvSpPr>
      <xdr:spPr>
        <a:xfrm>
          <a:off x="5813282" y="7260168"/>
          <a:ext cx="219217" cy="2307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1100" b="1">
              <a:solidFill>
                <a:sysClr val="windowText" lastClr="000000"/>
              </a:solidFill>
            </a:rPr>
            <a:t>B</a:t>
          </a:r>
        </a:p>
      </xdr:txBody>
    </xdr:sp>
    <xdr:clientData/>
  </xdr:twoCellAnchor>
  <xdr:twoCellAnchor>
    <xdr:from>
      <xdr:col>2</xdr:col>
      <xdr:colOff>0</xdr:colOff>
      <xdr:row>55</xdr:row>
      <xdr:rowOff>10583</xdr:rowOff>
    </xdr:from>
    <xdr:to>
      <xdr:col>11</xdr:col>
      <xdr:colOff>994833</xdr:colOff>
      <xdr:row>77</xdr:row>
      <xdr:rowOff>0</xdr:rowOff>
    </xdr:to>
    <xdr:graphicFrame macro="">
      <xdr:nvGraphicFramePr>
        <xdr:cNvPr id="8" name="Chart 7">
          <a:extLst>
            <a:ext uri="{FF2B5EF4-FFF2-40B4-BE49-F238E27FC236}">
              <a16:creationId xmlns:a16="http://schemas.microsoft.com/office/drawing/2014/main" id="{00000000-0008-0000-1B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41297</xdr:colOff>
      <xdr:row>83</xdr:row>
      <xdr:rowOff>177019</xdr:rowOff>
    </xdr:from>
    <xdr:to>
      <xdr:col>12</xdr:col>
      <xdr:colOff>9525</xdr:colOff>
      <xdr:row>105</xdr:row>
      <xdr:rowOff>34315</xdr:rowOff>
    </xdr:to>
    <xdr:graphicFrame macro="">
      <xdr:nvGraphicFramePr>
        <xdr:cNvPr id="9" name="Chart 8">
          <a:extLst>
            <a:ext uri="{FF2B5EF4-FFF2-40B4-BE49-F238E27FC236}">
              <a16:creationId xmlns:a16="http://schemas.microsoft.com/office/drawing/2014/main" id="{00000000-0008-0000-1B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21166</xdr:colOff>
      <xdr:row>106</xdr:row>
      <xdr:rowOff>169333</xdr:rowOff>
    </xdr:from>
    <xdr:to>
      <xdr:col>11</xdr:col>
      <xdr:colOff>997388</xdr:colOff>
      <xdr:row>128</xdr:row>
      <xdr:rowOff>10895</xdr:rowOff>
    </xdr:to>
    <xdr:graphicFrame macro="">
      <xdr:nvGraphicFramePr>
        <xdr:cNvPr id="10" name="Chart 9">
          <a:extLst>
            <a:ext uri="{FF2B5EF4-FFF2-40B4-BE49-F238E27FC236}">
              <a16:creationId xmlns:a16="http://schemas.microsoft.com/office/drawing/2014/main" id="{00000000-0008-0000-1B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258438</xdr:colOff>
      <xdr:row>37</xdr:row>
      <xdr:rowOff>16160</xdr:rowOff>
    </xdr:from>
    <xdr:to>
      <xdr:col>8</xdr:col>
      <xdr:colOff>546600</xdr:colOff>
      <xdr:row>38</xdr:row>
      <xdr:rowOff>91685</xdr:rowOff>
    </xdr:to>
    <xdr:sp macro="" textlink="">
      <xdr:nvSpPr>
        <xdr:cNvPr id="11" name="TextBox 10">
          <a:extLst>
            <a:ext uri="{FF2B5EF4-FFF2-40B4-BE49-F238E27FC236}">
              <a16:creationId xmlns:a16="http://schemas.microsoft.com/office/drawing/2014/main" id="{00000000-0008-0000-1B00-00000B000000}"/>
            </a:ext>
          </a:extLst>
        </xdr:cNvPr>
        <xdr:cNvSpPr txBox="1"/>
      </xdr:nvSpPr>
      <xdr:spPr>
        <a:xfrm>
          <a:off x="5169105" y="7170493"/>
          <a:ext cx="288162" cy="266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ZA" sz="1100" b="1">
              <a:solidFill>
                <a:sysClr val="windowText" lastClr="000000"/>
              </a:solidFill>
            </a:rPr>
            <a:t>A</a:t>
          </a:r>
        </a:p>
      </xdr:txBody>
    </xdr:sp>
    <xdr:clientData/>
  </xdr:twoCellAnchor>
  <xdr:twoCellAnchor>
    <xdr:from>
      <xdr:col>11</xdr:col>
      <xdr:colOff>24053</xdr:colOff>
      <xdr:row>32</xdr:row>
      <xdr:rowOff>130605</xdr:rowOff>
    </xdr:from>
    <xdr:to>
      <xdr:col>11</xdr:col>
      <xdr:colOff>383117</xdr:colOff>
      <xdr:row>33</xdr:row>
      <xdr:rowOff>142875</xdr:rowOff>
    </xdr:to>
    <xdr:sp macro="" textlink="">
      <xdr:nvSpPr>
        <xdr:cNvPr id="12" name="TextBox 11">
          <a:extLst>
            <a:ext uri="{FF2B5EF4-FFF2-40B4-BE49-F238E27FC236}">
              <a16:creationId xmlns:a16="http://schemas.microsoft.com/office/drawing/2014/main" id="{00000000-0008-0000-1B00-00000C000000}"/>
            </a:ext>
          </a:extLst>
        </xdr:cNvPr>
        <xdr:cNvSpPr txBox="1"/>
      </xdr:nvSpPr>
      <xdr:spPr>
        <a:xfrm>
          <a:off x="6729653" y="6321855"/>
          <a:ext cx="359064" cy="202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ZA" sz="900" b="1"/>
            <a:t>+3s</a:t>
          </a:r>
        </a:p>
      </xdr:txBody>
    </xdr:sp>
    <xdr:clientData/>
  </xdr:twoCellAnchor>
  <xdr:twoCellAnchor>
    <xdr:from>
      <xdr:col>15</xdr:col>
      <xdr:colOff>9525</xdr:colOff>
      <xdr:row>29</xdr:row>
      <xdr:rowOff>9525</xdr:rowOff>
    </xdr:from>
    <xdr:to>
      <xdr:col>25</xdr:col>
      <xdr:colOff>19050</xdr:colOff>
      <xdr:row>51</xdr:row>
      <xdr:rowOff>33960</xdr:rowOff>
    </xdr:to>
    <xdr:graphicFrame macro="">
      <xdr:nvGraphicFramePr>
        <xdr:cNvPr id="13" name="Chart 12">
          <a:extLst>
            <a:ext uri="{FF2B5EF4-FFF2-40B4-BE49-F238E27FC236}">
              <a16:creationId xmlns:a16="http://schemas.microsoft.com/office/drawing/2014/main" id="{00000000-0008-0000-1B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55</xdr:row>
      <xdr:rowOff>0</xdr:rowOff>
    </xdr:from>
    <xdr:to>
      <xdr:col>25</xdr:col>
      <xdr:colOff>19050</xdr:colOff>
      <xdr:row>76</xdr:row>
      <xdr:rowOff>179917</xdr:rowOff>
    </xdr:to>
    <xdr:graphicFrame macro="">
      <xdr:nvGraphicFramePr>
        <xdr:cNvPr id="14" name="Chart 13">
          <a:extLst>
            <a:ext uri="{FF2B5EF4-FFF2-40B4-BE49-F238E27FC236}">
              <a16:creationId xmlns:a16="http://schemas.microsoft.com/office/drawing/2014/main" id="{00000000-0008-0000-1B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83</xdr:row>
      <xdr:rowOff>149678</xdr:rowOff>
    </xdr:from>
    <xdr:to>
      <xdr:col>25</xdr:col>
      <xdr:colOff>0</xdr:colOff>
      <xdr:row>104</xdr:row>
      <xdr:rowOff>47795</xdr:rowOff>
    </xdr:to>
    <xdr:graphicFrame macro="">
      <xdr:nvGraphicFramePr>
        <xdr:cNvPr id="15" name="Chart 14">
          <a:extLst>
            <a:ext uri="{FF2B5EF4-FFF2-40B4-BE49-F238E27FC236}">
              <a16:creationId xmlns:a16="http://schemas.microsoft.com/office/drawing/2014/main" id="{00000000-0008-0000-1B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107</xdr:row>
      <xdr:rowOff>0</xdr:rowOff>
    </xdr:from>
    <xdr:to>
      <xdr:col>25</xdr:col>
      <xdr:colOff>0</xdr:colOff>
      <xdr:row>128</xdr:row>
      <xdr:rowOff>47796</xdr:rowOff>
    </xdr:to>
    <xdr:graphicFrame macro="">
      <xdr:nvGraphicFramePr>
        <xdr:cNvPr id="16" name="Chart 15">
          <a:extLst>
            <a:ext uri="{FF2B5EF4-FFF2-40B4-BE49-F238E27FC236}">
              <a16:creationId xmlns:a16="http://schemas.microsoft.com/office/drawing/2014/main" id="{00000000-0008-0000-1B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8.xml><?xml version="1.0" encoding="utf-8"?>
<c:userShapes xmlns:c="http://schemas.openxmlformats.org/drawingml/2006/chart">
  <cdr:relSizeAnchor xmlns:cdr="http://schemas.openxmlformats.org/drawingml/2006/chartDrawing">
    <cdr:from>
      <cdr:x>0.39225</cdr:x>
      <cdr:y>0.04455</cdr:y>
    </cdr:from>
    <cdr:to>
      <cdr:x>0.66202</cdr:x>
      <cdr:y>0.12871</cdr:y>
    </cdr:to>
    <cdr:sp macro="" textlink="">
      <cdr:nvSpPr>
        <cdr:cNvPr id="3" name="TextBox 2"/>
        <cdr:cNvSpPr txBox="1"/>
      </cdr:nvSpPr>
      <cdr:spPr>
        <a:xfrm xmlns:a="http://schemas.openxmlformats.org/drawingml/2006/main">
          <a:off x="2409825" y="171450"/>
          <a:ext cx="1657350" cy="3238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900" b="1"/>
        </a:p>
        <a:p xmlns:a="http://schemas.openxmlformats.org/drawingml/2006/main">
          <a:r>
            <a:rPr lang="en-ZA" sz="1400" b="1" baseline="0"/>
            <a:t> 1 Failure</a:t>
          </a:r>
          <a:endParaRPr lang="en-ZA" sz="1400" b="1"/>
        </a:p>
      </cdr:txBody>
    </cdr:sp>
  </cdr:relSizeAnchor>
  <cdr:relSizeAnchor xmlns:cdr="http://schemas.openxmlformats.org/drawingml/2006/chartDrawing">
    <cdr:from>
      <cdr:x>0.45001</cdr:x>
      <cdr:y>0.50138</cdr:y>
    </cdr:from>
    <cdr:to>
      <cdr:x>0.49983</cdr:x>
      <cdr:y>0.57054</cdr:y>
    </cdr:to>
    <cdr:sp macro="" textlink="">
      <cdr:nvSpPr>
        <cdr:cNvPr id="4" name="TextBox 3"/>
        <cdr:cNvSpPr txBox="1"/>
      </cdr:nvSpPr>
      <cdr:spPr>
        <a:xfrm xmlns:a="http://schemas.openxmlformats.org/drawingml/2006/main">
          <a:off x="2772303" y="1918229"/>
          <a:ext cx="306917" cy="26458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100" b="1">
            <a:solidFill>
              <a:srgbClr val="FF0000"/>
            </a:solidFill>
          </a:endParaRPr>
        </a:p>
      </cdr:txBody>
    </cdr:sp>
  </cdr:relSizeAnchor>
  <cdr:relSizeAnchor xmlns:cdr="http://schemas.openxmlformats.org/drawingml/2006/chartDrawing">
    <cdr:from>
      <cdr:x>0.07483</cdr:x>
      <cdr:y>0.7975</cdr:y>
    </cdr:from>
    <cdr:to>
      <cdr:x>0.9287</cdr:x>
      <cdr:y>0.94744</cdr:y>
    </cdr:to>
    <cdr:sp macro="" textlink="">
      <cdr:nvSpPr>
        <cdr:cNvPr id="5" name="TextBox 4"/>
        <cdr:cNvSpPr txBox="1"/>
      </cdr:nvSpPr>
      <cdr:spPr>
        <a:xfrm xmlns:a="http://schemas.openxmlformats.org/drawingml/2006/main">
          <a:off x="460939" y="3051268"/>
          <a:ext cx="5259917" cy="57369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100"/>
        </a:p>
        <a:p xmlns:a="http://schemas.openxmlformats.org/drawingml/2006/main">
          <a:r>
            <a:rPr lang="en-ZA" sz="1100"/>
            <a:t>A</a:t>
          </a:r>
          <a:r>
            <a:rPr lang="en-ZA" sz="1100" baseline="0"/>
            <a:t> - Rule 4 failure			Richard 29/09/17</a:t>
          </a:r>
        </a:p>
        <a:p xmlns:a="http://schemas.openxmlformats.org/drawingml/2006/main">
          <a:r>
            <a:rPr lang="en-ZA" sz="1100" baseline="0"/>
            <a:t>B- CRM duplicate re-run - OK			Richard 29/09/17</a:t>
          </a:r>
          <a:endParaRPr lang="en-ZA" sz="1100"/>
        </a:p>
      </cdr:txBody>
    </cdr:sp>
  </cdr:relSizeAnchor>
  <cdr:relSizeAnchor xmlns:cdr="http://schemas.openxmlformats.org/drawingml/2006/chartDrawing">
    <cdr:from>
      <cdr:x>0.29264</cdr:x>
      <cdr:y>0.04823</cdr:y>
    </cdr:from>
    <cdr:to>
      <cdr:x>0.7488</cdr:x>
      <cdr:y>0.13239</cdr:y>
    </cdr:to>
    <cdr:sp macro="" textlink="">
      <cdr:nvSpPr>
        <cdr:cNvPr id="6" name="TextBox 1"/>
        <cdr:cNvSpPr txBox="1"/>
      </cdr:nvSpPr>
      <cdr:spPr>
        <a:xfrm xmlns:a="http://schemas.openxmlformats.org/drawingml/2006/main">
          <a:off x="1713786" y="203326"/>
          <a:ext cx="2671453" cy="35477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Arial"/>
            </a:defRPr>
          </a:lvl1pPr>
          <a:lvl2pPr marL="457200" indent="0">
            <a:defRPr sz="1100">
              <a:latin typeface="Arial"/>
            </a:defRPr>
          </a:lvl2pPr>
          <a:lvl3pPr marL="914400" indent="0">
            <a:defRPr sz="1100">
              <a:latin typeface="Arial"/>
            </a:defRPr>
          </a:lvl3pPr>
          <a:lvl4pPr marL="1371600" indent="0">
            <a:defRPr sz="1100">
              <a:latin typeface="Arial"/>
            </a:defRPr>
          </a:lvl4pPr>
          <a:lvl5pPr marL="1828800" indent="0">
            <a:defRPr sz="1100">
              <a:latin typeface="Arial"/>
            </a:defRPr>
          </a:lvl5pPr>
          <a:lvl6pPr marL="2286000" indent="0">
            <a:defRPr sz="1100">
              <a:latin typeface="Arial"/>
            </a:defRPr>
          </a:lvl6pPr>
          <a:lvl7pPr marL="2743200" indent="0">
            <a:defRPr sz="1100">
              <a:latin typeface="Arial"/>
            </a:defRPr>
          </a:lvl7pPr>
          <a:lvl8pPr marL="3200400" indent="0">
            <a:defRPr sz="1100">
              <a:latin typeface="Arial"/>
            </a:defRPr>
          </a:lvl8pPr>
          <a:lvl9pPr marL="3657600" indent="0">
            <a:defRPr sz="1100">
              <a:latin typeface="Arial"/>
            </a:defRPr>
          </a:lvl9pPr>
        </a:lstStyle>
        <a:p xmlns:a="http://schemas.openxmlformats.org/drawingml/2006/main">
          <a:r>
            <a:rPr lang="en-ZA" sz="1400" b="1">
              <a:latin typeface="Calibri" pitchFamily="34" charset="0"/>
            </a:rPr>
            <a:t>Rule</a:t>
          </a:r>
          <a:r>
            <a:rPr lang="en-ZA" sz="1400" b="1" baseline="0">
              <a:latin typeface="Calibri" pitchFamily="34" charset="0"/>
            </a:rPr>
            <a:t> 4 Failure ( -ve trend) Graph 1</a:t>
          </a:r>
          <a:endParaRPr lang="en-ZA" sz="1400" b="1">
            <a:latin typeface="Calibri" pitchFamily="34" charset="0"/>
          </a:endParaRPr>
        </a:p>
      </cdr:txBody>
    </cdr:sp>
  </cdr:relSizeAnchor>
</c:userShapes>
</file>

<file path=xl/drawings/drawing49.xml><?xml version="1.0" encoding="utf-8"?>
<c:userShapes xmlns:c="http://schemas.openxmlformats.org/drawingml/2006/chart">
  <cdr:relSizeAnchor xmlns:cdr="http://schemas.openxmlformats.org/drawingml/2006/chartDrawing">
    <cdr:from>
      <cdr:x>0.29816</cdr:x>
      <cdr:y>0.03771</cdr:y>
    </cdr:from>
    <cdr:to>
      <cdr:x>0.72026</cdr:x>
      <cdr:y>0.12187</cdr:y>
    </cdr:to>
    <cdr:sp macro="" textlink="">
      <cdr:nvSpPr>
        <cdr:cNvPr id="3" name="TextBox 2"/>
        <cdr:cNvSpPr txBox="1"/>
      </cdr:nvSpPr>
      <cdr:spPr>
        <a:xfrm xmlns:a="http://schemas.openxmlformats.org/drawingml/2006/main">
          <a:off x="1750698" y="157663"/>
          <a:ext cx="2478402" cy="3518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4 Failure ( -ve trend) Graph 2</a:t>
          </a:r>
          <a:endParaRPr lang="en-ZA" sz="1400" b="1"/>
        </a:p>
      </cdr:txBody>
    </cdr:sp>
  </cdr:relSizeAnchor>
  <cdr:relSizeAnchor xmlns:cdr="http://schemas.openxmlformats.org/drawingml/2006/chartDrawing">
    <cdr:from>
      <cdr:x>0.62025</cdr:x>
      <cdr:y>0.36008</cdr:y>
    </cdr:from>
    <cdr:to>
      <cdr:x>0.67007</cdr:x>
      <cdr:y>0.42925</cdr:y>
    </cdr:to>
    <cdr:sp macro="" textlink="">
      <cdr:nvSpPr>
        <cdr:cNvPr id="4" name="TextBox 3"/>
        <cdr:cNvSpPr txBox="1"/>
      </cdr:nvSpPr>
      <cdr:spPr>
        <a:xfrm xmlns:a="http://schemas.openxmlformats.org/drawingml/2006/main">
          <a:off x="4043618" y="1505276"/>
          <a:ext cx="324793" cy="28915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0.13563</cdr:x>
      <cdr:y>0.761</cdr:y>
    </cdr:from>
    <cdr:to>
      <cdr:x>0.93627</cdr:x>
      <cdr:y>1</cdr:y>
    </cdr:to>
    <cdr:sp macro="" textlink="">
      <cdr:nvSpPr>
        <cdr:cNvPr id="5" name="TextBox 4"/>
        <cdr:cNvSpPr txBox="1"/>
      </cdr:nvSpPr>
      <cdr:spPr>
        <a:xfrm xmlns:a="http://schemas.openxmlformats.org/drawingml/2006/main">
          <a:off x="835555" y="2911491"/>
          <a:ext cx="4932361" cy="91438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4 failure				Richard 29/09/17</a:t>
          </a:r>
        </a:p>
        <a:p xmlns:a="http://schemas.openxmlformats.org/drawingml/2006/main">
          <a:r>
            <a:rPr lang="en-ZA" sz="1000" baseline="0"/>
            <a:t>B - CRM duplicate re-run - failed	 Rule 4		Richard 29/09/17</a:t>
          </a:r>
        </a:p>
        <a:p xmlns:a="http://schemas.openxmlformats.org/drawingml/2006/main">
          <a:r>
            <a:rPr lang="en-ZA" sz="1000" baseline="0"/>
            <a:t>C - Analyser recalibrated, CRM duplicate re-run - OK 		Richard 29/09/17</a:t>
          </a:r>
          <a:endParaRPr lang="en-ZA" sz="1000"/>
        </a:p>
      </cdr:txBody>
    </cdr:sp>
  </cdr:relSizeAnchor>
  <cdr:relSizeAnchor xmlns:cdr="http://schemas.openxmlformats.org/drawingml/2006/chartDrawing">
    <cdr:from>
      <cdr:x>0.67532</cdr:x>
      <cdr:y>0.39229</cdr:y>
    </cdr:from>
    <cdr:to>
      <cdr:x>0.72514</cdr:x>
      <cdr:y>0.46145</cdr:y>
    </cdr:to>
    <cdr:sp macro="" textlink="">
      <cdr:nvSpPr>
        <cdr:cNvPr id="6" name="TextBox 1"/>
        <cdr:cNvSpPr txBox="1"/>
      </cdr:nvSpPr>
      <cdr:spPr>
        <a:xfrm xmlns:a="http://schemas.openxmlformats.org/drawingml/2006/main">
          <a:off x="4402613" y="1639947"/>
          <a:ext cx="324793" cy="2891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0.76523</cdr:x>
      <cdr:y>0.36197</cdr:y>
    </cdr:from>
    <cdr:to>
      <cdr:x>0.81505</cdr:x>
      <cdr:y>0.43113</cdr:y>
    </cdr:to>
    <cdr:sp macro="" textlink="">
      <cdr:nvSpPr>
        <cdr:cNvPr id="7" name="TextBox 1"/>
        <cdr:cNvSpPr txBox="1"/>
      </cdr:nvSpPr>
      <cdr:spPr>
        <a:xfrm xmlns:a="http://schemas.openxmlformats.org/drawingml/2006/main">
          <a:off x="4988788" y="1513175"/>
          <a:ext cx="324794" cy="2891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0.8549</cdr:x>
      <cdr:y>0.21973</cdr:y>
    </cdr:from>
    <cdr:to>
      <cdr:x>0.92045</cdr:x>
      <cdr:y>0.26623</cdr:y>
    </cdr:to>
    <cdr:sp macro="" textlink="">
      <cdr:nvSpPr>
        <cdr:cNvPr id="8" name="TextBox 7"/>
        <cdr:cNvSpPr txBox="1"/>
      </cdr:nvSpPr>
      <cdr:spPr>
        <a:xfrm xmlns:a="http://schemas.openxmlformats.org/drawingml/2006/main">
          <a:off x="5573378" y="918556"/>
          <a:ext cx="427342" cy="19438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0.867</cdr:x>
      <cdr:y>0.30251</cdr:y>
    </cdr:from>
    <cdr:to>
      <cdr:x>0.89628</cdr:x>
      <cdr:y>0.35905</cdr:y>
    </cdr:to>
    <cdr:sp macro="" textlink="">
      <cdr:nvSpPr>
        <cdr:cNvPr id="9" name="TextBox 8"/>
        <cdr:cNvSpPr txBox="1"/>
      </cdr:nvSpPr>
      <cdr:spPr>
        <a:xfrm xmlns:a="http://schemas.openxmlformats.org/drawingml/2006/main">
          <a:off x="5652283" y="1264617"/>
          <a:ext cx="190886" cy="2363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0.8616</cdr:x>
      <cdr:y>0.42577</cdr:y>
    </cdr:from>
    <cdr:to>
      <cdr:x>0.90845</cdr:x>
      <cdr:y>0.48231</cdr:y>
    </cdr:to>
    <cdr:sp macro="" textlink="">
      <cdr:nvSpPr>
        <cdr:cNvPr id="10" name="TextBox 9"/>
        <cdr:cNvSpPr txBox="1"/>
      </cdr:nvSpPr>
      <cdr:spPr>
        <a:xfrm xmlns:a="http://schemas.openxmlformats.org/drawingml/2006/main">
          <a:off x="5617079" y="1779916"/>
          <a:ext cx="305431"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0.85807</cdr:x>
      <cdr:y>0.47625</cdr:y>
    </cdr:from>
    <cdr:to>
      <cdr:x>0.90492</cdr:x>
      <cdr:y>0.53279</cdr:y>
    </cdr:to>
    <cdr:sp macro="" textlink="">
      <cdr:nvSpPr>
        <cdr:cNvPr id="11" name="TextBox 10"/>
        <cdr:cNvSpPr txBox="1"/>
      </cdr:nvSpPr>
      <cdr:spPr>
        <a:xfrm xmlns:a="http://schemas.openxmlformats.org/drawingml/2006/main">
          <a:off x="5594066" y="1990929"/>
          <a:ext cx="305430"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0.85443</cdr:x>
      <cdr:y>0.17241</cdr:y>
    </cdr:from>
    <cdr:to>
      <cdr:x>0.91559</cdr:x>
      <cdr:y>0.22091</cdr:y>
    </cdr:to>
    <cdr:sp macro="" textlink="">
      <cdr:nvSpPr>
        <cdr:cNvPr id="12" name="TextBox 16"/>
        <cdr:cNvSpPr txBox="1"/>
      </cdr:nvSpPr>
      <cdr:spPr>
        <a:xfrm xmlns:a="http://schemas.openxmlformats.org/drawingml/2006/main">
          <a:off x="5570292" y="720745"/>
          <a:ext cx="398722" cy="20275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50.xml><?xml version="1.0" encoding="utf-8"?>
<c:userShapes xmlns:c="http://schemas.openxmlformats.org/drawingml/2006/chart">
  <cdr:relSizeAnchor xmlns:cdr="http://schemas.openxmlformats.org/drawingml/2006/chartDrawing">
    <cdr:from>
      <cdr:x>0.29448</cdr:x>
      <cdr:y>0.04926</cdr:y>
    </cdr:from>
    <cdr:to>
      <cdr:x>0.70342</cdr:x>
      <cdr:y>0.13342</cdr:y>
    </cdr:to>
    <cdr:sp macro="" textlink="">
      <cdr:nvSpPr>
        <cdr:cNvPr id="3" name="TextBox 2"/>
        <cdr:cNvSpPr txBox="1"/>
      </cdr:nvSpPr>
      <cdr:spPr>
        <a:xfrm xmlns:a="http://schemas.openxmlformats.org/drawingml/2006/main">
          <a:off x="1721261" y="199402"/>
          <a:ext cx="2390342" cy="3407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4 Failure ( -ve trend) Graph 3</a:t>
          </a:r>
          <a:endParaRPr lang="en-ZA" sz="1400" b="1"/>
        </a:p>
      </cdr:txBody>
    </cdr:sp>
  </cdr:relSizeAnchor>
  <cdr:relSizeAnchor xmlns:cdr="http://schemas.openxmlformats.org/drawingml/2006/chartDrawing">
    <cdr:from>
      <cdr:x>0.58375</cdr:x>
      <cdr:y>0.38609</cdr:y>
    </cdr:from>
    <cdr:to>
      <cdr:x>0.63357</cdr:x>
      <cdr:y>0.45526</cdr:y>
    </cdr:to>
    <cdr:sp macro="" textlink="">
      <cdr:nvSpPr>
        <cdr:cNvPr id="4" name="TextBox 3"/>
        <cdr:cNvSpPr txBox="1"/>
      </cdr:nvSpPr>
      <cdr:spPr>
        <a:xfrm xmlns:a="http://schemas.openxmlformats.org/drawingml/2006/main">
          <a:off x="3793269" y="1562992"/>
          <a:ext cx="323738" cy="2800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0.13563</cdr:x>
      <cdr:y>0.77977</cdr:y>
    </cdr:from>
    <cdr:to>
      <cdr:x>0.93627</cdr:x>
      <cdr:y>1</cdr:y>
    </cdr:to>
    <cdr:sp macro="" textlink="">
      <cdr:nvSpPr>
        <cdr:cNvPr id="5" name="TextBox 4"/>
        <cdr:cNvSpPr txBox="1"/>
      </cdr:nvSpPr>
      <cdr:spPr>
        <a:xfrm xmlns:a="http://schemas.openxmlformats.org/drawingml/2006/main">
          <a:off x="875458" y="3156731"/>
          <a:ext cx="5167934" cy="89156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4 failure				Richard 29/09/17</a:t>
          </a:r>
        </a:p>
        <a:p xmlns:a="http://schemas.openxmlformats.org/drawingml/2006/main">
          <a:r>
            <a:rPr lang="en-ZA" sz="1000" baseline="0"/>
            <a:t>B - CRM duplicate re-run - failed	 Rule 4		Richard 29/09/17</a:t>
          </a:r>
        </a:p>
        <a:p xmlns:a="http://schemas.openxmlformats.org/drawingml/2006/main">
          <a:r>
            <a:rPr lang="en-ZA" sz="1000" baseline="0"/>
            <a:t>C - Analyser recalibrated, CRM duplicate re-run - failed Rule 4 	Richard 29/09/17</a:t>
          </a:r>
        </a:p>
        <a:p xmlns:a="http://schemas.openxmlformats.org/drawingml/2006/main">
          <a:r>
            <a:rPr lang="en-ZA" sz="1000" baseline="0"/>
            <a:t>D - New CRM run - OK			Richard 29/09/17</a:t>
          </a:r>
          <a:endParaRPr lang="en-ZA" sz="1000"/>
        </a:p>
      </cdr:txBody>
    </cdr:sp>
  </cdr:relSizeAnchor>
  <cdr:relSizeAnchor xmlns:cdr="http://schemas.openxmlformats.org/drawingml/2006/chartDrawing">
    <cdr:from>
      <cdr:x>0.64222</cdr:x>
      <cdr:y>0.419</cdr:y>
    </cdr:from>
    <cdr:to>
      <cdr:x>0.69204</cdr:x>
      <cdr:y>0.48268</cdr:y>
    </cdr:to>
    <cdr:sp macro="" textlink="">
      <cdr:nvSpPr>
        <cdr:cNvPr id="6" name="TextBox 1"/>
        <cdr:cNvSpPr txBox="1"/>
      </cdr:nvSpPr>
      <cdr:spPr>
        <a:xfrm xmlns:a="http://schemas.openxmlformats.org/drawingml/2006/main">
          <a:off x="4173216" y="1696233"/>
          <a:ext cx="323738" cy="25779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0.69429</cdr:x>
      <cdr:y>0.42302</cdr:y>
    </cdr:from>
    <cdr:to>
      <cdr:x>0.74411</cdr:x>
      <cdr:y>0.49218</cdr:y>
    </cdr:to>
    <cdr:sp macro="" textlink="">
      <cdr:nvSpPr>
        <cdr:cNvPr id="7" name="TextBox 1"/>
        <cdr:cNvSpPr txBox="1"/>
      </cdr:nvSpPr>
      <cdr:spPr>
        <a:xfrm xmlns:a="http://schemas.openxmlformats.org/drawingml/2006/main">
          <a:off x="4511609" y="1712507"/>
          <a:ext cx="323737"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0.77911</cdr:x>
      <cdr:y>0.37722</cdr:y>
    </cdr:from>
    <cdr:to>
      <cdr:x>0.82893</cdr:x>
      <cdr:y>0.44638</cdr:y>
    </cdr:to>
    <cdr:sp macro="" textlink="">
      <cdr:nvSpPr>
        <cdr:cNvPr id="11" name="TextBox 1"/>
        <cdr:cNvSpPr txBox="1"/>
      </cdr:nvSpPr>
      <cdr:spPr>
        <a:xfrm xmlns:a="http://schemas.openxmlformats.org/drawingml/2006/main">
          <a:off x="5062778" y="1527108"/>
          <a:ext cx="323737"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0.85321</cdr:x>
      <cdr:y>0.25043</cdr:y>
    </cdr:from>
    <cdr:to>
      <cdr:x>0.9189</cdr:x>
      <cdr:y>0.29845</cdr:y>
    </cdr:to>
    <cdr:sp macro="" textlink="">
      <cdr:nvSpPr>
        <cdr:cNvPr id="8" name="TextBox 1"/>
        <cdr:cNvSpPr txBox="1"/>
      </cdr:nvSpPr>
      <cdr:spPr>
        <a:xfrm xmlns:a="http://schemas.openxmlformats.org/drawingml/2006/main">
          <a:off x="5544281" y="1013821"/>
          <a:ext cx="426864" cy="1943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0.86696</cdr:x>
      <cdr:y>0.32519</cdr:y>
    </cdr:from>
    <cdr:to>
      <cdr:x>0.8963</cdr:x>
      <cdr:y>0.38358</cdr:y>
    </cdr:to>
    <cdr:sp macro="" textlink="">
      <cdr:nvSpPr>
        <cdr:cNvPr id="9" name="TextBox 2"/>
        <cdr:cNvSpPr txBox="1"/>
      </cdr:nvSpPr>
      <cdr:spPr>
        <a:xfrm xmlns:a="http://schemas.openxmlformats.org/drawingml/2006/main">
          <a:off x="5633631" y="1316477"/>
          <a:ext cx="190655" cy="236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0.85666</cdr:x>
      <cdr:y>0.44125</cdr:y>
    </cdr:from>
    <cdr:to>
      <cdr:x>0.90362</cdr:x>
      <cdr:y>0.49963</cdr:y>
    </cdr:to>
    <cdr:sp macro="" textlink="">
      <cdr:nvSpPr>
        <cdr:cNvPr id="10" name="TextBox 3"/>
        <cdr:cNvSpPr txBox="1"/>
      </cdr:nvSpPr>
      <cdr:spPr>
        <a:xfrm xmlns:a="http://schemas.openxmlformats.org/drawingml/2006/main">
          <a:off x="5566709" y="1786309"/>
          <a:ext cx="305153" cy="23634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0.85638</cdr:x>
      <cdr:y>0.49285</cdr:y>
    </cdr:from>
    <cdr:to>
      <cdr:x>0.90333</cdr:x>
      <cdr:y>0.55123</cdr:y>
    </cdr:to>
    <cdr:sp macro="" textlink="">
      <cdr:nvSpPr>
        <cdr:cNvPr id="12" name="TextBox 4"/>
        <cdr:cNvSpPr txBox="1"/>
      </cdr:nvSpPr>
      <cdr:spPr>
        <a:xfrm xmlns:a="http://schemas.openxmlformats.org/drawingml/2006/main">
          <a:off x="5564881" y="1995195"/>
          <a:ext cx="305087" cy="23633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0.85599</cdr:x>
      <cdr:y>0.20941</cdr:y>
    </cdr:from>
    <cdr:to>
      <cdr:x>0.91728</cdr:x>
      <cdr:y>0.2595</cdr:y>
    </cdr:to>
    <cdr:sp macro="" textlink="">
      <cdr:nvSpPr>
        <cdr:cNvPr id="13" name="TextBox 16"/>
        <cdr:cNvSpPr txBox="1"/>
      </cdr:nvSpPr>
      <cdr:spPr>
        <a:xfrm xmlns:a="http://schemas.openxmlformats.org/drawingml/2006/main">
          <a:off x="5562338" y="847747"/>
          <a:ext cx="398272" cy="202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51.xml><?xml version="1.0" encoding="utf-8"?>
<c:userShapes xmlns:c="http://schemas.openxmlformats.org/drawingml/2006/chart">
  <cdr:relSizeAnchor xmlns:cdr="http://schemas.openxmlformats.org/drawingml/2006/chartDrawing">
    <cdr:from>
      <cdr:x>0.30274</cdr:x>
      <cdr:y>0.05636</cdr:y>
    </cdr:from>
    <cdr:to>
      <cdr:x>0.71242</cdr:x>
      <cdr:y>0.14052</cdr:y>
    </cdr:to>
    <cdr:sp macro="" textlink="">
      <cdr:nvSpPr>
        <cdr:cNvPr id="3" name="TextBox 2"/>
        <cdr:cNvSpPr txBox="1"/>
      </cdr:nvSpPr>
      <cdr:spPr>
        <a:xfrm xmlns:a="http://schemas.openxmlformats.org/drawingml/2006/main">
          <a:off x="1771972" y="227276"/>
          <a:ext cx="2397861" cy="3393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4 Failure ( -ve trend) Graph 4</a:t>
          </a:r>
          <a:endParaRPr lang="en-ZA" sz="1400" b="1"/>
        </a:p>
      </cdr:txBody>
    </cdr:sp>
  </cdr:relSizeAnchor>
  <cdr:relSizeAnchor xmlns:cdr="http://schemas.openxmlformats.org/drawingml/2006/chartDrawing">
    <cdr:from>
      <cdr:x>0.63627</cdr:x>
      <cdr:y>0.36471</cdr:y>
    </cdr:from>
    <cdr:to>
      <cdr:x>0.68609</cdr:x>
      <cdr:y>0.43388</cdr:y>
    </cdr:to>
    <cdr:sp macro="" textlink="">
      <cdr:nvSpPr>
        <cdr:cNvPr id="4" name="TextBox 3"/>
        <cdr:cNvSpPr txBox="1"/>
      </cdr:nvSpPr>
      <cdr:spPr>
        <a:xfrm xmlns:a="http://schemas.openxmlformats.org/drawingml/2006/main">
          <a:off x="4136202" y="1470701"/>
          <a:ext cx="323866" cy="2789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0.01718</cdr:x>
      <cdr:y>0.761</cdr:y>
    </cdr:from>
    <cdr:to>
      <cdr:x>0.98419</cdr:x>
      <cdr:y>1</cdr:y>
    </cdr:to>
    <cdr:sp macro="" textlink="">
      <cdr:nvSpPr>
        <cdr:cNvPr id="5" name="TextBox 4"/>
        <cdr:cNvSpPr txBox="1"/>
      </cdr:nvSpPr>
      <cdr:spPr>
        <a:xfrm xmlns:a="http://schemas.openxmlformats.org/drawingml/2006/main">
          <a:off x="100555" y="3068780"/>
          <a:ext cx="5659954" cy="96378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4 failure					Richard 29/09/17</a:t>
          </a:r>
        </a:p>
        <a:p xmlns:a="http://schemas.openxmlformats.org/drawingml/2006/main">
          <a:r>
            <a:rPr lang="en-ZA" sz="1000" baseline="0"/>
            <a:t>B - CRM duplicate re-run - failed Rule  4			Richard 29/09/17</a:t>
          </a:r>
        </a:p>
        <a:p xmlns:a="http://schemas.openxmlformats.org/drawingml/2006/main">
          <a:r>
            <a:rPr lang="en-ZA" sz="1000" baseline="0"/>
            <a:t>C - Analyser recalibrated, CRM duplicate re-run - failed Rule  4 		Richard 29/09/17</a:t>
          </a:r>
        </a:p>
        <a:p xmlns:a="http://schemas.openxmlformats.org/drawingml/2006/main">
          <a:r>
            <a:rPr lang="en-ZA" sz="1000" baseline="0"/>
            <a:t>D - New CRM run - failed Rule 4.  Work supsended -Manager Informed		Richard 29/09/17</a:t>
          </a:r>
        </a:p>
        <a:p xmlns:a="http://schemas.openxmlformats.org/drawingml/2006/main">
          <a:endParaRPr lang="en-ZA" sz="1000"/>
        </a:p>
      </cdr:txBody>
    </cdr:sp>
  </cdr:relSizeAnchor>
  <cdr:relSizeAnchor xmlns:cdr="http://schemas.openxmlformats.org/drawingml/2006/chartDrawing">
    <cdr:from>
      <cdr:x>0.69836</cdr:x>
      <cdr:y>0.37978</cdr:y>
    </cdr:from>
    <cdr:to>
      <cdr:x>0.74818</cdr:x>
      <cdr:y>0.44894</cdr:y>
    </cdr:to>
    <cdr:sp macro="" textlink="">
      <cdr:nvSpPr>
        <cdr:cNvPr id="6" name="TextBox 1"/>
        <cdr:cNvSpPr txBox="1"/>
      </cdr:nvSpPr>
      <cdr:spPr>
        <a:xfrm xmlns:a="http://schemas.openxmlformats.org/drawingml/2006/main">
          <a:off x="4539871" y="1531482"/>
          <a:ext cx="323866" cy="27889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0.76155</cdr:x>
      <cdr:y>0.39379</cdr:y>
    </cdr:from>
    <cdr:to>
      <cdr:x>0.81137</cdr:x>
      <cdr:y>0.46295</cdr:y>
    </cdr:to>
    <cdr:sp macro="" textlink="">
      <cdr:nvSpPr>
        <cdr:cNvPr id="7" name="TextBox 1"/>
        <cdr:cNvSpPr txBox="1"/>
      </cdr:nvSpPr>
      <cdr:spPr>
        <a:xfrm xmlns:a="http://schemas.openxmlformats.org/drawingml/2006/main">
          <a:off x="4950637" y="1587987"/>
          <a:ext cx="323866" cy="27889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0.82655</cdr:x>
      <cdr:y>0.50006</cdr:y>
    </cdr:from>
    <cdr:to>
      <cdr:x>0.87637</cdr:x>
      <cdr:y>0.56922</cdr:y>
    </cdr:to>
    <cdr:sp macro="" textlink="">
      <cdr:nvSpPr>
        <cdr:cNvPr id="11" name="TextBox 1"/>
        <cdr:cNvSpPr txBox="1"/>
      </cdr:nvSpPr>
      <cdr:spPr>
        <a:xfrm xmlns:a="http://schemas.openxmlformats.org/drawingml/2006/main">
          <a:off x="5373144" y="2016523"/>
          <a:ext cx="323866" cy="27889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cdr:x>
      <cdr:y>0</cdr:y>
    </cdr:from>
    <cdr:to>
      <cdr:x>0.00396</cdr:x>
      <cdr:y>0.00637</cdr:y>
    </cdr:to>
    <cdr:pic>
      <cdr:nvPicPr>
        <cdr:cNvPr id="12" name="chart">
          <a:extLst xmlns:a="http://schemas.openxmlformats.org/drawingml/2006/main">
            <a:ext uri="{FF2B5EF4-FFF2-40B4-BE49-F238E27FC236}">
              <a16:creationId xmlns:a16="http://schemas.microsoft.com/office/drawing/2014/main" id="{4B453A5E-D2B9-4EB4-A367-4FDEE9E278F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0.8853</cdr:x>
      <cdr:y>0.21886</cdr:y>
    </cdr:from>
    <cdr:to>
      <cdr:x>0.95106</cdr:x>
      <cdr:y>0.26706</cdr:y>
    </cdr:to>
    <cdr:sp macro="" textlink="">
      <cdr:nvSpPr>
        <cdr:cNvPr id="14" name="TextBox 1"/>
        <cdr:cNvSpPr txBox="1"/>
      </cdr:nvSpPr>
      <cdr:spPr>
        <a:xfrm xmlns:a="http://schemas.openxmlformats.org/drawingml/2006/main">
          <a:off x="5755093" y="882572"/>
          <a:ext cx="427487" cy="19437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0.90233</cdr:x>
      <cdr:y>0.30179</cdr:y>
    </cdr:from>
    <cdr:to>
      <cdr:x>0.9317</cdr:x>
      <cdr:y>0.36041</cdr:y>
    </cdr:to>
    <cdr:sp macro="" textlink="">
      <cdr:nvSpPr>
        <cdr:cNvPr id="15" name="TextBox 2"/>
        <cdr:cNvSpPr txBox="1"/>
      </cdr:nvSpPr>
      <cdr:spPr>
        <a:xfrm xmlns:a="http://schemas.openxmlformats.org/drawingml/2006/main">
          <a:off x="5865775" y="1216974"/>
          <a:ext cx="190926" cy="23638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0.88876</cdr:x>
      <cdr:y>0.41567</cdr:y>
    </cdr:from>
    <cdr:to>
      <cdr:x>0.93576</cdr:x>
      <cdr:y>0.47428</cdr:y>
    </cdr:to>
    <cdr:sp macro="" textlink="">
      <cdr:nvSpPr>
        <cdr:cNvPr id="16" name="TextBox 3"/>
        <cdr:cNvSpPr txBox="1"/>
      </cdr:nvSpPr>
      <cdr:spPr>
        <a:xfrm xmlns:a="http://schemas.openxmlformats.org/drawingml/2006/main">
          <a:off x="5777598" y="1676222"/>
          <a:ext cx="305534" cy="23634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0.89011</cdr:x>
      <cdr:y>0.47272</cdr:y>
    </cdr:from>
    <cdr:to>
      <cdr:x>0.93711</cdr:x>
      <cdr:y>0.53133</cdr:y>
    </cdr:to>
    <cdr:sp macro="" textlink="">
      <cdr:nvSpPr>
        <cdr:cNvPr id="17" name="TextBox 4"/>
        <cdr:cNvSpPr txBox="1"/>
      </cdr:nvSpPr>
      <cdr:spPr>
        <a:xfrm xmlns:a="http://schemas.openxmlformats.org/drawingml/2006/main">
          <a:off x="5786348" y="1906270"/>
          <a:ext cx="305534" cy="23634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0.88157</cdr:x>
      <cdr:y>0.16718</cdr:y>
    </cdr:from>
    <cdr:to>
      <cdr:x>0.94292</cdr:x>
      <cdr:y>0.21746</cdr:y>
    </cdr:to>
    <cdr:sp macro="" textlink="">
      <cdr:nvSpPr>
        <cdr:cNvPr id="18" name="TextBox 16"/>
        <cdr:cNvSpPr txBox="1"/>
      </cdr:nvSpPr>
      <cdr:spPr>
        <a:xfrm xmlns:a="http://schemas.openxmlformats.org/drawingml/2006/main">
          <a:off x="5730819" y="674169"/>
          <a:ext cx="398819" cy="20275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52.xml><?xml version="1.0" encoding="utf-8"?>
<c:userShapes xmlns:c="http://schemas.openxmlformats.org/drawingml/2006/chart">
  <cdr:relSizeAnchor xmlns:cdr="http://schemas.openxmlformats.org/drawingml/2006/chartDrawing">
    <cdr:from>
      <cdr:x>0.39225</cdr:x>
      <cdr:y>0.04455</cdr:y>
    </cdr:from>
    <cdr:to>
      <cdr:x>0.66202</cdr:x>
      <cdr:y>0.12871</cdr:y>
    </cdr:to>
    <cdr:sp macro="" textlink="">
      <cdr:nvSpPr>
        <cdr:cNvPr id="3" name="TextBox 2"/>
        <cdr:cNvSpPr txBox="1"/>
      </cdr:nvSpPr>
      <cdr:spPr>
        <a:xfrm xmlns:a="http://schemas.openxmlformats.org/drawingml/2006/main">
          <a:off x="2409825" y="171450"/>
          <a:ext cx="1657350" cy="3238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900" b="1"/>
        </a:p>
        <a:p xmlns:a="http://schemas.openxmlformats.org/drawingml/2006/main">
          <a:r>
            <a:rPr lang="en-ZA" sz="1400" b="1" baseline="0"/>
            <a:t> 1 Failure</a:t>
          </a:r>
          <a:endParaRPr lang="en-ZA" sz="1400" b="1"/>
        </a:p>
      </cdr:txBody>
    </cdr:sp>
  </cdr:relSizeAnchor>
  <cdr:relSizeAnchor xmlns:cdr="http://schemas.openxmlformats.org/drawingml/2006/chartDrawing">
    <cdr:from>
      <cdr:x>0.45001</cdr:x>
      <cdr:y>0.50138</cdr:y>
    </cdr:from>
    <cdr:to>
      <cdr:x>0.49983</cdr:x>
      <cdr:y>0.57054</cdr:y>
    </cdr:to>
    <cdr:sp macro="" textlink="">
      <cdr:nvSpPr>
        <cdr:cNvPr id="4" name="TextBox 3"/>
        <cdr:cNvSpPr txBox="1"/>
      </cdr:nvSpPr>
      <cdr:spPr>
        <a:xfrm xmlns:a="http://schemas.openxmlformats.org/drawingml/2006/main">
          <a:off x="2772303" y="1918229"/>
          <a:ext cx="306917" cy="26458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100" b="1">
            <a:solidFill>
              <a:srgbClr val="FF0000"/>
            </a:solidFill>
          </a:endParaRPr>
        </a:p>
      </cdr:txBody>
    </cdr:sp>
  </cdr:relSizeAnchor>
  <cdr:relSizeAnchor xmlns:cdr="http://schemas.openxmlformats.org/drawingml/2006/chartDrawing">
    <cdr:from>
      <cdr:x>0.07483</cdr:x>
      <cdr:y>0.7975</cdr:y>
    </cdr:from>
    <cdr:to>
      <cdr:x>0.9287</cdr:x>
      <cdr:y>0.94744</cdr:y>
    </cdr:to>
    <cdr:sp macro="" textlink="">
      <cdr:nvSpPr>
        <cdr:cNvPr id="5" name="TextBox 4"/>
        <cdr:cNvSpPr txBox="1"/>
      </cdr:nvSpPr>
      <cdr:spPr>
        <a:xfrm xmlns:a="http://schemas.openxmlformats.org/drawingml/2006/main">
          <a:off x="460939" y="3051268"/>
          <a:ext cx="5259917" cy="57369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100"/>
        </a:p>
        <a:p xmlns:a="http://schemas.openxmlformats.org/drawingml/2006/main">
          <a:r>
            <a:rPr lang="en-ZA" sz="1100"/>
            <a:t>A</a:t>
          </a:r>
          <a:r>
            <a:rPr lang="en-ZA" sz="1100" baseline="0"/>
            <a:t> - Rule 4 failure			Richard 29/09/17</a:t>
          </a:r>
        </a:p>
        <a:p xmlns:a="http://schemas.openxmlformats.org/drawingml/2006/main">
          <a:r>
            <a:rPr lang="en-ZA" sz="1100" baseline="0"/>
            <a:t>B- CRM duplicate re-run - OK			Richard 29/09/17</a:t>
          </a:r>
          <a:endParaRPr lang="en-ZA" sz="1100"/>
        </a:p>
      </cdr:txBody>
    </cdr:sp>
  </cdr:relSizeAnchor>
  <cdr:relSizeAnchor xmlns:cdr="http://schemas.openxmlformats.org/drawingml/2006/chartDrawing">
    <cdr:from>
      <cdr:x>0.28959</cdr:x>
      <cdr:y>0.04823</cdr:y>
    </cdr:from>
    <cdr:to>
      <cdr:x>0.74575</cdr:x>
      <cdr:y>0.13239</cdr:y>
    </cdr:to>
    <cdr:sp macro="" textlink="">
      <cdr:nvSpPr>
        <cdr:cNvPr id="6" name="TextBox 1"/>
        <cdr:cNvSpPr txBox="1"/>
      </cdr:nvSpPr>
      <cdr:spPr>
        <a:xfrm xmlns:a="http://schemas.openxmlformats.org/drawingml/2006/main">
          <a:off x="1806694" y="203310"/>
          <a:ext cx="2845926" cy="35477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Arial"/>
            </a:defRPr>
          </a:lvl1pPr>
          <a:lvl2pPr marL="457200" indent="0">
            <a:defRPr sz="1100">
              <a:latin typeface="Arial"/>
            </a:defRPr>
          </a:lvl2pPr>
          <a:lvl3pPr marL="914400" indent="0">
            <a:defRPr sz="1100">
              <a:latin typeface="Arial"/>
            </a:defRPr>
          </a:lvl3pPr>
          <a:lvl4pPr marL="1371600" indent="0">
            <a:defRPr sz="1100">
              <a:latin typeface="Arial"/>
            </a:defRPr>
          </a:lvl4pPr>
          <a:lvl5pPr marL="1828800" indent="0">
            <a:defRPr sz="1100">
              <a:latin typeface="Arial"/>
            </a:defRPr>
          </a:lvl5pPr>
          <a:lvl6pPr marL="2286000" indent="0">
            <a:defRPr sz="1100">
              <a:latin typeface="Arial"/>
            </a:defRPr>
          </a:lvl6pPr>
          <a:lvl7pPr marL="2743200" indent="0">
            <a:defRPr sz="1100">
              <a:latin typeface="Arial"/>
            </a:defRPr>
          </a:lvl7pPr>
          <a:lvl8pPr marL="3200400" indent="0">
            <a:defRPr sz="1100">
              <a:latin typeface="Arial"/>
            </a:defRPr>
          </a:lvl8pPr>
          <a:lvl9pPr marL="3657600" indent="0">
            <a:defRPr sz="1100">
              <a:latin typeface="Arial"/>
            </a:defRPr>
          </a:lvl9pPr>
        </a:lstStyle>
        <a:p xmlns:a="http://schemas.openxmlformats.org/drawingml/2006/main">
          <a:r>
            <a:rPr lang="en-ZA" sz="1400" b="1">
              <a:latin typeface="Calibri" pitchFamily="34" charset="0"/>
            </a:rPr>
            <a:t>Rule</a:t>
          </a:r>
          <a:r>
            <a:rPr lang="en-ZA" sz="1400" b="1" baseline="0">
              <a:latin typeface="Calibri" pitchFamily="34" charset="0"/>
            </a:rPr>
            <a:t> 4 Failure ( +ve trend) Graph 1</a:t>
          </a:r>
          <a:endParaRPr lang="en-ZA" sz="1400" b="1">
            <a:latin typeface="Calibri" pitchFamily="34" charset="0"/>
          </a:endParaRPr>
        </a:p>
      </cdr:txBody>
    </cdr:sp>
  </cdr:relSizeAnchor>
  <cdr:relSizeAnchor xmlns:cdr="http://schemas.openxmlformats.org/drawingml/2006/chartDrawing">
    <cdr:from>
      <cdr:x>0.67418</cdr:x>
      <cdr:y>0.27475</cdr:y>
    </cdr:from>
    <cdr:to>
      <cdr:x>0.72413</cdr:x>
      <cdr:y>0.34334</cdr:y>
    </cdr:to>
    <cdr:sp macro="" textlink="">
      <cdr:nvSpPr>
        <cdr:cNvPr id="7" name="TextBox 1"/>
        <cdr:cNvSpPr txBox="1"/>
      </cdr:nvSpPr>
      <cdr:spPr>
        <a:xfrm xmlns:a="http://schemas.openxmlformats.org/drawingml/2006/main">
          <a:off x="4188477" y="1158178"/>
          <a:ext cx="310323" cy="28913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0.75928</cdr:x>
      <cdr:y>0.25525</cdr:y>
    </cdr:from>
    <cdr:to>
      <cdr:x>0.80923</cdr:x>
      <cdr:y>0.32383</cdr:y>
    </cdr:to>
    <cdr:sp macro="" textlink="">
      <cdr:nvSpPr>
        <cdr:cNvPr id="8" name="TextBox 1"/>
        <cdr:cNvSpPr txBox="1"/>
      </cdr:nvSpPr>
      <cdr:spPr>
        <a:xfrm xmlns:a="http://schemas.openxmlformats.org/drawingml/2006/main">
          <a:off x="4717140" y="1075999"/>
          <a:ext cx="310323" cy="28909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0.81985</cdr:x>
      <cdr:y>0.2189</cdr:y>
    </cdr:from>
    <cdr:to>
      <cdr:x>0.8855</cdr:x>
      <cdr:y>0.26502</cdr:y>
    </cdr:to>
    <cdr:sp macro="" textlink="">
      <cdr:nvSpPr>
        <cdr:cNvPr id="9" name="TextBox 1"/>
        <cdr:cNvSpPr txBox="1"/>
      </cdr:nvSpPr>
      <cdr:spPr>
        <a:xfrm xmlns:a="http://schemas.openxmlformats.org/drawingml/2006/main">
          <a:off x="5114925" y="922769"/>
          <a:ext cx="409583" cy="19438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0.83187</cdr:x>
      <cdr:y>0.30075</cdr:y>
    </cdr:from>
    <cdr:to>
      <cdr:x>0.86119</cdr:x>
      <cdr:y>0.35682</cdr:y>
    </cdr:to>
    <cdr:sp macro="" textlink="">
      <cdr:nvSpPr>
        <cdr:cNvPr id="10" name="TextBox 2"/>
        <cdr:cNvSpPr txBox="1"/>
      </cdr:nvSpPr>
      <cdr:spPr>
        <a:xfrm xmlns:a="http://schemas.openxmlformats.org/drawingml/2006/main">
          <a:off x="5189933" y="1267772"/>
          <a:ext cx="182953" cy="2363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0.82494</cdr:x>
      <cdr:y>0.42976</cdr:y>
    </cdr:from>
    <cdr:to>
      <cdr:x>0.87186</cdr:x>
      <cdr:y>0.48584</cdr:y>
    </cdr:to>
    <cdr:sp macro="" textlink="">
      <cdr:nvSpPr>
        <cdr:cNvPr id="11" name="TextBox 3"/>
        <cdr:cNvSpPr txBox="1"/>
      </cdr:nvSpPr>
      <cdr:spPr>
        <a:xfrm xmlns:a="http://schemas.openxmlformats.org/drawingml/2006/main">
          <a:off x="5146667" y="1811646"/>
          <a:ext cx="292737"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0.82293</cdr:x>
      <cdr:y>0.47656</cdr:y>
    </cdr:from>
    <cdr:to>
      <cdr:x>0.86985</cdr:x>
      <cdr:y>0.53263</cdr:y>
    </cdr:to>
    <cdr:sp macro="" textlink="">
      <cdr:nvSpPr>
        <cdr:cNvPr id="12" name="TextBox 4"/>
        <cdr:cNvSpPr txBox="1"/>
      </cdr:nvSpPr>
      <cdr:spPr>
        <a:xfrm xmlns:a="http://schemas.openxmlformats.org/drawingml/2006/main">
          <a:off x="5134135" y="2008901"/>
          <a:ext cx="292737"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0.821</cdr:x>
      <cdr:y>0.16947</cdr:y>
    </cdr:from>
    <cdr:to>
      <cdr:x>0.88225</cdr:x>
      <cdr:y>0.21756</cdr:y>
    </cdr:to>
    <cdr:sp macro="" textlink="">
      <cdr:nvSpPr>
        <cdr:cNvPr id="13" name="TextBox 16"/>
        <cdr:cNvSpPr txBox="1"/>
      </cdr:nvSpPr>
      <cdr:spPr>
        <a:xfrm xmlns:a="http://schemas.openxmlformats.org/drawingml/2006/main">
          <a:off x="5122110" y="714375"/>
          <a:ext cx="382153" cy="20275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53.xml><?xml version="1.0" encoding="utf-8"?>
<c:userShapes xmlns:c="http://schemas.openxmlformats.org/drawingml/2006/chart">
  <cdr:relSizeAnchor xmlns:cdr="http://schemas.openxmlformats.org/drawingml/2006/chartDrawing">
    <cdr:from>
      <cdr:x>0.29511</cdr:x>
      <cdr:y>0.06505</cdr:y>
    </cdr:from>
    <cdr:to>
      <cdr:x>0.71721</cdr:x>
      <cdr:y>0.14921</cdr:y>
    </cdr:to>
    <cdr:sp macro="" textlink="">
      <cdr:nvSpPr>
        <cdr:cNvPr id="3" name="TextBox 2"/>
        <cdr:cNvSpPr txBox="1"/>
      </cdr:nvSpPr>
      <cdr:spPr>
        <a:xfrm xmlns:a="http://schemas.openxmlformats.org/drawingml/2006/main">
          <a:off x="1843973" y="271944"/>
          <a:ext cx="2637450" cy="3518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4 Failure ( +ve trend) Graph 2</a:t>
          </a:r>
          <a:endParaRPr lang="en-ZA" sz="1400" b="1"/>
        </a:p>
      </cdr:txBody>
    </cdr:sp>
  </cdr:relSizeAnchor>
  <cdr:relSizeAnchor xmlns:cdr="http://schemas.openxmlformats.org/drawingml/2006/chartDrawing">
    <cdr:from>
      <cdr:x>0.68224</cdr:x>
      <cdr:y>0.27633</cdr:y>
    </cdr:from>
    <cdr:to>
      <cdr:x>0.73206</cdr:x>
      <cdr:y>0.3455</cdr:y>
    </cdr:to>
    <cdr:sp macro="" textlink="">
      <cdr:nvSpPr>
        <cdr:cNvPr id="4" name="TextBox 3"/>
        <cdr:cNvSpPr txBox="1"/>
      </cdr:nvSpPr>
      <cdr:spPr>
        <a:xfrm xmlns:a="http://schemas.openxmlformats.org/drawingml/2006/main">
          <a:off x="4245034" y="1155195"/>
          <a:ext cx="309990" cy="28915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0.13563</cdr:x>
      <cdr:y>0.761</cdr:y>
    </cdr:from>
    <cdr:to>
      <cdr:x>0.93627</cdr:x>
      <cdr:y>1</cdr:y>
    </cdr:to>
    <cdr:sp macro="" textlink="">
      <cdr:nvSpPr>
        <cdr:cNvPr id="5" name="TextBox 4"/>
        <cdr:cNvSpPr txBox="1"/>
      </cdr:nvSpPr>
      <cdr:spPr>
        <a:xfrm xmlns:a="http://schemas.openxmlformats.org/drawingml/2006/main">
          <a:off x="835555" y="2911491"/>
          <a:ext cx="4932361" cy="91438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4 failure				Richard 29/09/17</a:t>
          </a:r>
        </a:p>
        <a:p xmlns:a="http://schemas.openxmlformats.org/drawingml/2006/main">
          <a:r>
            <a:rPr lang="en-ZA" sz="1000" baseline="0"/>
            <a:t>B - CRM duplicate re-run - failed	 Rule 4		Richard 29/09/17</a:t>
          </a:r>
        </a:p>
        <a:p xmlns:a="http://schemas.openxmlformats.org/drawingml/2006/main">
          <a:r>
            <a:rPr lang="en-ZA" sz="1000" baseline="0"/>
            <a:t>C - Analyser recalibrated, CRM duplicate re-run - OK 		Richard 29/09/17</a:t>
          </a:r>
          <a:endParaRPr lang="en-ZA" sz="1000"/>
        </a:p>
      </cdr:txBody>
    </cdr:sp>
  </cdr:relSizeAnchor>
  <cdr:relSizeAnchor xmlns:cdr="http://schemas.openxmlformats.org/drawingml/2006/chartDrawing">
    <cdr:from>
      <cdr:x>0.75314</cdr:x>
      <cdr:y>0.25857</cdr:y>
    </cdr:from>
    <cdr:to>
      <cdr:x>0.80296</cdr:x>
      <cdr:y>0.32773</cdr:y>
    </cdr:to>
    <cdr:sp macro="" textlink="">
      <cdr:nvSpPr>
        <cdr:cNvPr id="6" name="TextBox 1"/>
        <cdr:cNvSpPr txBox="1"/>
      </cdr:nvSpPr>
      <cdr:spPr>
        <a:xfrm xmlns:a="http://schemas.openxmlformats.org/drawingml/2006/main">
          <a:off x="4686181" y="1080914"/>
          <a:ext cx="309991" cy="2891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0.82328</cdr:x>
      <cdr:y>0.23817</cdr:y>
    </cdr:from>
    <cdr:to>
      <cdr:x>0.8731</cdr:x>
      <cdr:y>0.30733</cdr:y>
    </cdr:to>
    <cdr:sp macro="" textlink="">
      <cdr:nvSpPr>
        <cdr:cNvPr id="7" name="TextBox 1"/>
        <cdr:cNvSpPr txBox="1"/>
      </cdr:nvSpPr>
      <cdr:spPr>
        <a:xfrm xmlns:a="http://schemas.openxmlformats.org/drawingml/2006/main">
          <a:off x="5122607" y="995667"/>
          <a:ext cx="309990" cy="28911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0.84968</cdr:x>
      <cdr:y>0.21846</cdr:y>
    </cdr:from>
    <cdr:to>
      <cdr:x>0.91523</cdr:x>
      <cdr:y>0.26496</cdr:y>
    </cdr:to>
    <cdr:sp macro="" textlink="">
      <cdr:nvSpPr>
        <cdr:cNvPr id="8" name="TextBox 7"/>
        <cdr:cNvSpPr txBox="1"/>
      </cdr:nvSpPr>
      <cdr:spPr>
        <a:xfrm xmlns:a="http://schemas.openxmlformats.org/drawingml/2006/main">
          <a:off x="5309158" y="913264"/>
          <a:ext cx="409583" cy="19438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0.86169</cdr:x>
      <cdr:y>0.30099</cdr:y>
    </cdr:from>
    <cdr:to>
      <cdr:x>0.89097</cdr:x>
      <cdr:y>0.35753</cdr:y>
    </cdr:to>
    <cdr:sp macro="" textlink="">
      <cdr:nvSpPr>
        <cdr:cNvPr id="9" name="TextBox 8"/>
        <cdr:cNvSpPr txBox="1"/>
      </cdr:nvSpPr>
      <cdr:spPr>
        <a:xfrm xmlns:a="http://schemas.openxmlformats.org/drawingml/2006/main">
          <a:off x="5384166" y="1258267"/>
          <a:ext cx="182953" cy="2363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0.85476</cdr:x>
      <cdr:y>0.43109</cdr:y>
    </cdr:from>
    <cdr:to>
      <cdr:x>0.90161</cdr:x>
      <cdr:y>0.48763</cdr:y>
    </cdr:to>
    <cdr:sp macro="" textlink="">
      <cdr:nvSpPr>
        <cdr:cNvPr id="10" name="TextBox 9"/>
        <cdr:cNvSpPr txBox="1"/>
      </cdr:nvSpPr>
      <cdr:spPr>
        <a:xfrm xmlns:a="http://schemas.openxmlformats.org/drawingml/2006/main">
          <a:off x="5340900" y="1802141"/>
          <a:ext cx="292737"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0.85276</cdr:x>
      <cdr:y>0.47828</cdr:y>
    </cdr:from>
    <cdr:to>
      <cdr:x>0.89961</cdr:x>
      <cdr:y>0.53482</cdr:y>
    </cdr:to>
    <cdr:sp macro="" textlink="">
      <cdr:nvSpPr>
        <cdr:cNvPr id="11" name="TextBox 10"/>
        <cdr:cNvSpPr txBox="1"/>
      </cdr:nvSpPr>
      <cdr:spPr>
        <a:xfrm xmlns:a="http://schemas.openxmlformats.org/drawingml/2006/main">
          <a:off x="5328368" y="1999396"/>
          <a:ext cx="292737" cy="23636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0.85083</cdr:x>
      <cdr:y>0.16861</cdr:y>
    </cdr:from>
    <cdr:to>
      <cdr:x>0.91199</cdr:x>
      <cdr:y>0.21711</cdr:y>
    </cdr:to>
    <cdr:sp macro="" textlink="">
      <cdr:nvSpPr>
        <cdr:cNvPr id="12" name="TextBox 16"/>
        <cdr:cNvSpPr txBox="1"/>
      </cdr:nvSpPr>
      <cdr:spPr>
        <a:xfrm xmlns:a="http://schemas.openxmlformats.org/drawingml/2006/main">
          <a:off x="5316343" y="704870"/>
          <a:ext cx="382153" cy="20275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54.xml><?xml version="1.0" encoding="utf-8"?>
<c:userShapes xmlns:c="http://schemas.openxmlformats.org/drawingml/2006/chart">
  <cdr:relSizeAnchor xmlns:cdr="http://schemas.openxmlformats.org/drawingml/2006/chartDrawing">
    <cdr:from>
      <cdr:x>0.65704</cdr:x>
      <cdr:y>0.30935</cdr:y>
    </cdr:from>
    <cdr:to>
      <cdr:x>0.70686</cdr:x>
      <cdr:y>0.37852</cdr:y>
    </cdr:to>
    <cdr:sp macro="" textlink="">
      <cdr:nvSpPr>
        <cdr:cNvPr id="4" name="TextBox 3"/>
        <cdr:cNvSpPr txBox="1"/>
      </cdr:nvSpPr>
      <cdr:spPr>
        <a:xfrm xmlns:a="http://schemas.openxmlformats.org/drawingml/2006/main">
          <a:off x="4116567" y="1206044"/>
          <a:ext cx="312139" cy="26966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0.87014</cdr:x>
      <cdr:y>0.25853</cdr:y>
    </cdr:from>
    <cdr:to>
      <cdr:x>0.93583</cdr:x>
      <cdr:y>0.30655</cdr:y>
    </cdr:to>
    <cdr:sp macro="" textlink="">
      <cdr:nvSpPr>
        <cdr:cNvPr id="8" name="TextBox 1"/>
        <cdr:cNvSpPr txBox="1"/>
      </cdr:nvSpPr>
      <cdr:spPr>
        <a:xfrm xmlns:a="http://schemas.openxmlformats.org/drawingml/2006/main">
          <a:off x="5420392" y="1046610"/>
          <a:ext cx="409206" cy="1943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0.8793</cdr:x>
      <cdr:y>0.33904</cdr:y>
    </cdr:from>
    <cdr:to>
      <cdr:x>0.90864</cdr:x>
      <cdr:y>0.39743</cdr:y>
    </cdr:to>
    <cdr:sp macro="" textlink="">
      <cdr:nvSpPr>
        <cdr:cNvPr id="9" name="TextBox 2"/>
        <cdr:cNvSpPr txBox="1"/>
      </cdr:nvSpPr>
      <cdr:spPr>
        <a:xfrm xmlns:a="http://schemas.openxmlformats.org/drawingml/2006/main">
          <a:off x="5477471" y="1372550"/>
          <a:ext cx="182769" cy="236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0.8691</cdr:x>
      <cdr:y>0.46399</cdr:y>
    </cdr:from>
    <cdr:to>
      <cdr:x>0.91606</cdr:x>
      <cdr:y>0.52237</cdr:y>
    </cdr:to>
    <cdr:sp macro="" textlink="">
      <cdr:nvSpPr>
        <cdr:cNvPr id="10" name="TextBox 3"/>
        <cdr:cNvSpPr txBox="1"/>
      </cdr:nvSpPr>
      <cdr:spPr>
        <a:xfrm xmlns:a="http://schemas.openxmlformats.org/drawingml/2006/main">
          <a:off x="5413937" y="1878366"/>
          <a:ext cx="292531" cy="23633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0.87331</cdr:x>
      <cdr:y>0.50801</cdr:y>
    </cdr:from>
    <cdr:to>
      <cdr:x>0.92026</cdr:x>
      <cdr:y>0.56639</cdr:y>
    </cdr:to>
    <cdr:sp macro="" textlink="">
      <cdr:nvSpPr>
        <cdr:cNvPr id="12" name="TextBox 4"/>
        <cdr:cNvSpPr txBox="1"/>
      </cdr:nvSpPr>
      <cdr:spPr>
        <a:xfrm xmlns:a="http://schemas.openxmlformats.org/drawingml/2006/main">
          <a:off x="5440139" y="2056560"/>
          <a:ext cx="292468" cy="23634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0.87587</cdr:x>
      <cdr:y>0.20235</cdr:y>
    </cdr:from>
    <cdr:to>
      <cdr:x>0.93716</cdr:x>
      <cdr:y>0.25244</cdr:y>
    </cdr:to>
    <cdr:sp macro="" textlink="">
      <cdr:nvSpPr>
        <cdr:cNvPr id="13" name="TextBox 16"/>
        <cdr:cNvSpPr txBox="1"/>
      </cdr:nvSpPr>
      <cdr:spPr>
        <a:xfrm xmlns:a="http://schemas.openxmlformats.org/drawingml/2006/main">
          <a:off x="5456131" y="819154"/>
          <a:ext cx="381797" cy="202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0.29295</cdr:x>
      <cdr:y>0.07858</cdr:y>
    </cdr:from>
    <cdr:to>
      <cdr:x>0.70189</cdr:x>
      <cdr:y>0.16274</cdr:y>
    </cdr:to>
    <cdr:sp macro="" textlink="">
      <cdr:nvSpPr>
        <cdr:cNvPr id="2" name="TextBox 2"/>
        <cdr:cNvSpPr txBox="1"/>
      </cdr:nvSpPr>
      <cdr:spPr>
        <a:xfrm xmlns:a="http://schemas.openxmlformats.org/drawingml/2006/main">
          <a:off x="1824894" y="306346"/>
          <a:ext cx="2547430" cy="32810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4 Failure ( +ve trend) Graph 3</a:t>
          </a:r>
          <a:endParaRPr lang="en-ZA" sz="1400" b="1"/>
        </a:p>
      </cdr:txBody>
    </cdr:sp>
  </cdr:relSizeAnchor>
  <cdr:relSizeAnchor xmlns:cdr="http://schemas.openxmlformats.org/drawingml/2006/chartDrawing">
    <cdr:from>
      <cdr:x>0.11874</cdr:x>
      <cdr:y>0.761</cdr:y>
    </cdr:from>
    <cdr:to>
      <cdr:x>0.91938</cdr:x>
      <cdr:y>1</cdr:y>
    </cdr:to>
    <cdr:sp macro="" textlink="">
      <cdr:nvSpPr>
        <cdr:cNvPr id="15" name="TextBox 4"/>
        <cdr:cNvSpPr txBox="1"/>
      </cdr:nvSpPr>
      <cdr:spPr>
        <a:xfrm xmlns:a="http://schemas.openxmlformats.org/drawingml/2006/main">
          <a:off x="743934" y="3062098"/>
          <a:ext cx="5016276" cy="93176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4 failure				Richard 29/09/17</a:t>
          </a:r>
        </a:p>
        <a:p xmlns:a="http://schemas.openxmlformats.org/drawingml/2006/main">
          <a:r>
            <a:rPr lang="en-ZA" sz="1000" baseline="0"/>
            <a:t>B - CRM duplicate re-run - failed	 Rule 4		Richard 29/09/17</a:t>
          </a:r>
        </a:p>
        <a:p xmlns:a="http://schemas.openxmlformats.org/drawingml/2006/main">
          <a:r>
            <a:rPr lang="en-ZA" sz="1000" baseline="0"/>
            <a:t>C - Analyser recalibrated, CRM duplicate re-run - failed Rule  4	Richard 29/09/17</a:t>
          </a:r>
        </a:p>
        <a:p xmlns:a="http://schemas.openxmlformats.org/drawingml/2006/main">
          <a:r>
            <a:rPr lang="en-ZA" sz="1000" baseline="0"/>
            <a:t>D - New CRM run - OK			Richard 29/09/17</a:t>
          </a:r>
          <a:endParaRPr lang="en-ZA" sz="1000"/>
        </a:p>
      </cdr:txBody>
    </cdr:sp>
  </cdr:relSizeAnchor>
  <cdr:relSizeAnchor xmlns:cdr="http://schemas.openxmlformats.org/drawingml/2006/chartDrawing">
    <cdr:from>
      <cdr:x>0.70991</cdr:x>
      <cdr:y>0.28464</cdr:y>
    </cdr:from>
    <cdr:to>
      <cdr:x>0.75973</cdr:x>
      <cdr:y>0.35379</cdr:y>
    </cdr:to>
    <cdr:sp macro="" textlink="">
      <cdr:nvSpPr>
        <cdr:cNvPr id="16" name="TextBox 1"/>
        <cdr:cNvSpPr txBox="1"/>
      </cdr:nvSpPr>
      <cdr:spPr>
        <a:xfrm xmlns:a="http://schemas.openxmlformats.org/drawingml/2006/main">
          <a:off x="4447838" y="1109701"/>
          <a:ext cx="312138" cy="26959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0.76806</cdr:x>
      <cdr:y>0.27276</cdr:y>
    </cdr:from>
    <cdr:to>
      <cdr:x>0.81788</cdr:x>
      <cdr:y>0.34192</cdr:y>
    </cdr:to>
    <cdr:sp macro="" textlink="">
      <cdr:nvSpPr>
        <cdr:cNvPr id="17" name="TextBox 1"/>
        <cdr:cNvSpPr txBox="1"/>
      </cdr:nvSpPr>
      <cdr:spPr>
        <a:xfrm xmlns:a="http://schemas.openxmlformats.org/drawingml/2006/main">
          <a:off x="4812176" y="1063402"/>
          <a:ext cx="312139" cy="26962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0.82448</cdr:x>
      <cdr:y>0.35065</cdr:y>
    </cdr:from>
    <cdr:to>
      <cdr:x>0.8743</cdr:x>
      <cdr:y>0.41981</cdr:y>
    </cdr:to>
    <cdr:sp macro="" textlink="">
      <cdr:nvSpPr>
        <cdr:cNvPr id="18" name="TextBox 1"/>
        <cdr:cNvSpPr txBox="1"/>
      </cdr:nvSpPr>
      <cdr:spPr>
        <a:xfrm xmlns:a="http://schemas.openxmlformats.org/drawingml/2006/main">
          <a:off x="5165646" y="1367052"/>
          <a:ext cx="312139" cy="26962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0.87014</cdr:x>
      <cdr:y>0.25853</cdr:y>
    </cdr:from>
    <cdr:to>
      <cdr:x>0.93583</cdr:x>
      <cdr:y>0.30655</cdr:y>
    </cdr:to>
    <cdr:sp macro="" textlink="">
      <cdr:nvSpPr>
        <cdr:cNvPr id="19" name="TextBox 1"/>
        <cdr:cNvSpPr txBox="1"/>
      </cdr:nvSpPr>
      <cdr:spPr>
        <a:xfrm xmlns:a="http://schemas.openxmlformats.org/drawingml/2006/main">
          <a:off x="5420392" y="1046610"/>
          <a:ext cx="409206" cy="1943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0.8793</cdr:x>
      <cdr:y>0.33904</cdr:y>
    </cdr:from>
    <cdr:to>
      <cdr:x>0.90864</cdr:x>
      <cdr:y>0.39743</cdr:y>
    </cdr:to>
    <cdr:sp macro="" textlink="">
      <cdr:nvSpPr>
        <cdr:cNvPr id="20" name="TextBox 2"/>
        <cdr:cNvSpPr txBox="1"/>
      </cdr:nvSpPr>
      <cdr:spPr>
        <a:xfrm xmlns:a="http://schemas.openxmlformats.org/drawingml/2006/main">
          <a:off x="5477471" y="1372550"/>
          <a:ext cx="182769" cy="236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0.8691</cdr:x>
      <cdr:y>0.46399</cdr:y>
    </cdr:from>
    <cdr:to>
      <cdr:x>0.91606</cdr:x>
      <cdr:y>0.52237</cdr:y>
    </cdr:to>
    <cdr:sp macro="" textlink="">
      <cdr:nvSpPr>
        <cdr:cNvPr id="21" name="TextBox 3"/>
        <cdr:cNvSpPr txBox="1"/>
      </cdr:nvSpPr>
      <cdr:spPr>
        <a:xfrm xmlns:a="http://schemas.openxmlformats.org/drawingml/2006/main">
          <a:off x="5413937" y="1878366"/>
          <a:ext cx="292531" cy="23633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0.87331</cdr:x>
      <cdr:y>0.50801</cdr:y>
    </cdr:from>
    <cdr:to>
      <cdr:x>0.92026</cdr:x>
      <cdr:y>0.56639</cdr:y>
    </cdr:to>
    <cdr:sp macro="" textlink="">
      <cdr:nvSpPr>
        <cdr:cNvPr id="22" name="TextBox 4"/>
        <cdr:cNvSpPr txBox="1"/>
      </cdr:nvSpPr>
      <cdr:spPr>
        <a:xfrm xmlns:a="http://schemas.openxmlformats.org/drawingml/2006/main">
          <a:off x="5440139" y="2056560"/>
          <a:ext cx="292468" cy="23634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0.87587</cdr:x>
      <cdr:y>0.20235</cdr:y>
    </cdr:from>
    <cdr:to>
      <cdr:x>0.93716</cdr:x>
      <cdr:y>0.25244</cdr:y>
    </cdr:to>
    <cdr:sp macro="" textlink="">
      <cdr:nvSpPr>
        <cdr:cNvPr id="23" name="TextBox 16"/>
        <cdr:cNvSpPr txBox="1"/>
      </cdr:nvSpPr>
      <cdr:spPr>
        <a:xfrm xmlns:a="http://schemas.openxmlformats.org/drawingml/2006/main">
          <a:off x="5456131" y="819154"/>
          <a:ext cx="381797" cy="202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55.xml><?xml version="1.0" encoding="utf-8"?>
<c:userShapes xmlns:c="http://schemas.openxmlformats.org/drawingml/2006/chart">
  <cdr:relSizeAnchor xmlns:cdr="http://schemas.openxmlformats.org/drawingml/2006/chartDrawing">
    <cdr:from>
      <cdr:x>0.29448</cdr:x>
      <cdr:y>0.04926</cdr:y>
    </cdr:from>
    <cdr:to>
      <cdr:x>0.70342</cdr:x>
      <cdr:y>0.13342</cdr:y>
    </cdr:to>
    <cdr:sp macro="" textlink="">
      <cdr:nvSpPr>
        <cdr:cNvPr id="3" name="TextBox 2"/>
        <cdr:cNvSpPr txBox="1"/>
      </cdr:nvSpPr>
      <cdr:spPr>
        <a:xfrm xmlns:a="http://schemas.openxmlformats.org/drawingml/2006/main">
          <a:off x="1721261" y="199402"/>
          <a:ext cx="2390342" cy="3407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400" b="1"/>
            <a:t>Rule</a:t>
          </a:r>
          <a:r>
            <a:rPr lang="en-ZA" sz="1400" b="1" baseline="0"/>
            <a:t> 4 Failure ( +ve trend) Graph 3</a:t>
          </a:r>
          <a:endParaRPr lang="en-ZA" sz="1400" b="1"/>
        </a:p>
      </cdr:txBody>
    </cdr:sp>
  </cdr:relSizeAnchor>
  <cdr:relSizeAnchor xmlns:cdr="http://schemas.openxmlformats.org/drawingml/2006/chartDrawing">
    <cdr:from>
      <cdr:x>0.64758</cdr:x>
      <cdr:y>0.30321</cdr:y>
    </cdr:from>
    <cdr:to>
      <cdr:x>0.6974</cdr:x>
      <cdr:y>0.37238</cdr:y>
    </cdr:to>
    <cdr:sp macro="" textlink="">
      <cdr:nvSpPr>
        <cdr:cNvPr id="4" name="TextBox 3"/>
        <cdr:cNvSpPr txBox="1"/>
      </cdr:nvSpPr>
      <cdr:spPr>
        <a:xfrm xmlns:a="http://schemas.openxmlformats.org/drawingml/2006/main">
          <a:off x="4057310" y="1227482"/>
          <a:ext cx="312139" cy="2800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solidFill>
                <a:sysClr val="windowText" lastClr="000000"/>
              </a:solidFill>
            </a:rPr>
            <a:t>A</a:t>
          </a:r>
        </a:p>
      </cdr:txBody>
    </cdr:sp>
  </cdr:relSizeAnchor>
  <cdr:relSizeAnchor xmlns:cdr="http://schemas.openxmlformats.org/drawingml/2006/chartDrawing">
    <cdr:from>
      <cdr:x>0.03976</cdr:x>
      <cdr:y>0.78114</cdr:y>
    </cdr:from>
    <cdr:to>
      <cdr:x>0.97095</cdr:x>
      <cdr:y>1</cdr:y>
    </cdr:to>
    <cdr:sp macro="" textlink="">
      <cdr:nvSpPr>
        <cdr:cNvPr id="5" name="TextBox 4"/>
        <cdr:cNvSpPr txBox="1"/>
      </cdr:nvSpPr>
      <cdr:spPr>
        <a:xfrm xmlns:a="http://schemas.openxmlformats.org/drawingml/2006/main">
          <a:off x="247651" y="3162300"/>
          <a:ext cx="5800724" cy="8859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ZA" sz="1000"/>
        </a:p>
        <a:p xmlns:a="http://schemas.openxmlformats.org/drawingml/2006/main">
          <a:r>
            <a:rPr lang="en-ZA" sz="1000"/>
            <a:t>A</a:t>
          </a:r>
          <a:r>
            <a:rPr lang="en-ZA" sz="1000" baseline="0"/>
            <a:t> - Rule 4 failure					Richard 29/09/17</a:t>
          </a:r>
        </a:p>
        <a:p xmlns:a="http://schemas.openxmlformats.org/drawingml/2006/main">
          <a:r>
            <a:rPr lang="en-ZA" sz="1000" baseline="0"/>
            <a:t>B - CRM duplicate re-run - failed	 Rule 4			Richard 29/09/17</a:t>
          </a:r>
        </a:p>
        <a:p xmlns:a="http://schemas.openxmlformats.org/drawingml/2006/main">
          <a:r>
            <a:rPr lang="en-ZA" sz="1000" baseline="0"/>
            <a:t>C - Analyser recalibrated, CRM duplicate re-run - failed Rule 4 		Richard 29/09/17</a:t>
          </a:r>
        </a:p>
        <a:p xmlns:a="http://schemas.openxmlformats.org/drawingml/2006/main">
          <a:r>
            <a:rPr lang="en-ZA" sz="1000" baseline="0">
              <a:latin typeface="+mn-lt"/>
              <a:ea typeface="+mn-ea"/>
              <a:cs typeface="+mn-cs"/>
            </a:rPr>
            <a:t>D - New CRM run - failed Rule 4.  Work supsended -Manager Informed</a:t>
          </a:r>
          <a:r>
            <a:rPr lang="en-ZA" sz="1100" baseline="0">
              <a:latin typeface="+mn-lt"/>
              <a:ea typeface="+mn-ea"/>
              <a:cs typeface="+mn-cs"/>
            </a:rPr>
            <a:t>		</a:t>
          </a:r>
          <a:r>
            <a:rPr lang="en-ZA" sz="1000" baseline="0"/>
            <a:t>Richard 29/09/17</a:t>
          </a:r>
          <a:endParaRPr lang="en-ZA" sz="1000"/>
        </a:p>
      </cdr:txBody>
    </cdr:sp>
  </cdr:relSizeAnchor>
  <cdr:relSizeAnchor xmlns:cdr="http://schemas.openxmlformats.org/drawingml/2006/chartDrawing">
    <cdr:from>
      <cdr:x>0.71229</cdr:x>
      <cdr:y>0.28465</cdr:y>
    </cdr:from>
    <cdr:to>
      <cdr:x>0.76211</cdr:x>
      <cdr:y>0.35381</cdr:y>
    </cdr:to>
    <cdr:sp macro="" textlink="">
      <cdr:nvSpPr>
        <cdr:cNvPr id="6" name="TextBox 1"/>
        <cdr:cNvSpPr txBox="1"/>
      </cdr:nvSpPr>
      <cdr:spPr>
        <a:xfrm xmlns:a="http://schemas.openxmlformats.org/drawingml/2006/main">
          <a:off x="4462755" y="1152353"/>
          <a:ext cx="312139"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B</a:t>
          </a:r>
        </a:p>
      </cdr:txBody>
    </cdr:sp>
  </cdr:relSizeAnchor>
  <cdr:relSizeAnchor xmlns:cdr="http://schemas.openxmlformats.org/drawingml/2006/chartDrawing">
    <cdr:from>
      <cdr:x>0.77035</cdr:x>
      <cdr:y>0.26813</cdr:y>
    </cdr:from>
    <cdr:to>
      <cdr:x>0.82017</cdr:x>
      <cdr:y>0.33729</cdr:y>
    </cdr:to>
    <cdr:sp macro="" textlink="">
      <cdr:nvSpPr>
        <cdr:cNvPr id="7" name="TextBox 1"/>
        <cdr:cNvSpPr txBox="1"/>
      </cdr:nvSpPr>
      <cdr:spPr>
        <a:xfrm xmlns:a="http://schemas.openxmlformats.org/drawingml/2006/main">
          <a:off x="4826499" y="1085457"/>
          <a:ext cx="312139" cy="27998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C</a:t>
          </a:r>
        </a:p>
      </cdr:txBody>
    </cdr:sp>
  </cdr:relSizeAnchor>
  <cdr:relSizeAnchor xmlns:cdr="http://schemas.openxmlformats.org/drawingml/2006/chartDrawing">
    <cdr:from>
      <cdr:x>0.83389</cdr:x>
      <cdr:y>0.26952</cdr:y>
    </cdr:from>
    <cdr:to>
      <cdr:x>0.88371</cdr:x>
      <cdr:y>0.33868</cdr:y>
    </cdr:to>
    <cdr:sp macro="" textlink="">
      <cdr:nvSpPr>
        <cdr:cNvPr id="11" name="TextBox 1"/>
        <cdr:cNvSpPr txBox="1"/>
      </cdr:nvSpPr>
      <cdr:spPr>
        <a:xfrm xmlns:a="http://schemas.openxmlformats.org/drawingml/2006/main">
          <a:off x="5224609" y="1091081"/>
          <a:ext cx="312139" cy="279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b="1">
              <a:solidFill>
                <a:sysClr val="windowText" lastClr="000000"/>
              </a:solidFill>
            </a:rPr>
            <a:t>D</a:t>
          </a:r>
        </a:p>
      </cdr:txBody>
    </cdr:sp>
  </cdr:relSizeAnchor>
  <cdr:relSizeAnchor xmlns:cdr="http://schemas.openxmlformats.org/drawingml/2006/chartDrawing">
    <cdr:from>
      <cdr:x>0.87014</cdr:x>
      <cdr:y>0.25853</cdr:y>
    </cdr:from>
    <cdr:to>
      <cdr:x>0.93583</cdr:x>
      <cdr:y>0.30655</cdr:y>
    </cdr:to>
    <cdr:sp macro="" textlink="">
      <cdr:nvSpPr>
        <cdr:cNvPr id="8" name="TextBox 1"/>
        <cdr:cNvSpPr txBox="1"/>
      </cdr:nvSpPr>
      <cdr:spPr>
        <a:xfrm xmlns:a="http://schemas.openxmlformats.org/drawingml/2006/main">
          <a:off x="5420392" y="1046610"/>
          <a:ext cx="409206" cy="1943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0.8793</cdr:x>
      <cdr:y>0.33904</cdr:y>
    </cdr:from>
    <cdr:to>
      <cdr:x>0.90864</cdr:x>
      <cdr:y>0.39743</cdr:y>
    </cdr:to>
    <cdr:sp macro="" textlink="">
      <cdr:nvSpPr>
        <cdr:cNvPr id="9" name="TextBox 2"/>
        <cdr:cNvSpPr txBox="1"/>
      </cdr:nvSpPr>
      <cdr:spPr>
        <a:xfrm xmlns:a="http://schemas.openxmlformats.org/drawingml/2006/main">
          <a:off x="5477471" y="1372550"/>
          <a:ext cx="182769" cy="236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baseline="0"/>
            <a:t>x͞</a:t>
          </a:r>
        </a:p>
      </cdr:txBody>
    </cdr:sp>
  </cdr:relSizeAnchor>
  <cdr:relSizeAnchor xmlns:cdr="http://schemas.openxmlformats.org/drawingml/2006/chartDrawing">
    <cdr:from>
      <cdr:x>0.8691</cdr:x>
      <cdr:y>0.46399</cdr:y>
    </cdr:from>
    <cdr:to>
      <cdr:x>0.91606</cdr:x>
      <cdr:y>0.52237</cdr:y>
    </cdr:to>
    <cdr:sp macro="" textlink="">
      <cdr:nvSpPr>
        <cdr:cNvPr id="10" name="TextBox 3"/>
        <cdr:cNvSpPr txBox="1"/>
      </cdr:nvSpPr>
      <cdr:spPr>
        <a:xfrm xmlns:a="http://schemas.openxmlformats.org/drawingml/2006/main">
          <a:off x="5413937" y="1878366"/>
          <a:ext cx="292531" cy="23633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-2s</a:t>
          </a:r>
        </a:p>
      </cdr:txBody>
    </cdr:sp>
  </cdr:relSizeAnchor>
  <cdr:relSizeAnchor xmlns:cdr="http://schemas.openxmlformats.org/drawingml/2006/chartDrawing">
    <cdr:from>
      <cdr:x>0.87331</cdr:x>
      <cdr:y>0.50801</cdr:y>
    </cdr:from>
    <cdr:to>
      <cdr:x>0.92026</cdr:x>
      <cdr:y>0.56639</cdr:y>
    </cdr:to>
    <cdr:sp macro="" textlink="">
      <cdr:nvSpPr>
        <cdr:cNvPr id="12" name="TextBox 4"/>
        <cdr:cNvSpPr txBox="1"/>
      </cdr:nvSpPr>
      <cdr:spPr>
        <a:xfrm xmlns:a="http://schemas.openxmlformats.org/drawingml/2006/main">
          <a:off x="5440139" y="2056560"/>
          <a:ext cx="292468" cy="23634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dr:relSizeAnchor xmlns:cdr="http://schemas.openxmlformats.org/drawingml/2006/chartDrawing">
    <cdr:from>
      <cdr:x>0.87587</cdr:x>
      <cdr:y>0.20235</cdr:y>
    </cdr:from>
    <cdr:to>
      <cdr:x>0.93716</cdr:x>
      <cdr:y>0.25244</cdr:y>
    </cdr:to>
    <cdr:sp macro="" textlink="">
      <cdr:nvSpPr>
        <cdr:cNvPr id="13" name="TextBox 16"/>
        <cdr:cNvSpPr txBox="1"/>
      </cdr:nvSpPr>
      <cdr:spPr>
        <a:xfrm xmlns:a="http://schemas.openxmlformats.org/drawingml/2006/main">
          <a:off x="5456131" y="819154"/>
          <a:ext cx="381797" cy="202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ZA" sz="900" b="1"/>
            <a:t>+3s</a:t>
          </a:r>
        </a:p>
      </cdr:txBody>
    </cdr:sp>
  </cdr:relSizeAnchor>
</c:userShapes>
</file>

<file path=xl/drawings/drawing56.xml><?xml version="1.0" encoding="utf-8"?>
<xdr:wsDr xmlns:xdr="http://schemas.openxmlformats.org/drawingml/2006/spreadsheetDrawing" xmlns:a="http://schemas.openxmlformats.org/drawingml/2006/main">
  <xdr:twoCellAnchor>
    <xdr:from>
      <xdr:col>22</xdr:col>
      <xdr:colOff>0</xdr:colOff>
      <xdr:row>19</xdr:row>
      <xdr:rowOff>200025</xdr:rowOff>
    </xdr:from>
    <xdr:to>
      <xdr:col>29</xdr:col>
      <xdr:colOff>23813</xdr:colOff>
      <xdr:row>33</xdr:row>
      <xdr:rowOff>142875</xdr:rowOff>
    </xdr:to>
    <xdr:graphicFrame macro="">
      <xdr:nvGraphicFramePr>
        <xdr:cNvPr id="2" name="Chart 1">
          <a:extLst>
            <a:ext uri="{FF2B5EF4-FFF2-40B4-BE49-F238E27FC236}">
              <a16:creationId xmlns:a16="http://schemas.microsoft.com/office/drawing/2014/main" id="{00000000-0008-0000-1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9526</xdr:colOff>
      <xdr:row>33</xdr:row>
      <xdr:rowOff>190499</xdr:rowOff>
    </xdr:from>
    <xdr:to>
      <xdr:col>29</xdr:col>
      <xdr:colOff>28576</xdr:colOff>
      <xdr:row>43</xdr:row>
      <xdr:rowOff>51953</xdr:rowOff>
    </xdr:to>
    <xdr:graphicFrame macro="">
      <xdr:nvGraphicFramePr>
        <xdr:cNvPr id="3" name="Chart 2">
          <a:extLst>
            <a:ext uri="{FF2B5EF4-FFF2-40B4-BE49-F238E27FC236}">
              <a16:creationId xmlns:a16="http://schemas.microsoft.com/office/drawing/2014/main" id="{00000000-0008-0000-1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42</xdr:col>
      <xdr:colOff>31750</xdr:colOff>
      <xdr:row>19</xdr:row>
      <xdr:rowOff>200025</xdr:rowOff>
    </xdr:from>
    <xdr:to>
      <xdr:col>49</xdr:col>
      <xdr:colOff>55563</xdr:colOff>
      <xdr:row>33</xdr:row>
      <xdr:rowOff>142875</xdr:rowOff>
    </xdr:to>
    <xdr:graphicFrame macro="">
      <xdr:nvGraphicFramePr>
        <xdr:cNvPr id="4" name="Chart 3">
          <a:extLst>
            <a:ext uri="{FF2B5EF4-FFF2-40B4-BE49-F238E27FC236}">
              <a16:creationId xmlns:a16="http://schemas.microsoft.com/office/drawing/2014/main" id="{00000000-0008-0000-1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42</xdr:col>
      <xdr:colOff>9526</xdr:colOff>
      <xdr:row>33</xdr:row>
      <xdr:rowOff>190499</xdr:rowOff>
    </xdr:from>
    <xdr:to>
      <xdr:col>49</xdr:col>
      <xdr:colOff>28576</xdr:colOff>
      <xdr:row>43</xdr:row>
      <xdr:rowOff>51953</xdr:rowOff>
    </xdr:to>
    <xdr:graphicFrame macro="">
      <xdr:nvGraphicFramePr>
        <xdr:cNvPr id="5" name="Chart 4">
          <a:extLst>
            <a:ext uri="{FF2B5EF4-FFF2-40B4-BE49-F238E27FC236}">
              <a16:creationId xmlns:a16="http://schemas.microsoft.com/office/drawing/2014/main" id="{00000000-0008-0000-1C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7.xml><?xml version="1.0" encoding="utf-8"?>
<c:userShapes xmlns:c="http://schemas.openxmlformats.org/drawingml/2006/chart">
  <cdr:relSizeAnchor xmlns:cdr="http://schemas.openxmlformats.org/drawingml/2006/chartDrawing">
    <cdr:from>
      <cdr:x>0.40791</cdr:x>
      <cdr:y>0.03593</cdr:y>
    </cdr:from>
    <cdr:to>
      <cdr:x>0.62222</cdr:x>
      <cdr:y>0.11833</cdr:y>
    </cdr:to>
    <cdr:sp macro="" textlink="">
      <cdr:nvSpPr>
        <cdr:cNvPr id="2" name="TextBox 1"/>
        <cdr:cNvSpPr txBox="1"/>
      </cdr:nvSpPr>
      <cdr:spPr>
        <a:xfrm xmlns:a="http://schemas.openxmlformats.org/drawingml/2006/main">
          <a:off x="1740477" y="94385"/>
          <a:ext cx="914400" cy="2164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ZA" sz="1100" b="1"/>
            <a:t>Rule 1 &gt; +3s</a:t>
          </a:r>
        </a:p>
      </cdr:txBody>
    </cdr:sp>
  </cdr:relSizeAnchor>
</c:userShapes>
</file>

<file path=xl/drawings/drawing58.xml><?xml version="1.0" encoding="utf-8"?>
<c:userShapes xmlns:c="http://schemas.openxmlformats.org/drawingml/2006/chart">
  <cdr:relSizeAnchor xmlns:cdr="http://schemas.openxmlformats.org/drawingml/2006/chartDrawing">
    <cdr:from>
      <cdr:x>0.40004</cdr:x>
      <cdr:y>0.03415</cdr:y>
    </cdr:from>
    <cdr:to>
      <cdr:x>0.61459</cdr:x>
      <cdr:y>0.16098</cdr:y>
    </cdr:to>
    <cdr:sp macro="" textlink="">
      <cdr:nvSpPr>
        <cdr:cNvPr id="2" name="TextBox 1"/>
        <cdr:cNvSpPr txBox="1"/>
      </cdr:nvSpPr>
      <cdr:spPr>
        <a:xfrm xmlns:a="http://schemas.openxmlformats.org/drawingml/2006/main">
          <a:off x="1704973" y="60614"/>
          <a:ext cx="914400" cy="22513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t>Rule 1 Range</a:t>
          </a:r>
        </a:p>
      </cdr:txBody>
    </cdr:sp>
  </cdr:relSizeAnchor>
</c:userShapes>
</file>

<file path=xl/drawings/drawing59.xml><?xml version="1.0" encoding="utf-8"?>
<c:userShapes xmlns:c="http://schemas.openxmlformats.org/drawingml/2006/chart">
  <cdr:relSizeAnchor xmlns:cdr="http://schemas.openxmlformats.org/drawingml/2006/chartDrawing">
    <cdr:from>
      <cdr:x>0.40791</cdr:x>
      <cdr:y>0.03593</cdr:y>
    </cdr:from>
    <cdr:to>
      <cdr:x>0.62222</cdr:x>
      <cdr:y>0.11833</cdr:y>
    </cdr:to>
    <cdr:sp macro="" textlink="">
      <cdr:nvSpPr>
        <cdr:cNvPr id="2" name="TextBox 1"/>
        <cdr:cNvSpPr txBox="1"/>
      </cdr:nvSpPr>
      <cdr:spPr>
        <a:xfrm xmlns:a="http://schemas.openxmlformats.org/drawingml/2006/main">
          <a:off x="1740477" y="94385"/>
          <a:ext cx="914400" cy="2164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ZA" sz="1100" b="1"/>
            <a:t>Rule 1 &lt; -3s</a:t>
          </a:r>
        </a:p>
      </cdr:txBody>
    </cdr:sp>
  </cdr:relSizeAnchor>
</c:userShapes>
</file>

<file path=xl/drawings/drawing60.xml><?xml version="1.0" encoding="utf-8"?>
<c:userShapes xmlns:c="http://schemas.openxmlformats.org/drawingml/2006/chart">
  <cdr:relSizeAnchor xmlns:cdr="http://schemas.openxmlformats.org/drawingml/2006/chartDrawing">
    <cdr:from>
      <cdr:x>0.40004</cdr:x>
      <cdr:y>0.03415</cdr:y>
    </cdr:from>
    <cdr:to>
      <cdr:x>0.61459</cdr:x>
      <cdr:y>0.16098</cdr:y>
    </cdr:to>
    <cdr:sp macro="" textlink="">
      <cdr:nvSpPr>
        <cdr:cNvPr id="2" name="TextBox 1"/>
        <cdr:cNvSpPr txBox="1"/>
      </cdr:nvSpPr>
      <cdr:spPr>
        <a:xfrm xmlns:a="http://schemas.openxmlformats.org/drawingml/2006/main">
          <a:off x="1704973" y="60614"/>
          <a:ext cx="914400" cy="22513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t>Rule 1 Range</a:t>
          </a:r>
        </a:p>
      </cdr:txBody>
    </cdr:sp>
  </cdr:relSizeAnchor>
</c:userShapes>
</file>

<file path=xl/drawings/drawing61.xml><?xml version="1.0" encoding="utf-8"?>
<xdr:wsDr xmlns:xdr="http://schemas.openxmlformats.org/drawingml/2006/spreadsheetDrawing" xmlns:a="http://schemas.openxmlformats.org/drawingml/2006/main">
  <xdr:twoCellAnchor>
    <xdr:from>
      <xdr:col>22</xdr:col>
      <xdr:colOff>0</xdr:colOff>
      <xdr:row>19</xdr:row>
      <xdr:rowOff>200025</xdr:rowOff>
    </xdr:from>
    <xdr:to>
      <xdr:col>29</xdr:col>
      <xdr:colOff>23813</xdr:colOff>
      <xdr:row>33</xdr:row>
      <xdr:rowOff>142875</xdr:rowOff>
    </xdr:to>
    <xdr:graphicFrame macro="">
      <xdr:nvGraphicFramePr>
        <xdr:cNvPr id="2" name="Chart 1">
          <a:extLst>
            <a:ext uri="{FF2B5EF4-FFF2-40B4-BE49-F238E27FC236}">
              <a16:creationId xmlns:a16="http://schemas.microsoft.com/office/drawing/2014/main" id="{00000000-0008-0000-1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9526</xdr:colOff>
      <xdr:row>33</xdr:row>
      <xdr:rowOff>190499</xdr:rowOff>
    </xdr:from>
    <xdr:to>
      <xdr:col>29</xdr:col>
      <xdr:colOff>28576</xdr:colOff>
      <xdr:row>43</xdr:row>
      <xdr:rowOff>51953</xdr:rowOff>
    </xdr:to>
    <xdr:graphicFrame macro="">
      <xdr:nvGraphicFramePr>
        <xdr:cNvPr id="3" name="Chart 2">
          <a:extLst>
            <a:ext uri="{FF2B5EF4-FFF2-40B4-BE49-F238E27FC236}">
              <a16:creationId xmlns:a16="http://schemas.microsoft.com/office/drawing/2014/main" id="{00000000-0008-0000-1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42</xdr:col>
      <xdr:colOff>31750</xdr:colOff>
      <xdr:row>19</xdr:row>
      <xdr:rowOff>200025</xdr:rowOff>
    </xdr:from>
    <xdr:to>
      <xdr:col>49</xdr:col>
      <xdr:colOff>55563</xdr:colOff>
      <xdr:row>33</xdr:row>
      <xdr:rowOff>142875</xdr:rowOff>
    </xdr:to>
    <xdr:graphicFrame macro="">
      <xdr:nvGraphicFramePr>
        <xdr:cNvPr id="4" name="Chart 3">
          <a:extLst>
            <a:ext uri="{FF2B5EF4-FFF2-40B4-BE49-F238E27FC236}">
              <a16:creationId xmlns:a16="http://schemas.microsoft.com/office/drawing/2014/main" id="{00000000-0008-0000-1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42</xdr:col>
      <xdr:colOff>9526</xdr:colOff>
      <xdr:row>33</xdr:row>
      <xdr:rowOff>190499</xdr:rowOff>
    </xdr:from>
    <xdr:to>
      <xdr:col>49</xdr:col>
      <xdr:colOff>28576</xdr:colOff>
      <xdr:row>43</xdr:row>
      <xdr:rowOff>51953</xdr:rowOff>
    </xdr:to>
    <xdr:graphicFrame macro="">
      <xdr:nvGraphicFramePr>
        <xdr:cNvPr id="5" name="Chart 4">
          <a:extLst>
            <a:ext uri="{FF2B5EF4-FFF2-40B4-BE49-F238E27FC236}">
              <a16:creationId xmlns:a16="http://schemas.microsoft.com/office/drawing/2014/main" id="{00000000-0008-0000-1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82</xdr:col>
      <xdr:colOff>31750</xdr:colOff>
      <xdr:row>19</xdr:row>
      <xdr:rowOff>200025</xdr:rowOff>
    </xdr:from>
    <xdr:to>
      <xdr:col>89</xdr:col>
      <xdr:colOff>55563</xdr:colOff>
      <xdr:row>33</xdr:row>
      <xdr:rowOff>142875</xdr:rowOff>
    </xdr:to>
    <xdr:graphicFrame macro="">
      <xdr:nvGraphicFramePr>
        <xdr:cNvPr id="6" name="Chart 5">
          <a:extLst>
            <a:ext uri="{FF2B5EF4-FFF2-40B4-BE49-F238E27FC236}">
              <a16:creationId xmlns:a16="http://schemas.microsoft.com/office/drawing/2014/main" id="{00000000-0008-0000-1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82</xdr:col>
      <xdr:colOff>9526</xdr:colOff>
      <xdr:row>33</xdr:row>
      <xdr:rowOff>190499</xdr:rowOff>
    </xdr:from>
    <xdr:to>
      <xdr:col>89</xdr:col>
      <xdr:colOff>28576</xdr:colOff>
      <xdr:row>43</xdr:row>
      <xdr:rowOff>51953</xdr:rowOff>
    </xdr:to>
    <xdr:graphicFrame macro="">
      <xdr:nvGraphicFramePr>
        <xdr:cNvPr id="7" name="Chart 6">
          <a:extLst>
            <a:ext uri="{FF2B5EF4-FFF2-40B4-BE49-F238E27FC236}">
              <a16:creationId xmlns:a16="http://schemas.microsoft.com/office/drawing/2014/main" id="{00000000-0008-0000-1D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62</xdr:col>
      <xdr:colOff>0</xdr:colOff>
      <xdr:row>19</xdr:row>
      <xdr:rowOff>200025</xdr:rowOff>
    </xdr:from>
    <xdr:to>
      <xdr:col>69</xdr:col>
      <xdr:colOff>23813</xdr:colOff>
      <xdr:row>33</xdr:row>
      <xdr:rowOff>142875</xdr:rowOff>
    </xdr:to>
    <xdr:graphicFrame macro="">
      <xdr:nvGraphicFramePr>
        <xdr:cNvPr id="8" name="Chart 7">
          <a:extLst>
            <a:ext uri="{FF2B5EF4-FFF2-40B4-BE49-F238E27FC236}">
              <a16:creationId xmlns:a16="http://schemas.microsoft.com/office/drawing/2014/main" id="{00000000-0008-0000-1D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62</xdr:col>
      <xdr:colOff>9526</xdr:colOff>
      <xdr:row>33</xdr:row>
      <xdr:rowOff>190499</xdr:rowOff>
    </xdr:from>
    <xdr:to>
      <xdr:col>69</xdr:col>
      <xdr:colOff>28576</xdr:colOff>
      <xdr:row>43</xdr:row>
      <xdr:rowOff>51953</xdr:rowOff>
    </xdr:to>
    <xdr:graphicFrame macro="">
      <xdr:nvGraphicFramePr>
        <xdr:cNvPr id="9" name="Chart 8">
          <a:extLst>
            <a:ext uri="{FF2B5EF4-FFF2-40B4-BE49-F238E27FC236}">
              <a16:creationId xmlns:a16="http://schemas.microsoft.com/office/drawing/2014/main" id="{00000000-0008-0000-1D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2.xml><?xml version="1.0" encoding="utf-8"?>
<c:userShapes xmlns:c="http://schemas.openxmlformats.org/drawingml/2006/chart">
  <cdr:relSizeAnchor xmlns:cdr="http://schemas.openxmlformats.org/drawingml/2006/chartDrawing">
    <cdr:from>
      <cdr:x>0.40791</cdr:x>
      <cdr:y>0.03593</cdr:y>
    </cdr:from>
    <cdr:to>
      <cdr:x>0.62222</cdr:x>
      <cdr:y>0.11833</cdr:y>
    </cdr:to>
    <cdr:sp macro="" textlink="">
      <cdr:nvSpPr>
        <cdr:cNvPr id="2" name="TextBox 1"/>
        <cdr:cNvSpPr txBox="1"/>
      </cdr:nvSpPr>
      <cdr:spPr>
        <a:xfrm xmlns:a="http://schemas.openxmlformats.org/drawingml/2006/main">
          <a:off x="1740477" y="94385"/>
          <a:ext cx="914400" cy="2164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ZA" sz="1100" b="1"/>
            <a:t>Rule 3 &gt; +2s</a:t>
          </a:r>
        </a:p>
      </cdr:txBody>
    </cdr:sp>
  </cdr:relSizeAnchor>
</c:userShapes>
</file>

<file path=xl/drawings/drawing63.xml><?xml version="1.0" encoding="utf-8"?>
<c:userShapes xmlns:c="http://schemas.openxmlformats.org/drawingml/2006/chart">
  <cdr:relSizeAnchor xmlns:cdr="http://schemas.openxmlformats.org/drawingml/2006/chartDrawing">
    <cdr:from>
      <cdr:x>0.40004</cdr:x>
      <cdr:y>0.03415</cdr:y>
    </cdr:from>
    <cdr:to>
      <cdr:x>0.61459</cdr:x>
      <cdr:y>0.16098</cdr:y>
    </cdr:to>
    <cdr:sp macro="" textlink="">
      <cdr:nvSpPr>
        <cdr:cNvPr id="2" name="TextBox 1"/>
        <cdr:cNvSpPr txBox="1"/>
      </cdr:nvSpPr>
      <cdr:spPr>
        <a:xfrm xmlns:a="http://schemas.openxmlformats.org/drawingml/2006/main">
          <a:off x="1704973" y="60614"/>
          <a:ext cx="914400" cy="22513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t>Rule 2 Range</a:t>
          </a:r>
        </a:p>
      </cdr:txBody>
    </cdr:sp>
  </cdr:relSizeAnchor>
</c:userShapes>
</file>

<file path=xl/drawings/drawing64.xml><?xml version="1.0" encoding="utf-8"?>
<c:userShapes xmlns:c="http://schemas.openxmlformats.org/drawingml/2006/chart">
  <cdr:relSizeAnchor xmlns:cdr="http://schemas.openxmlformats.org/drawingml/2006/chartDrawing">
    <cdr:from>
      <cdr:x>0.40791</cdr:x>
      <cdr:y>0.03593</cdr:y>
    </cdr:from>
    <cdr:to>
      <cdr:x>0.62222</cdr:x>
      <cdr:y>0.11833</cdr:y>
    </cdr:to>
    <cdr:sp macro="" textlink="">
      <cdr:nvSpPr>
        <cdr:cNvPr id="2" name="TextBox 1"/>
        <cdr:cNvSpPr txBox="1"/>
      </cdr:nvSpPr>
      <cdr:spPr>
        <a:xfrm xmlns:a="http://schemas.openxmlformats.org/drawingml/2006/main">
          <a:off x="1740477" y="94385"/>
          <a:ext cx="914400" cy="2164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ZA" sz="1100" b="1"/>
            <a:t>Rule 2 &lt; -2s</a:t>
          </a:r>
        </a:p>
      </cdr:txBody>
    </cdr:sp>
  </cdr:relSizeAnchor>
</c:userShapes>
</file>

<file path=xl/drawings/drawing65.xml><?xml version="1.0" encoding="utf-8"?>
<c:userShapes xmlns:c="http://schemas.openxmlformats.org/drawingml/2006/chart">
  <cdr:relSizeAnchor xmlns:cdr="http://schemas.openxmlformats.org/drawingml/2006/chartDrawing">
    <cdr:from>
      <cdr:x>0.40004</cdr:x>
      <cdr:y>0.03415</cdr:y>
    </cdr:from>
    <cdr:to>
      <cdr:x>0.61459</cdr:x>
      <cdr:y>0.16098</cdr:y>
    </cdr:to>
    <cdr:sp macro="" textlink="">
      <cdr:nvSpPr>
        <cdr:cNvPr id="2" name="TextBox 1"/>
        <cdr:cNvSpPr txBox="1"/>
      </cdr:nvSpPr>
      <cdr:spPr>
        <a:xfrm xmlns:a="http://schemas.openxmlformats.org/drawingml/2006/main">
          <a:off x="1704973" y="60614"/>
          <a:ext cx="914400" cy="22513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t>Rule 2 Range</a:t>
          </a:r>
        </a:p>
      </cdr:txBody>
    </cdr:sp>
  </cdr:relSizeAnchor>
</c:userShapes>
</file>

<file path=xl/drawings/drawing66.xml><?xml version="1.0" encoding="utf-8"?>
<c:userShapes xmlns:c="http://schemas.openxmlformats.org/drawingml/2006/chart">
  <cdr:relSizeAnchor xmlns:cdr="http://schemas.openxmlformats.org/drawingml/2006/chartDrawing">
    <cdr:from>
      <cdr:x>0.40791</cdr:x>
      <cdr:y>0.03593</cdr:y>
    </cdr:from>
    <cdr:to>
      <cdr:x>0.62222</cdr:x>
      <cdr:y>0.11833</cdr:y>
    </cdr:to>
    <cdr:sp macro="" textlink="">
      <cdr:nvSpPr>
        <cdr:cNvPr id="2" name="TextBox 1"/>
        <cdr:cNvSpPr txBox="1"/>
      </cdr:nvSpPr>
      <cdr:spPr>
        <a:xfrm xmlns:a="http://schemas.openxmlformats.org/drawingml/2006/main">
          <a:off x="1740477" y="94385"/>
          <a:ext cx="914400" cy="2164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ZA" sz="1100" b="1"/>
            <a:t>Rule 2 &lt; -2s</a:t>
          </a:r>
        </a:p>
      </cdr:txBody>
    </cdr:sp>
  </cdr:relSizeAnchor>
</c:userShapes>
</file>

<file path=xl/drawings/drawing67.xml><?xml version="1.0" encoding="utf-8"?>
<c:userShapes xmlns:c="http://schemas.openxmlformats.org/drawingml/2006/chart">
  <cdr:relSizeAnchor xmlns:cdr="http://schemas.openxmlformats.org/drawingml/2006/chartDrawing">
    <cdr:from>
      <cdr:x>0.40004</cdr:x>
      <cdr:y>0.03415</cdr:y>
    </cdr:from>
    <cdr:to>
      <cdr:x>0.61459</cdr:x>
      <cdr:y>0.16098</cdr:y>
    </cdr:to>
    <cdr:sp macro="" textlink="">
      <cdr:nvSpPr>
        <cdr:cNvPr id="2" name="TextBox 1"/>
        <cdr:cNvSpPr txBox="1"/>
      </cdr:nvSpPr>
      <cdr:spPr>
        <a:xfrm xmlns:a="http://schemas.openxmlformats.org/drawingml/2006/main">
          <a:off x="1704973" y="60614"/>
          <a:ext cx="914400" cy="22513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t>Rule 2 Range</a:t>
          </a:r>
        </a:p>
      </cdr:txBody>
    </cdr:sp>
  </cdr:relSizeAnchor>
</c:userShapes>
</file>

<file path=xl/drawings/drawing68.xml><?xml version="1.0" encoding="utf-8"?>
<c:userShapes xmlns:c="http://schemas.openxmlformats.org/drawingml/2006/chart">
  <cdr:relSizeAnchor xmlns:cdr="http://schemas.openxmlformats.org/drawingml/2006/chartDrawing">
    <cdr:from>
      <cdr:x>0.40791</cdr:x>
      <cdr:y>0.03593</cdr:y>
    </cdr:from>
    <cdr:to>
      <cdr:x>0.62222</cdr:x>
      <cdr:y>0.11833</cdr:y>
    </cdr:to>
    <cdr:sp macro="" textlink="">
      <cdr:nvSpPr>
        <cdr:cNvPr id="2" name="TextBox 1"/>
        <cdr:cNvSpPr txBox="1"/>
      </cdr:nvSpPr>
      <cdr:spPr>
        <a:xfrm xmlns:a="http://schemas.openxmlformats.org/drawingml/2006/main">
          <a:off x="1740477" y="94385"/>
          <a:ext cx="914400" cy="2164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ZA" sz="1100" b="1"/>
            <a:t>Rule 3 &gt; +2s</a:t>
          </a:r>
        </a:p>
      </cdr:txBody>
    </cdr:sp>
  </cdr:relSizeAnchor>
</c:userShapes>
</file>

<file path=xl/drawings/drawing69.xml><?xml version="1.0" encoding="utf-8"?>
<c:userShapes xmlns:c="http://schemas.openxmlformats.org/drawingml/2006/chart">
  <cdr:relSizeAnchor xmlns:cdr="http://schemas.openxmlformats.org/drawingml/2006/chartDrawing">
    <cdr:from>
      <cdr:x>0.40004</cdr:x>
      <cdr:y>0.03415</cdr:y>
    </cdr:from>
    <cdr:to>
      <cdr:x>0.61459</cdr:x>
      <cdr:y>0.16098</cdr:y>
    </cdr:to>
    <cdr:sp macro="" textlink="">
      <cdr:nvSpPr>
        <cdr:cNvPr id="2" name="TextBox 1"/>
        <cdr:cNvSpPr txBox="1"/>
      </cdr:nvSpPr>
      <cdr:spPr>
        <a:xfrm xmlns:a="http://schemas.openxmlformats.org/drawingml/2006/main">
          <a:off x="1704973" y="60614"/>
          <a:ext cx="914400" cy="22513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t>Rule 2 Range</a:t>
          </a:r>
        </a:p>
      </cdr:txBody>
    </cdr:sp>
  </cdr:relSizeAnchor>
</c:userShapes>
</file>

<file path=xl/drawings/drawing70.xml><?xml version="1.0" encoding="utf-8"?>
<xdr:wsDr xmlns:xdr="http://schemas.openxmlformats.org/drawingml/2006/spreadsheetDrawing" xmlns:a="http://schemas.openxmlformats.org/drawingml/2006/main">
  <xdr:twoCellAnchor>
    <xdr:from>
      <xdr:col>22</xdr:col>
      <xdr:colOff>0</xdr:colOff>
      <xdr:row>19</xdr:row>
      <xdr:rowOff>200025</xdr:rowOff>
    </xdr:from>
    <xdr:to>
      <xdr:col>29</xdr:col>
      <xdr:colOff>23813</xdr:colOff>
      <xdr:row>33</xdr:row>
      <xdr:rowOff>142875</xdr:rowOff>
    </xdr:to>
    <xdr:graphicFrame macro="">
      <xdr:nvGraphicFramePr>
        <xdr:cNvPr id="2" name="Chart 1">
          <a:extLst>
            <a:ext uri="{FF2B5EF4-FFF2-40B4-BE49-F238E27FC236}">
              <a16:creationId xmlns:a16="http://schemas.microsoft.com/office/drawing/2014/main" id="{00000000-0008-0000-1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9526</xdr:colOff>
      <xdr:row>33</xdr:row>
      <xdr:rowOff>190499</xdr:rowOff>
    </xdr:from>
    <xdr:to>
      <xdr:col>29</xdr:col>
      <xdr:colOff>28576</xdr:colOff>
      <xdr:row>43</xdr:row>
      <xdr:rowOff>51953</xdr:rowOff>
    </xdr:to>
    <xdr:graphicFrame macro="">
      <xdr:nvGraphicFramePr>
        <xdr:cNvPr id="3" name="Chart 2">
          <a:extLst>
            <a:ext uri="{FF2B5EF4-FFF2-40B4-BE49-F238E27FC236}">
              <a16:creationId xmlns:a16="http://schemas.microsoft.com/office/drawing/2014/main" id="{00000000-0008-0000-1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42</xdr:col>
      <xdr:colOff>31750</xdr:colOff>
      <xdr:row>19</xdr:row>
      <xdr:rowOff>200025</xdr:rowOff>
    </xdr:from>
    <xdr:to>
      <xdr:col>49</xdr:col>
      <xdr:colOff>55563</xdr:colOff>
      <xdr:row>33</xdr:row>
      <xdr:rowOff>142875</xdr:rowOff>
    </xdr:to>
    <xdr:graphicFrame macro="">
      <xdr:nvGraphicFramePr>
        <xdr:cNvPr id="4" name="Chart 3">
          <a:extLst>
            <a:ext uri="{FF2B5EF4-FFF2-40B4-BE49-F238E27FC236}">
              <a16:creationId xmlns:a16="http://schemas.microsoft.com/office/drawing/2014/main" id="{00000000-0008-0000-1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42</xdr:col>
      <xdr:colOff>9526</xdr:colOff>
      <xdr:row>33</xdr:row>
      <xdr:rowOff>190499</xdr:rowOff>
    </xdr:from>
    <xdr:to>
      <xdr:col>49</xdr:col>
      <xdr:colOff>28576</xdr:colOff>
      <xdr:row>43</xdr:row>
      <xdr:rowOff>51953</xdr:rowOff>
    </xdr:to>
    <xdr:graphicFrame macro="">
      <xdr:nvGraphicFramePr>
        <xdr:cNvPr id="5" name="Chart 4">
          <a:extLst>
            <a:ext uri="{FF2B5EF4-FFF2-40B4-BE49-F238E27FC236}">
              <a16:creationId xmlns:a16="http://schemas.microsoft.com/office/drawing/2014/main" id="{00000000-0008-0000-1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1.xml><?xml version="1.0" encoding="utf-8"?>
<c:userShapes xmlns:c="http://schemas.openxmlformats.org/drawingml/2006/chart">
  <cdr:relSizeAnchor xmlns:cdr="http://schemas.openxmlformats.org/drawingml/2006/chartDrawing">
    <cdr:from>
      <cdr:x>0.40791</cdr:x>
      <cdr:y>0.03593</cdr:y>
    </cdr:from>
    <cdr:to>
      <cdr:x>0.62222</cdr:x>
      <cdr:y>0.11833</cdr:y>
    </cdr:to>
    <cdr:sp macro="" textlink="">
      <cdr:nvSpPr>
        <cdr:cNvPr id="2" name="TextBox 1"/>
        <cdr:cNvSpPr txBox="1"/>
      </cdr:nvSpPr>
      <cdr:spPr>
        <a:xfrm xmlns:a="http://schemas.openxmlformats.org/drawingml/2006/main">
          <a:off x="1740477" y="94385"/>
          <a:ext cx="914400" cy="2164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ZA" sz="1100" b="1"/>
            <a:t>Rule 3 +ve</a:t>
          </a:r>
          <a:r>
            <a:rPr lang="en-ZA" sz="1100" b="1" baseline="0"/>
            <a:t> bias</a:t>
          </a:r>
          <a:endParaRPr lang="en-ZA" sz="1100" b="1"/>
        </a:p>
      </cdr:txBody>
    </cdr:sp>
  </cdr:relSizeAnchor>
</c:userShapes>
</file>

<file path=xl/drawings/drawing72.xml><?xml version="1.0" encoding="utf-8"?>
<c:userShapes xmlns:c="http://schemas.openxmlformats.org/drawingml/2006/chart">
  <cdr:relSizeAnchor xmlns:cdr="http://schemas.openxmlformats.org/drawingml/2006/chartDrawing">
    <cdr:from>
      <cdr:x>0.40004</cdr:x>
      <cdr:y>0.03415</cdr:y>
    </cdr:from>
    <cdr:to>
      <cdr:x>0.61459</cdr:x>
      <cdr:y>0.16098</cdr:y>
    </cdr:to>
    <cdr:sp macro="" textlink="">
      <cdr:nvSpPr>
        <cdr:cNvPr id="2" name="TextBox 1"/>
        <cdr:cNvSpPr txBox="1"/>
      </cdr:nvSpPr>
      <cdr:spPr>
        <a:xfrm xmlns:a="http://schemas.openxmlformats.org/drawingml/2006/main">
          <a:off x="1704973" y="60614"/>
          <a:ext cx="914400" cy="22513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t>Rule 1 Range</a:t>
          </a:r>
        </a:p>
      </cdr:txBody>
    </cdr:sp>
  </cdr:relSizeAnchor>
</c:userShapes>
</file>

<file path=xl/drawings/drawing73.xml><?xml version="1.0" encoding="utf-8"?>
<c:userShapes xmlns:c="http://schemas.openxmlformats.org/drawingml/2006/chart">
  <cdr:relSizeAnchor xmlns:cdr="http://schemas.openxmlformats.org/drawingml/2006/chartDrawing">
    <cdr:from>
      <cdr:x>0.40791</cdr:x>
      <cdr:y>0.03593</cdr:y>
    </cdr:from>
    <cdr:to>
      <cdr:x>0.62222</cdr:x>
      <cdr:y>0.11833</cdr:y>
    </cdr:to>
    <cdr:sp macro="" textlink="">
      <cdr:nvSpPr>
        <cdr:cNvPr id="2" name="TextBox 1"/>
        <cdr:cNvSpPr txBox="1"/>
      </cdr:nvSpPr>
      <cdr:spPr>
        <a:xfrm xmlns:a="http://schemas.openxmlformats.org/drawingml/2006/main">
          <a:off x="1740477" y="94385"/>
          <a:ext cx="914400" cy="2164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ZA" sz="1100" b="1"/>
            <a:t>Rule 3 -ve bias</a:t>
          </a:r>
        </a:p>
      </cdr:txBody>
    </cdr:sp>
  </cdr:relSizeAnchor>
</c:userShapes>
</file>

<file path=xl/drawings/drawing74.xml><?xml version="1.0" encoding="utf-8"?>
<c:userShapes xmlns:c="http://schemas.openxmlformats.org/drawingml/2006/chart">
  <cdr:relSizeAnchor xmlns:cdr="http://schemas.openxmlformats.org/drawingml/2006/chartDrawing">
    <cdr:from>
      <cdr:x>0.40004</cdr:x>
      <cdr:y>0.03415</cdr:y>
    </cdr:from>
    <cdr:to>
      <cdr:x>0.61459</cdr:x>
      <cdr:y>0.16098</cdr:y>
    </cdr:to>
    <cdr:sp macro="" textlink="">
      <cdr:nvSpPr>
        <cdr:cNvPr id="2" name="TextBox 1"/>
        <cdr:cNvSpPr txBox="1"/>
      </cdr:nvSpPr>
      <cdr:spPr>
        <a:xfrm xmlns:a="http://schemas.openxmlformats.org/drawingml/2006/main">
          <a:off x="1704973" y="60614"/>
          <a:ext cx="914400" cy="22513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t>Rule 1 Range</a:t>
          </a:r>
        </a:p>
      </cdr:txBody>
    </cdr:sp>
  </cdr:relSizeAnchor>
</c:userShapes>
</file>

<file path=xl/drawings/drawing75.xml><?xml version="1.0" encoding="utf-8"?>
<xdr:wsDr xmlns:xdr="http://schemas.openxmlformats.org/drawingml/2006/spreadsheetDrawing" xmlns:a="http://schemas.openxmlformats.org/drawingml/2006/main">
  <xdr:twoCellAnchor>
    <xdr:from>
      <xdr:col>23</xdr:col>
      <xdr:colOff>31750</xdr:colOff>
      <xdr:row>19</xdr:row>
      <xdr:rowOff>200025</xdr:rowOff>
    </xdr:from>
    <xdr:to>
      <xdr:col>30</xdr:col>
      <xdr:colOff>55563</xdr:colOff>
      <xdr:row>33</xdr:row>
      <xdr:rowOff>142875</xdr:rowOff>
    </xdr:to>
    <xdr:graphicFrame macro="">
      <xdr:nvGraphicFramePr>
        <xdr:cNvPr id="4" name="Chart 3">
          <a:extLst>
            <a:ext uri="{FF2B5EF4-FFF2-40B4-BE49-F238E27FC236}">
              <a16:creationId xmlns:a16="http://schemas.microsoft.com/office/drawing/2014/main" id="{00000000-0008-0000-1F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9526</xdr:colOff>
      <xdr:row>33</xdr:row>
      <xdr:rowOff>190499</xdr:rowOff>
    </xdr:from>
    <xdr:to>
      <xdr:col>30</xdr:col>
      <xdr:colOff>28576</xdr:colOff>
      <xdr:row>43</xdr:row>
      <xdr:rowOff>51953</xdr:rowOff>
    </xdr:to>
    <xdr:graphicFrame macro="">
      <xdr:nvGraphicFramePr>
        <xdr:cNvPr id="5" name="Chart 4">
          <a:extLst>
            <a:ext uri="{FF2B5EF4-FFF2-40B4-BE49-F238E27FC236}">
              <a16:creationId xmlns:a16="http://schemas.microsoft.com/office/drawing/2014/main" id="{00000000-0008-0000-1F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31750</xdr:colOff>
      <xdr:row>19</xdr:row>
      <xdr:rowOff>200025</xdr:rowOff>
    </xdr:from>
    <xdr:to>
      <xdr:col>50</xdr:col>
      <xdr:colOff>55563</xdr:colOff>
      <xdr:row>33</xdr:row>
      <xdr:rowOff>142875</xdr:rowOff>
    </xdr:to>
    <xdr:graphicFrame macro="">
      <xdr:nvGraphicFramePr>
        <xdr:cNvPr id="6" name="Chart 5">
          <a:extLst>
            <a:ext uri="{FF2B5EF4-FFF2-40B4-BE49-F238E27FC236}">
              <a16:creationId xmlns:a16="http://schemas.microsoft.com/office/drawing/2014/main" id="{00000000-0008-0000-1F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9526</xdr:colOff>
      <xdr:row>33</xdr:row>
      <xdr:rowOff>190499</xdr:rowOff>
    </xdr:from>
    <xdr:to>
      <xdr:col>50</xdr:col>
      <xdr:colOff>28576</xdr:colOff>
      <xdr:row>43</xdr:row>
      <xdr:rowOff>51953</xdr:rowOff>
    </xdr:to>
    <xdr:graphicFrame macro="">
      <xdr:nvGraphicFramePr>
        <xdr:cNvPr id="7" name="Chart 6">
          <a:extLst>
            <a:ext uri="{FF2B5EF4-FFF2-40B4-BE49-F238E27FC236}">
              <a16:creationId xmlns:a16="http://schemas.microsoft.com/office/drawing/2014/main" id="{00000000-0008-0000-1F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6.xml><?xml version="1.0" encoding="utf-8"?>
<c:userShapes xmlns:c="http://schemas.openxmlformats.org/drawingml/2006/chart">
  <cdr:relSizeAnchor xmlns:cdr="http://schemas.openxmlformats.org/drawingml/2006/chartDrawing">
    <cdr:from>
      <cdr:x>0.40791</cdr:x>
      <cdr:y>0.03593</cdr:y>
    </cdr:from>
    <cdr:to>
      <cdr:x>0.62222</cdr:x>
      <cdr:y>0.11833</cdr:y>
    </cdr:to>
    <cdr:sp macro="" textlink="">
      <cdr:nvSpPr>
        <cdr:cNvPr id="2" name="TextBox 1"/>
        <cdr:cNvSpPr txBox="1"/>
      </cdr:nvSpPr>
      <cdr:spPr>
        <a:xfrm xmlns:a="http://schemas.openxmlformats.org/drawingml/2006/main">
          <a:off x="1740477" y="94385"/>
          <a:ext cx="914400" cy="2164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ZA" sz="1100" b="1"/>
            <a:t>Rule 4 failure -ve trend</a:t>
          </a:r>
        </a:p>
      </cdr:txBody>
    </cdr:sp>
  </cdr:relSizeAnchor>
</c:userShapes>
</file>

<file path=xl/drawings/drawing77.xml><?xml version="1.0" encoding="utf-8"?>
<c:userShapes xmlns:c="http://schemas.openxmlformats.org/drawingml/2006/chart">
  <cdr:relSizeAnchor xmlns:cdr="http://schemas.openxmlformats.org/drawingml/2006/chartDrawing">
    <cdr:from>
      <cdr:x>0.40004</cdr:x>
      <cdr:y>0.03415</cdr:y>
    </cdr:from>
    <cdr:to>
      <cdr:x>0.61459</cdr:x>
      <cdr:y>0.16098</cdr:y>
    </cdr:to>
    <cdr:sp macro="" textlink="">
      <cdr:nvSpPr>
        <cdr:cNvPr id="2" name="TextBox 1"/>
        <cdr:cNvSpPr txBox="1"/>
      </cdr:nvSpPr>
      <cdr:spPr>
        <a:xfrm xmlns:a="http://schemas.openxmlformats.org/drawingml/2006/main">
          <a:off x="1704973" y="60614"/>
          <a:ext cx="914400" cy="22513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t>Rule 4 Range</a:t>
          </a:r>
        </a:p>
      </cdr:txBody>
    </cdr:sp>
  </cdr:relSizeAnchor>
</c:userShapes>
</file>

<file path=xl/drawings/drawing78.xml><?xml version="1.0" encoding="utf-8"?>
<c:userShapes xmlns:c="http://schemas.openxmlformats.org/drawingml/2006/chart">
  <cdr:relSizeAnchor xmlns:cdr="http://schemas.openxmlformats.org/drawingml/2006/chartDrawing">
    <cdr:from>
      <cdr:x>0.27679</cdr:x>
      <cdr:y>0.03191</cdr:y>
    </cdr:from>
    <cdr:to>
      <cdr:x>0.75694</cdr:x>
      <cdr:y>0.12108</cdr:y>
    </cdr:to>
    <cdr:sp macro="" textlink="">
      <cdr:nvSpPr>
        <cdr:cNvPr id="2" name="TextBox 1"/>
        <cdr:cNvSpPr txBox="1"/>
      </cdr:nvSpPr>
      <cdr:spPr>
        <a:xfrm xmlns:a="http://schemas.openxmlformats.org/drawingml/2006/main">
          <a:off x="1195917" y="83948"/>
          <a:ext cx="2074558" cy="2346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ZA" sz="1100" b="1"/>
            <a:t>Rule 4 failure +ve trend</a:t>
          </a:r>
        </a:p>
      </cdr:txBody>
    </cdr:sp>
  </cdr:relSizeAnchor>
</c:userShapes>
</file>

<file path=xl/drawings/drawing79.xml><?xml version="1.0" encoding="utf-8"?>
<c:userShapes xmlns:c="http://schemas.openxmlformats.org/drawingml/2006/chart">
  <cdr:relSizeAnchor xmlns:cdr="http://schemas.openxmlformats.org/drawingml/2006/chartDrawing">
    <cdr:from>
      <cdr:x>0.40004</cdr:x>
      <cdr:y>0.03415</cdr:y>
    </cdr:from>
    <cdr:to>
      <cdr:x>0.61459</cdr:x>
      <cdr:y>0.16098</cdr:y>
    </cdr:to>
    <cdr:sp macro="" textlink="">
      <cdr:nvSpPr>
        <cdr:cNvPr id="2" name="TextBox 1"/>
        <cdr:cNvSpPr txBox="1"/>
      </cdr:nvSpPr>
      <cdr:spPr>
        <a:xfrm xmlns:a="http://schemas.openxmlformats.org/drawingml/2006/main">
          <a:off x="1704973" y="60614"/>
          <a:ext cx="914400" cy="22513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ZA" sz="1100" b="1"/>
            <a:t>Rule 4 Range</a:t>
          </a:r>
        </a:p>
      </cdr:txBody>
    </cdr:sp>
  </cdr:relSizeAnchor>
</c:userShapes>
</file>

<file path=xl/drawings/drawing80.xml><?xml version="1.0" encoding="utf-8"?>
<xdr:wsDr xmlns:xdr="http://schemas.openxmlformats.org/drawingml/2006/spreadsheetDrawing" xmlns:a="http://schemas.openxmlformats.org/drawingml/2006/main">
  <xdr:twoCellAnchor>
    <xdr:from>
      <xdr:col>21</xdr:col>
      <xdr:colOff>9526</xdr:colOff>
      <xdr:row>16</xdr:row>
      <xdr:rowOff>190500</xdr:rowOff>
    </xdr:from>
    <xdr:to>
      <xdr:col>28</xdr:col>
      <xdr:colOff>47626</xdr:colOff>
      <xdr:row>30</xdr:row>
      <xdr:rowOff>95250</xdr:rowOff>
    </xdr:to>
    <xdr:graphicFrame macro="">
      <xdr:nvGraphicFramePr>
        <xdr:cNvPr id="2" name="Chart 1">
          <a:extLst>
            <a:ext uri="{FF2B5EF4-FFF2-40B4-BE49-F238E27FC236}">
              <a16:creationId xmlns:a16="http://schemas.microsoft.com/office/drawing/2014/main" id="{00000000-0008-0000-2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600076</xdr:colOff>
      <xdr:row>31</xdr:row>
      <xdr:rowOff>0</xdr:rowOff>
    </xdr:from>
    <xdr:to>
      <xdr:col>28</xdr:col>
      <xdr:colOff>47625</xdr:colOff>
      <xdr:row>39</xdr:row>
      <xdr:rowOff>9526</xdr:rowOff>
    </xdr:to>
    <xdr:graphicFrame macro="">
      <xdr:nvGraphicFramePr>
        <xdr:cNvPr id="3" name="Chart 2">
          <a:extLst>
            <a:ext uri="{FF2B5EF4-FFF2-40B4-BE49-F238E27FC236}">
              <a16:creationId xmlns:a16="http://schemas.microsoft.com/office/drawing/2014/main" id="{00000000-0008-0000-2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zureasuslap\QMWARELIMS12\WFN\Calculation%20Spreadsheets\Control%20charts%20explain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zureasuslap\QMWARELIMS12\Middelburg%20and%20Production\Control%20Charts\Control%20Charts%20-training%20spreadsheet%20v%20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1"/>
      <sheetName val="Rules"/>
      <sheetName val="Rule 2"/>
      <sheetName val="Rule 3"/>
      <sheetName val="Rule 4"/>
      <sheetName val="Sheet3"/>
      <sheetName val="Sheet1"/>
      <sheetName val="Sheet2"/>
    </sheetNames>
    <sheetDataSet>
      <sheetData sheetId="0">
        <row r="2">
          <cell r="B2" t="str">
            <v>x</v>
          </cell>
        </row>
        <row r="3">
          <cell r="A3">
            <v>0</v>
          </cell>
        </row>
        <row r="4">
          <cell r="A4">
            <v>1</v>
          </cell>
        </row>
        <row r="5">
          <cell r="A5">
            <v>2</v>
          </cell>
        </row>
        <row r="6">
          <cell r="A6">
            <v>3</v>
          </cell>
        </row>
        <row r="7">
          <cell r="A7">
            <v>4</v>
          </cell>
        </row>
        <row r="8">
          <cell r="A8">
            <v>5</v>
          </cell>
        </row>
        <row r="9">
          <cell r="A9">
            <v>6</v>
          </cell>
        </row>
        <row r="10">
          <cell r="A10">
            <v>7</v>
          </cell>
        </row>
        <row r="11">
          <cell r="A11">
            <v>8</v>
          </cell>
        </row>
        <row r="12">
          <cell r="A12">
            <v>9</v>
          </cell>
        </row>
        <row r="13">
          <cell r="A13">
            <v>10</v>
          </cell>
        </row>
      </sheetData>
      <sheetData sheetId="1" refreshError="1"/>
      <sheetData sheetId="2">
        <row r="2">
          <cell r="B2" t="str">
            <v>x</v>
          </cell>
        </row>
      </sheetData>
      <sheetData sheetId="3">
        <row r="2">
          <cell r="G2" t="str">
            <v>Results</v>
          </cell>
        </row>
      </sheetData>
      <sheetData sheetId="4">
        <row r="2">
          <cell r="G2" t="str">
            <v>Results</v>
          </cell>
        </row>
      </sheetData>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ta Input"/>
      <sheetName val="Plot Data"/>
      <sheetName val="CV Chart"/>
      <sheetName val="TS Chart"/>
      <sheetName val="MIAS Chart"/>
      <sheetName val="VM Chart"/>
      <sheetName val="ISO Ash Chart"/>
      <sheetName val="Quick Ash Chart"/>
      <sheetName val="Control Chart Flow Diagram"/>
      <sheetName val="Rules"/>
      <sheetName val="Rule 1 Failure"/>
      <sheetName val="Rule 2 Failure"/>
      <sheetName val="Rule 3 Failure"/>
      <sheetName val="Rule 4 Failure"/>
      <sheetName val="CV Training Rule 1"/>
      <sheetName val="CV Training Rule 2"/>
      <sheetName val="CV Training Rule 3"/>
      <sheetName val="CV Training Rule 4"/>
      <sheetName val="CV Training Range"/>
    </sheetNames>
    <sheetDataSet>
      <sheetData sheetId="0"/>
      <sheetData sheetId="1"/>
      <sheetData sheetId="2">
        <row r="58">
          <cell r="C58">
            <v>27.016666666666666</v>
          </cell>
        </row>
        <row r="62">
          <cell r="C62">
            <v>27.169419189831864</v>
          </cell>
        </row>
        <row r="64">
          <cell r="C64">
            <v>27.245795451414462</v>
          </cell>
        </row>
        <row r="65">
          <cell r="C65">
            <v>26.863914143501468</v>
          </cell>
        </row>
        <row r="67">
          <cell r="C67">
            <v>26.787537881918869</v>
          </cell>
        </row>
        <row r="68">
          <cell r="C68">
            <v>0.12</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K16" t="str">
            <v></v>
          </cell>
        </row>
      </sheetData>
      <sheetData sheetId="16">
        <row r="19">
          <cell r="K19" t="str">
            <v></v>
          </cell>
        </row>
      </sheetData>
      <sheetData sheetId="17">
        <row r="17">
          <cell r="K17" t="str">
            <v></v>
          </cell>
        </row>
      </sheetData>
      <sheetData sheetId="18">
        <row r="16">
          <cell r="K16" t="str">
            <v></v>
          </cell>
        </row>
      </sheetData>
      <sheetData sheetId="19">
        <row r="17">
          <cell r="K17" t="str">
            <v></v>
          </cell>
        </row>
        <row r="18">
          <cell r="B18">
            <v>1</v>
          </cell>
          <cell r="G18">
            <v>26.994999999999997</v>
          </cell>
          <cell r="H18">
            <v>1.0000000000001563E-2</v>
          </cell>
          <cell r="I18">
            <v>26.787537881918869</v>
          </cell>
          <cell r="J18">
            <v>26.863914143501468</v>
          </cell>
          <cell r="K18">
            <v>27.016666666666666</v>
          </cell>
          <cell r="L18">
            <v>27.169419189831864</v>
          </cell>
          <cell r="M18">
            <v>27.245795451414462</v>
          </cell>
          <cell r="N18">
            <v>0.12</v>
          </cell>
        </row>
        <row r="19">
          <cell r="B19">
            <v>2</v>
          </cell>
          <cell r="G19">
            <v>27.1</v>
          </cell>
          <cell r="H19">
            <v>9.9999999999997868E-2</v>
          </cell>
          <cell r="I19">
            <v>26.787537881918869</v>
          </cell>
          <cell r="J19">
            <v>26.863914143501468</v>
          </cell>
          <cell r="K19">
            <v>27.016666666666666</v>
          </cell>
          <cell r="L19">
            <v>27.169419189831864</v>
          </cell>
          <cell r="M19">
            <v>27.245795451414462</v>
          </cell>
          <cell r="N19">
            <v>0.12</v>
          </cell>
        </row>
        <row r="20">
          <cell r="B20">
            <v>3</v>
          </cell>
          <cell r="G20">
            <v>27.185000000000002</v>
          </cell>
          <cell r="H20">
            <v>2.9999999999997584E-2</v>
          </cell>
          <cell r="I20">
            <v>26.787537881918869</v>
          </cell>
          <cell r="J20">
            <v>26.863914143501468</v>
          </cell>
          <cell r="K20">
            <v>27.016666666666666</v>
          </cell>
          <cell r="L20">
            <v>27.169419189831864</v>
          </cell>
          <cell r="M20">
            <v>27.245795451414462</v>
          </cell>
          <cell r="N20">
            <v>0.12</v>
          </cell>
        </row>
        <row r="21">
          <cell r="B21">
            <v>4</v>
          </cell>
          <cell r="G21">
            <v>27.08</v>
          </cell>
          <cell r="H21">
            <v>5.9999999999998721E-2</v>
          </cell>
          <cell r="I21">
            <v>26.787537881918869</v>
          </cell>
          <cell r="J21">
            <v>26.863914143501468</v>
          </cell>
          <cell r="K21">
            <v>27.016666666666666</v>
          </cell>
          <cell r="L21">
            <v>27.169419189831864</v>
          </cell>
          <cell r="M21">
            <v>27.245795451414462</v>
          </cell>
          <cell r="N21">
            <v>0.12</v>
          </cell>
        </row>
        <row r="22">
          <cell r="B22">
            <v>5</v>
          </cell>
          <cell r="G22">
            <v>27.13</v>
          </cell>
          <cell r="H22">
            <v>3.9999999999999147E-2</v>
          </cell>
          <cell r="I22">
            <v>26.787537881918869</v>
          </cell>
          <cell r="J22">
            <v>26.863914143501468</v>
          </cell>
          <cell r="K22">
            <v>27.016666666666666</v>
          </cell>
          <cell r="L22">
            <v>27.169419189831864</v>
          </cell>
          <cell r="M22">
            <v>27.245795451414462</v>
          </cell>
          <cell r="N22">
            <v>0.12</v>
          </cell>
        </row>
        <row r="23">
          <cell r="B23">
            <v>6</v>
          </cell>
          <cell r="G23">
            <v>27.09</v>
          </cell>
          <cell r="H23">
            <v>6.0000000000002274E-2</v>
          </cell>
          <cell r="I23">
            <v>26.787537881918869</v>
          </cell>
          <cell r="J23">
            <v>26.863914143501468</v>
          </cell>
          <cell r="K23">
            <v>27.016666666666666</v>
          </cell>
          <cell r="L23">
            <v>27.169419189831864</v>
          </cell>
          <cell r="M23">
            <v>27.245795451414462</v>
          </cell>
          <cell r="N23">
            <v>0.12</v>
          </cell>
        </row>
        <row r="24">
          <cell r="B24">
            <v>7</v>
          </cell>
          <cell r="G24">
            <v>27.055</v>
          </cell>
          <cell r="H24">
            <v>0.13000000000000256</v>
          </cell>
          <cell r="I24">
            <v>26.787537881918869</v>
          </cell>
          <cell r="J24">
            <v>26.863914143501468</v>
          </cell>
          <cell r="K24">
            <v>27.016666666666666</v>
          </cell>
          <cell r="L24">
            <v>27.169419189831864</v>
          </cell>
          <cell r="M24">
            <v>27.245795451414462</v>
          </cell>
          <cell r="N24">
            <v>0.12</v>
          </cell>
        </row>
        <row r="25">
          <cell r="B25">
            <v>8</v>
          </cell>
          <cell r="G25" t="e">
            <v>#N/A</v>
          </cell>
          <cell r="H25" t="e">
            <v>#N/A</v>
          </cell>
          <cell r="I25">
            <v>26.787537881918869</v>
          </cell>
          <cell r="J25">
            <v>26.863914143501468</v>
          </cell>
          <cell r="K25">
            <v>27.016666666666666</v>
          </cell>
          <cell r="L25">
            <v>27.169419189831864</v>
          </cell>
          <cell r="M25">
            <v>27.245795451414462</v>
          </cell>
          <cell r="N25">
            <v>0.12</v>
          </cell>
        </row>
        <row r="26">
          <cell r="B26">
            <v>9</v>
          </cell>
          <cell r="G26" t="e">
            <v>#N/A</v>
          </cell>
          <cell r="H26" t="e">
            <v>#N/A</v>
          </cell>
          <cell r="I26">
            <v>26.787537881918869</v>
          </cell>
          <cell r="J26">
            <v>26.863914143501468</v>
          </cell>
          <cell r="K26">
            <v>27.016666666666666</v>
          </cell>
          <cell r="L26">
            <v>27.169419189831864</v>
          </cell>
          <cell r="M26">
            <v>27.245795451414462</v>
          </cell>
          <cell r="N26">
            <v>0.12</v>
          </cell>
        </row>
        <row r="27">
          <cell r="B27">
            <v>10</v>
          </cell>
          <cell r="G27" t="e">
            <v>#N/A</v>
          </cell>
          <cell r="H27" t="e">
            <v>#N/A</v>
          </cell>
          <cell r="I27">
            <v>26.787537881918869</v>
          </cell>
          <cell r="J27">
            <v>26.863914143501468</v>
          </cell>
          <cell r="K27">
            <v>27.016666666666666</v>
          </cell>
          <cell r="L27">
            <v>27.169419189831864</v>
          </cell>
          <cell r="M27">
            <v>27.245795451414462</v>
          </cell>
          <cell r="N27">
            <v>0.12</v>
          </cell>
        </row>
        <row r="28">
          <cell r="B28">
            <v>11</v>
          </cell>
          <cell r="G28" t="e">
            <v>#N/A</v>
          </cell>
          <cell r="H28" t="e">
            <v>#N/A</v>
          </cell>
          <cell r="I28">
            <v>26.787537881918869</v>
          </cell>
          <cell r="J28">
            <v>26.863914143501468</v>
          </cell>
          <cell r="K28">
            <v>27.016666666666666</v>
          </cell>
          <cell r="L28">
            <v>27.169419189831864</v>
          </cell>
          <cell r="M28">
            <v>27.245795451414462</v>
          </cell>
          <cell r="N28">
            <v>0.12</v>
          </cell>
        </row>
        <row r="29">
          <cell r="B29">
            <v>12</v>
          </cell>
          <cell r="G29" t="e">
            <v>#N/A</v>
          </cell>
          <cell r="H29" t="e">
            <v>#N/A</v>
          </cell>
          <cell r="I29">
            <v>26.787537881918869</v>
          </cell>
          <cell r="J29">
            <v>26.863914143501468</v>
          </cell>
          <cell r="K29">
            <v>27.016666666666666</v>
          </cell>
          <cell r="L29">
            <v>27.169419189831864</v>
          </cell>
          <cell r="M29">
            <v>27.245795451414462</v>
          </cell>
          <cell r="N29">
            <v>0.12</v>
          </cell>
        </row>
        <row r="30">
          <cell r="B30">
            <v>13</v>
          </cell>
          <cell r="G30" t="e">
            <v>#N/A</v>
          </cell>
          <cell r="H30" t="e">
            <v>#N/A</v>
          </cell>
          <cell r="I30">
            <v>26.787537881918869</v>
          </cell>
          <cell r="J30">
            <v>26.863914143501468</v>
          </cell>
          <cell r="K30">
            <v>27.016666666666666</v>
          </cell>
          <cell r="L30">
            <v>27.169419189831864</v>
          </cell>
          <cell r="M30">
            <v>27.245795451414462</v>
          </cell>
          <cell r="N30">
            <v>0.12</v>
          </cell>
        </row>
        <row r="31">
          <cell r="B31">
            <v>14</v>
          </cell>
          <cell r="G31" t="e">
            <v>#N/A</v>
          </cell>
          <cell r="H31" t="e">
            <v>#N/A</v>
          </cell>
          <cell r="I31">
            <v>26.787537881918869</v>
          </cell>
          <cell r="J31">
            <v>26.863914143501468</v>
          </cell>
          <cell r="K31">
            <v>27.016666666666666</v>
          </cell>
          <cell r="L31">
            <v>27.169419189831864</v>
          </cell>
          <cell r="M31">
            <v>27.245795451414462</v>
          </cell>
          <cell r="N31">
            <v>0.12</v>
          </cell>
        </row>
        <row r="32">
          <cell r="B32">
            <v>15</v>
          </cell>
          <cell r="G32" t="e">
            <v>#N/A</v>
          </cell>
          <cell r="H32" t="e">
            <v>#N/A</v>
          </cell>
          <cell r="I32">
            <v>26.787537881918869</v>
          </cell>
          <cell r="J32">
            <v>26.863914143501468</v>
          </cell>
          <cell r="K32">
            <v>27.016666666666666</v>
          </cell>
          <cell r="L32">
            <v>27.169419189831864</v>
          </cell>
          <cell r="M32">
            <v>27.245795451414462</v>
          </cell>
          <cell r="N32">
            <v>0.12</v>
          </cell>
        </row>
        <row r="33">
          <cell r="B33">
            <v>16</v>
          </cell>
          <cell r="G33" t="e">
            <v>#N/A</v>
          </cell>
          <cell r="H33" t="e">
            <v>#N/A</v>
          </cell>
          <cell r="I33">
            <v>26.787537881918869</v>
          </cell>
          <cell r="J33">
            <v>26.863914143501468</v>
          </cell>
          <cell r="K33">
            <v>27.016666666666666</v>
          </cell>
          <cell r="L33">
            <v>27.169419189831864</v>
          </cell>
          <cell r="M33">
            <v>27.245795451414462</v>
          </cell>
          <cell r="N33">
            <v>0.12</v>
          </cell>
        </row>
        <row r="34">
          <cell r="B34">
            <v>17</v>
          </cell>
          <cell r="G34" t="e">
            <v>#N/A</v>
          </cell>
          <cell r="H34" t="e">
            <v>#N/A</v>
          </cell>
          <cell r="I34">
            <v>26.787537881918869</v>
          </cell>
          <cell r="J34">
            <v>26.863914143501468</v>
          </cell>
          <cell r="K34">
            <v>27.016666666666666</v>
          </cell>
          <cell r="L34">
            <v>27.169419189831864</v>
          </cell>
          <cell r="M34">
            <v>27.245795451414462</v>
          </cell>
          <cell r="N34">
            <v>0.12</v>
          </cell>
        </row>
        <row r="35">
          <cell r="B35">
            <v>18</v>
          </cell>
          <cell r="G35" t="e">
            <v>#N/A</v>
          </cell>
          <cell r="H35" t="e">
            <v>#N/A</v>
          </cell>
          <cell r="I35">
            <v>26.787537881918869</v>
          </cell>
          <cell r="J35">
            <v>26.863914143501468</v>
          </cell>
          <cell r="K35">
            <v>27.016666666666666</v>
          </cell>
          <cell r="L35">
            <v>27.169419189831864</v>
          </cell>
          <cell r="M35">
            <v>27.245795451414462</v>
          </cell>
          <cell r="N35">
            <v>0.12</v>
          </cell>
        </row>
        <row r="36">
          <cell r="B36">
            <v>19</v>
          </cell>
          <cell r="G36" t="e">
            <v>#N/A</v>
          </cell>
          <cell r="H36" t="e">
            <v>#N/A</v>
          </cell>
          <cell r="I36">
            <v>26.787537881918869</v>
          </cell>
          <cell r="J36">
            <v>26.863914143501468</v>
          </cell>
          <cell r="K36">
            <v>27.016666666666666</v>
          </cell>
          <cell r="L36">
            <v>27.169419189831864</v>
          </cell>
          <cell r="M36">
            <v>27.245795451414462</v>
          </cell>
          <cell r="N36">
            <v>0.12</v>
          </cell>
        </row>
        <row r="37">
          <cell r="B37">
            <v>20</v>
          </cell>
          <cell r="G37" t="e">
            <v>#N/A</v>
          </cell>
          <cell r="H37" t="e">
            <v>#N/A</v>
          </cell>
          <cell r="I37">
            <v>26.787537881918869</v>
          </cell>
          <cell r="J37">
            <v>26.863914143501468</v>
          </cell>
          <cell r="K37">
            <v>27.016666666666666</v>
          </cell>
          <cell r="L37">
            <v>27.169419189831864</v>
          </cell>
          <cell r="M37">
            <v>27.245795451414462</v>
          </cell>
          <cell r="N37">
            <v>0.12</v>
          </cell>
        </row>
        <row r="38">
          <cell r="B38">
            <v>21</v>
          </cell>
          <cell r="G38" t="e">
            <v>#N/A</v>
          </cell>
          <cell r="H38" t="e">
            <v>#N/A</v>
          </cell>
          <cell r="I38">
            <v>26.787537881918869</v>
          </cell>
          <cell r="J38">
            <v>26.863914143501468</v>
          </cell>
          <cell r="K38">
            <v>27.016666666666666</v>
          </cell>
          <cell r="L38">
            <v>27.169419189831864</v>
          </cell>
          <cell r="M38">
            <v>27.245795451414462</v>
          </cell>
          <cell r="N38">
            <v>0.12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9.xml"/><Relationship Id="rId4" Type="http://schemas.openxmlformats.org/officeDocument/2006/relationships/image" Target="../media/image1.emf"/></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8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66"/>
  </sheetPr>
  <dimension ref="B2:T100"/>
  <sheetViews>
    <sheetView topLeftCell="A51" workbookViewId="0">
      <selection activeCell="I10" sqref="I10"/>
    </sheetView>
  </sheetViews>
  <sheetFormatPr defaultColWidth="9.21875" defaultRowHeight="15" x14ac:dyDescent="0.3"/>
  <cols>
    <col min="1" max="1" width="1.77734375" style="103" customWidth="1"/>
    <col min="2" max="2" width="4" style="104" customWidth="1"/>
    <col min="3" max="3" width="5.44140625" style="103" customWidth="1"/>
    <col min="4" max="4" width="13.5546875" style="103" bestFit="1" customWidth="1"/>
    <col min="5" max="5" width="13.5546875" style="103" customWidth="1"/>
    <col min="6" max="19" width="9.21875" style="103"/>
    <col min="20" max="20" width="13" style="103" customWidth="1"/>
    <col min="21" max="16384" width="9.21875" style="103"/>
  </cols>
  <sheetData>
    <row r="2" spans="2:20" ht="15.6" thickBot="1" x14ac:dyDescent="0.35"/>
    <row r="3" spans="2:20" ht="18" customHeight="1" thickBot="1" x14ac:dyDescent="0.35">
      <c r="B3" s="513" t="s">
        <v>153</v>
      </c>
      <c r="C3" s="514"/>
      <c r="D3" s="514"/>
      <c r="E3" s="514"/>
      <c r="F3" s="514"/>
      <c r="G3" s="514"/>
      <c r="H3" s="514"/>
      <c r="I3" s="514"/>
      <c r="J3" s="515"/>
    </row>
    <row r="4" spans="2:20" ht="9" customHeight="1" thickBot="1" x14ac:dyDescent="0.35">
      <c r="B4" s="503"/>
      <c r="C4" s="503"/>
      <c r="D4" s="503"/>
      <c r="E4" s="503"/>
      <c r="F4" s="503"/>
      <c r="G4" s="503"/>
      <c r="H4" s="503"/>
      <c r="I4" s="503"/>
      <c r="J4" s="503"/>
      <c r="K4" s="503"/>
      <c r="L4" s="503"/>
      <c r="M4" s="503"/>
      <c r="N4" s="503"/>
      <c r="O4" s="503"/>
      <c r="P4" s="503"/>
      <c r="Q4" s="503"/>
      <c r="R4" s="503"/>
      <c r="S4" s="503"/>
      <c r="T4" s="503"/>
    </row>
    <row r="5" spans="2:20" ht="18" customHeight="1" x14ac:dyDescent="0.3">
      <c r="B5" s="249" t="s">
        <v>135</v>
      </c>
      <c r="C5" s="250" t="s">
        <v>131</v>
      </c>
      <c r="D5" s="251"/>
      <c r="E5" s="251"/>
      <c r="F5" s="251"/>
      <c r="G5" s="251"/>
      <c r="H5" s="251"/>
      <c r="I5" s="251"/>
      <c r="J5" s="251"/>
      <c r="K5" s="251"/>
      <c r="L5" s="251"/>
      <c r="M5" s="251"/>
      <c r="N5" s="251"/>
      <c r="O5" s="251"/>
      <c r="P5" s="251"/>
      <c r="Q5" s="251"/>
      <c r="R5" s="251"/>
      <c r="S5" s="251"/>
      <c r="T5" s="252"/>
    </row>
    <row r="6" spans="2:20" ht="18" customHeight="1" x14ac:dyDescent="0.3">
      <c r="B6" s="253"/>
      <c r="C6" s="289">
        <v>1</v>
      </c>
      <c r="D6" s="255" t="s">
        <v>117</v>
      </c>
      <c r="E6" s="254"/>
      <c r="F6" s="254"/>
      <c r="G6" s="254"/>
      <c r="H6" s="254"/>
      <c r="I6" s="254"/>
      <c r="J6" s="254"/>
      <c r="K6" s="254"/>
      <c r="L6" s="254"/>
      <c r="M6" s="254"/>
      <c r="N6" s="254"/>
      <c r="O6" s="254"/>
      <c r="P6" s="254"/>
      <c r="Q6" s="254"/>
      <c r="R6" s="254"/>
      <c r="S6" s="254"/>
      <c r="T6" s="256"/>
    </row>
    <row r="7" spans="2:20" ht="18" customHeight="1" x14ac:dyDescent="0.3">
      <c r="B7" s="253"/>
      <c r="C7" s="289">
        <v>2</v>
      </c>
      <c r="D7" s="255" t="s">
        <v>115</v>
      </c>
      <c r="E7" s="254"/>
      <c r="F7" s="254"/>
      <c r="G7" s="254"/>
      <c r="H7" s="254"/>
      <c r="I7" s="254"/>
      <c r="J7" s="254"/>
      <c r="K7" s="254"/>
      <c r="L7" s="254"/>
      <c r="M7" s="254"/>
      <c r="N7" s="254"/>
      <c r="O7" s="254"/>
      <c r="P7" s="254"/>
      <c r="Q7" s="254"/>
      <c r="R7" s="254"/>
      <c r="S7" s="254"/>
      <c r="T7" s="256"/>
    </row>
    <row r="8" spans="2:20" ht="18" customHeight="1" x14ac:dyDescent="0.3">
      <c r="B8" s="253"/>
      <c r="C8" s="289">
        <v>3</v>
      </c>
      <c r="D8" s="255" t="s">
        <v>116</v>
      </c>
      <c r="E8" s="254"/>
      <c r="F8" s="254"/>
      <c r="G8" s="254"/>
      <c r="H8" s="254"/>
      <c r="I8" s="254"/>
      <c r="J8" s="254"/>
      <c r="K8" s="254"/>
      <c r="L8" s="254"/>
      <c r="M8" s="254"/>
      <c r="N8" s="254"/>
      <c r="O8" s="254"/>
      <c r="P8" s="254"/>
      <c r="Q8" s="254"/>
      <c r="R8" s="254"/>
      <c r="S8" s="254"/>
      <c r="T8" s="256"/>
    </row>
    <row r="9" spans="2:20" ht="18" customHeight="1" x14ac:dyDescent="0.3">
      <c r="B9" s="253"/>
      <c r="C9" s="289">
        <v>4</v>
      </c>
      <c r="D9" s="255" t="s">
        <v>102</v>
      </c>
      <c r="E9" s="254"/>
      <c r="F9" s="254"/>
      <c r="G9" s="254"/>
      <c r="H9" s="254"/>
      <c r="I9" s="254"/>
      <c r="J9" s="254"/>
      <c r="K9" s="254"/>
      <c r="L9" s="254"/>
      <c r="M9" s="254"/>
      <c r="N9" s="254"/>
      <c r="O9" s="254"/>
      <c r="P9" s="254"/>
      <c r="Q9" s="254"/>
      <c r="R9" s="254"/>
      <c r="S9" s="254"/>
      <c r="T9" s="256"/>
    </row>
    <row r="10" spans="2:20" ht="18" customHeight="1" x14ac:dyDescent="0.3">
      <c r="B10" s="253"/>
      <c r="C10" s="289">
        <v>5</v>
      </c>
      <c r="D10" s="255" t="s">
        <v>233</v>
      </c>
      <c r="E10" s="254"/>
      <c r="F10" s="254"/>
      <c r="G10" s="254"/>
      <c r="H10" s="254"/>
      <c r="I10" s="254"/>
      <c r="J10" s="254"/>
      <c r="K10" s="254"/>
      <c r="L10" s="254"/>
      <c r="M10" s="254"/>
      <c r="N10" s="254"/>
      <c r="O10" s="254"/>
      <c r="P10" s="254"/>
      <c r="Q10" s="254"/>
      <c r="R10" s="254"/>
      <c r="S10" s="254"/>
      <c r="T10" s="256"/>
    </row>
    <row r="11" spans="2:20" ht="18" customHeight="1" x14ac:dyDescent="0.3">
      <c r="B11" s="290"/>
      <c r="C11" s="254"/>
      <c r="D11" s="255" t="s">
        <v>103</v>
      </c>
      <c r="E11" s="291" t="s">
        <v>104</v>
      </c>
      <c r="F11" s="254" t="s">
        <v>105</v>
      </c>
      <c r="G11" s="254"/>
      <c r="H11" s="254"/>
      <c r="I11" s="254"/>
      <c r="J11" s="254"/>
      <c r="K11" s="254"/>
      <c r="L11" s="254"/>
      <c r="M11" s="254"/>
      <c r="N11" s="254"/>
      <c r="O11" s="254"/>
      <c r="P11" s="254"/>
      <c r="Q11" s="254"/>
      <c r="R11" s="254"/>
      <c r="S11" s="254"/>
      <c r="T11" s="256"/>
    </row>
    <row r="12" spans="2:20" ht="18" customHeight="1" x14ac:dyDescent="0.3">
      <c r="B12" s="290"/>
      <c r="C12" s="254"/>
      <c r="D12" s="255"/>
      <c r="E12" s="292" t="s">
        <v>107</v>
      </c>
      <c r="F12" s="254" t="s">
        <v>110</v>
      </c>
      <c r="G12" s="254"/>
      <c r="H12" s="254"/>
      <c r="I12" s="254"/>
      <c r="J12" s="254"/>
      <c r="K12" s="254"/>
      <c r="L12" s="254"/>
      <c r="M12" s="254"/>
      <c r="N12" s="254"/>
      <c r="O12" s="254"/>
      <c r="P12" s="254"/>
      <c r="Q12" s="254"/>
      <c r="R12" s="254"/>
      <c r="S12" s="254"/>
      <c r="T12" s="256"/>
    </row>
    <row r="13" spans="2:20" ht="18" customHeight="1" x14ac:dyDescent="0.3">
      <c r="B13" s="290"/>
      <c r="C13" s="254"/>
      <c r="D13" s="255"/>
      <c r="E13" s="291" t="s">
        <v>106</v>
      </c>
      <c r="F13" s="254" t="s">
        <v>108</v>
      </c>
      <c r="G13" s="254"/>
      <c r="H13" s="254"/>
      <c r="I13" s="254"/>
      <c r="J13" s="254"/>
      <c r="K13" s="254"/>
      <c r="L13" s="254"/>
      <c r="M13" s="254"/>
      <c r="N13" s="254"/>
      <c r="O13" s="254"/>
      <c r="P13" s="254"/>
      <c r="Q13" s="254"/>
      <c r="R13" s="254"/>
      <c r="S13" s="254"/>
      <c r="T13" s="256"/>
    </row>
    <row r="14" spans="2:20" ht="18" customHeight="1" x14ac:dyDescent="0.3">
      <c r="B14" s="290"/>
      <c r="C14" s="254"/>
      <c r="D14" s="255"/>
      <c r="E14" s="291" t="s">
        <v>109</v>
      </c>
      <c r="F14" s="254" t="s">
        <v>111</v>
      </c>
      <c r="G14" s="254"/>
      <c r="H14" s="254"/>
      <c r="I14" s="254"/>
      <c r="J14" s="254"/>
      <c r="K14" s="254"/>
      <c r="L14" s="254"/>
      <c r="M14" s="254"/>
      <c r="N14" s="254"/>
      <c r="O14" s="254"/>
      <c r="P14" s="254"/>
      <c r="Q14" s="254"/>
      <c r="R14" s="254"/>
      <c r="S14" s="254"/>
      <c r="T14" s="256"/>
    </row>
    <row r="15" spans="2:20" ht="18" customHeight="1" x14ac:dyDescent="0.3">
      <c r="B15" s="290"/>
      <c r="C15" s="254"/>
      <c r="D15" s="255"/>
      <c r="E15" s="291" t="s">
        <v>112</v>
      </c>
      <c r="F15" s="254" t="s">
        <v>113</v>
      </c>
      <c r="G15" s="254"/>
      <c r="H15" s="254"/>
      <c r="I15" s="254"/>
      <c r="J15" s="254"/>
      <c r="K15" s="254"/>
      <c r="L15" s="254"/>
      <c r="M15" s="254"/>
      <c r="N15" s="254"/>
      <c r="O15" s="254"/>
      <c r="P15" s="254"/>
      <c r="Q15" s="254"/>
      <c r="R15" s="254"/>
      <c r="S15" s="254"/>
      <c r="T15" s="256"/>
    </row>
    <row r="16" spans="2:20" ht="18" customHeight="1" thickBot="1" x14ac:dyDescent="0.35">
      <c r="B16" s="293"/>
      <c r="C16" s="258"/>
      <c r="D16" s="294"/>
      <c r="E16" s="295" t="s">
        <v>114</v>
      </c>
      <c r="F16" s="258" t="s">
        <v>118</v>
      </c>
      <c r="G16" s="258"/>
      <c r="H16" s="258"/>
      <c r="I16" s="258"/>
      <c r="J16" s="258"/>
      <c r="K16" s="258"/>
      <c r="L16" s="258"/>
      <c r="M16" s="258"/>
      <c r="N16" s="258"/>
      <c r="O16" s="258"/>
      <c r="P16" s="258"/>
      <c r="Q16" s="258"/>
      <c r="R16" s="258"/>
      <c r="S16" s="258"/>
      <c r="T16" s="259"/>
    </row>
    <row r="17" spans="2:20" ht="6" customHeight="1" thickBot="1" x14ac:dyDescent="0.35">
      <c r="B17" s="504"/>
      <c r="C17" s="504"/>
      <c r="D17" s="504"/>
      <c r="E17" s="504"/>
      <c r="F17" s="504"/>
      <c r="G17" s="504"/>
      <c r="H17" s="504"/>
      <c r="I17" s="504"/>
      <c r="J17" s="504"/>
      <c r="K17" s="504"/>
      <c r="L17" s="504"/>
      <c r="M17" s="504"/>
      <c r="N17" s="504"/>
      <c r="O17" s="504"/>
      <c r="P17" s="504"/>
      <c r="Q17" s="504"/>
      <c r="R17" s="504"/>
      <c r="S17" s="504"/>
      <c r="T17" s="504"/>
    </row>
    <row r="18" spans="2:20" ht="18" customHeight="1" x14ac:dyDescent="0.3">
      <c r="B18" s="274" t="s">
        <v>134</v>
      </c>
      <c r="C18" s="275" t="s">
        <v>132</v>
      </c>
      <c r="D18" s="276"/>
      <c r="E18" s="277"/>
      <c r="F18" s="277"/>
      <c r="G18" s="277"/>
      <c r="H18" s="277"/>
      <c r="I18" s="277"/>
      <c r="J18" s="277"/>
      <c r="K18" s="277"/>
      <c r="L18" s="277"/>
      <c r="M18" s="277"/>
      <c r="N18" s="277"/>
      <c r="O18" s="277"/>
      <c r="P18" s="277"/>
      <c r="Q18" s="277"/>
      <c r="R18" s="277"/>
      <c r="S18" s="277"/>
      <c r="T18" s="278"/>
    </row>
    <row r="19" spans="2:20" ht="18" customHeight="1" x14ac:dyDescent="0.3">
      <c r="B19" s="316"/>
      <c r="C19" s="317"/>
      <c r="D19" s="318"/>
      <c r="E19" s="281"/>
      <c r="F19" s="281"/>
      <c r="G19" s="281"/>
      <c r="H19" s="281"/>
      <c r="I19" s="281"/>
      <c r="J19" s="281"/>
      <c r="K19" s="281"/>
      <c r="L19" s="281"/>
      <c r="M19" s="281"/>
      <c r="N19" s="281"/>
      <c r="O19" s="281"/>
      <c r="P19" s="281"/>
      <c r="Q19" s="281"/>
      <c r="R19" s="281"/>
      <c r="S19" s="281"/>
      <c r="T19" s="282"/>
    </row>
    <row r="20" spans="2:20" ht="18" customHeight="1" x14ac:dyDescent="0.3">
      <c r="B20" s="316"/>
      <c r="C20" s="280">
        <v>1</v>
      </c>
      <c r="D20" s="281" t="s">
        <v>240</v>
      </c>
      <c r="E20" s="281"/>
      <c r="F20" s="281"/>
      <c r="G20" s="281"/>
      <c r="H20" s="281"/>
      <c r="I20" s="281"/>
      <c r="J20" s="281"/>
      <c r="K20" s="281"/>
      <c r="L20" s="281"/>
      <c r="M20" s="281"/>
      <c r="N20" s="281"/>
      <c r="O20" s="281"/>
      <c r="P20" s="281"/>
      <c r="Q20" s="281"/>
      <c r="R20" s="281"/>
      <c r="S20" s="281"/>
      <c r="T20" s="282"/>
    </row>
    <row r="21" spans="2:20" ht="18" customHeight="1" x14ac:dyDescent="0.3">
      <c r="B21" s="279"/>
      <c r="C21" s="280">
        <v>2</v>
      </c>
      <c r="D21" s="281" t="s">
        <v>234</v>
      </c>
      <c r="E21" s="281"/>
      <c r="F21" s="281"/>
      <c r="G21" s="281"/>
      <c r="H21" s="281"/>
      <c r="I21" s="281"/>
      <c r="J21" s="281"/>
      <c r="K21" s="281"/>
      <c r="L21" s="281"/>
      <c r="M21" s="281"/>
      <c r="N21" s="281"/>
      <c r="O21" s="281"/>
      <c r="P21" s="281"/>
      <c r="Q21" s="281"/>
      <c r="R21" s="281"/>
      <c r="S21" s="281"/>
      <c r="T21" s="282"/>
    </row>
    <row r="22" spans="2:20" ht="18" customHeight="1" x14ac:dyDescent="0.3">
      <c r="B22" s="279"/>
      <c r="C22" s="280">
        <v>3</v>
      </c>
      <c r="D22" s="281" t="s">
        <v>235</v>
      </c>
      <c r="E22" s="281"/>
      <c r="F22" s="281"/>
      <c r="G22" s="281"/>
      <c r="H22" s="281"/>
      <c r="I22" s="281"/>
      <c r="J22" s="281"/>
      <c r="K22" s="281"/>
      <c r="L22" s="281"/>
      <c r="M22" s="281"/>
      <c r="N22" s="281"/>
      <c r="O22" s="281"/>
      <c r="P22" s="281"/>
      <c r="Q22" s="281"/>
      <c r="R22" s="281"/>
      <c r="S22" s="281"/>
      <c r="T22" s="282"/>
    </row>
    <row r="23" spans="2:20" ht="18" customHeight="1" x14ac:dyDescent="0.3">
      <c r="B23" s="279"/>
      <c r="C23" s="280">
        <v>4</v>
      </c>
      <c r="D23" s="281" t="s">
        <v>166</v>
      </c>
      <c r="E23" s="281"/>
      <c r="F23" s="281"/>
      <c r="G23" s="281"/>
      <c r="H23" s="281"/>
      <c r="I23" s="281"/>
      <c r="J23" s="281"/>
      <c r="K23" s="281"/>
      <c r="L23" s="281"/>
      <c r="M23" s="281"/>
      <c r="N23" s="281"/>
      <c r="O23" s="281"/>
      <c r="P23" s="281"/>
      <c r="Q23" s="281"/>
      <c r="R23" s="281"/>
      <c r="S23" s="281"/>
      <c r="T23" s="282"/>
    </row>
    <row r="24" spans="2:20" ht="18" customHeight="1" x14ac:dyDescent="0.3">
      <c r="B24" s="279"/>
      <c r="C24" s="280">
        <v>5</v>
      </c>
      <c r="D24" s="283" t="s">
        <v>119</v>
      </c>
      <c r="E24" s="281"/>
      <c r="F24" s="281"/>
      <c r="G24" s="281"/>
      <c r="H24" s="281"/>
      <c r="I24" s="281"/>
      <c r="J24" s="281"/>
      <c r="K24" s="281"/>
      <c r="L24" s="281"/>
      <c r="M24" s="281"/>
      <c r="N24" s="281"/>
      <c r="O24" s="281"/>
      <c r="P24" s="281"/>
      <c r="Q24" s="281"/>
      <c r="R24" s="281"/>
      <c r="S24" s="281"/>
      <c r="T24" s="282"/>
    </row>
    <row r="25" spans="2:20" ht="18" customHeight="1" x14ac:dyDescent="0.3">
      <c r="B25" s="279"/>
      <c r="C25" s="280">
        <v>6</v>
      </c>
      <c r="D25" s="281" t="s">
        <v>236</v>
      </c>
      <c r="E25" s="281"/>
      <c r="F25" s="281"/>
      <c r="G25" s="281"/>
      <c r="H25" s="281"/>
      <c r="I25" s="281"/>
      <c r="J25" s="281"/>
      <c r="K25" s="281"/>
      <c r="L25" s="281"/>
      <c r="M25" s="281"/>
      <c r="N25" s="281"/>
      <c r="O25" s="281"/>
      <c r="P25" s="281"/>
      <c r="Q25" s="281"/>
      <c r="R25" s="281"/>
      <c r="S25" s="281"/>
      <c r="T25" s="282"/>
    </row>
    <row r="26" spans="2:20" ht="18" customHeight="1" x14ac:dyDescent="0.3">
      <c r="B26" s="279"/>
      <c r="C26" s="280">
        <v>7</v>
      </c>
      <c r="D26" s="281" t="s">
        <v>237</v>
      </c>
      <c r="E26" s="281"/>
      <c r="F26" s="281"/>
      <c r="G26" s="281"/>
      <c r="H26" s="281"/>
      <c r="I26" s="281"/>
      <c r="J26" s="281"/>
      <c r="K26" s="281"/>
      <c r="L26" s="281"/>
      <c r="M26" s="281"/>
      <c r="N26" s="281"/>
      <c r="O26" s="281"/>
      <c r="P26" s="281"/>
      <c r="Q26" s="281"/>
      <c r="R26" s="281"/>
      <c r="S26" s="281"/>
      <c r="T26" s="282"/>
    </row>
    <row r="27" spans="2:20" ht="18" customHeight="1" x14ac:dyDescent="0.3">
      <c r="B27" s="279"/>
      <c r="C27" s="280"/>
      <c r="D27" s="284" t="s">
        <v>177</v>
      </c>
      <c r="E27" s="281"/>
      <c r="F27" s="281"/>
      <c r="G27" s="281"/>
      <c r="H27" s="281"/>
      <c r="I27" s="281"/>
      <c r="J27" s="281"/>
      <c r="K27" s="281"/>
      <c r="L27" s="281"/>
      <c r="M27" s="281"/>
      <c r="N27" s="281"/>
      <c r="O27" s="281"/>
      <c r="P27" s="281"/>
      <c r="Q27" s="281"/>
      <c r="R27" s="281"/>
      <c r="S27" s="281"/>
      <c r="T27" s="282"/>
    </row>
    <row r="28" spans="2:20" ht="18" customHeight="1" x14ac:dyDescent="0.3">
      <c r="B28" s="279"/>
      <c r="C28" s="280"/>
      <c r="D28" s="284" t="s">
        <v>178</v>
      </c>
      <c r="E28" s="281"/>
      <c r="F28" s="281"/>
      <c r="G28" s="281"/>
      <c r="H28" s="281"/>
      <c r="I28" s="281"/>
      <c r="J28" s="281"/>
      <c r="K28" s="281"/>
      <c r="L28" s="281"/>
      <c r="M28" s="281"/>
      <c r="N28" s="281"/>
      <c r="O28" s="281"/>
      <c r="P28" s="281"/>
      <c r="Q28" s="281"/>
      <c r="R28" s="281"/>
      <c r="S28" s="281"/>
      <c r="T28" s="282"/>
    </row>
    <row r="29" spans="2:20" ht="32.25" customHeight="1" x14ac:dyDescent="0.3">
      <c r="B29" s="279"/>
      <c r="C29" s="280">
        <v>8</v>
      </c>
      <c r="D29" s="511" t="s">
        <v>238</v>
      </c>
      <c r="E29" s="511"/>
      <c r="F29" s="511"/>
      <c r="G29" s="511"/>
      <c r="H29" s="511"/>
      <c r="I29" s="511"/>
      <c r="J29" s="511"/>
      <c r="K29" s="511"/>
      <c r="L29" s="511"/>
      <c r="M29" s="511"/>
      <c r="N29" s="511"/>
      <c r="O29" s="511"/>
      <c r="P29" s="511"/>
      <c r="Q29" s="511"/>
      <c r="R29" s="511"/>
      <c r="S29" s="511"/>
      <c r="T29" s="512"/>
    </row>
    <row r="30" spans="2:20" x14ac:dyDescent="0.3">
      <c r="B30" s="279"/>
      <c r="C30" s="280">
        <v>9</v>
      </c>
      <c r="D30" s="511" t="s">
        <v>241</v>
      </c>
      <c r="E30" s="511"/>
      <c r="F30" s="511"/>
      <c r="G30" s="511"/>
      <c r="H30" s="511"/>
      <c r="I30" s="511"/>
      <c r="J30" s="511"/>
      <c r="K30" s="511"/>
      <c r="L30" s="511"/>
      <c r="M30" s="511"/>
      <c r="N30" s="511"/>
      <c r="O30" s="511"/>
      <c r="P30" s="511"/>
      <c r="Q30" s="511"/>
      <c r="R30" s="511"/>
      <c r="S30" s="511"/>
      <c r="T30" s="512"/>
    </row>
    <row r="31" spans="2:20" x14ac:dyDescent="0.3">
      <c r="B31" s="279"/>
      <c r="C31" s="280">
        <v>10</v>
      </c>
      <c r="D31" s="511" t="s">
        <v>242</v>
      </c>
      <c r="E31" s="511"/>
      <c r="F31" s="511"/>
      <c r="G31" s="511"/>
      <c r="H31" s="511"/>
      <c r="I31" s="511"/>
      <c r="J31" s="511"/>
      <c r="K31" s="511"/>
      <c r="L31" s="511"/>
      <c r="M31" s="511"/>
      <c r="N31" s="511"/>
      <c r="O31" s="511"/>
      <c r="P31" s="511"/>
      <c r="Q31" s="511"/>
      <c r="R31" s="511"/>
      <c r="S31" s="511"/>
      <c r="T31" s="512"/>
    </row>
    <row r="32" spans="2:20" x14ac:dyDescent="0.3">
      <c r="B32" s="279"/>
      <c r="C32" s="280">
        <v>11</v>
      </c>
      <c r="D32" s="511" t="s">
        <v>239</v>
      </c>
      <c r="E32" s="511"/>
      <c r="F32" s="511"/>
      <c r="G32" s="511"/>
      <c r="H32" s="511"/>
      <c r="I32" s="511"/>
      <c r="J32" s="511"/>
      <c r="K32" s="511"/>
      <c r="L32" s="511"/>
      <c r="M32" s="511"/>
      <c r="N32" s="511"/>
      <c r="O32" s="511"/>
      <c r="P32" s="511"/>
      <c r="Q32" s="511"/>
      <c r="R32" s="511"/>
      <c r="S32" s="511"/>
      <c r="T32" s="512"/>
    </row>
    <row r="33" spans="2:20" ht="28.5" customHeight="1" x14ac:dyDescent="0.3">
      <c r="B33" s="279"/>
      <c r="C33" s="280">
        <v>12</v>
      </c>
      <c r="D33" s="511" t="s">
        <v>243</v>
      </c>
      <c r="E33" s="511"/>
      <c r="F33" s="511"/>
      <c r="G33" s="511"/>
      <c r="H33" s="511"/>
      <c r="I33" s="511"/>
      <c r="J33" s="511"/>
      <c r="K33" s="511"/>
      <c r="L33" s="511"/>
      <c r="M33" s="511"/>
      <c r="N33" s="511"/>
      <c r="O33" s="511"/>
      <c r="P33" s="511"/>
      <c r="Q33" s="511"/>
      <c r="R33" s="511"/>
      <c r="S33" s="511"/>
      <c r="T33" s="512"/>
    </row>
    <row r="34" spans="2:20" ht="18" customHeight="1" thickBot="1" x14ac:dyDescent="0.35">
      <c r="B34" s="285"/>
      <c r="C34" s="286">
        <v>13</v>
      </c>
      <c r="D34" s="287" t="s">
        <v>120</v>
      </c>
      <c r="E34" s="287"/>
      <c r="F34" s="287"/>
      <c r="G34" s="287"/>
      <c r="H34" s="287"/>
      <c r="I34" s="287"/>
      <c r="J34" s="287"/>
      <c r="K34" s="287"/>
      <c r="L34" s="287"/>
      <c r="M34" s="287"/>
      <c r="N34" s="287"/>
      <c r="O34" s="287"/>
      <c r="P34" s="287"/>
      <c r="Q34" s="287"/>
      <c r="R34" s="287"/>
      <c r="S34" s="287"/>
      <c r="T34" s="288"/>
    </row>
    <row r="35" spans="2:20" ht="6.75" customHeight="1" thickBot="1" x14ac:dyDescent="0.35">
      <c r="B35" s="504"/>
      <c r="C35" s="504"/>
      <c r="D35" s="504"/>
      <c r="E35" s="504"/>
      <c r="F35" s="504"/>
      <c r="G35" s="504"/>
      <c r="H35" s="504"/>
      <c r="I35" s="504"/>
      <c r="J35" s="504"/>
      <c r="K35" s="504"/>
      <c r="L35" s="504"/>
      <c r="M35" s="504"/>
      <c r="N35" s="504"/>
      <c r="O35" s="504"/>
      <c r="P35" s="504"/>
      <c r="Q35" s="504"/>
      <c r="R35" s="504"/>
      <c r="S35" s="504"/>
      <c r="T35" s="504"/>
    </row>
    <row r="36" spans="2:20" ht="18" customHeight="1" x14ac:dyDescent="0.3">
      <c r="B36" s="262" t="s">
        <v>133</v>
      </c>
      <c r="C36" s="263" t="s">
        <v>138</v>
      </c>
      <c r="D36" s="264"/>
      <c r="E36" s="264"/>
      <c r="F36" s="264"/>
      <c r="G36" s="264"/>
      <c r="H36" s="264"/>
      <c r="I36" s="264"/>
      <c r="J36" s="264"/>
      <c r="K36" s="264"/>
      <c r="L36" s="264"/>
      <c r="M36" s="264"/>
      <c r="N36" s="264"/>
      <c r="O36" s="264"/>
      <c r="P36" s="264"/>
      <c r="Q36" s="264"/>
      <c r="R36" s="264"/>
      <c r="S36" s="264"/>
      <c r="T36" s="265"/>
    </row>
    <row r="37" spans="2:20" ht="18" customHeight="1" x14ac:dyDescent="0.3">
      <c r="B37" s="319"/>
      <c r="C37" s="267">
        <v>1</v>
      </c>
      <c r="D37" s="517" t="s">
        <v>244</v>
      </c>
      <c r="E37" s="517"/>
      <c r="F37" s="517"/>
      <c r="G37" s="517"/>
      <c r="H37" s="517"/>
      <c r="I37" s="517"/>
      <c r="J37" s="517"/>
      <c r="K37" s="517"/>
      <c r="L37" s="517"/>
      <c r="M37" s="517"/>
      <c r="N37" s="517"/>
      <c r="O37" s="517"/>
      <c r="P37" s="517"/>
      <c r="Q37" s="517"/>
      <c r="R37" s="517"/>
      <c r="S37" s="517"/>
      <c r="T37" s="518"/>
    </row>
    <row r="38" spans="2:20" ht="18" customHeight="1" x14ac:dyDescent="0.3">
      <c r="B38" s="266"/>
      <c r="C38" s="267">
        <v>2</v>
      </c>
      <c r="D38" s="268" t="s">
        <v>121</v>
      </c>
      <c r="E38" s="268"/>
      <c r="F38" s="268"/>
      <c r="G38" s="268"/>
      <c r="H38" s="268"/>
      <c r="I38" s="268"/>
      <c r="J38" s="268"/>
      <c r="K38" s="268"/>
      <c r="L38" s="268"/>
      <c r="M38" s="268"/>
      <c r="N38" s="268"/>
      <c r="O38" s="268"/>
      <c r="P38" s="268"/>
      <c r="Q38" s="268"/>
      <c r="R38" s="268"/>
      <c r="S38" s="268"/>
      <c r="T38" s="269"/>
    </row>
    <row r="39" spans="2:20" ht="18" customHeight="1" x14ac:dyDescent="0.3">
      <c r="B39" s="266"/>
      <c r="C39" s="267">
        <v>3</v>
      </c>
      <c r="D39" s="268" t="s">
        <v>122</v>
      </c>
      <c r="E39" s="268"/>
      <c r="F39" s="268"/>
      <c r="G39" s="268"/>
      <c r="H39" s="268"/>
      <c r="I39" s="268"/>
      <c r="J39" s="268"/>
      <c r="K39" s="268"/>
      <c r="L39" s="268"/>
      <c r="M39" s="268"/>
      <c r="N39" s="268"/>
      <c r="O39" s="268"/>
      <c r="P39" s="268"/>
      <c r="Q39" s="268"/>
      <c r="R39" s="268"/>
      <c r="S39" s="268"/>
      <c r="T39" s="269"/>
    </row>
    <row r="40" spans="2:20" ht="18" customHeight="1" x14ac:dyDescent="0.3">
      <c r="B40" s="266"/>
      <c r="C40" s="267">
        <v>4</v>
      </c>
      <c r="D40" s="268" t="s">
        <v>154</v>
      </c>
      <c r="E40" s="268"/>
      <c r="F40" s="268"/>
      <c r="G40" s="268"/>
      <c r="H40" s="268"/>
      <c r="I40" s="268"/>
      <c r="J40" s="268"/>
      <c r="K40" s="268"/>
      <c r="L40" s="268"/>
      <c r="M40" s="268"/>
      <c r="N40" s="268"/>
      <c r="O40" s="268"/>
      <c r="P40" s="268"/>
      <c r="Q40" s="268"/>
      <c r="R40" s="268"/>
      <c r="S40" s="268"/>
      <c r="T40" s="269"/>
    </row>
    <row r="41" spans="2:20" ht="18" customHeight="1" thickBot="1" x14ac:dyDescent="0.35">
      <c r="B41" s="270"/>
      <c r="C41" s="271">
        <v>5</v>
      </c>
      <c r="D41" s="272" t="s">
        <v>155</v>
      </c>
      <c r="E41" s="272"/>
      <c r="F41" s="272"/>
      <c r="G41" s="272"/>
      <c r="H41" s="272"/>
      <c r="I41" s="272"/>
      <c r="J41" s="272"/>
      <c r="K41" s="272"/>
      <c r="L41" s="272"/>
      <c r="M41" s="272"/>
      <c r="N41" s="272"/>
      <c r="O41" s="272"/>
      <c r="P41" s="272"/>
      <c r="Q41" s="272"/>
      <c r="R41" s="272"/>
      <c r="S41" s="272"/>
      <c r="T41" s="273"/>
    </row>
    <row r="42" spans="2:20" ht="4.5" customHeight="1" thickBot="1" x14ac:dyDescent="0.35">
      <c r="B42" s="501"/>
      <c r="C42" s="501"/>
      <c r="D42" s="501"/>
      <c r="E42" s="501"/>
      <c r="F42" s="501"/>
      <c r="G42" s="501"/>
      <c r="H42" s="501"/>
      <c r="I42" s="501"/>
      <c r="J42" s="501"/>
      <c r="K42" s="501"/>
      <c r="L42" s="501"/>
      <c r="M42" s="501"/>
      <c r="N42" s="501"/>
      <c r="O42" s="501"/>
      <c r="P42" s="501"/>
      <c r="Q42" s="501"/>
      <c r="R42" s="501"/>
      <c r="S42" s="501"/>
      <c r="T42" s="501"/>
    </row>
    <row r="43" spans="2:20" ht="18" customHeight="1" x14ac:dyDescent="0.3">
      <c r="B43" s="249" t="s">
        <v>136</v>
      </c>
      <c r="C43" s="250" t="s">
        <v>137</v>
      </c>
      <c r="D43" s="251"/>
      <c r="E43" s="251"/>
      <c r="F43" s="251"/>
      <c r="G43" s="251"/>
      <c r="H43" s="251"/>
      <c r="I43" s="251"/>
      <c r="J43" s="251"/>
      <c r="K43" s="251"/>
      <c r="L43" s="251"/>
      <c r="M43" s="251"/>
      <c r="N43" s="251"/>
      <c r="O43" s="251"/>
      <c r="P43" s="251"/>
      <c r="Q43" s="251"/>
      <c r="R43" s="251"/>
      <c r="S43" s="251"/>
      <c r="T43" s="252"/>
    </row>
    <row r="44" spans="2:20" ht="18" customHeight="1" x14ac:dyDescent="0.3">
      <c r="B44" s="253"/>
      <c r="C44" s="260">
        <v>1</v>
      </c>
      <c r="D44" s="254" t="s">
        <v>141</v>
      </c>
      <c r="E44" s="254"/>
      <c r="F44" s="254"/>
      <c r="G44" s="254"/>
      <c r="H44" s="254"/>
      <c r="I44" s="254"/>
      <c r="J44" s="254"/>
      <c r="K44" s="254"/>
      <c r="L44" s="254"/>
      <c r="M44" s="254"/>
      <c r="N44" s="254"/>
      <c r="O44" s="254"/>
      <c r="P44" s="254"/>
      <c r="Q44" s="254"/>
      <c r="R44" s="254"/>
      <c r="S44" s="254"/>
      <c r="T44" s="256"/>
    </row>
    <row r="45" spans="2:20" ht="18" customHeight="1" x14ac:dyDescent="0.3">
      <c r="B45" s="253"/>
      <c r="C45" s="260">
        <v>2</v>
      </c>
      <c r="D45" s="254" t="s">
        <v>139</v>
      </c>
      <c r="E45" s="254"/>
      <c r="F45" s="254"/>
      <c r="G45" s="254"/>
      <c r="H45" s="254"/>
      <c r="I45" s="254"/>
      <c r="J45" s="254"/>
      <c r="K45" s="254"/>
      <c r="L45" s="254"/>
      <c r="M45" s="254"/>
      <c r="N45" s="254"/>
      <c r="O45" s="254"/>
      <c r="P45" s="254"/>
      <c r="Q45" s="254"/>
      <c r="R45" s="254"/>
      <c r="S45" s="254"/>
      <c r="T45" s="256"/>
    </row>
    <row r="46" spans="2:20" ht="18" customHeight="1" x14ac:dyDescent="0.3">
      <c r="B46" s="253"/>
      <c r="C46" s="260">
        <v>3</v>
      </c>
      <c r="D46" s="254" t="s">
        <v>140</v>
      </c>
      <c r="E46" s="254"/>
      <c r="F46" s="254"/>
      <c r="G46" s="254"/>
      <c r="H46" s="254"/>
      <c r="I46" s="254"/>
      <c r="J46" s="254"/>
      <c r="K46" s="254"/>
      <c r="L46" s="254"/>
      <c r="M46" s="254"/>
      <c r="N46" s="254"/>
      <c r="O46" s="254"/>
      <c r="P46" s="254"/>
      <c r="Q46" s="254"/>
      <c r="R46" s="254"/>
      <c r="S46" s="254"/>
      <c r="T46" s="256"/>
    </row>
    <row r="47" spans="2:20" ht="18" customHeight="1" x14ac:dyDescent="0.3">
      <c r="B47" s="253"/>
      <c r="C47" s="260">
        <v>4</v>
      </c>
      <c r="D47" s="254" t="s">
        <v>142</v>
      </c>
      <c r="E47" s="254"/>
      <c r="F47" s="254"/>
      <c r="G47" s="254"/>
      <c r="H47" s="254"/>
      <c r="I47" s="254"/>
      <c r="J47" s="254"/>
      <c r="K47" s="254"/>
      <c r="L47" s="254"/>
      <c r="M47" s="254"/>
      <c r="N47" s="254"/>
      <c r="O47" s="254"/>
      <c r="P47" s="254"/>
      <c r="Q47" s="254"/>
      <c r="R47" s="254"/>
      <c r="S47" s="254"/>
      <c r="T47" s="256"/>
    </row>
    <row r="48" spans="2:20" ht="18" customHeight="1" thickBot="1" x14ac:dyDescent="0.35">
      <c r="B48" s="257"/>
      <c r="C48" s="261">
        <v>5</v>
      </c>
      <c r="D48" s="258" t="s">
        <v>143</v>
      </c>
      <c r="E48" s="258"/>
      <c r="F48" s="258"/>
      <c r="G48" s="258"/>
      <c r="H48" s="258"/>
      <c r="I48" s="258"/>
      <c r="J48" s="258"/>
      <c r="K48" s="258"/>
      <c r="L48" s="258"/>
      <c r="M48" s="258"/>
      <c r="N48" s="258"/>
      <c r="O48" s="258"/>
      <c r="P48" s="258"/>
      <c r="Q48" s="258"/>
      <c r="R48" s="258"/>
      <c r="S48" s="258"/>
      <c r="T48" s="259"/>
    </row>
    <row r="49" spans="2:20" ht="7.5" customHeight="1" thickBot="1" x14ac:dyDescent="0.35">
      <c r="B49" s="501"/>
      <c r="C49" s="501"/>
      <c r="D49" s="501"/>
      <c r="E49" s="501"/>
      <c r="F49" s="501"/>
      <c r="G49" s="501"/>
      <c r="H49" s="501"/>
      <c r="I49" s="501"/>
      <c r="J49" s="501"/>
      <c r="K49" s="501"/>
      <c r="L49" s="501"/>
      <c r="M49" s="501"/>
      <c r="N49" s="501"/>
      <c r="O49" s="501"/>
      <c r="P49" s="501"/>
      <c r="Q49" s="501"/>
      <c r="R49" s="501"/>
      <c r="S49" s="501"/>
      <c r="T49" s="501"/>
    </row>
    <row r="50" spans="2:20" ht="18" customHeight="1" x14ac:dyDescent="0.3">
      <c r="B50" s="296" t="s">
        <v>144</v>
      </c>
      <c r="C50" s="297" t="s">
        <v>145</v>
      </c>
      <c r="D50" s="298"/>
      <c r="E50" s="299"/>
      <c r="F50" s="299"/>
      <c r="G50" s="299"/>
      <c r="H50" s="299"/>
      <c r="I50" s="299"/>
      <c r="J50" s="299"/>
      <c r="K50" s="299"/>
      <c r="L50" s="299"/>
      <c r="M50" s="299"/>
      <c r="N50" s="299"/>
      <c r="O50" s="299"/>
      <c r="P50" s="299"/>
      <c r="Q50" s="299"/>
      <c r="R50" s="299"/>
      <c r="S50" s="299"/>
      <c r="T50" s="300"/>
    </row>
    <row r="51" spans="2:20" ht="18" customHeight="1" x14ac:dyDescent="0.3">
      <c r="B51" s="301"/>
      <c r="C51" s="302">
        <v>1</v>
      </c>
      <c r="D51" s="302" t="s">
        <v>146</v>
      </c>
      <c r="E51" s="302"/>
      <c r="F51" s="302"/>
      <c r="G51" s="302"/>
      <c r="H51" s="302"/>
      <c r="I51" s="302"/>
      <c r="J51" s="302"/>
      <c r="K51" s="302"/>
      <c r="L51" s="302"/>
      <c r="M51" s="302"/>
      <c r="N51" s="302"/>
      <c r="O51" s="302"/>
      <c r="P51" s="302"/>
      <c r="Q51" s="302"/>
      <c r="R51" s="302"/>
      <c r="S51" s="302"/>
      <c r="T51" s="303"/>
    </row>
    <row r="52" spans="2:20" ht="18" customHeight="1" x14ac:dyDescent="0.3">
      <c r="B52" s="301"/>
      <c r="C52" s="302">
        <v>2</v>
      </c>
      <c r="D52" s="302" t="s">
        <v>147</v>
      </c>
      <c r="E52" s="302"/>
      <c r="F52" s="302"/>
      <c r="G52" s="302"/>
      <c r="H52" s="302"/>
      <c r="I52" s="302"/>
      <c r="J52" s="302"/>
      <c r="K52" s="302"/>
      <c r="L52" s="302"/>
      <c r="M52" s="302"/>
      <c r="N52" s="302"/>
      <c r="O52" s="302"/>
      <c r="P52" s="302"/>
      <c r="Q52" s="302"/>
      <c r="R52" s="302"/>
      <c r="S52" s="302"/>
      <c r="T52" s="303"/>
    </row>
    <row r="53" spans="2:20" ht="18" customHeight="1" thickBot="1" x14ac:dyDescent="0.35">
      <c r="B53" s="304"/>
      <c r="C53" s="305">
        <v>3</v>
      </c>
      <c r="D53" s="305" t="s">
        <v>148</v>
      </c>
      <c r="E53" s="305"/>
      <c r="F53" s="305"/>
      <c r="G53" s="305"/>
      <c r="H53" s="305"/>
      <c r="I53" s="305"/>
      <c r="J53" s="305"/>
      <c r="K53" s="305"/>
      <c r="L53" s="305"/>
      <c r="M53" s="305"/>
      <c r="N53" s="305"/>
      <c r="O53" s="305"/>
      <c r="P53" s="305"/>
      <c r="Q53" s="305"/>
      <c r="R53" s="305"/>
      <c r="S53" s="305"/>
      <c r="T53" s="306"/>
    </row>
    <row r="54" spans="2:20" ht="6.75" customHeight="1" thickBot="1" x14ac:dyDescent="0.35">
      <c r="B54" s="501"/>
      <c r="C54" s="501"/>
      <c r="D54" s="501"/>
      <c r="E54" s="501"/>
      <c r="F54" s="501"/>
      <c r="G54" s="501"/>
      <c r="H54" s="501"/>
      <c r="I54" s="501"/>
      <c r="J54" s="501"/>
      <c r="K54" s="501"/>
      <c r="L54" s="501"/>
      <c r="M54" s="501"/>
      <c r="N54" s="501"/>
      <c r="O54" s="501"/>
      <c r="P54" s="501"/>
      <c r="Q54" s="501"/>
      <c r="R54" s="501"/>
      <c r="S54" s="501"/>
      <c r="T54" s="501"/>
    </row>
    <row r="55" spans="2:20" ht="18" customHeight="1" x14ac:dyDescent="0.3">
      <c r="B55" s="249" t="s">
        <v>149</v>
      </c>
      <c r="C55" s="250" t="s">
        <v>15</v>
      </c>
      <c r="D55" s="251"/>
      <c r="E55" s="251"/>
      <c r="F55" s="251"/>
      <c r="G55" s="251"/>
      <c r="H55" s="251"/>
      <c r="I55" s="251"/>
      <c r="J55" s="251"/>
      <c r="K55" s="251"/>
      <c r="L55" s="251"/>
      <c r="M55" s="251"/>
      <c r="N55" s="251"/>
      <c r="O55" s="251"/>
      <c r="P55" s="251"/>
      <c r="Q55" s="251"/>
      <c r="R55" s="251"/>
      <c r="S55" s="251"/>
      <c r="T55" s="252"/>
    </row>
    <row r="56" spans="2:20" ht="18" customHeight="1" x14ac:dyDescent="0.3">
      <c r="B56" s="253"/>
      <c r="C56" s="254">
        <v>1</v>
      </c>
      <c r="D56" s="255" t="s">
        <v>245</v>
      </c>
      <c r="E56" s="254"/>
      <c r="F56" s="254"/>
      <c r="G56" s="254"/>
      <c r="H56" s="254"/>
      <c r="I56" s="254"/>
      <c r="J56" s="254"/>
      <c r="K56" s="254"/>
      <c r="L56" s="254"/>
      <c r="M56" s="254"/>
      <c r="N56" s="254"/>
      <c r="O56" s="254"/>
      <c r="P56" s="254"/>
      <c r="Q56" s="254"/>
      <c r="R56" s="254"/>
      <c r="S56" s="254"/>
      <c r="T56" s="256"/>
    </row>
    <row r="57" spans="2:20" ht="18" customHeight="1" x14ac:dyDescent="0.3">
      <c r="B57" s="253"/>
      <c r="C57" s="254">
        <v>2</v>
      </c>
      <c r="D57" s="255" t="s">
        <v>246</v>
      </c>
      <c r="E57" s="254"/>
      <c r="F57" s="254"/>
      <c r="G57" s="254"/>
      <c r="H57" s="254"/>
      <c r="I57" s="254"/>
      <c r="J57" s="254"/>
      <c r="K57" s="254"/>
      <c r="L57" s="254"/>
      <c r="M57" s="254"/>
      <c r="N57" s="254"/>
      <c r="O57" s="254"/>
      <c r="P57" s="254"/>
      <c r="Q57" s="254"/>
      <c r="R57" s="254"/>
      <c r="S57" s="254"/>
      <c r="T57" s="256"/>
    </row>
    <row r="58" spans="2:20" ht="18" customHeight="1" x14ac:dyDescent="0.3">
      <c r="B58" s="253"/>
      <c r="C58" s="254">
        <v>3</v>
      </c>
      <c r="D58" s="255" t="s">
        <v>247</v>
      </c>
      <c r="E58" s="254"/>
      <c r="F58" s="254"/>
      <c r="G58" s="254"/>
      <c r="H58" s="254"/>
      <c r="I58" s="254"/>
      <c r="J58" s="254"/>
      <c r="K58" s="254"/>
      <c r="L58" s="254"/>
      <c r="M58" s="254"/>
      <c r="N58" s="254"/>
      <c r="O58" s="254"/>
      <c r="P58" s="254"/>
      <c r="Q58" s="254"/>
      <c r="R58" s="254"/>
      <c r="S58" s="254"/>
      <c r="T58" s="256"/>
    </row>
    <row r="59" spans="2:20" ht="18" customHeight="1" thickBot="1" x14ac:dyDescent="0.35">
      <c r="B59" s="257"/>
      <c r="C59" s="258">
        <v>4</v>
      </c>
      <c r="D59" s="258" t="s">
        <v>248</v>
      </c>
      <c r="E59" s="258"/>
      <c r="F59" s="258"/>
      <c r="G59" s="258"/>
      <c r="H59" s="258"/>
      <c r="I59" s="258"/>
      <c r="J59" s="258"/>
      <c r="K59" s="258"/>
      <c r="L59" s="258"/>
      <c r="M59" s="258"/>
      <c r="N59" s="258"/>
      <c r="O59" s="258"/>
      <c r="P59" s="258"/>
      <c r="Q59" s="258"/>
      <c r="R59" s="258"/>
      <c r="S59" s="258"/>
      <c r="T59" s="259"/>
    </row>
    <row r="60" spans="2:20" ht="7.5" customHeight="1" thickBot="1" x14ac:dyDescent="0.35">
      <c r="B60" s="501"/>
      <c r="C60" s="501"/>
      <c r="D60" s="501"/>
      <c r="E60" s="501"/>
      <c r="F60" s="501"/>
      <c r="G60" s="501"/>
      <c r="H60" s="501"/>
      <c r="I60" s="501"/>
      <c r="J60" s="501"/>
      <c r="K60" s="501"/>
      <c r="L60" s="501"/>
      <c r="M60" s="501"/>
      <c r="N60" s="501"/>
      <c r="O60" s="501"/>
      <c r="P60" s="501"/>
      <c r="Q60" s="501"/>
      <c r="R60" s="501"/>
      <c r="S60" s="501"/>
      <c r="T60" s="501"/>
    </row>
    <row r="61" spans="2:20" ht="18" customHeight="1" x14ac:dyDescent="0.3">
      <c r="B61" s="323" t="s">
        <v>228</v>
      </c>
      <c r="C61" s="519" t="s">
        <v>251</v>
      </c>
      <c r="D61" s="519"/>
      <c r="E61" s="519"/>
      <c r="F61" s="519"/>
      <c r="G61" s="519"/>
      <c r="H61" s="519"/>
      <c r="I61" s="519"/>
      <c r="J61" s="519"/>
      <c r="K61" s="519"/>
      <c r="L61" s="519"/>
      <c r="M61" s="519"/>
      <c r="N61" s="519"/>
      <c r="O61" s="519"/>
      <c r="P61" s="519"/>
      <c r="Q61" s="519"/>
      <c r="R61" s="519"/>
      <c r="S61" s="519"/>
      <c r="T61" s="520"/>
    </row>
    <row r="62" spans="2:20" ht="18" customHeight="1" x14ac:dyDescent="0.3">
      <c r="B62" s="324"/>
      <c r="C62" s="320">
        <v>1</v>
      </c>
      <c r="D62" s="505" t="s">
        <v>259</v>
      </c>
      <c r="E62" s="505"/>
      <c r="F62" s="505"/>
      <c r="G62" s="505"/>
      <c r="H62" s="505"/>
      <c r="I62" s="505"/>
      <c r="J62" s="505"/>
      <c r="K62" s="505"/>
      <c r="L62" s="505"/>
      <c r="M62" s="505"/>
      <c r="N62" s="505"/>
      <c r="O62" s="505"/>
      <c r="P62" s="505"/>
      <c r="Q62" s="505"/>
      <c r="R62" s="505"/>
      <c r="S62" s="505"/>
      <c r="T62" s="506"/>
    </row>
    <row r="63" spans="2:20" ht="18" customHeight="1" x14ac:dyDescent="0.3">
      <c r="B63" s="324"/>
      <c r="C63" s="320">
        <v>2</v>
      </c>
      <c r="D63" s="505" t="s">
        <v>252</v>
      </c>
      <c r="E63" s="505"/>
      <c r="F63" s="505"/>
      <c r="G63" s="505"/>
      <c r="H63" s="505"/>
      <c r="I63" s="505"/>
      <c r="J63" s="505"/>
      <c r="K63" s="505"/>
      <c r="L63" s="505"/>
      <c r="M63" s="505"/>
      <c r="N63" s="505"/>
      <c r="O63" s="505"/>
      <c r="P63" s="505"/>
      <c r="Q63" s="505"/>
      <c r="R63" s="505"/>
      <c r="S63" s="505"/>
      <c r="T63" s="506"/>
    </row>
    <row r="64" spans="2:20" ht="18" customHeight="1" x14ac:dyDescent="0.3">
      <c r="B64" s="324"/>
      <c r="C64" s="320">
        <v>3</v>
      </c>
      <c r="D64" s="505" t="s">
        <v>253</v>
      </c>
      <c r="E64" s="505"/>
      <c r="F64" s="505"/>
      <c r="G64" s="505"/>
      <c r="H64" s="505"/>
      <c r="I64" s="505"/>
      <c r="J64" s="505"/>
      <c r="K64" s="505"/>
      <c r="L64" s="505"/>
      <c r="M64" s="505"/>
      <c r="N64" s="505"/>
      <c r="O64" s="505"/>
      <c r="P64" s="505"/>
      <c r="Q64" s="505"/>
      <c r="R64" s="505"/>
      <c r="S64" s="505"/>
      <c r="T64" s="506"/>
    </row>
    <row r="65" spans="2:20" ht="18" customHeight="1" x14ac:dyDescent="0.3">
      <c r="B65" s="324"/>
      <c r="C65" s="320">
        <v>4</v>
      </c>
      <c r="D65" s="505" t="s">
        <v>254</v>
      </c>
      <c r="E65" s="505"/>
      <c r="F65" s="505"/>
      <c r="G65" s="505"/>
      <c r="H65" s="505"/>
      <c r="I65" s="505"/>
      <c r="J65" s="505"/>
      <c r="K65" s="505"/>
      <c r="L65" s="505"/>
      <c r="M65" s="505"/>
      <c r="N65" s="505"/>
      <c r="O65" s="505"/>
      <c r="P65" s="505"/>
      <c r="Q65" s="505"/>
      <c r="R65" s="505"/>
      <c r="S65" s="505"/>
      <c r="T65" s="506"/>
    </row>
    <row r="66" spans="2:20" ht="35.25" customHeight="1" x14ac:dyDescent="0.3">
      <c r="B66" s="324"/>
      <c r="C66" s="320">
        <v>5</v>
      </c>
      <c r="D66" s="507" t="s">
        <v>255</v>
      </c>
      <c r="E66" s="507"/>
      <c r="F66" s="507"/>
      <c r="G66" s="507"/>
      <c r="H66" s="507"/>
      <c r="I66" s="507"/>
      <c r="J66" s="507"/>
      <c r="K66" s="507"/>
      <c r="L66" s="507"/>
      <c r="M66" s="507"/>
      <c r="N66" s="507"/>
      <c r="O66" s="507"/>
      <c r="P66" s="507"/>
      <c r="Q66" s="507"/>
      <c r="R66" s="507"/>
      <c r="S66" s="507"/>
      <c r="T66" s="508"/>
    </row>
    <row r="67" spans="2:20" ht="18" customHeight="1" x14ac:dyDescent="0.3">
      <c r="B67" s="324"/>
      <c r="C67" s="320">
        <v>6</v>
      </c>
      <c r="D67" s="507" t="s">
        <v>256</v>
      </c>
      <c r="E67" s="507"/>
      <c r="F67" s="507"/>
      <c r="G67" s="507"/>
      <c r="H67" s="507"/>
      <c r="I67" s="507"/>
      <c r="J67" s="507"/>
      <c r="K67" s="507"/>
      <c r="L67" s="507"/>
      <c r="M67" s="507"/>
      <c r="N67" s="507"/>
      <c r="O67" s="507"/>
      <c r="P67" s="507"/>
      <c r="Q67" s="507"/>
      <c r="R67" s="507"/>
      <c r="S67" s="507"/>
      <c r="T67" s="508"/>
    </row>
    <row r="68" spans="2:20" ht="18" customHeight="1" x14ac:dyDescent="0.3">
      <c r="B68" s="324"/>
      <c r="C68" s="320">
        <v>7</v>
      </c>
      <c r="D68" s="507" t="s">
        <v>257</v>
      </c>
      <c r="E68" s="507"/>
      <c r="F68" s="507"/>
      <c r="G68" s="507"/>
      <c r="H68" s="507"/>
      <c r="I68" s="507"/>
      <c r="J68" s="507"/>
      <c r="K68" s="507"/>
      <c r="L68" s="507"/>
      <c r="M68" s="507"/>
      <c r="N68" s="507"/>
      <c r="O68" s="507"/>
      <c r="P68" s="507"/>
      <c r="Q68" s="507"/>
      <c r="R68" s="507"/>
      <c r="S68" s="507"/>
      <c r="T68" s="508"/>
    </row>
    <row r="69" spans="2:20" ht="18" customHeight="1" thickBot="1" x14ac:dyDescent="0.35">
      <c r="B69" s="325"/>
      <c r="C69" s="326">
        <v>8</v>
      </c>
      <c r="D69" s="509" t="s">
        <v>258</v>
      </c>
      <c r="E69" s="509"/>
      <c r="F69" s="509"/>
      <c r="G69" s="509"/>
      <c r="H69" s="509"/>
      <c r="I69" s="509"/>
      <c r="J69" s="509"/>
      <c r="K69" s="509"/>
      <c r="L69" s="509"/>
      <c r="M69" s="509"/>
      <c r="N69" s="509"/>
      <c r="O69" s="509"/>
      <c r="P69" s="509"/>
      <c r="Q69" s="509"/>
      <c r="R69" s="509"/>
      <c r="S69" s="509"/>
      <c r="T69" s="510"/>
    </row>
    <row r="70" spans="2:20" ht="6" customHeight="1" thickBot="1" x14ac:dyDescent="0.35">
      <c r="B70" s="501"/>
      <c r="C70" s="501"/>
      <c r="D70" s="501"/>
      <c r="E70" s="501"/>
      <c r="F70" s="501"/>
      <c r="G70" s="501"/>
      <c r="H70" s="501"/>
      <c r="I70" s="501"/>
      <c r="J70" s="501"/>
      <c r="K70" s="501"/>
      <c r="L70" s="501"/>
      <c r="M70" s="501"/>
      <c r="N70" s="501"/>
      <c r="O70" s="501"/>
      <c r="P70" s="501"/>
      <c r="Q70" s="501"/>
      <c r="R70" s="501"/>
      <c r="S70" s="501"/>
      <c r="T70" s="501"/>
    </row>
    <row r="71" spans="2:20" ht="18" customHeight="1" x14ac:dyDescent="0.3">
      <c r="B71" s="296" t="s">
        <v>250</v>
      </c>
      <c r="C71" s="297" t="s">
        <v>229</v>
      </c>
      <c r="D71" s="299"/>
      <c r="E71" s="299"/>
      <c r="F71" s="299"/>
      <c r="G71" s="299"/>
      <c r="H71" s="299"/>
      <c r="I71" s="299"/>
      <c r="J71" s="299"/>
      <c r="K71" s="299"/>
      <c r="L71" s="299"/>
      <c r="M71" s="299"/>
      <c r="N71" s="299"/>
      <c r="O71" s="299"/>
      <c r="P71" s="299"/>
      <c r="Q71" s="299"/>
      <c r="R71" s="299"/>
      <c r="S71" s="299"/>
      <c r="T71" s="300"/>
    </row>
    <row r="72" spans="2:20" ht="18" customHeight="1" x14ac:dyDescent="0.3">
      <c r="B72" s="321"/>
      <c r="C72" s="322">
        <v>1</v>
      </c>
      <c r="D72" s="302" t="s">
        <v>260</v>
      </c>
      <c r="E72" s="302"/>
      <c r="F72" s="302"/>
      <c r="G72" s="302"/>
      <c r="H72" s="302"/>
      <c r="I72" s="302"/>
      <c r="J72" s="302"/>
      <c r="K72" s="302"/>
      <c r="L72" s="302"/>
      <c r="M72" s="302"/>
      <c r="N72" s="302"/>
      <c r="O72" s="302"/>
      <c r="P72" s="302"/>
      <c r="Q72" s="302"/>
      <c r="R72" s="302"/>
      <c r="S72" s="302"/>
      <c r="T72" s="303"/>
    </row>
    <row r="73" spans="2:20" ht="18" customHeight="1" x14ac:dyDescent="0.3">
      <c r="B73" s="301"/>
      <c r="C73" s="302">
        <v>2</v>
      </c>
      <c r="D73" s="521" t="s">
        <v>261</v>
      </c>
      <c r="E73" s="521"/>
      <c r="F73" s="521"/>
      <c r="G73" s="521"/>
      <c r="H73" s="521"/>
      <c r="I73" s="521"/>
      <c r="J73" s="521"/>
      <c r="K73" s="521"/>
      <c r="L73" s="521"/>
      <c r="M73" s="521"/>
      <c r="N73" s="521"/>
      <c r="O73" s="521"/>
      <c r="P73" s="521"/>
      <c r="Q73" s="521"/>
      <c r="R73" s="521"/>
      <c r="S73" s="521"/>
      <c r="T73" s="522"/>
    </row>
    <row r="74" spans="2:20" ht="18" customHeight="1" x14ac:dyDescent="0.3">
      <c r="B74" s="301"/>
      <c r="C74" s="302">
        <v>3</v>
      </c>
      <c r="D74" s="521" t="s">
        <v>230</v>
      </c>
      <c r="E74" s="521"/>
      <c r="F74" s="521"/>
      <c r="G74" s="521"/>
      <c r="H74" s="521"/>
      <c r="I74" s="521"/>
      <c r="J74" s="521"/>
      <c r="K74" s="521"/>
      <c r="L74" s="521"/>
      <c r="M74" s="521"/>
      <c r="N74" s="521"/>
      <c r="O74" s="521"/>
      <c r="P74" s="521"/>
      <c r="Q74" s="521"/>
      <c r="R74" s="521"/>
      <c r="S74" s="521"/>
      <c r="T74" s="522"/>
    </row>
    <row r="75" spans="2:20" ht="18" customHeight="1" x14ac:dyDescent="0.3">
      <c r="B75" s="301"/>
      <c r="C75" s="302">
        <v>4</v>
      </c>
      <c r="D75" s="521" t="s">
        <v>231</v>
      </c>
      <c r="E75" s="521"/>
      <c r="F75" s="521"/>
      <c r="G75" s="521"/>
      <c r="H75" s="521"/>
      <c r="I75" s="521"/>
      <c r="J75" s="521"/>
      <c r="K75" s="521"/>
      <c r="L75" s="521"/>
      <c r="M75" s="521"/>
      <c r="N75" s="521"/>
      <c r="O75" s="521"/>
      <c r="P75" s="521"/>
      <c r="Q75" s="521"/>
      <c r="R75" s="521"/>
      <c r="S75" s="521"/>
      <c r="T75" s="522"/>
    </row>
    <row r="76" spans="2:20" ht="18" customHeight="1" thickBot="1" x14ac:dyDescent="0.35">
      <c r="B76" s="304"/>
      <c r="C76" s="305">
        <v>5</v>
      </c>
      <c r="D76" s="523" t="s">
        <v>232</v>
      </c>
      <c r="E76" s="523"/>
      <c r="F76" s="523"/>
      <c r="G76" s="523"/>
      <c r="H76" s="523"/>
      <c r="I76" s="523"/>
      <c r="J76" s="523"/>
      <c r="K76" s="523"/>
      <c r="L76" s="523"/>
      <c r="M76" s="523"/>
      <c r="N76" s="523"/>
      <c r="O76" s="523"/>
      <c r="P76" s="523"/>
      <c r="Q76" s="523"/>
      <c r="R76" s="523"/>
      <c r="S76" s="523"/>
      <c r="T76" s="524"/>
    </row>
    <row r="77" spans="2:20" ht="5.25" customHeight="1" thickBot="1" x14ac:dyDescent="0.35">
      <c r="B77" s="502"/>
      <c r="C77" s="502"/>
      <c r="D77" s="502"/>
      <c r="E77" s="502"/>
      <c r="F77" s="502"/>
      <c r="G77" s="502"/>
      <c r="H77" s="502"/>
      <c r="I77" s="502"/>
      <c r="J77" s="502"/>
      <c r="K77" s="502"/>
      <c r="L77" s="502"/>
      <c r="M77" s="502"/>
      <c r="N77" s="502"/>
      <c r="O77" s="502"/>
      <c r="P77" s="502"/>
      <c r="Q77" s="502"/>
      <c r="R77" s="502"/>
      <c r="S77" s="502"/>
      <c r="T77" s="502"/>
    </row>
    <row r="78" spans="2:20" ht="18" customHeight="1" x14ac:dyDescent="0.3">
      <c r="B78" s="308"/>
      <c r="C78" s="516" t="s">
        <v>151</v>
      </c>
      <c r="D78" s="516"/>
      <c r="E78" s="251"/>
      <c r="F78" s="251"/>
      <c r="G78" s="251"/>
      <c r="H78" s="251"/>
      <c r="I78" s="251"/>
      <c r="J78" s="251"/>
      <c r="K78" s="251"/>
      <c r="L78" s="251"/>
      <c r="M78" s="251"/>
      <c r="N78" s="251"/>
      <c r="O78" s="251"/>
      <c r="P78" s="251"/>
      <c r="Q78" s="251"/>
      <c r="R78" s="251"/>
      <c r="S78" s="251"/>
      <c r="T78" s="252"/>
    </row>
    <row r="79" spans="2:20" ht="18" customHeight="1" x14ac:dyDescent="0.3">
      <c r="B79" s="290"/>
      <c r="C79" s="254"/>
      <c r="D79" s="254"/>
      <c r="E79" s="254"/>
      <c r="F79" s="254"/>
      <c r="G79" s="254"/>
      <c r="H79" s="254"/>
      <c r="I79" s="254"/>
      <c r="J79" s="254"/>
      <c r="K79" s="254"/>
      <c r="L79" s="254"/>
      <c r="M79" s="254"/>
      <c r="N79" s="254"/>
      <c r="O79" s="254"/>
      <c r="P79" s="254"/>
      <c r="Q79" s="254"/>
      <c r="R79" s="254"/>
      <c r="S79" s="254"/>
      <c r="T79" s="256"/>
    </row>
    <row r="80" spans="2:20" ht="18" customHeight="1" x14ac:dyDescent="0.3">
      <c r="B80" s="253" t="s">
        <v>152</v>
      </c>
      <c r="C80" s="291" t="s">
        <v>150</v>
      </c>
      <c r="D80" s="254"/>
      <c r="E80" s="254"/>
      <c r="F80" s="254"/>
      <c r="G80" s="254"/>
      <c r="H80" s="254"/>
      <c r="I80" s="254"/>
      <c r="J80" s="254"/>
      <c r="K80" s="254"/>
      <c r="L80" s="254"/>
      <c r="M80" s="254"/>
      <c r="N80" s="254"/>
      <c r="O80" s="254"/>
      <c r="P80" s="254"/>
      <c r="Q80" s="254"/>
      <c r="R80" s="254"/>
      <c r="S80" s="254"/>
      <c r="T80" s="256"/>
    </row>
    <row r="81" spans="2:20" ht="18" customHeight="1" x14ac:dyDescent="0.3">
      <c r="B81" s="253"/>
      <c r="C81" s="254"/>
      <c r="D81" s="254" t="s">
        <v>123</v>
      </c>
      <c r="E81" s="307">
        <v>0.9</v>
      </c>
      <c r="F81" s="254" t="s">
        <v>124</v>
      </c>
      <c r="G81" s="254"/>
      <c r="H81" s="254"/>
      <c r="I81" s="254"/>
      <c r="J81" s="254"/>
      <c r="K81" s="254"/>
      <c r="L81" s="254"/>
      <c r="M81" s="254"/>
      <c r="N81" s="254"/>
      <c r="O81" s="254"/>
      <c r="P81" s="254"/>
      <c r="Q81" s="254"/>
      <c r="R81" s="254"/>
      <c r="S81" s="254"/>
      <c r="T81" s="256"/>
    </row>
    <row r="82" spans="2:20" ht="18" customHeight="1" x14ac:dyDescent="0.3">
      <c r="B82" s="253"/>
      <c r="C82" s="254"/>
      <c r="D82" s="254" t="s">
        <v>125</v>
      </c>
      <c r="E82" s="307">
        <v>0.8</v>
      </c>
      <c r="F82" s="254" t="s">
        <v>124</v>
      </c>
      <c r="G82" s="254"/>
      <c r="H82" s="254"/>
      <c r="I82" s="254"/>
      <c r="J82" s="254"/>
      <c r="K82" s="254"/>
      <c r="L82" s="254"/>
      <c r="M82" s="254"/>
      <c r="N82" s="254"/>
      <c r="O82" s="254"/>
      <c r="P82" s="254"/>
      <c r="Q82" s="254"/>
      <c r="R82" s="254"/>
      <c r="S82" s="254"/>
      <c r="T82" s="256"/>
    </row>
    <row r="83" spans="2:20" ht="18" customHeight="1" x14ac:dyDescent="0.3">
      <c r="B83" s="253"/>
      <c r="C83" s="254"/>
      <c r="D83" s="254" t="s">
        <v>126</v>
      </c>
      <c r="E83" s="307">
        <v>1</v>
      </c>
      <c r="F83" s="254" t="s">
        <v>124</v>
      </c>
      <c r="G83" s="254"/>
      <c r="H83" s="254"/>
      <c r="I83" s="254"/>
      <c r="J83" s="254"/>
      <c r="K83" s="254"/>
      <c r="L83" s="254"/>
      <c r="M83" s="254"/>
      <c r="N83" s="254"/>
      <c r="O83" s="254"/>
      <c r="P83" s="254"/>
      <c r="Q83" s="254"/>
      <c r="R83" s="254"/>
      <c r="S83" s="254"/>
      <c r="T83" s="256"/>
    </row>
    <row r="84" spans="2:20" ht="18" customHeight="1" x14ac:dyDescent="0.3">
      <c r="B84" s="253"/>
      <c r="C84" s="254"/>
      <c r="D84" s="254" t="s">
        <v>127</v>
      </c>
      <c r="E84" s="307">
        <v>1</v>
      </c>
      <c r="F84" s="254" t="s">
        <v>124</v>
      </c>
      <c r="G84" s="254"/>
      <c r="H84" s="254"/>
      <c r="I84" s="254"/>
      <c r="J84" s="254"/>
      <c r="K84" s="254"/>
      <c r="L84" s="254"/>
      <c r="M84" s="254"/>
      <c r="N84" s="254"/>
      <c r="O84" s="254"/>
      <c r="P84" s="254"/>
      <c r="Q84" s="254"/>
      <c r="R84" s="254"/>
      <c r="S84" s="254"/>
      <c r="T84" s="256"/>
    </row>
    <row r="85" spans="2:20" ht="18" customHeight="1" x14ac:dyDescent="0.3">
      <c r="B85" s="253"/>
      <c r="C85" s="254"/>
      <c r="D85" s="254" t="s">
        <v>128</v>
      </c>
      <c r="E85" s="307">
        <v>0.9</v>
      </c>
      <c r="F85" s="254" t="s">
        <v>124</v>
      </c>
      <c r="G85" s="254"/>
      <c r="H85" s="254"/>
      <c r="I85" s="254"/>
      <c r="J85" s="254"/>
      <c r="K85" s="254"/>
      <c r="L85" s="254"/>
      <c r="M85" s="254"/>
      <c r="N85" s="254"/>
      <c r="O85" s="254"/>
      <c r="P85" s="254"/>
      <c r="Q85" s="254"/>
      <c r="R85" s="254"/>
      <c r="S85" s="254"/>
      <c r="T85" s="256"/>
    </row>
    <row r="86" spans="2:20" ht="18" customHeight="1" x14ac:dyDescent="0.3">
      <c r="B86" s="253"/>
      <c r="C86" s="254"/>
      <c r="D86" s="254" t="s">
        <v>129</v>
      </c>
      <c r="E86" s="307">
        <v>0.8</v>
      </c>
      <c r="F86" s="254" t="s">
        <v>124</v>
      </c>
      <c r="G86" s="254"/>
      <c r="H86" s="254"/>
      <c r="I86" s="254"/>
      <c r="J86" s="254"/>
      <c r="K86" s="254"/>
      <c r="L86" s="254"/>
      <c r="M86" s="254"/>
      <c r="N86" s="254"/>
      <c r="O86" s="254"/>
      <c r="P86" s="254"/>
      <c r="Q86" s="254"/>
      <c r="R86" s="254"/>
      <c r="S86" s="254"/>
      <c r="T86" s="256"/>
    </row>
    <row r="87" spans="2:20" ht="18" customHeight="1" x14ac:dyDescent="0.3">
      <c r="B87" s="253"/>
      <c r="C87" s="254"/>
      <c r="D87" s="254" t="s">
        <v>130</v>
      </c>
      <c r="E87" s="254"/>
      <c r="F87" s="254"/>
      <c r="G87" s="254"/>
      <c r="H87" s="254"/>
      <c r="I87" s="254"/>
      <c r="J87" s="254"/>
      <c r="K87" s="254"/>
      <c r="L87" s="254"/>
      <c r="M87" s="254"/>
      <c r="N87" s="254"/>
      <c r="O87" s="254"/>
      <c r="P87" s="254"/>
      <c r="Q87" s="254"/>
      <c r="R87" s="254"/>
      <c r="S87" s="254"/>
      <c r="T87" s="256"/>
    </row>
    <row r="88" spans="2:20" x14ac:dyDescent="0.3">
      <c r="B88" s="253"/>
      <c r="C88" s="254"/>
      <c r="D88" s="254"/>
      <c r="E88" s="254"/>
      <c r="F88" s="254"/>
      <c r="G88" s="254"/>
      <c r="H88" s="254"/>
      <c r="I88" s="254"/>
      <c r="J88" s="254"/>
      <c r="K88" s="254"/>
      <c r="L88" s="254"/>
      <c r="M88" s="254"/>
      <c r="N88" s="254"/>
      <c r="O88" s="254"/>
      <c r="P88" s="254"/>
      <c r="Q88" s="254"/>
      <c r="R88" s="254"/>
      <c r="S88" s="254"/>
      <c r="T88" s="256"/>
    </row>
    <row r="89" spans="2:20" x14ac:dyDescent="0.3">
      <c r="B89" s="253" t="s">
        <v>156</v>
      </c>
      <c r="C89" s="291" t="s">
        <v>157</v>
      </c>
      <c r="D89" s="254"/>
      <c r="E89" s="254"/>
      <c r="F89" s="254"/>
      <c r="G89" s="254"/>
      <c r="H89" s="254"/>
      <c r="I89" s="254"/>
      <c r="J89" s="254"/>
      <c r="K89" s="254"/>
      <c r="L89" s="254"/>
      <c r="M89" s="254"/>
      <c r="N89" s="254"/>
      <c r="O89" s="254"/>
      <c r="P89" s="254"/>
      <c r="Q89" s="254"/>
      <c r="R89" s="254"/>
      <c r="S89" s="254"/>
      <c r="T89" s="256"/>
    </row>
    <row r="90" spans="2:20" x14ac:dyDescent="0.3">
      <c r="B90" s="253"/>
      <c r="C90" s="254"/>
      <c r="D90" s="254" t="s">
        <v>158</v>
      </c>
      <c r="E90" s="254"/>
      <c r="F90" s="254"/>
      <c r="G90" s="254"/>
      <c r="H90" s="254"/>
      <c r="I90" s="254"/>
      <c r="J90" s="254"/>
      <c r="K90" s="254"/>
      <c r="L90" s="254"/>
      <c r="M90" s="254"/>
      <c r="N90" s="254"/>
      <c r="O90" s="254"/>
      <c r="P90" s="254"/>
      <c r="Q90" s="254"/>
      <c r="R90" s="254"/>
      <c r="S90" s="254"/>
      <c r="T90" s="256"/>
    </row>
    <row r="91" spans="2:20" ht="15.6" thickBot="1" x14ac:dyDescent="0.35">
      <c r="B91" s="253"/>
      <c r="C91" s="254"/>
      <c r="D91" s="254"/>
      <c r="E91" s="254"/>
      <c r="F91" s="254"/>
      <c r="G91" s="254"/>
      <c r="H91" s="254"/>
      <c r="I91" s="254"/>
      <c r="J91" s="254"/>
      <c r="K91" s="254"/>
      <c r="L91" s="254"/>
      <c r="M91" s="254"/>
      <c r="N91" s="254"/>
      <c r="O91" s="254"/>
      <c r="P91" s="254"/>
      <c r="Q91" s="254"/>
      <c r="R91" s="254"/>
      <c r="S91" s="254"/>
      <c r="T91" s="256"/>
    </row>
    <row r="92" spans="2:20" x14ac:dyDescent="0.3">
      <c r="B92" s="253"/>
      <c r="C92" s="254"/>
      <c r="D92" s="309" t="s">
        <v>159</v>
      </c>
      <c r="E92" s="310" t="s">
        <v>162</v>
      </c>
      <c r="F92" s="254"/>
      <c r="G92" s="254"/>
      <c r="H92" s="309" t="s">
        <v>160</v>
      </c>
      <c r="I92" s="310" t="s">
        <v>161</v>
      </c>
      <c r="J92" s="254"/>
      <c r="K92" s="254"/>
      <c r="L92" s="254"/>
      <c r="M92" s="254"/>
      <c r="N92" s="254"/>
      <c r="O92" s="254"/>
      <c r="P92" s="254"/>
      <c r="Q92" s="254"/>
      <c r="R92" s="254"/>
      <c r="S92" s="254"/>
      <c r="T92" s="256"/>
    </row>
    <row r="93" spans="2:20" x14ac:dyDescent="0.3">
      <c r="B93" s="253"/>
      <c r="C93" s="254"/>
      <c r="D93" s="311" t="s">
        <v>134</v>
      </c>
      <c r="E93" s="312">
        <v>10</v>
      </c>
      <c r="F93" s="254"/>
      <c r="G93" s="254"/>
      <c r="H93" s="311">
        <v>1</v>
      </c>
      <c r="I93" s="312">
        <v>15</v>
      </c>
      <c r="J93" s="254"/>
      <c r="K93" s="254"/>
      <c r="L93" s="254"/>
      <c r="M93" s="254"/>
      <c r="N93" s="254"/>
      <c r="O93" s="254"/>
      <c r="P93" s="254"/>
      <c r="Q93" s="254"/>
      <c r="R93" s="254"/>
      <c r="S93" s="254"/>
      <c r="T93" s="256"/>
    </row>
    <row r="94" spans="2:20" x14ac:dyDescent="0.3">
      <c r="B94" s="253"/>
      <c r="C94" s="254"/>
      <c r="D94" s="311" t="s">
        <v>133</v>
      </c>
      <c r="E94" s="312">
        <v>13</v>
      </c>
      <c r="F94" s="254"/>
      <c r="G94" s="254"/>
      <c r="H94" s="311">
        <v>2</v>
      </c>
      <c r="I94" s="312">
        <v>50</v>
      </c>
      <c r="J94" s="254"/>
      <c r="K94" s="254"/>
      <c r="L94" s="254"/>
      <c r="M94" s="254"/>
      <c r="N94" s="254"/>
      <c r="O94" s="254"/>
      <c r="P94" s="254"/>
      <c r="Q94" s="254"/>
      <c r="R94" s="254"/>
      <c r="S94" s="254"/>
      <c r="T94" s="256"/>
    </row>
    <row r="95" spans="2:20" x14ac:dyDescent="0.3">
      <c r="B95" s="253"/>
      <c r="C95" s="254"/>
      <c r="D95" s="311" t="s">
        <v>136</v>
      </c>
      <c r="E95" s="312">
        <v>13</v>
      </c>
      <c r="F95" s="254"/>
      <c r="G95" s="254"/>
      <c r="H95" s="311">
        <v>3</v>
      </c>
      <c r="I95" s="312">
        <v>22</v>
      </c>
      <c r="J95" s="254"/>
      <c r="K95" s="254"/>
      <c r="L95" s="254"/>
      <c r="M95" s="254"/>
      <c r="N95" s="254"/>
      <c r="O95" s="254"/>
      <c r="P95" s="254"/>
      <c r="Q95" s="254"/>
      <c r="R95" s="254"/>
      <c r="S95" s="254"/>
      <c r="T95" s="256"/>
    </row>
    <row r="96" spans="2:20" ht="15.6" thickBot="1" x14ac:dyDescent="0.35">
      <c r="B96" s="253"/>
      <c r="C96" s="254"/>
      <c r="D96" s="314" t="s">
        <v>163</v>
      </c>
      <c r="E96" s="315">
        <v>8</v>
      </c>
      <c r="F96" s="254"/>
      <c r="G96" s="254"/>
      <c r="H96" s="311">
        <v>4</v>
      </c>
      <c r="I96" s="312">
        <v>50</v>
      </c>
      <c r="J96" s="254"/>
      <c r="K96" s="254"/>
      <c r="L96" s="254"/>
      <c r="M96" s="254"/>
      <c r="N96" s="254"/>
      <c r="O96" s="254"/>
      <c r="P96" s="254"/>
      <c r="Q96" s="254"/>
      <c r="R96" s="254"/>
      <c r="S96" s="254"/>
      <c r="T96" s="256"/>
    </row>
    <row r="97" spans="2:20" x14ac:dyDescent="0.3">
      <c r="B97" s="253"/>
      <c r="C97" s="254"/>
      <c r="D97" s="254"/>
      <c r="E97" s="254"/>
      <c r="F97" s="254"/>
      <c r="G97" s="254"/>
      <c r="H97" s="311">
        <v>5</v>
      </c>
      <c r="I97" s="312">
        <v>22</v>
      </c>
      <c r="J97" s="254"/>
      <c r="K97" s="254"/>
      <c r="L97" s="254"/>
      <c r="M97" s="254"/>
      <c r="N97" s="254"/>
      <c r="O97" s="254"/>
      <c r="P97" s="254"/>
      <c r="Q97" s="254"/>
      <c r="R97" s="254"/>
      <c r="S97" s="254"/>
      <c r="T97" s="256"/>
    </row>
    <row r="98" spans="2:20" x14ac:dyDescent="0.3">
      <c r="B98" s="253"/>
      <c r="C98" s="254"/>
      <c r="D98" s="254"/>
      <c r="E98" s="254"/>
      <c r="F98" s="254"/>
      <c r="G98" s="254"/>
      <c r="H98" s="313" t="s">
        <v>165</v>
      </c>
      <c r="I98" s="312">
        <v>50</v>
      </c>
      <c r="J98" s="254"/>
      <c r="K98" s="254"/>
      <c r="L98" s="254"/>
      <c r="M98" s="254"/>
      <c r="N98" s="254"/>
      <c r="O98" s="254"/>
      <c r="P98" s="254"/>
      <c r="Q98" s="254"/>
      <c r="R98" s="254"/>
      <c r="S98" s="254"/>
      <c r="T98" s="256"/>
    </row>
    <row r="99" spans="2:20" ht="15.6" thickBot="1" x14ac:dyDescent="0.35">
      <c r="B99" s="253"/>
      <c r="C99" s="254"/>
      <c r="D99" s="254"/>
      <c r="E99" s="254"/>
      <c r="F99" s="254"/>
      <c r="G99" s="254"/>
      <c r="H99" s="314" t="s">
        <v>164</v>
      </c>
      <c r="I99" s="315">
        <v>18</v>
      </c>
      <c r="J99" s="254"/>
      <c r="K99" s="254"/>
      <c r="L99" s="254"/>
      <c r="M99" s="254"/>
      <c r="N99" s="254"/>
      <c r="O99" s="254"/>
      <c r="P99" s="254"/>
      <c r="Q99" s="254"/>
      <c r="R99" s="254"/>
      <c r="S99" s="254"/>
      <c r="T99" s="256"/>
    </row>
    <row r="100" spans="2:20" ht="15.6" thickBot="1" x14ac:dyDescent="0.35">
      <c r="B100" s="257"/>
      <c r="C100" s="258"/>
      <c r="D100" s="258"/>
      <c r="E100" s="258"/>
      <c r="F100" s="258"/>
      <c r="G100" s="258"/>
      <c r="H100" s="258"/>
      <c r="I100" s="258"/>
      <c r="J100" s="258"/>
      <c r="K100" s="258"/>
      <c r="L100" s="258"/>
      <c r="M100" s="258"/>
      <c r="N100" s="258"/>
      <c r="O100" s="258"/>
      <c r="P100" s="258"/>
      <c r="Q100" s="258"/>
      <c r="R100" s="258"/>
      <c r="S100" s="258"/>
      <c r="T100" s="259"/>
    </row>
  </sheetData>
  <sheetProtection password="B7E1" sheet="1" objects="1" scenarios="1"/>
  <mergeCells count="30">
    <mergeCell ref="B3:J3"/>
    <mergeCell ref="C78:D78"/>
    <mergeCell ref="D32:T32"/>
    <mergeCell ref="D30:T30"/>
    <mergeCell ref="D31:T31"/>
    <mergeCell ref="D33:T33"/>
    <mergeCell ref="D37:T37"/>
    <mergeCell ref="C61:T61"/>
    <mergeCell ref="D62:T62"/>
    <mergeCell ref="D73:T73"/>
    <mergeCell ref="D74:T74"/>
    <mergeCell ref="D75:T75"/>
    <mergeCell ref="D76:T76"/>
    <mergeCell ref="D63:T63"/>
    <mergeCell ref="D64:T64"/>
    <mergeCell ref="B54:T54"/>
    <mergeCell ref="B60:T60"/>
    <mergeCell ref="B77:T77"/>
    <mergeCell ref="B4:T4"/>
    <mergeCell ref="B17:T17"/>
    <mergeCell ref="B35:T35"/>
    <mergeCell ref="B42:T42"/>
    <mergeCell ref="B49:T49"/>
    <mergeCell ref="D65:T65"/>
    <mergeCell ref="D66:T66"/>
    <mergeCell ref="D67:T67"/>
    <mergeCell ref="D68:T68"/>
    <mergeCell ref="D69:T69"/>
    <mergeCell ref="B70:T70"/>
    <mergeCell ref="D29:T2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B1:BH105"/>
  <sheetViews>
    <sheetView topLeftCell="G32" zoomScale="60" zoomScaleNormal="60" workbookViewId="0">
      <selection activeCell="G8" sqref="G8"/>
    </sheetView>
  </sheetViews>
  <sheetFormatPr defaultColWidth="9.21875" defaultRowHeight="13.8" x14ac:dyDescent="0.25"/>
  <cols>
    <col min="1" max="1" width="2.77734375" style="39" customWidth="1"/>
    <col min="2" max="2" width="14.5546875" style="39" customWidth="1"/>
    <col min="3" max="3" width="15.88671875" style="39" customWidth="1"/>
    <col min="4" max="4" width="13.44140625" style="39" customWidth="1"/>
    <col min="5" max="5" width="21.77734375" style="39" customWidth="1"/>
    <col min="6" max="6" width="8.77734375" style="39" customWidth="1"/>
    <col min="7" max="7" width="17.21875" style="39" customWidth="1"/>
    <col min="8" max="8" width="26.77734375" style="39" customWidth="1"/>
    <col min="9" max="9" width="2.5546875" style="39" customWidth="1"/>
    <col min="10" max="10" width="13.44140625" style="39" customWidth="1"/>
    <col min="11" max="12" width="14.77734375" style="39" customWidth="1"/>
    <col min="13" max="13" width="23.5546875" style="39" customWidth="1"/>
    <col min="14" max="14" width="8" style="39" customWidth="1"/>
    <col min="15" max="15" width="19.5546875" style="39" customWidth="1"/>
    <col min="16" max="16" width="23" style="39" customWidth="1"/>
    <col min="17" max="17" width="2.21875" style="39" customWidth="1"/>
    <col min="18" max="18" width="13.77734375" style="39" customWidth="1"/>
    <col min="19" max="19" width="11.44140625" style="39" customWidth="1"/>
    <col min="20" max="20" width="13.44140625" style="39" customWidth="1"/>
    <col min="21" max="21" width="20.77734375" style="39" customWidth="1"/>
    <col min="22" max="22" width="7.21875" style="39" customWidth="1"/>
    <col min="23" max="23" width="18" style="39" customWidth="1"/>
    <col min="24" max="24" width="21.21875" style="39" customWidth="1"/>
    <col min="25" max="25" width="2.21875" style="39" customWidth="1"/>
    <col min="26" max="27" width="12.77734375" style="39" customWidth="1"/>
    <col min="28" max="28" width="14.21875" style="39" customWidth="1"/>
    <col min="29" max="29" width="20.21875" style="39" bestFit="1" customWidth="1"/>
    <col min="30" max="30" width="7.21875" style="39" customWidth="1"/>
    <col min="31" max="31" width="19.5546875" style="39" customWidth="1"/>
    <col min="32" max="32" width="16.77734375" style="39" customWidth="1"/>
    <col min="33" max="33" width="1.77734375" style="39" customWidth="1"/>
    <col min="34" max="34" width="12.77734375" style="39" customWidth="1"/>
    <col min="35" max="35" width="11.77734375" style="39" customWidth="1"/>
    <col min="36" max="36" width="13.77734375" style="39" customWidth="1"/>
    <col min="37" max="37" width="22.77734375" style="39" customWidth="1"/>
    <col min="38" max="38" width="9.21875" style="39" customWidth="1"/>
    <col min="39" max="39" width="18.77734375" style="39" customWidth="1"/>
    <col min="40" max="40" width="15.77734375" style="39" customWidth="1"/>
    <col min="41" max="41" width="2.21875" style="39" customWidth="1"/>
    <col min="42" max="42" width="13.77734375" style="39" customWidth="1"/>
    <col min="43" max="43" width="11.77734375" style="39" customWidth="1"/>
    <col min="44" max="44" width="13.77734375" style="39" customWidth="1"/>
    <col min="45" max="45" width="20.21875" style="39" bestFit="1" customWidth="1"/>
    <col min="46" max="46" width="8.44140625" style="39" customWidth="1"/>
    <col min="47" max="47" width="18.77734375" style="39" customWidth="1"/>
    <col min="48" max="48" width="15.77734375" style="39" customWidth="1"/>
    <col min="49" max="49" width="4.77734375" style="39" customWidth="1"/>
    <col min="50" max="53" width="11.77734375" style="39" customWidth="1"/>
    <col min="54" max="54" width="30" style="39" customWidth="1"/>
    <col min="55" max="56" width="11.77734375" style="39" customWidth="1"/>
    <col min="57" max="57" width="25.5546875" style="39" customWidth="1"/>
    <col min="58" max="58" width="9.21875" style="39"/>
    <col min="59" max="59" width="13.21875" style="39" customWidth="1"/>
    <col min="60" max="60" width="14.21875" style="39" customWidth="1"/>
    <col min="61" max="16384" width="9.21875" style="39"/>
  </cols>
  <sheetData>
    <row r="1" spans="2:57" ht="50.25" customHeight="1" thickBot="1" x14ac:dyDescent="0.3">
      <c r="B1" s="639" t="s">
        <v>81</v>
      </c>
      <c r="C1" s="640"/>
      <c r="D1" s="640"/>
      <c r="E1" s="640"/>
      <c r="F1" s="640"/>
      <c r="G1" s="640"/>
      <c r="H1" s="640"/>
      <c r="I1" s="640"/>
      <c r="J1" s="640"/>
      <c r="K1" s="641"/>
    </row>
    <row r="2" spans="2:57" ht="16.2" thickBot="1" x14ac:dyDescent="0.35">
      <c r="E2" s="41"/>
      <c r="F2" s="41"/>
      <c r="G2" s="41"/>
    </row>
    <row r="3" spans="2:57" ht="26.25" customHeight="1" x14ac:dyDescent="0.25">
      <c r="B3" s="606" t="s">
        <v>75</v>
      </c>
      <c r="C3" s="602"/>
      <c r="D3" s="602"/>
      <c r="E3" s="602"/>
      <c r="F3" s="138"/>
      <c r="G3" s="139"/>
      <c r="H3" s="602" t="s">
        <v>76</v>
      </c>
      <c r="I3" s="602"/>
      <c r="J3" s="602"/>
      <c r="K3" s="602"/>
      <c r="L3" s="140"/>
      <c r="M3" s="141" t="s">
        <v>26</v>
      </c>
    </row>
    <row r="4" spans="2:57" ht="24" customHeight="1" x14ac:dyDescent="0.25">
      <c r="B4" s="605" t="s">
        <v>56</v>
      </c>
      <c r="C4" s="603"/>
      <c r="D4" s="603"/>
      <c r="E4" s="603"/>
      <c r="F4" s="142"/>
      <c r="G4" s="143"/>
      <c r="H4" s="603" t="s">
        <v>74</v>
      </c>
      <c r="I4" s="603"/>
      <c r="J4" s="603"/>
      <c r="K4" s="603"/>
      <c r="L4" s="144"/>
      <c r="M4" s="145" t="s">
        <v>79</v>
      </c>
      <c r="N4" s="112"/>
      <c r="O4" s="112"/>
    </row>
    <row r="5" spans="2:57" ht="32.25" customHeight="1" thickBot="1" x14ac:dyDescent="0.3">
      <c r="B5" s="607" t="s">
        <v>83</v>
      </c>
      <c r="C5" s="604"/>
      <c r="D5" s="604"/>
      <c r="E5" s="604"/>
      <c r="F5" s="146"/>
      <c r="G5" s="147"/>
      <c r="H5" s="604" t="s">
        <v>78</v>
      </c>
      <c r="I5" s="604"/>
      <c r="J5" s="604"/>
      <c r="K5" s="604"/>
      <c r="L5" s="148"/>
      <c r="M5" s="149" t="s">
        <v>80</v>
      </c>
      <c r="N5" s="112"/>
      <c r="O5" s="112"/>
    </row>
    <row r="6" spans="2:57" ht="16.2" thickBot="1" x14ac:dyDescent="0.35">
      <c r="E6" s="41"/>
      <c r="F6" s="41"/>
      <c r="G6" s="41"/>
    </row>
    <row r="7" spans="2:57" ht="14.4" thickBot="1" x14ac:dyDescent="0.3">
      <c r="E7" s="608" t="s">
        <v>20</v>
      </c>
      <c r="F7" s="609"/>
      <c r="G7" s="610"/>
      <c r="H7" s="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row>
    <row r="8" spans="2:57" ht="21" customHeight="1" thickBot="1" x14ac:dyDescent="0.3">
      <c r="G8" s="39" t="e">
        <f>'Data Input'!E40:E73</f>
        <v>#VALUE!</v>
      </c>
    </row>
    <row r="9" spans="2:57" s="173" customFormat="1" ht="25.5" customHeight="1" thickBot="1" x14ac:dyDescent="0.4">
      <c r="B9" s="594" t="s">
        <v>51</v>
      </c>
      <c r="C9" s="595"/>
      <c r="D9" s="595"/>
      <c r="E9" s="595"/>
      <c r="F9" s="596" t="s">
        <v>55</v>
      </c>
      <c r="G9" s="596"/>
      <c r="H9" s="597"/>
      <c r="J9" s="564" t="s">
        <v>51</v>
      </c>
      <c r="K9" s="565"/>
      <c r="L9" s="565"/>
      <c r="M9" s="565"/>
      <c r="N9" s="562" t="s">
        <v>298</v>
      </c>
      <c r="O9" s="562"/>
      <c r="P9" s="563"/>
      <c r="R9" s="564" t="s">
        <v>51</v>
      </c>
      <c r="S9" s="565"/>
      <c r="T9" s="565"/>
      <c r="U9" s="565"/>
      <c r="V9" s="562" t="s">
        <v>60</v>
      </c>
      <c r="W9" s="562"/>
      <c r="X9" s="563"/>
      <c r="Z9" s="564" t="s">
        <v>51</v>
      </c>
      <c r="AA9" s="565"/>
      <c r="AB9" s="565"/>
      <c r="AC9" s="565"/>
      <c r="AD9" s="562" t="s">
        <v>57</v>
      </c>
      <c r="AE9" s="562"/>
      <c r="AF9" s="563"/>
      <c r="AH9" s="554" t="s">
        <v>51</v>
      </c>
      <c r="AI9" s="555"/>
      <c r="AJ9" s="555"/>
      <c r="AK9" s="556"/>
      <c r="AL9" s="545" t="s">
        <v>58</v>
      </c>
      <c r="AM9" s="546"/>
      <c r="AN9" s="547"/>
      <c r="AP9" s="554" t="s">
        <v>51</v>
      </c>
      <c r="AQ9" s="555"/>
      <c r="AR9" s="555"/>
      <c r="AS9" s="556"/>
      <c r="AT9" s="545" t="s">
        <v>69</v>
      </c>
      <c r="AU9" s="546"/>
      <c r="AV9" s="547"/>
      <c r="AY9" s="564" t="s">
        <v>51</v>
      </c>
      <c r="AZ9" s="565"/>
      <c r="BA9" s="565"/>
      <c r="BB9" s="565"/>
      <c r="BC9" s="562" t="s">
        <v>306</v>
      </c>
      <c r="BD9" s="562"/>
      <c r="BE9" s="563"/>
    </row>
    <row r="10" spans="2:57" s="173" customFormat="1" ht="25.5" customHeight="1" thickBot="1" x14ac:dyDescent="0.4">
      <c r="B10" s="611" t="s">
        <v>292</v>
      </c>
      <c r="C10" s="612"/>
      <c r="D10" s="612"/>
      <c r="E10" s="612"/>
      <c r="F10" s="612"/>
      <c r="G10" s="612"/>
      <c r="H10" s="613"/>
      <c r="J10" s="611" t="s">
        <v>292</v>
      </c>
      <c r="K10" s="612"/>
      <c r="L10" s="612"/>
      <c r="M10" s="612"/>
      <c r="N10" s="612"/>
      <c r="O10" s="612"/>
      <c r="P10" s="613"/>
      <c r="R10" s="611" t="s">
        <v>292</v>
      </c>
      <c r="S10" s="612"/>
      <c r="T10" s="612"/>
      <c r="U10" s="612"/>
      <c r="V10" s="612"/>
      <c r="W10" s="612"/>
      <c r="X10" s="613"/>
      <c r="Z10" s="611" t="s">
        <v>292</v>
      </c>
      <c r="AA10" s="612"/>
      <c r="AB10" s="612"/>
      <c r="AC10" s="612"/>
      <c r="AD10" s="612"/>
      <c r="AE10" s="612"/>
      <c r="AF10" s="613"/>
      <c r="AH10" s="611" t="s">
        <v>292</v>
      </c>
      <c r="AI10" s="612"/>
      <c r="AJ10" s="612"/>
      <c r="AK10" s="612"/>
      <c r="AL10" s="612"/>
      <c r="AM10" s="612"/>
      <c r="AN10" s="613"/>
      <c r="AP10" s="611" t="s">
        <v>292</v>
      </c>
      <c r="AQ10" s="612"/>
      <c r="AR10" s="612"/>
      <c r="AS10" s="612"/>
      <c r="AT10" s="612"/>
      <c r="AU10" s="612"/>
      <c r="AV10" s="613"/>
      <c r="AY10" s="611" t="s">
        <v>292</v>
      </c>
      <c r="AZ10" s="612"/>
      <c r="BA10" s="612"/>
      <c r="BB10" s="612"/>
      <c r="BC10" s="612"/>
      <c r="BD10" s="612"/>
      <c r="BE10" s="613"/>
    </row>
    <row r="11" spans="2:57" ht="21.75" customHeight="1" x14ac:dyDescent="0.25">
      <c r="B11" s="598" t="s">
        <v>21</v>
      </c>
      <c r="C11" s="599"/>
      <c r="D11" s="599"/>
      <c r="E11" s="599"/>
      <c r="F11" s="548" t="s">
        <v>315</v>
      </c>
      <c r="G11" s="548"/>
      <c r="H11" s="549"/>
      <c r="J11" s="530" t="s">
        <v>21</v>
      </c>
      <c r="K11" s="531"/>
      <c r="L11" s="531"/>
      <c r="M11" s="531"/>
      <c r="N11" s="548" t="s">
        <v>315</v>
      </c>
      <c r="O11" s="548"/>
      <c r="P11" s="549"/>
      <c r="R11" s="530" t="s">
        <v>21</v>
      </c>
      <c r="S11" s="531"/>
      <c r="T11" s="531"/>
      <c r="U11" s="531"/>
      <c r="V11" s="548" t="s">
        <v>315</v>
      </c>
      <c r="W11" s="548"/>
      <c r="X11" s="549"/>
      <c r="Z11" s="530" t="s">
        <v>21</v>
      </c>
      <c r="AA11" s="531"/>
      <c r="AB11" s="531"/>
      <c r="AC11" s="531"/>
      <c r="AD11" s="548" t="s">
        <v>315</v>
      </c>
      <c r="AE11" s="548"/>
      <c r="AF11" s="549"/>
      <c r="AH11" s="534" t="s">
        <v>21</v>
      </c>
      <c r="AI11" s="535"/>
      <c r="AJ11" s="535"/>
      <c r="AK11" s="536"/>
      <c r="AL11" s="548" t="s">
        <v>315</v>
      </c>
      <c r="AM11" s="548"/>
      <c r="AN11" s="549"/>
      <c r="AP11" s="557" t="s">
        <v>21</v>
      </c>
      <c r="AQ11" s="558"/>
      <c r="AR11" s="558"/>
      <c r="AS11" s="559"/>
      <c r="AT11" s="548" t="s">
        <v>315</v>
      </c>
      <c r="AU11" s="548"/>
      <c r="AV11" s="549"/>
      <c r="AY11" s="530" t="s">
        <v>21</v>
      </c>
      <c r="AZ11" s="531"/>
      <c r="BA11" s="531"/>
      <c r="BB11" s="531"/>
      <c r="BC11" s="642" t="s">
        <v>307</v>
      </c>
      <c r="BD11" s="642"/>
      <c r="BE11" s="643"/>
    </row>
    <row r="12" spans="2:57" ht="21.75" customHeight="1" x14ac:dyDescent="0.25">
      <c r="B12" s="530" t="s">
        <v>180</v>
      </c>
      <c r="C12" s="531"/>
      <c r="D12" s="531"/>
      <c r="E12" s="531"/>
      <c r="F12" s="552"/>
      <c r="G12" s="552"/>
      <c r="H12" s="553"/>
      <c r="J12" s="534" t="s">
        <v>180</v>
      </c>
      <c r="K12" s="535"/>
      <c r="L12" s="535"/>
      <c r="M12" s="536"/>
      <c r="N12" s="568"/>
      <c r="O12" s="569"/>
      <c r="P12" s="570"/>
      <c r="R12" s="530" t="s">
        <v>180</v>
      </c>
      <c r="S12" s="531"/>
      <c r="T12" s="531"/>
      <c r="U12" s="531"/>
      <c r="V12" s="552"/>
      <c r="W12" s="552"/>
      <c r="X12" s="553"/>
      <c r="Z12" s="534" t="s">
        <v>180</v>
      </c>
      <c r="AA12" s="535"/>
      <c r="AB12" s="535"/>
      <c r="AC12" s="536"/>
      <c r="AD12" s="568"/>
      <c r="AE12" s="569"/>
      <c r="AF12" s="570"/>
      <c r="AH12" s="534" t="s">
        <v>180</v>
      </c>
      <c r="AI12" s="535"/>
      <c r="AJ12" s="535"/>
      <c r="AK12" s="536"/>
      <c r="AL12" s="568"/>
      <c r="AM12" s="569"/>
      <c r="AN12" s="570"/>
      <c r="AP12" s="534" t="s">
        <v>180</v>
      </c>
      <c r="AQ12" s="535"/>
      <c r="AR12" s="535"/>
      <c r="AS12" s="536"/>
      <c r="AT12" s="568"/>
      <c r="AU12" s="569"/>
      <c r="AV12" s="570"/>
      <c r="AY12" s="534" t="s">
        <v>180</v>
      </c>
      <c r="AZ12" s="535"/>
      <c r="BA12" s="535"/>
      <c r="BB12" s="536"/>
      <c r="BC12" s="568"/>
      <c r="BD12" s="569"/>
      <c r="BE12" s="570"/>
    </row>
    <row r="13" spans="2:57" ht="21.75" customHeight="1" x14ac:dyDescent="0.25">
      <c r="B13" s="566" t="s">
        <v>249</v>
      </c>
      <c r="C13" s="567"/>
      <c r="D13" s="567"/>
      <c r="E13" s="567"/>
      <c r="F13" s="592">
        <v>25.96</v>
      </c>
      <c r="G13" s="592"/>
      <c r="H13" s="593"/>
      <c r="J13" s="566" t="s">
        <v>249</v>
      </c>
      <c r="K13" s="567"/>
      <c r="L13" s="567"/>
      <c r="M13" s="567"/>
      <c r="N13" s="571">
        <v>0.38</v>
      </c>
      <c r="O13" s="572"/>
      <c r="P13" s="573"/>
      <c r="R13" s="566" t="s">
        <v>249</v>
      </c>
      <c r="S13" s="567"/>
      <c r="T13" s="567"/>
      <c r="U13" s="567"/>
      <c r="V13" s="614" t="s">
        <v>82</v>
      </c>
      <c r="W13" s="615"/>
      <c r="X13" s="616"/>
      <c r="Z13" s="566" t="s">
        <v>249</v>
      </c>
      <c r="AA13" s="567"/>
      <c r="AB13" s="567"/>
      <c r="AC13" s="567"/>
      <c r="AD13" s="571">
        <v>26.2</v>
      </c>
      <c r="AE13" s="572"/>
      <c r="AF13" s="573"/>
      <c r="AH13" s="566" t="s">
        <v>249</v>
      </c>
      <c r="AI13" s="567"/>
      <c r="AJ13" s="567"/>
      <c r="AK13" s="567"/>
      <c r="AL13" s="571">
        <v>14.27</v>
      </c>
      <c r="AM13" s="572"/>
      <c r="AN13" s="573"/>
      <c r="AP13" s="566" t="s">
        <v>249</v>
      </c>
      <c r="AQ13" s="567"/>
      <c r="AR13" s="567"/>
      <c r="AS13" s="567"/>
      <c r="AT13" s="571">
        <v>14.38</v>
      </c>
      <c r="AU13" s="572"/>
      <c r="AV13" s="573"/>
      <c r="AY13" s="566" t="s">
        <v>249</v>
      </c>
      <c r="AZ13" s="567"/>
      <c r="BA13" s="567"/>
      <c r="BB13" s="567"/>
      <c r="BC13" s="571">
        <v>1.69</v>
      </c>
      <c r="BD13" s="572"/>
      <c r="BE13" s="573"/>
    </row>
    <row r="14" spans="2:57" ht="21.75" customHeight="1" x14ac:dyDescent="0.25">
      <c r="B14" s="566" t="s">
        <v>182</v>
      </c>
      <c r="C14" s="567"/>
      <c r="D14" s="567"/>
      <c r="E14" s="567"/>
      <c r="F14" s="592">
        <v>26.04</v>
      </c>
      <c r="G14" s="592"/>
      <c r="H14" s="593"/>
      <c r="J14" s="574" t="s">
        <v>182</v>
      </c>
      <c r="K14" s="575"/>
      <c r="L14" s="575"/>
      <c r="M14" s="576"/>
      <c r="N14" s="571">
        <v>0.42</v>
      </c>
      <c r="O14" s="572"/>
      <c r="P14" s="573"/>
      <c r="R14" s="566" t="s">
        <v>182</v>
      </c>
      <c r="S14" s="567"/>
      <c r="T14" s="567"/>
      <c r="U14" s="567"/>
      <c r="V14" s="617"/>
      <c r="W14" s="618"/>
      <c r="X14" s="619"/>
      <c r="Z14" s="574" t="s">
        <v>182</v>
      </c>
      <c r="AA14" s="575"/>
      <c r="AB14" s="575"/>
      <c r="AC14" s="576"/>
      <c r="AD14" s="571">
        <v>26.3</v>
      </c>
      <c r="AE14" s="572"/>
      <c r="AF14" s="573"/>
      <c r="AH14" s="574" t="s">
        <v>182</v>
      </c>
      <c r="AI14" s="575"/>
      <c r="AJ14" s="575"/>
      <c r="AK14" s="576"/>
      <c r="AL14" s="571">
        <v>14.35</v>
      </c>
      <c r="AM14" s="572"/>
      <c r="AN14" s="573"/>
      <c r="AP14" s="574" t="s">
        <v>182</v>
      </c>
      <c r="AQ14" s="575"/>
      <c r="AR14" s="575"/>
      <c r="AS14" s="576"/>
      <c r="AT14" s="571">
        <v>14.53</v>
      </c>
      <c r="AU14" s="572"/>
      <c r="AV14" s="573"/>
      <c r="AY14" s="574" t="s">
        <v>182</v>
      </c>
      <c r="AZ14" s="575"/>
      <c r="BA14" s="575"/>
      <c r="BB14" s="576"/>
      <c r="BC14" s="571">
        <v>1.79</v>
      </c>
      <c r="BD14" s="572"/>
      <c r="BE14" s="573"/>
    </row>
    <row r="15" spans="2:57" ht="21.75" customHeight="1" x14ac:dyDescent="0.25">
      <c r="B15" s="566" t="s">
        <v>181</v>
      </c>
      <c r="C15" s="567"/>
      <c r="D15" s="567"/>
      <c r="E15" s="567"/>
      <c r="F15" s="592">
        <v>25.88</v>
      </c>
      <c r="G15" s="592"/>
      <c r="H15" s="593"/>
      <c r="J15" s="574" t="s">
        <v>181</v>
      </c>
      <c r="K15" s="575"/>
      <c r="L15" s="575"/>
      <c r="M15" s="576"/>
      <c r="N15" s="571">
        <v>0.34</v>
      </c>
      <c r="O15" s="572"/>
      <c r="P15" s="573"/>
      <c r="R15" s="566" t="s">
        <v>181</v>
      </c>
      <c r="S15" s="567"/>
      <c r="T15" s="567"/>
      <c r="U15" s="567"/>
      <c r="V15" s="620"/>
      <c r="W15" s="621"/>
      <c r="X15" s="622"/>
      <c r="Z15" s="574" t="s">
        <v>181</v>
      </c>
      <c r="AA15" s="575"/>
      <c r="AB15" s="575"/>
      <c r="AC15" s="576"/>
      <c r="AD15" s="571">
        <v>26.1</v>
      </c>
      <c r="AE15" s="572"/>
      <c r="AF15" s="573"/>
      <c r="AH15" s="574" t="s">
        <v>181</v>
      </c>
      <c r="AI15" s="575"/>
      <c r="AJ15" s="575"/>
      <c r="AK15" s="576"/>
      <c r="AL15" s="571">
        <v>14.19</v>
      </c>
      <c r="AM15" s="572"/>
      <c r="AN15" s="573"/>
      <c r="AP15" s="574" t="s">
        <v>181</v>
      </c>
      <c r="AQ15" s="575"/>
      <c r="AR15" s="575"/>
      <c r="AS15" s="576"/>
      <c r="AT15" s="571">
        <v>14.23</v>
      </c>
      <c r="AU15" s="572"/>
      <c r="AV15" s="573"/>
      <c r="AY15" s="574" t="s">
        <v>181</v>
      </c>
      <c r="AZ15" s="575"/>
      <c r="BA15" s="575"/>
      <c r="BB15" s="576"/>
      <c r="BC15" s="571">
        <v>1.59</v>
      </c>
      <c r="BD15" s="572"/>
      <c r="BE15" s="573"/>
    </row>
    <row r="16" spans="2:57" ht="21.75" customHeight="1" x14ac:dyDescent="0.25">
      <c r="B16" s="530" t="s">
        <v>183</v>
      </c>
      <c r="C16" s="531"/>
      <c r="D16" s="531"/>
      <c r="E16" s="531"/>
      <c r="F16" s="543"/>
      <c r="G16" s="543"/>
      <c r="H16" s="544"/>
      <c r="J16" s="534" t="s">
        <v>183</v>
      </c>
      <c r="K16" s="535"/>
      <c r="L16" s="535"/>
      <c r="M16" s="536"/>
      <c r="N16" s="525"/>
      <c r="O16" s="526"/>
      <c r="P16" s="527"/>
      <c r="R16" s="530" t="s">
        <v>183</v>
      </c>
      <c r="S16" s="531"/>
      <c r="T16" s="531"/>
      <c r="U16" s="531"/>
      <c r="V16" s="543"/>
      <c r="W16" s="543"/>
      <c r="X16" s="544"/>
      <c r="Z16" s="534" t="s">
        <v>183</v>
      </c>
      <c r="AA16" s="535"/>
      <c r="AB16" s="535"/>
      <c r="AC16" s="536"/>
      <c r="AD16" s="525"/>
      <c r="AE16" s="526"/>
      <c r="AF16" s="527"/>
      <c r="AH16" s="534" t="s">
        <v>183</v>
      </c>
      <c r="AI16" s="535"/>
      <c r="AJ16" s="535"/>
      <c r="AK16" s="536"/>
      <c r="AL16" s="525"/>
      <c r="AM16" s="526"/>
      <c r="AN16" s="527"/>
      <c r="AP16" s="534" t="s">
        <v>183</v>
      </c>
      <c r="AQ16" s="535"/>
      <c r="AR16" s="535"/>
      <c r="AS16" s="536"/>
      <c r="AT16" s="525"/>
      <c r="AU16" s="526"/>
      <c r="AV16" s="527"/>
      <c r="AY16" s="534" t="s">
        <v>183</v>
      </c>
      <c r="AZ16" s="535"/>
      <c r="BA16" s="535"/>
      <c r="BB16" s="536"/>
      <c r="BC16" s="525"/>
      <c r="BD16" s="526"/>
      <c r="BE16" s="527"/>
    </row>
    <row r="17" spans="2:57" ht="21.75" customHeight="1" x14ac:dyDescent="0.25">
      <c r="B17" s="566" t="s">
        <v>249</v>
      </c>
      <c r="C17" s="567"/>
      <c r="D17" s="567"/>
      <c r="E17" s="567"/>
      <c r="F17" s="592">
        <v>27.1</v>
      </c>
      <c r="G17" s="592"/>
      <c r="H17" s="593"/>
      <c r="J17" s="566" t="s">
        <v>249</v>
      </c>
      <c r="K17" s="567"/>
      <c r="L17" s="567"/>
      <c r="M17" s="567"/>
      <c r="N17" s="571">
        <v>0.4</v>
      </c>
      <c r="O17" s="572"/>
      <c r="P17" s="573"/>
      <c r="R17" s="566" t="s">
        <v>249</v>
      </c>
      <c r="S17" s="567"/>
      <c r="T17" s="567"/>
      <c r="U17" s="567"/>
      <c r="V17" s="614" t="s">
        <v>82</v>
      </c>
      <c r="W17" s="615"/>
      <c r="X17" s="616"/>
      <c r="Z17" s="566" t="s">
        <v>249</v>
      </c>
      <c r="AA17" s="567"/>
      <c r="AB17" s="567"/>
      <c r="AC17" s="567"/>
      <c r="AD17" s="571">
        <v>27.34</v>
      </c>
      <c r="AE17" s="572"/>
      <c r="AF17" s="573"/>
      <c r="AH17" s="566" t="s">
        <v>249</v>
      </c>
      <c r="AI17" s="567"/>
      <c r="AJ17" s="567"/>
      <c r="AK17" s="567"/>
      <c r="AL17" s="571">
        <v>14.9</v>
      </c>
      <c r="AM17" s="572"/>
      <c r="AN17" s="573"/>
      <c r="AP17" s="566" t="s">
        <v>249</v>
      </c>
      <c r="AQ17" s="567"/>
      <c r="AR17" s="567"/>
      <c r="AS17" s="567"/>
      <c r="AT17" s="571">
        <v>15.06</v>
      </c>
      <c r="AU17" s="572"/>
      <c r="AV17" s="573"/>
      <c r="AY17" s="566" t="s">
        <v>249</v>
      </c>
      <c r="AZ17" s="567"/>
      <c r="BA17" s="567"/>
      <c r="BB17" s="567"/>
      <c r="BC17" s="571">
        <v>1.76</v>
      </c>
      <c r="BD17" s="572"/>
      <c r="BE17" s="573"/>
    </row>
    <row r="18" spans="2:57" ht="21.75" customHeight="1" x14ac:dyDescent="0.25">
      <c r="B18" s="566" t="s">
        <v>184</v>
      </c>
      <c r="C18" s="567"/>
      <c r="D18" s="567"/>
      <c r="E18" s="567"/>
      <c r="F18" s="592">
        <v>0.08</v>
      </c>
      <c r="G18" s="592"/>
      <c r="H18" s="593"/>
      <c r="J18" s="574" t="s">
        <v>184</v>
      </c>
      <c r="K18" s="575"/>
      <c r="L18" s="575"/>
      <c r="M18" s="576"/>
      <c r="N18" s="571">
        <v>0.04</v>
      </c>
      <c r="O18" s="572"/>
      <c r="P18" s="573"/>
      <c r="R18" s="566" t="s">
        <v>184</v>
      </c>
      <c r="S18" s="567"/>
      <c r="T18" s="567"/>
      <c r="U18" s="567"/>
      <c r="V18" s="617"/>
      <c r="W18" s="618"/>
      <c r="X18" s="619"/>
      <c r="Z18" s="574" t="s">
        <v>184</v>
      </c>
      <c r="AA18" s="575"/>
      <c r="AB18" s="575"/>
      <c r="AC18" s="576"/>
      <c r="AD18" s="571">
        <v>0.1</v>
      </c>
      <c r="AE18" s="572"/>
      <c r="AF18" s="573"/>
      <c r="AH18" s="574" t="s">
        <v>184</v>
      </c>
      <c r="AI18" s="575"/>
      <c r="AJ18" s="575"/>
      <c r="AK18" s="576"/>
      <c r="AL18" s="571">
        <v>0.08</v>
      </c>
      <c r="AM18" s="572"/>
      <c r="AN18" s="573"/>
      <c r="AP18" s="574" t="s">
        <v>184</v>
      </c>
      <c r="AQ18" s="575"/>
      <c r="AR18" s="575"/>
      <c r="AS18" s="576"/>
      <c r="AT18" s="571">
        <v>0.15</v>
      </c>
      <c r="AU18" s="572"/>
      <c r="AV18" s="573"/>
      <c r="AY18" s="574" t="s">
        <v>184</v>
      </c>
      <c r="AZ18" s="575"/>
      <c r="BA18" s="575"/>
      <c r="BB18" s="576"/>
      <c r="BC18" s="571">
        <v>4.8000000000000001E-2</v>
      </c>
      <c r="BD18" s="572"/>
      <c r="BE18" s="573"/>
    </row>
    <row r="19" spans="2:57" ht="21.75" customHeight="1" x14ac:dyDescent="0.25">
      <c r="B19" s="566" t="s">
        <v>182</v>
      </c>
      <c r="C19" s="567"/>
      <c r="D19" s="567"/>
      <c r="E19" s="567"/>
      <c r="F19" s="543">
        <f>F17+F18</f>
        <v>27.18</v>
      </c>
      <c r="G19" s="543"/>
      <c r="H19" s="544"/>
      <c r="J19" s="574" t="s">
        <v>182</v>
      </c>
      <c r="K19" s="575"/>
      <c r="L19" s="575"/>
      <c r="M19" s="576"/>
      <c r="N19" s="525">
        <f>N17+N18</f>
        <v>0.44</v>
      </c>
      <c r="O19" s="526"/>
      <c r="P19" s="527"/>
      <c r="R19" s="566" t="s">
        <v>182</v>
      </c>
      <c r="S19" s="567"/>
      <c r="T19" s="567"/>
      <c r="U19" s="567"/>
      <c r="V19" s="617"/>
      <c r="W19" s="618"/>
      <c r="X19" s="619"/>
      <c r="Z19" s="574" t="s">
        <v>182</v>
      </c>
      <c r="AA19" s="575"/>
      <c r="AB19" s="575"/>
      <c r="AC19" s="576"/>
      <c r="AD19" s="525">
        <f>AD17+AD18</f>
        <v>27.44</v>
      </c>
      <c r="AE19" s="526"/>
      <c r="AF19" s="527"/>
      <c r="AH19" s="574" t="s">
        <v>182</v>
      </c>
      <c r="AI19" s="575"/>
      <c r="AJ19" s="575"/>
      <c r="AK19" s="576"/>
      <c r="AL19" s="525">
        <f>AL17+AL18</f>
        <v>14.98</v>
      </c>
      <c r="AM19" s="526"/>
      <c r="AN19" s="527"/>
      <c r="AP19" s="574" t="s">
        <v>182</v>
      </c>
      <c r="AQ19" s="575"/>
      <c r="AR19" s="575"/>
      <c r="AS19" s="576"/>
      <c r="AT19" s="525">
        <f>AT17+AT18</f>
        <v>15.21</v>
      </c>
      <c r="AU19" s="526"/>
      <c r="AV19" s="527"/>
      <c r="AY19" s="574" t="s">
        <v>182</v>
      </c>
      <c r="AZ19" s="575"/>
      <c r="BA19" s="575"/>
      <c r="BB19" s="576"/>
      <c r="BC19" s="525">
        <f>BC17+BC18</f>
        <v>1.8080000000000001</v>
      </c>
      <c r="BD19" s="526"/>
      <c r="BE19" s="527"/>
    </row>
    <row r="20" spans="2:57" ht="21.75" customHeight="1" thickBot="1" x14ac:dyDescent="0.3">
      <c r="B20" s="577" t="s">
        <v>181</v>
      </c>
      <c r="C20" s="578"/>
      <c r="D20" s="578"/>
      <c r="E20" s="578"/>
      <c r="F20" s="590">
        <f>F17-F18</f>
        <v>27.020000000000003</v>
      </c>
      <c r="G20" s="590"/>
      <c r="H20" s="591"/>
      <c r="J20" s="623" t="s">
        <v>181</v>
      </c>
      <c r="K20" s="624"/>
      <c r="L20" s="624"/>
      <c r="M20" s="625"/>
      <c r="N20" s="626">
        <f>N17-N18</f>
        <v>0.36000000000000004</v>
      </c>
      <c r="O20" s="627"/>
      <c r="P20" s="628"/>
      <c r="R20" s="577" t="s">
        <v>181</v>
      </c>
      <c r="S20" s="578"/>
      <c r="T20" s="578"/>
      <c r="U20" s="578"/>
      <c r="V20" s="631"/>
      <c r="W20" s="632"/>
      <c r="X20" s="633"/>
      <c r="Z20" s="623" t="s">
        <v>181</v>
      </c>
      <c r="AA20" s="624"/>
      <c r="AB20" s="624"/>
      <c r="AC20" s="625"/>
      <c r="AD20" s="626">
        <f>AD17-AD18</f>
        <v>27.24</v>
      </c>
      <c r="AE20" s="627"/>
      <c r="AF20" s="628"/>
      <c r="AH20" s="623" t="s">
        <v>181</v>
      </c>
      <c r="AI20" s="624"/>
      <c r="AJ20" s="624"/>
      <c r="AK20" s="625"/>
      <c r="AL20" s="626">
        <f>AL17-AL18</f>
        <v>14.82</v>
      </c>
      <c r="AM20" s="627"/>
      <c r="AN20" s="628"/>
      <c r="AP20" s="623" t="s">
        <v>181</v>
      </c>
      <c r="AQ20" s="624"/>
      <c r="AR20" s="624"/>
      <c r="AS20" s="625"/>
      <c r="AT20" s="626">
        <f>AT17-AT18</f>
        <v>14.91</v>
      </c>
      <c r="AU20" s="627"/>
      <c r="AV20" s="628"/>
      <c r="AY20" s="623" t="s">
        <v>181</v>
      </c>
      <c r="AZ20" s="624"/>
      <c r="BA20" s="624"/>
      <c r="BB20" s="625"/>
      <c r="BC20" s="626">
        <f>BC17-BC18</f>
        <v>1.712</v>
      </c>
      <c r="BD20" s="627"/>
      <c r="BE20" s="628"/>
    </row>
    <row r="21" spans="2:57" ht="21.75" customHeight="1" thickBot="1" x14ac:dyDescent="0.3">
      <c r="B21" s="637"/>
      <c r="C21" s="637"/>
      <c r="D21" s="637"/>
      <c r="E21" s="637"/>
      <c r="F21" s="637"/>
      <c r="G21" s="637"/>
      <c r="H21" s="637"/>
      <c r="J21" s="637"/>
      <c r="K21" s="637"/>
      <c r="L21" s="637"/>
      <c r="M21" s="637"/>
      <c r="N21" s="637"/>
      <c r="O21" s="637"/>
      <c r="P21" s="637"/>
      <c r="R21" s="637"/>
      <c r="S21" s="637"/>
      <c r="T21" s="637"/>
      <c r="U21" s="637"/>
      <c r="V21" s="637"/>
      <c r="W21" s="637"/>
      <c r="X21" s="637"/>
      <c r="Z21" s="637"/>
      <c r="AA21" s="637"/>
      <c r="AB21" s="637"/>
      <c r="AC21" s="637"/>
      <c r="AD21" s="637"/>
      <c r="AE21" s="637"/>
      <c r="AF21" s="637"/>
      <c r="AH21" s="637"/>
      <c r="AI21" s="637"/>
      <c r="AJ21" s="637"/>
      <c r="AK21" s="637"/>
      <c r="AL21" s="637"/>
      <c r="AM21" s="637"/>
      <c r="AN21" s="637"/>
      <c r="AP21" s="637"/>
      <c r="AQ21" s="637"/>
      <c r="AR21" s="637"/>
      <c r="AS21" s="637"/>
      <c r="AT21" s="637"/>
      <c r="AU21" s="637"/>
      <c r="AV21" s="637"/>
      <c r="AY21" s="637"/>
      <c r="AZ21" s="637"/>
      <c r="BA21" s="637"/>
      <c r="BB21" s="637"/>
      <c r="BC21" s="637"/>
      <c r="BD21" s="637"/>
      <c r="BE21" s="637"/>
    </row>
    <row r="22" spans="2:57" ht="28.5" customHeight="1" thickBot="1" x14ac:dyDescent="0.3">
      <c r="B22" s="611" t="s">
        <v>290</v>
      </c>
      <c r="C22" s="612"/>
      <c r="D22" s="612"/>
      <c r="E22" s="612"/>
      <c r="F22" s="612"/>
      <c r="G22" s="612"/>
      <c r="H22" s="613"/>
      <c r="J22" s="611" t="s">
        <v>290</v>
      </c>
      <c r="K22" s="612"/>
      <c r="L22" s="612"/>
      <c r="M22" s="612"/>
      <c r="N22" s="612"/>
      <c r="O22" s="612"/>
      <c r="P22" s="613"/>
      <c r="R22" s="611" t="s">
        <v>290</v>
      </c>
      <c r="S22" s="612"/>
      <c r="T22" s="612"/>
      <c r="U22" s="612"/>
      <c r="V22" s="612"/>
      <c r="W22" s="612"/>
      <c r="X22" s="613"/>
      <c r="Z22" s="611" t="s">
        <v>290</v>
      </c>
      <c r="AA22" s="612"/>
      <c r="AB22" s="612"/>
      <c r="AC22" s="612"/>
      <c r="AD22" s="612"/>
      <c r="AE22" s="612"/>
      <c r="AF22" s="613"/>
      <c r="AH22" s="611" t="s">
        <v>290</v>
      </c>
      <c r="AI22" s="612"/>
      <c r="AJ22" s="612"/>
      <c r="AK22" s="612"/>
      <c r="AL22" s="612"/>
      <c r="AM22" s="612"/>
      <c r="AN22" s="613"/>
      <c r="AP22" s="611" t="s">
        <v>290</v>
      </c>
      <c r="AQ22" s="612"/>
      <c r="AR22" s="612"/>
      <c r="AS22" s="612"/>
      <c r="AT22" s="612"/>
      <c r="AU22" s="612"/>
      <c r="AV22" s="613"/>
      <c r="AY22" s="611" t="s">
        <v>290</v>
      </c>
      <c r="AZ22" s="612"/>
      <c r="BA22" s="612"/>
      <c r="BB22" s="612"/>
      <c r="BC22" s="612"/>
      <c r="BD22" s="612"/>
      <c r="BE22" s="613"/>
    </row>
    <row r="23" spans="2:57" ht="21.75" customHeight="1" x14ac:dyDescent="0.25">
      <c r="B23" s="598" t="s">
        <v>185</v>
      </c>
      <c r="C23" s="599"/>
      <c r="D23" s="599"/>
      <c r="E23" s="599"/>
      <c r="F23" s="629">
        <f>IF(ISNUMBER(H89),H89,"")</f>
        <v>25.89423076923077</v>
      </c>
      <c r="G23" s="629"/>
      <c r="H23" s="630"/>
      <c r="J23" s="534" t="s">
        <v>185</v>
      </c>
      <c r="K23" s="535"/>
      <c r="L23" s="535"/>
      <c r="M23" s="536"/>
      <c r="N23" s="525">
        <f>IF(ISNUMBER(P89),P89,"")</f>
        <v>0.39</v>
      </c>
      <c r="O23" s="526"/>
      <c r="P23" s="527"/>
      <c r="R23" s="530" t="s">
        <v>185</v>
      </c>
      <c r="S23" s="531"/>
      <c r="T23" s="531"/>
      <c r="U23" s="531"/>
      <c r="V23" s="525">
        <f>IF(ISNUMBER(X89),X89,"")</f>
        <v>4.1353846153846154</v>
      </c>
      <c r="W23" s="526"/>
      <c r="X23" s="527"/>
      <c r="Z23" s="534" t="s">
        <v>189</v>
      </c>
      <c r="AA23" s="535"/>
      <c r="AB23" s="535"/>
      <c r="AC23" s="536"/>
      <c r="AD23" s="525">
        <f>IF(AND(ISNUMBER(AF89),ISNUMBER(V23)),(AF89-V23))</f>
        <v>26.271923076923088</v>
      </c>
      <c r="AE23" s="526"/>
      <c r="AF23" s="527"/>
      <c r="AH23" s="534" t="s">
        <v>185</v>
      </c>
      <c r="AI23" s="535"/>
      <c r="AJ23" s="535"/>
      <c r="AK23" s="536"/>
      <c r="AL23" s="525">
        <f>IF(ISNUMBER(AN89),AN89,"")</f>
        <v>14.19384615384616</v>
      </c>
      <c r="AM23" s="526"/>
      <c r="AN23" s="527"/>
      <c r="AP23" s="534" t="s">
        <v>185</v>
      </c>
      <c r="AQ23" s="535"/>
      <c r="AR23" s="535"/>
      <c r="AS23" s="536"/>
      <c r="AT23" s="525">
        <f>IF(ISNUMBER(AV89),AV89,"")</f>
        <v>13.753846153846155</v>
      </c>
      <c r="AU23" s="526"/>
      <c r="AV23" s="527"/>
      <c r="AY23" s="534" t="s">
        <v>185</v>
      </c>
      <c r="AZ23" s="535"/>
      <c r="BA23" s="535"/>
      <c r="BB23" s="536"/>
      <c r="BC23" s="525" t="str">
        <f>IF(ISNUMBER(BE89),BE89,"")</f>
        <v/>
      </c>
      <c r="BD23" s="526"/>
      <c r="BE23" s="527"/>
    </row>
    <row r="24" spans="2:57" ht="21.75" customHeight="1" x14ac:dyDescent="0.25">
      <c r="B24" s="530" t="s">
        <v>187</v>
      </c>
      <c r="C24" s="531"/>
      <c r="D24" s="531"/>
      <c r="E24" s="531"/>
      <c r="F24" s="543" t="str">
        <f>IF(ISNUMBER(F23),IF(F23&gt;F14,"FAIL-HIGH",IF(F23&lt;F15,"FAIL-LOW","PASS")))</f>
        <v>PASS</v>
      </c>
      <c r="G24" s="543"/>
      <c r="H24" s="544"/>
      <c r="J24" s="534" t="s">
        <v>187</v>
      </c>
      <c r="K24" s="535"/>
      <c r="L24" s="535"/>
      <c r="M24" s="536"/>
      <c r="N24" s="525" t="str">
        <f>IF(ISNUMBER(N23),IF(N23&gt;N14,"FAIL-HIGH",IF(N23&lt;N15,"FAIL-LOW","PASS")))</f>
        <v>PASS</v>
      </c>
      <c r="O24" s="526"/>
      <c r="P24" s="527"/>
      <c r="R24" s="530" t="s">
        <v>187</v>
      </c>
      <c r="S24" s="531"/>
      <c r="T24" s="531"/>
      <c r="U24" s="531"/>
      <c r="V24" s="614" t="s">
        <v>82</v>
      </c>
      <c r="W24" s="615"/>
      <c r="X24" s="616"/>
      <c r="Z24" s="534" t="s">
        <v>187</v>
      </c>
      <c r="AA24" s="535"/>
      <c r="AB24" s="535"/>
      <c r="AC24" s="536"/>
      <c r="AD24" s="525" t="str">
        <f>IF(ISNUMBER(AD23),IF(AD23&gt;AD14,"FAIL-HIGH",IF(AD23&lt;AD15,"FAIL-LOW","PASS")))</f>
        <v>PASS</v>
      </c>
      <c r="AE24" s="526"/>
      <c r="AF24" s="527"/>
      <c r="AH24" s="534" t="s">
        <v>187</v>
      </c>
      <c r="AI24" s="535"/>
      <c r="AJ24" s="535"/>
      <c r="AK24" s="536"/>
      <c r="AL24" s="525" t="str">
        <f>IF(ISNUMBER(AL23),IF(AL23&gt;AL14,"FAIL-HIGH",IF(AL23&lt;AL15,"FAIL-LOW","PASS")))</f>
        <v>PASS</v>
      </c>
      <c r="AM24" s="526"/>
      <c r="AN24" s="527"/>
      <c r="AP24" s="534" t="s">
        <v>187</v>
      </c>
      <c r="AQ24" s="535"/>
      <c r="AR24" s="535"/>
      <c r="AS24" s="536"/>
      <c r="AT24" s="525" t="str">
        <f>IF(ISNUMBER(AT23),IF(AT23&gt;AT14,"FAIL-HIGH",IF(AT23&lt;AT15,"FAIL-LOW","PASS")))</f>
        <v>FAIL-LOW</v>
      </c>
      <c r="AU24" s="526"/>
      <c r="AV24" s="527"/>
      <c r="AY24" s="534" t="s">
        <v>187</v>
      </c>
      <c r="AZ24" s="535"/>
      <c r="BA24" s="535"/>
      <c r="BB24" s="536"/>
      <c r="BC24" s="525" t="b">
        <f>IF(ISNUMBER(BC23),IF(BC23&gt;BC14,"FAIL-HIGH",IF(BC23&lt;BC15,"FAIL-LOW","PASS")))</f>
        <v>0</v>
      </c>
      <c r="BD24" s="526"/>
      <c r="BE24" s="527"/>
    </row>
    <row r="25" spans="2:57" ht="21.75" customHeight="1" x14ac:dyDescent="0.25">
      <c r="B25" s="530" t="s">
        <v>186</v>
      </c>
      <c r="C25" s="531"/>
      <c r="D25" s="531"/>
      <c r="E25" s="531"/>
      <c r="F25" s="543">
        <f>IF(ISNUMBER($V$23),(100*F23)/(100-$V$23),"NO MIAS RESULT")</f>
        <v>27.011249839517269</v>
      </c>
      <c r="G25" s="543"/>
      <c r="H25" s="544"/>
      <c r="J25" s="534" t="s">
        <v>186</v>
      </c>
      <c r="K25" s="535"/>
      <c r="L25" s="535"/>
      <c r="M25" s="536"/>
      <c r="N25" s="525">
        <f>IF(ISNUMBER($V$23),(100*N23)/(100-$V$23),"NO MIAS RESULT")</f>
        <v>0.40682372576710746</v>
      </c>
      <c r="O25" s="526"/>
      <c r="P25" s="527"/>
      <c r="R25" s="530" t="s">
        <v>186</v>
      </c>
      <c r="S25" s="531"/>
      <c r="T25" s="531"/>
      <c r="U25" s="531"/>
      <c r="V25" s="617"/>
      <c r="W25" s="618"/>
      <c r="X25" s="619"/>
      <c r="Z25" s="534" t="s">
        <v>190</v>
      </c>
      <c r="AA25" s="535"/>
      <c r="AB25" s="535"/>
      <c r="AC25" s="536"/>
      <c r="AD25" s="525">
        <f>IF(ISNUMBER($V$23),(100*AD23)/(100-$V$23),"NO MIAS RESULT")</f>
        <v>27.405234946719741</v>
      </c>
      <c r="AE25" s="526"/>
      <c r="AF25" s="527"/>
      <c r="AH25" s="534" t="s">
        <v>186</v>
      </c>
      <c r="AI25" s="535"/>
      <c r="AJ25" s="535"/>
      <c r="AK25" s="536"/>
      <c r="AL25" s="525">
        <f>IF(ISNUMBER($V$23),(100*AL23)/(100-$V$23),"NO MIAS RESULT")</f>
        <v>14.806136859673904</v>
      </c>
      <c r="AM25" s="526"/>
      <c r="AN25" s="527"/>
      <c r="AP25" s="534" t="s">
        <v>186</v>
      </c>
      <c r="AQ25" s="535"/>
      <c r="AR25" s="535"/>
      <c r="AS25" s="536"/>
      <c r="AT25" s="525">
        <f>IF(ISNUMBER($V$23),(100*AT23)/(100-$V$23),"NO MIAS RESULT")</f>
        <v>14.347156245987932</v>
      </c>
      <c r="AU25" s="526"/>
      <c r="AV25" s="527"/>
      <c r="AY25" s="534" t="s">
        <v>186</v>
      </c>
      <c r="AZ25" s="535"/>
      <c r="BA25" s="535"/>
      <c r="BB25" s="536"/>
      <c r="BC25" s="525" t="e">
        <f>IF(ISNUMBER($V$23),(100*BC23)/(100-$V$23),"NO MIAS RESULT")</f>
        <v>#VALUE!</v>
      </c>
      <c r="BD25" s="526"/>
      <c r="BE25" s="527"/>
    </row>
    <row r="26" spans="2:57" ht="21.75" customHeight="1" thickBot="1" x14ac:dyDescent="0.3">
      <c r="B26" s="532" t="s">
        <v>188</v>
      </c>
      <c r="C26" s="533"/>
      <c r="D26" s="533"/>
      <c r="E26" s="533"/>
      <c r="F26" s="590" t="str">
        <f>IF(F25="NO MIAS RESULT","NO MIAS RESULT",IF(ISNUMBER(F25),IF(F25&gt;F19,"FAIL-HIGH",IF(F25&lt;F20,"FAIL-LOW","PASS"))))</f>
        <v>FAIL-LOW</v>
      </c>
      <c r="G26" s="590"/>
      <c r="H26" s="591"/>
      <c r="J26" s="534" t="s">
        <v>188</v>
      </c>
      <c r="K26" s="535"/>
      <c r="L26" s="535"/>
      <c r="M26" s="536"/>
      <c r="N26" s="525" t="str">
        <f>IF(N25="NO MIAS RESULT","NO MIAS RESULT",IF(ISNUMBER(N25),IF(N25&gt;N19,"FAIL-HIGH",IF(N25&lt;N20,"FAIL-LOW","PASS"))))</f>
        <v>PASS</v>
      </c>
      <c r="O26" s="526"/>
      <c r="P26" s="527"/>
      <c r="R26" s="530" t="s">
        <v>188</v>
      </c>
      <c r="S26" s="531"/>
      <c r="T26" s="531"/>
      <c r="U26" s="531"/>
      <c r="V26" s="620"/>
      <c r="W26" s="621"/>
      <c r="X26" s="622"/>
      <c r="Z26" s="534" t="s">
        <v>188</v>
      </c>
      <c r="AA26" s="535"/>
      <c r="AB26" s="535"/>
      <c r="AC26" s="536"/>
      <c r="AD26" s="525" t="str">
        <f>IF(AD25="NO MIAS RESULT","NO MIAS RESULT",IF(ISNUMBER(AD25),IF(AD25&gt;AD19,"FAIL-HIGH",IF(AD25&lt;AD20,"FAIL-LOW","PASS"))))</f>
        <v>PASS</v>
      </c>
      <c r="AE26" s="526"/>
      <c r="AF26" s="527"/>
      <c r="AH26" s="634" t="s">
        <v>188</v>
      </c>
      <c r="AI26" s="635"/>
      <c r="AJ26" s="635"/>
      <c r="AK26" s="636"/>
      <c r="AL26" s="626" t="str">
        <f>IF(AL25="NO MIAS RESULT","NO MIAS RESULT",IF(ISNUMBER(AL25),IF(AL25&gt;AL19,"FAIL-HIGH",IF(AL25&lt;AL20,"FAIL-LOW","PASS"))))</f>
        <v>FAIL-LOW</v>
      </c>
      <c r="AM26" s="627"/>
      <c r="AN26" s="628"/>
      <c r="AP26" s="634" t="s">
        <v>188</v>
      </c>
      <c r="AQ26" s="635"/>
      <c r="AR26" s="635"/>
      <c r="AS26" s="636"/>
      <c r="AT26" s="626" t="str">
        <f>IF(AT25="NO MIAS RESULT","NO MIAS RESULT",IF(ISNUMBER(AT25),IF(AT25&gt;AT19,"FAIL-HIGH",IF(AT25&lt;AT20,"FAIL-LOW","PASS"))))</f>
        <v>FAIL-LOW</v>
      </c>
      <c r="AU26" s="627"/>
      <c r="AV26" s="628"/>
      <c r="AY26" s="534" t="s">
        <v>188</v>
      </c>
      <c r="AZ26" s="535"/>
      <c r="BA26" s="535"/>
      <c r="BB26" s="536"/>
      <c r="BC26" s="525" t="e">
        <f>IF(BC25="NO MIAS RESULT","NO MIAS RESULT",IF(ISNUMBER(BC25),IF(BC25&gt;BC19,"FAIL-HIGH",IF(BC25&lt;BC20,"FAIL-LOW","PASS"))))</f>
        <v>#VALUE!</v>
      </c>
      <c r="BD26" s="526"/>
      <c r="BE26" s="527"/>
    </row>
    <row r="27" spans="2:57" ht="21.75" customHeight="1" thickBot="1" x14ac:dyDescent="0.3">
      <c r="B27" s="637"/>
      <c r="C27" s="637"/>
      <c r="D27" s="637"/>
      <c r="E27" s="637"/>
      <c r="F27" s="637"/>
      <c r="G27" s="637"/>
      <c r="H27" s="637"/>
      <c r="J27" s="638"/>
      <c r="K27" s="638"/>
      <c r="L27" s="638"/>
      <c r="M27" s="638"/>
      <c r="N27" s="638"/>
      <c r="O27" s="638"/>
      <c r="P27" s="638"/>
      <c r="R27" s="638"/>
      <c r="S27" s="638"/>
      <c r="T27" s="638"/>
      <c r="U27" s="638"/>
      <c r="V27" s="638"/>
      <c r="W27" s="638"/>
      <c r="X27" s="638"/>
      <c r="Z27" s="638"/>
      <c r="AA27" s="638"/>
      <c r="AB27" s="638"/>
      <c r="AC27" s="638"/>
      <c r="AD27" s="638"/>
      <c r="AE27" s="638"/>
      <c r="AF27" s="638"/>
      <c r="AH27" s="637"/>
      <c r="AI27" s="637"/>
      <c r="AJ27" s="637"/>
      <c r="AK27" s="637"/>
      <c r="AL27" s="637"/>
      <c r="AM27" s="637"/>
      <c r="AN27" s="637"/>
      <c r="AP27" s="637"/>
      <c r="AQ27" s="637"/>
      <c r="AR27" s="637"/>
      <c r="AS27" s="637"/>
      <c r="AT27" s="637"/>
      <c r="AU27" s="637"/>
      <c r="AV27" s="637"/>
      <c r="AY27" s="638"/>
      <c r="AZ27" s="638"/>
      <c r="BA27" s="638"/>
      <c r="BB27" s="638"/>
      <c r="BC27" s="638"/>
      <c r="BD27" s="638"/>
      <c r="BE27" s="638"/>
    </row>
    <row r="28" spans="2:57" ht="31.5" customHeight="1" thickBot="1" x14ac:dyDescent="0.3">
      <c r="B28" s="537" t="s">
        <v>291</v>
      </c>
      <c r="C28" s="538"/>
      <c r="D28" s="538"/>
      <c r="E28" s="538"/>
      <c r="F28" s="538"/>
      <c r="G28" s="538"/>
      <c r="H28" s="539"/>
      <c r="J28" s="537" t="s">
        <v>291</v>
      </c>
      <c r="K28" s="538"/>
      <c r="L28" s="538"/>
      <c r="M28" s="538"/>
      <c r="N28" s="538"/>
      <c r="O28" s="538"/>
      <c r="P28" s="539"/>
      <c r="R28" s="537" t="s">
        <v>291</v>
      </c>
      <c r="S28" s="538"/>
      <c r="T28" s="538"/>
      <c r="U28" s="538"/>
      <c r="V28" s="538"/>
      <c r="W28" s="538"/>
      <c r="X28" s="539"/>
      <c r="Z28" s="537" t="s">
        <v>291</v>
      </c>
      <c r="AA28" s="538"/>
      <c r="AB28" s="538"/>
      <c r="AC28" s="538"/>
      <c r="AD28" s="538"/>
      <c r="AE28" s="538"/>
      <c r="AF28" s="539"/>
      <c r="AH28" s="537" t="s">
        <v>291</v>
      </c>
      <c r="AI28" s="538"/>
      <c r="AJ28" s="538"/>
      <c r="AK28" s="538"/>
      <c r="AL28" s="538"/>
      <c r="AM28" s="538"/>
      <c r="AN28" s="539"/>
      <c r="AP28" s="537" t="s">
        <v>291</v>
      </c>
      <c r="AQ28" s="538"/>
      <c r="AR28" s="538"/>
      <c r="AS28" s="538"/>
      <c r="AT28" s="538"/>
      <c r="AU28" s="538"/>
      <c r="AV28" s="539"/>
      <c r="AY28" s="537" t="s">
        <v>291</v>
      </c>
      <c r="AZ28" s="538"/>
      <c r="BA28" s="538"/>
      <c r="BB28" s="538"/>
      <c r="BC28" s="538"/>
      <c r="BD28" s="538"/>
      <c r="BE28" s="539"/>
    </row>
    <row r="29" spans="2:57" ht="21.75" customHeight="1" x14ac:dyDescent="0.25">
      <c r="B29" s="600" t="s">
        <v>54</v>
      </c>
      <c r="C29" s="601"/>
      <c r="D29" s="601"/>
      <c r="E29" s="601"/>
      <c r="F29" s="579">
        <f>MAX(H96:H97)</f>
        <v>4.6511627906975786E-2</v>
      </c>
      <c r="G29" s="579"/>
      <c r="H29" s="580"/>
      <c r="J29" s="530" t="s">
        <v>54</v>
      </c>
      <c r="K29" s="531"/>
      <c r="L29" s="531"/>
      <c r="M29" s="531"/>
      <c r="N29" s="550">
        <f>MAX(P96:P97)</f>
        <v>0.20000000000000012</v>
      </c>
      <c r="O29" s="550"/>
      <c r="P29" s="551"/>
      <c r="R29" s="530" t="s">
        <v>54</v>
      </c>
      <c r="S29" s="531"/>
      <c r="T29" s="531"/>
      <c r="U29" s="531"/>
      <c r="V29" s="550">
        <f>MAX(X96:X97)</f>
        <v>0.24999999999999917</v>
      </c>
      <c r="W29" s="550"/>
      <c r="X29" s="551"/>
      <c r="Z29" s="530" t="s">
        <v>54</v>
      </c>
      <c r="AA29" s="531"/>
      <c r="AB29" s="531"/>
      <c r="AC29" s="531"/>
      <c r="AD29" s="550">
        <f>MAX(AF96:AF97)</f>
        <v>0.11111111111110891</v>
      </c>
      <c r="AE29" s="550"/>
      <c r="AF29" s="551"/>
      <c r="AH29" s="530" t="s">
        <v>54</v>
      </c>
      <c r="AI29" s="531"/>
      <c r="AJ29" s="531"/>
      <c r="AK29" s="531"/>
      <c r="AL29" s="550">
        <f>MAX(AN96:AN97)</f>
        <v>0.1500000000000011</v>
      </c>
      <c r="AM29" s="550"/>
      <c r="AN29" s="551"/>
      <c r="AP29" s="530" t="s">
        <v>54</v>
      </c>
      <c r="AQ29" s="531"/>
      <c r="AR29" s="531"/>
      <c r="AS29" s="531"/>
      <c r="AT29" s="550">
        <f>MAX(AV96:AV97)</f>
        <v>6.2499999999854352E-5</v>
      </c>
      <c r="AU29" s="550"/>
      <c r="AV29" s="551"/>
      <c r="AY29" s="530" t="s">
        <v>54</v>
      </c>
      <c r="AZ29" s="531"/>
      <c r="BA29" s="531"/>
      <c r="BB29" s="531"/>
      <c r="BC29" s="550" t="e">
        <f>MAX(BE96:BE97)</f>
        <v>#N/A</v>
      </c>
      <c r="BD29" s="550"/>
      <c r="BE29" s="551"/>
    </row>
    <row r="30" spans="2:57" ht="21.75" customHeight="1" x14ac:dyDescent="0.25">
      <c r="B30" s="530" t="s">
        <v>77</v>
      </c>
      <c r="C30" s="531"/>
      <c r="D30" s="531"/>
      <c r="E30" s="531"/>
      <c r="F30" s="552">
        <f>VLOOKUP(H88,$BG$40:$BH$85,2,FALSE)</f>
        <v>0.436</v>
      </c>
      <c r="G30" s="552"/>
      <c r="H30" s="553"/>
      <c r="J30" s="530" t="s">
        <v>77</v>
      </c>
      <c r="K30" s="531"/>
      <c r="L30" s="531"/>
      <c r="M30" s="531"/>
      <c r="N30" s="552">
        <f>VLOOKUP(P88,$BG$40:$BH$85,2,FALSE)</f>
        <v>0.443</v>
      </c>
      <c r="O30" s="552"/>
      <c r="P30" s="553"/>
      <c r="R30" s="530" t="s">
        <v>77</v>
      </c>
      <c r="S30" s="531"/>
      <c r="T30" s="531"/>
      <c r="U30" s="531"/>
      <c r="V30" s="552">
        <f>VLOOKUP(X88,$BG$40:$BH$85,2,FALSE)</f>
        <v>0.436</v>
      </c>
      <c r="W30" s="552"/>
      <c r="X30" s="553"/>
      <c r="Z30" s="530" t="s">
        <v>77</v>
      </c>
      <c r="AA30" s="531"/>
      <c r="AB30" s="531"/>
      <c r="AC30" s="531"/>
      <c r="AD30" s="552">
        <f>VLOOKUP(AF88,$BG$40:$BH$85,2,FALSE)</f>
        <v>0.436</v>
      </c>
      <c r="AE30" s="552"/>
      <c r="AF30" s="553"/>
      <c r="AH30" s="530" t="s">
        <v>77</v>
      </c>
      <c r="AI30" s="531"/>
      <c r="AJ30" s="531"/>
      <c r="AK30" s="531"/>
      <c r="AL30" s="552">
        <f>VLOOKUP(AN88,$BG$40:$BH$85,2,FALSE)</f>
        <v>0.436</v>
      </c>
      <c r="AM30" s="552"/>
      <c r="AN30" s="553"/>
      <c r="AP30" s="530" t="s">
        <v>77</v>
      </c>
      <c r="AQ30" s="531"/>
      <c r="AR30" s="531"/>
      <c r="AS30" s="531"/>
      <c r="AT30" s="552">
        <f>VLOOKUP(AV88,$BG$40:$BH$85,2,FALSE)</f>
        <v>0.436</v>
      </c>
      <c r="AU30" s="552"/>
      <c r="AV30" s="553"/>
      <c r="AY30" s="530" t="s">
        <v>77</v>
      </c>
      <c r="AZ30" s="531"/>
      <c r="BA30" s="531"/>
      <c r="BB30" s="531"/>
      <c r="BC30" s="552" t="e">
        <f>VLOOKUP(BE88,$BG$40:$BH$85,2,FALSE)</f>
        <v>#N/A</v>
      </c>
      <c r="BD30" s="552"/>
      <c r="BE30" s="553"/>
    </row>
    <row r="31" spans="2:57" ht="21.75" customHeight="1" x14ac:dyDescent="0.25">
      <c r="B31" s="530" t="s">
        <v>56</v>
      </c>
      <c r="C31" s="531"/>
      <c r="D31" s="531"/>
      <c r="E31" s="531"/>
      <c r="F31" s="552" t="str">
        <f>IF(F29&gt;F30,"Yes","No")</f>
        <v>No</v>
      </c>
      <c r="G31" s="552"/>
      <c r="H31" s="553"/>
      <c r="J31" s="530" t="s">
        <v>56</v>
      </c>
      <c r="K31" s="531"/>
      <c r="L31" s="531"/>
      <c r="M31" s="531"/>
      <c r="N31" s="552" t="str">
        <f>IF(N29&gt;N30,"Yes","No")</f>
        <v>No</v>
      </c>
      <c r="O31" s="552"/>
      <c r="P31" s="553"/>
      <c r="R31" s="530" t="s">
        <v>56</v>
      </c>
      <c r="S31" s="531"/>
      <c r="T31" s="531"/>
      <c r="U31" s="531"/>
      <c r="V31" s="552" t="str">
        <f>IF(V29&gt;V30,"Yes","No")</f>
        <v>No</v>
      </c>
      <c r="W31" s="552"/>
      <c r="X31" s="553"/>
      <c r="Z31" s="530" t="s">
        <v>56</v>
      </c>
      <c r="AA31" s="531"/>
      <c r="AB31" s="531"/>
      <c r="AC31" s="531"/>
      <c r="AD31" s="552" t="str">
        <f>IF(AD29&gt;AD30,"Yes","No")</f>
        <v>No</v>
      </c>
      <c r="AE31" s="552"/>
      <c r="AF31" s="553"/>
      <c r="AH31" s="530" t="s">
        <v>56</v>
      </c>
      <c r="AI31" s="531"/>
      <c r="AJ31" s="531"/>
      <c r="AK31" s="531"/>
      <c r="AL31" s="552" t="str">
        <f>IF(AL29&gt;AL30,"Yes","No")</f>
        <v>No</v>
      </c>
      <c r="AM31" s="552"/>
      <c r="AN31" s="553"/>
      <c r="AP31" s="530" t="s">
        <v>56</v>
      </c>
      <c r="AQ31" s="531"/>
      <c r="AR31" s="531"/>
      <c r="AS31" s="531"/>
      <c r="AT31" s="552" t="str">
        <f>IF(AT29&gt;AT30,"Yes","No")</f>
        <v>No</v>
      </c>
      <c r="AU31" s="552"/>
      <c r="AV31" s="553"/>
      <c r="AY31" s="530" t="s">
        <v>56</v>
      </c>
      <c r="AZ31" s="531"/>
      <c r="BA31" s="531"/>
      <c r="BB31" s="531"/>
      <c r="BC31" s="552" t="e">
        <f>IF(BC29&gt;BC30,"Yes","No")</f>
        <v>#N/A</v>
      </c>
      <c r="BD31" s="552"/>
      <c r="BE31" s="553"/>
    </row>
    <row r="32" spans="2:57" ht="21.75" customHeight="1" x14ac:dyDescent="0.25">
      <c r="B32" s="530" t="s">
        <v>171</v>
      </c>
      <c r="C32" s="531"/>
      <c r="D32" s="531"/>
      <c r="E32" s="531"/>
      <c r="F32" s="543" t="str">
        <f>IF(H96&gt;F30,H92,"")</f>
        <v/>
      </c>
      <c r="G32" s="543"/>
      <c r="H32" s="544"/>
      <c r="J32" s="530" t="s">
        <v>171</v>
      </c>
      <c r="K32" s="531"/>
      <c r="L32" s="531"/>
      <c r="M32" s="531"/>
      <c r="N32" s="543" t="str">
        <f>IF(P96&gt;N30,P92,"")</f>
        <v/>
      </c>
      <c r="O32" s="543"/>
      <c r="P32" s="544"/>
      <c r="R32" s="530" t="s">
        <v>171</v>
      </c>
      <c r="S32" s="531"/>
      <c r="T32" s="531"/>
      <c r="U32" s="531"/>
      <c r="V32" s="543" t="str">
        <f>IF(X96&gt;V30,X92,"")</f>
        <v/>
      </c>
      <c r="W32" s="543"/>
      <c r="X32" s="544"/>
      <c r="Z32" s="530" t="s">
        <v>171</v>
      </c>
      <c r="AA32" s="531"/>
      <c r="AB32" s="531"/>
      <c r="AC32" s="531"/>
      <c r="AD32" s="543" t="str">
        <f>IF(AF96&gt;AD30,AF92,"")</f>
        <v/>
      </c>
      <c r="AE32" s="543"/>
      <c r="AF32" s="544"/>
      <c r="AH32" s="530" t="s">
        <v>171</v>
      </c>
      <c r="AI32" s="531"/>
      <c r="AJ32" s="531"/>
      <c r="AK32" s="531"/>
      <c r="AL32" s="543" t="str">
        <f>IF(AN96&gt;AL30,AN92,"")</f>
        <v/>
      </c>
      <c r="AM32" s="543"/>
      <c r="AN32" s="544"/>
      <c r="AP32" s="530" t="s">
        <v>171</v>
      </c>
      <c r="AQ32" s="531"/>
      <c r="AR32" s="531"/>
      <c r="AS32" s="531"/>
      <c r="AT32" s="543" t="str">
        <f>IF(AV96&gt;AT30,AV92,"")</f>
        <v/>
      </c>
      <c r="AU32" s="543"/>
      <c r="AV32" s="544"/>
      <c r="AY32" s="530" t="s">
        <v>171</v>
      </c>
      <c r="AZ32" s="531"/>
      <c r="BA32" s="531"/>
      <c r="BB32" s="531"/>
      <c r="BC32" s="543" t="e">
        <f>IF(BE96&gt;BC30,BE92,"")</f>
        <v>#N/A</v>
      </c>
      <c r="BD32" s="543"/>
      <c r="BE32" s="544"/>
    </row>
    <row r="33" spans="2:60" ht="21.75" customHeight="1" x14ac:dyDescent="0.25">
      <c r="B33" s="530" t="s">
        <v>172</v>
      </c>
      <c r="C33" s="531"/>
      <c r="D33" s="531"/>
      <c r="E33" s="531"/>
      <c r="F33" s="543" t="str">
        <f>IF(H97&gt;F30,H91,"")</f>
        <v/>
      </c>
      <c r="G33" s="543"/>
      <c r="H33" s="544"/>
      <c r="I33" s="111"/>
      <c r="J33" s="530" t="s">
        <v>172</v>
      </c>
      <c r="K33" s="531"/>
      <c r="L33" s="531"/>
      <c r="M33" s="531"/>
      <c r="N33" s="543" t="str">
        <f>IF(P97&gt;N30,P91,"")</f>
        <v/>
      </c>
      <c r="O33" s="543"/>
      <c r="P33" s="544"/>
      <c r="Q33" s="111"/>
      <c r="R33" s="530" t="s">
        <v>172</v>
      </c>
      <c r="S33" s="531"/>
      <c r="T33" s="531"/>
      <c r="U33" s="531"/>
      <c r="V33" s="543" t="str">
        <f>IF(X97&gt;V30,X91,"")</f>
        <v/>
      </c>
      <c r="W33" s="543"/>
      <c r="X33" s="544"/>
      <c r="Y33" s="111"/>
      <c r="Z33" s="530" t="s">
        <v>172</v>
      </c>
      <c r="AA33" s="531"/>
      <c r="AB33" s="531"/>
      <c r="AC33" s="531"/>
      <c r="AD33" s="543" t="str">
        <f>IF(AF97&gt;AD30,AF91,"")</f>
        <v/>
      </c>
      <c r="AE33" s="543"/>
      <c r="AF33" s="544"/>
      <c r="AG33" s="111"/>
      <c r="AH33" s="530" t="s">
        <v>172</v>
      </c>
      <c r="AI33" s="531"/>
      <c r="AJ33" s="531"/>
      <c r="AK33" s="531"/>
      <c r="AL33" s="543" t="str">
        <f>IF(AN97&gt;AL30,AN91,"")</f>
        <v/>
      </c>
      <c r="AM33" s="543"/>
      <c r="AN33" s="544"/>
      <c r="AO33" s="111"/>
      <c r="AP33" s="530" t="s">
        <v>172</v>
      </c>
      <c r="AQ33" s="531"/>
      <c r="AR33" s="531"/>
      <c r="AS33" s="531"/>
      <c r="AT33" s="543" t="str">
        <f>IF(AV97&gt;AT30,AV91,"")</f>
        <v/>
      </c>
      <c r="AU33" s="543"/>
      <c r="AV33" s="544"/>
      <c r="AW33" s="25"/>
      <c r="AY33" s="530" t="s">
        <v>172</v>
      </c>
      <c r="AZ33" s="531"/>
      <c r="BA33" s="531"/>
      <c r="BB33" s="531"/>
      <c r="BC33" s="543" t="e">
        <f>IF(BE97&gt;BC30,BE91,"")</f>
        <v>#N/A</v>
      </c>
      <c r="BD33" s="543"/>
      <c r="BE33" s="544"/>
    </row>
    <row r="34" spans="2:60" ht="21.75" customHeight="1" x14ac:dyDescent="0.25">
      <c r="B34" s="534" t="s">
        <v>167</v>
      </c>
      <c r="C34" s="535"/>
      <c r="D34" s="535"/>
      <c r="E34" s="536"/>
      <c r="F34" s="525">
        <f>H93</f>
        <v>0.42999999999999972</v>
      </c>
      <c r="G34" s="526"/>
      <c r="H34" s="527"/>
      <c r="I34" s="111"/>
      <c r="J34" s="534" t="s">
        <v>167</v>
      </c>
      <c r="K34" s="535"/>
      <c r="L34" s="535"/>
      <c r="M34" s="536"/>
      <c r="N34" s="525">
        <f>P93</f>
        <v>0.10000000000000003</v>
      </c>
      <c r="O34" s="526"/>
      <c r="P34" s="527"/>
      <c r="Q34" s="111"/>
      <c r="R34" s="534" t="s">
        <v>167</v>
      </c>
      <c r="S34" s="535"/>
      <c r="T34" s="535"/>
      <c r="U34" s="536"/>
      <c r="V34" s="525">
        <f>X93</f>
        <v>0.79999999999999982</v>
      </c>
      <c r="W34" s="526"/>
      <c r="X34" s="527"/>
      <c r="Y34" s="111"/>
      <c r="Z34" s="534" t="s">
        <v>167</v>
      </c>
      <c r="AA34" s="535"/>
      <c r="AB34" s="535"/>
      <c r="AC34" s="536"/>
      <c r="AD34" s="525">
        <f>AF93</f>
        <v>0.89999999999999858</v>
      </c>
      <c r="AE34" s="526"/>
      <c r="AF34" s="527"/>
      <c r="AG34" s="111"/>
      <c r="AH34" s="534" t="s">
        <v>167</v>
      </c>
      <c r="AI34" s="535"/>
      <c r="AJ34" s="535"/>
      <c r="AK34" s="536"/>
      <c r="AL34" s="525">
        <f>AN93</f>
        <v>0.40000000000000036</v>
      </c>
      <c r="AM34" s="526"/>
      <c r="AN34" s="527"/>
      <c r="AO34" s="111"/>
      <c r="AP34" s="534" t="s">
        <v>167</v>
      </c>
      <c r="AQ34" s="535"/>
      <c r="AR34" s="535"/>
      <c r="AS34" s="536"/>
      <c r="AT34" s="525">
        <f>AV93</f>
        <v>1.5999999999999996</v>
      </c>
      <c r="AU34" s="526"/>
      <c r="AV34" s="527"/>
      <c r="AW34" s="25"/>
      <c r="AY34" s="534" t="s">
        <v>167</v>
      </c>
      <c r="AZ34" s="535"/>
      <c r="BA34" s="535"/>
      <c r="BB34" s="536"/>
      <c r="BC34" s="525">
        <f>BE93</f>
        <v>0</v>
      </c>
      <c r="BD34" s="526"/>
      <c r="BE34" s="527"/>
    </row>
    <row r="35" spans="2:60" ht="21.75" customHeight="1" x14ac:dyDescent="0.25">
      <c r="B35" s="530" t="s">
        <v>68</v>
      </c>
      <c r="C35" s="531"/>
      <c r="D35" s="531"/>
      <c r="E35" s="531"/>
      <c r="F35" s="586" t="str">
        <f>IF(H93="","",IF(H93&gt;F36,"FAIL","PASS"))</f>
        <v>PASS</v>
      </c>
      <c r="G35" s="586"/>
      <c r="H35" s="587"/>
      <c r="I35" s="111"/>
      <c r="J35" s="530" t="s">
        <v>68</v>
      </c>
      <c r="K35" s="531"/>
      <c r="L35" s="531"/>
      <c r="M35" s="531"/>
      <c r="N35" s="552" t="str">
        <f>IF(P93="","",IF(P93&gt;N36,"FAIL","PASS"))</f>
        <v>PASS</v>
      </c>
      <c r="O35" s="552"/>
      <c r="P35" s="553"/>
      <c r="Q35" s="111"/>
      <c r="R35" s="530" t="s">
        <v>68</v>
      </c>
      <c r="S35" s="531"/>
      <c r="T35" s="531"/>
      <c r="U35" s="531"/>
      <c r="V35" s="552" t="s">
        <v>82</v>
      </c>
      <c r="W35" s="552"/>
      <c r="X35" s="553"/>
      <c r="Y35" s="111"/>
      <c r="Z35" s="530" t="s">
        <v>68</v>
      </c>
      <c r="AA35" s="531"/>
      <c r="AB35" s="531"/>
      <c r="AC35" s="531"/>
      <c r="AD35" s="552" t="str">
        <f>IF(AF93="","",IF(AF93&gt;AD36,"FAIL","PASS"))</f>
        <v>PASS</v>
      </c>
      <c r="AE35" s="552"/>
      <c r="AF35" s="553"/>
      <c r="AG35" s="111"/>
      <c r="AH35" s="530" t="s">
        <v>68</v>
      </c>
      <c r="AI35" s="531"/>
      <c r="AJ35" s="531"/>
      <c r="AK35" s="531"/>
      <c r="AL35" s="552" t="str">
        <f>IF(AN93="","",IF(AN93&gt;AL36,"FAIL","PASS"))</f>
        <v>PASS</v>
      </c>
      <c r="AM35" s="552"/>
      <c r="AN35" s="553"/>
      <c r="AO35" s="111"/>
      <c r="AP35" s="530" t="s">
        <v>68</v>
      </c>
      <c r="AQ35" s="531"/>
      <c r="AR35" s="531"/>
      <c r="AS35" s="531"/>
      <c r="AT35" s="552" t="str">
        <f>IF(AV93="","",IF(AV93&gt;AT36,"FAIL","PASS"))</f>
        <v>FAIL</v>
      </c>
      <c r="AU35" s="552"/>
      <c r="AV35" s="553"/>
      <c r="AW35" s="25"/>
      <c r="AY35" s="530" t="s">
        <v>68</v>
      </c>
      <c r="AZ35" s="531"/>
      <c r="BA35" s="531"/>
      <c r="BB35" s="531"/>
      <c r="BC35" s="552" t="str">
        <f>IF(BE93="","",IF(BE93&gt;BC36,"FAIL","PASS"))</f>
        <v>PASS</v>
      </c>
      <c r="BD35" s="552"/>
      <c r="BE35" s="553"/>
    </row>
    <row r="36" spans="2:60" ht="21.75" customHeight="1" thickBot="1" x14ac:dyDescent="0.3">
      <c r="B36" s="532" t="s">
        <v>67</v>
      </c>
      <c r="C36" s="533"/>
      <c r="D36" s="533"/>
      <c r="E36" s="533"/>
      <c r="F36" s="382">
        <v>0.6</v>
      </c>
      <c r="G36" s="582">
        <v>0.3</v>
      </c>
      <c r="H36" s="583"/>
      <c r="I36" s="111"/>
      <c r="J36" s="532" t="s">
        <v>67</v>
      </c>
      <c r="K36" s="533"/>
      <c r="L36" s="533"/>
      <c r="M36" s="533"/>
      <c r="N36" s="382">
        <v>0.1</v>
      </c>
      <c r="O36" s="582">
        <f>(0.02+(0.09*P89))+(0.00000001*P89)</f>
        <v>5.5100003899999993E-2</v>
      </c>
      <c r="P36" s="583"/>
      <c r="Q36" s="111"/>
      <c r="R36" s="532" t="s">
        <v>67</v>
      </c>
      <c r="S36" s="533"/>
      <c r="T36" s="533"/>
      <c r="U36" s="533"/>
      <c r="V36" s="588" t="s">
        <v>70</v>
      </c>
      <c r="W36" s="588"/>
      <c r="X36" s="589"/>
      <c r="Y36" s="111"/>
      <c r="Z36" s="532" t="s">
        <v>67</v>
      </c>
      <c r="AA36" s="533"/>
      <c r="AB36" s="533"/>
      <c r="AC36" s="533"/>
      <c r="AD36" s="590">
        <f>IF(AF92&gt;=10,(MAX((0.04*AF89),0.5)),0.5)</f>
        <v>1.2162923076923082</v>
      </c>
      <c r="AE36" s="590"/>
      <c r="AF36" s="591"/>
      <c r="AG36" s="111"/>
      <c r="AH36" s="532" t="s">
        <v>67</v>
      </c>
      <c r="AI36" s="533"/>
      <c r="AJ36" s="533"/>
      <c r="AK36" s="533"/>
      <c r="AL36" s="590">
        <f>IF(AN89&gt;=10,(0.03*AN89),0.3)</f>
        <v>0.42581538461538476</v>
      </c>
      <c r="AM36" s="590"/>
      <c r="AN36" s="591"/>
      <c r="AO36" s="111"/>
      <c r="AP36" s="532" t="s">
        <v>67</v>
      </c>
      <c r="AQ36" s="533"/>
      <c r="AR36" s="533"/>
      <c r="AS36" s="533"/>
      <c r="AT36" s="590">
        <f>IF(AV89&gt;=10,(0.03*AV89),0.3)</f>
        <v>0.41261538461538461</v>
      </c>
      <c r="AU36" s="590"/>
      <c r="AV36" s="591"/>
      <c r="AW36" s="25"/>
      <c r="AY36" s="532" t="s">
        <v>67</v>
      </c>
      <c r="AZ36" s="533"/>
      <c r="BA36" s="533"/>
      <c r="BB36" s="533"/>
      <c r="BC36" s="382">
        <v>0.1</v>
      </c>
      <c r="BD36" s="582" t="e">
        <f>(0.02+(0.09*BE89))+(0.00000001*BE89)</f>
        <v>#DIV/0!</v>
      </c>
      <c r="BE36" s="583"/>
    </row>
    <row r="37" spans="2:60" ht="21.75" customHeight="1" thickBot="1" x14ac:dyDescent="0.3">
      <c r="B37" s="581" t="s">
        <v>295</v>
      </c>
      <c r="C37" s="581"/>
      <c r="D37" s="581"/>
      <c r="E37" s="581"/>
      <c r="F37" s="581"/>
      <c r="G37" s="581"/>
      <c r="H37" s="581"/>
      <c r="I37" s="111"/>
      <c r="J37" s="540"/>
      <c r="K37" s="540"/>
      <c r="L37" s="540"/>
      <c r="M37" s="540"/>
      <c r="N37" s="540"/>
      <c r="O37" s="540"/>
      <c r="P37" s="540"/>
      <c r="Q37" s="111"/>
      <c r="R37" s="540"/>
      <c r="S37" s="540"/>
      <c r="T37" s="540"/>
      <c r="U37" s="540"/>
      <c r="V37" s="540"/>
      <c r="W37" s="540"/>
      <c r="X37" s="540"/>
      <c r="Y37" s="111"/>
      <c r="Z37" s="540"/>
      <c r="AA37" s="540"/>
      <c r="AB37" s="540"/>
      <c r="AC37" s="540"/>
      <c r="AD37" s="540"/>
      <c r="AE37" s="540"/>
      <c r="AF37" s="540"/>
      <c r="AG37" s="111"/>
      <c r="AH37" s="540"/>
      <c r="AI37" s="540"/>
      <c r="AJ37" s="540"/>
      <c r="AK37" s="540"/>
      <c r="AL37" s="540"/>
      <c r="AM37" s="540"/>
      <c r="AN37" s="540"/>
      <c r="AO37" s="111"/>
      <c r="AP37" s="540"/>
      <c r="AQ37" s="540"/>
      <c r="AR37" s="540"/>
      <c r="AS37" s="540"/>
      <c r="AT37" s="540"/>
      <c r="AU37" s="540"/>
      <c r="AV37" s="540"/>
      <c r="AW37" s="25"/>
      <c r="AY37" s="540"/>
      <c r="AZ37" s="540"/>
      <c r="BA37" s="540"/>
      <c r="BB37" s="540"/>
      <c r="BC37" s="540"/>
      <c r="BD37" s="540"/>
      <c r="BE37" s="540"/>
    </row>
    <row r="38" spans="2:60" ht="36.75" customHeight="1" thickBot="1" x14ac:dyDescent="0.3">
      <c r="B38" s="537" t="s">
        <v>293</v>
      </c>
      <c r="C38" s="538"/>
      <c r="D38" s="538"/>
      <c r="E38" s="538"/>
      <c r="F38" s="538"/>
      <c r="G38" s="538"/>
      <c r="H38" s="539"/>
      <c r="J38" s="537" t="s">
        <v>293</v>
      </c>
      <c r="K38" s="538"/>
      <c r="L38" s="538"/>
      <c r="M38" s="538"/>
      <c r="N38" s="538"/>
      <c r="O38" s="538"/>
      <c r="P38" s="539"/>
      <c r="R38" s="537" t="s">
        <v>293</v>
      </c>
      <c r="S38" s="538"/>
      <c r="T38" s="538"/>
      <c r="U38" s="538"/>
      <c r="V38" s="538"/>
      <c r="W38" s="538"/>
      <c r="X38" s="539"/>
      <c r="Z38" s="537" t="s">
        <v>293</v>
      </c>
      <c r="AA38" s="538"/>
      <c r="AB38" s="538"/>
      <c r="AC38" s="538"/>
      <c r="AD38" s="538"/>
      <c r="AE38" s="538"/>
      <c r="AF38" s="539"/>
      <c r="AH38" s="537" t="s">
        <v>293</v>
      </c>
      <c r="AI38" s="538"/>
      <c r="AJ38" s="538"/>
      <c r="AK38" s="538"/>
      <c r="AL38" s="538"/>
      <c r="AM38" s="538"/>
      <c r="AN38" s="539"/>
      <c r="AP38" s="537" t="s">
        <v>293</v>
      </c>
      <c r="AQ38" s="538"/>
      <c r="AR38" s="538"/>
      <c r="AS38" s="538"/>
      <c r="AT38" s="538"/>
      <c r="AU38" s="538"/>
      <c r="AV38" s="539"/>
      <c r="AY38" s="537" t="s">
        <v>293</v>
      </c>
      <c r="AZ38" s="538"/>
      <c r="BA38" s="538"/>
      <c r="BB38" s="538"/>
      <c r="BC38" s="538"/>
      <c r="BD38" s="538"/>
      <c r="BE38" s="539"/>
    </row>
    <row r="39" spans="2:60" ht="15.6" x14ac:dyDescent="0.3">
      <c r="B39" s="121" t="s">
        <v>84</v>
      </c>
      <c r="C39" s="122" t="s">
        <v>0</v>
      </c>
      <c r="D39" s="122" t="s">
        <v>168</v>
      </c>
      <c r="E39" s="122" t="s">
        <v>1</v>
      </c>
      <c r="F39" s="123" t="s">
        <v>61</v>
      </c>
      <c r="G39" s="123" t="s">
        <v>64</v>
      </c>
      <c r="H39" s="124" t="s">
        <v>22</v>
      </c>
      <c r="J39" s="121" t="s">
        <v>84</v>
      </c>
      <c r="K39" s="122" t="s">
        <v>0</v>
      </c>
      <c r="L39" s="122" t="s">
        <v>168</v>
      </c>
      <c r="M39" s="122" t="s">
        <v>1</v>
      </c>
      <c r="N39" s="150" t="s">
        <v>61</v>
      </c>
      <c r="O39" s="150" t="s">
        <v>64</v>
      </c>
      <c r="P39" s="151" t="s">
        <v>22</v>
      </c>
      <c r="R39" s="153" t="s">
        <v>84</v>
      </c>
      <c r="S39" s="154" t="s">
        <v>0</v>
      </c>
      <c r="T39" s="154" t="s">
        <v>168</v>
      </c>
      <c r="U39" s="154" t="s">
        <v>1</v>
      </c>
      <c r="V39" s="123" t="s">
        <v>61</v>
      </c>
      <c r="W39" s="123" t="s">
        <v>64</v>
      </c>
      <c r="X39" s="124" t="s">
        <v>22</v>
      </c>
      <c r="Z39" s="121" t="s">
        <v>84</v>
      </c>
      <c r="AA39" s="122" t="s">
        <v>0</v>
      </c>
      <c r="AB39" s="122" t="s">
        <v>168</v>
      </c>
      <c r="AC39" s="122" t="s">
        <v>1</v>
      </c>
      <c r="AD39" s="123" t="s">
        <v>61</v>
      </c>
      <c r="AE39" s="123" t="s">
        <v>64</v>
      </c>
      <c r="AF39" s="124" t="s">
        <v>22</v>
      </c>
      <c r="AH39" s="153" t="s">
        <v>84</v>
      </c>
      <c r="AI39" s="154" t="s">
        <v>0</v>
      </c>
      <c r="AJ39" s="154" t="s">
        <v>168</v>
      </c>
      <c r="AK39" s="154" t="s">
        <v>1</v>
      </c>
      <c r="AL39" s="123" t="s">
        <v>61</v>
      </c>
      <c r="AM39" s="123" t="s">
        <v>64</v>
      </c>
      <c r="AN39" s="124" t="s">
        <v>22</v>
      </c>
      <c r="AP39" s="121" t="s">
        <v>84</v>
      </c>
      <c r="AQ39" s="122" t="s">
        <v>0</v>
      </c>
      <c r="AR39" s="122" t="s">
        <v>168</v>
      </c>
      <c r="AS39" s="122" t="s">
        <v>1</v>
      </c>
      <c r="AT39" s="150" t="s">
        <v>61</v>
      </c>
      <c r="AU39" s="150" t="s">
        <v>64</v>
      </c>
      <c r="AV39" s="169" t="s">
        <v>22</v>
      </c>
      <c r="AY39" s="121" t="s">
        <v>84</v>
      </c>
      <c r="AZ39" s="122" t="s">
        <v>0</v>
      </c>
      <c r="BA39" s="122" t="s">
        <v>168</v>
      </c>
      <c r="BB39" s="122" t="s">
        <v>1</v>
      </c>
      <c r="BC39" s="150" t="s">
        <v>61</v>
      </c>
      <c r="BD39" s="150" t="s">
        <v>64</v>
      </c>
      <c r="BE39" s="151" t="s">
        <v>22</v>
      </c>
      <c r="BG39" s="584" t="s">
        <v>179</v>
      </c>
      <c r="BH39" s="585"/>
    </row>
    <row r="40" spans="2:60" ht="14.4" x14ac:dyDescent="0.3">
      <c r="B40" s="120">
        <v>1</v>
      </c>
      <c r="C40" s="105"/>
      <c r="D40" s="107"/>
      <c r="E40" s="107"/>
      <c r="F40" s="116">
        <f t="shared" ref="F40:F87" si="0">IF(G40="","",RANK(G40,$G$40:$G$87))</f>
        <v>11</v>
      </c>
      <c r="G40" s="117">
        <f>IF(H40="","",(COUNTIF($H$40:H40,H40)-1)*0.0001+H40)</f>
        <v>25.95</v>
      </c>
      <c r="H40" s="45">
        <v>25.95</v>
      </c>
      <c r="J40" s="120">
        <v>1</v>
      </c>
      <c r="K40" s="107"/>
      <c r="L40" s="107"/>
      <c r="M40" s="107"/>
      <c r="N40" s="118">
        <f t="shared" ref="N40:N87" si="1">IF(O40="","",RANK(O40,$O$40:$O$87))</f>
        <v>17</v>
      </c>
      <c r="O40" s="119">
        <f>IF(P40="","",(COUNTIF($P$40:P40,P40)-1)*0.0001+P40)</f>
        <v>0.38</v>
      </c>
      <c r="P40" s="45">
        <v>0.38</v>
      </c>
      <c r="R40" s="120">
        <v>1</v>
      </c>
      <c r="S40" s="106"/>
      <c r="T40" s="106"/>
      <c r="U40" s="106"/>
      <c r="V40" s="116">
        <f t="shared" ref="V40:V87" si="2">IF(W40="","",RANK(W40,$W$40:$W$87))</f>
        <v>17</v>
      </c>
      <c r="W40" s="117">
        <f>IF(X40="","",(COUNTIF($X$40:X40,X40)-1)*0.0001+X40)</f>
        <v>4.0999999999999996</v>
      </c>
      <c r="X40" s="108">
        <v>4.0999999999999996</v>
      </c>
      <c r="Z40" s="120">
        <v>1</v>
      </c>
      <c r="AA40" s="107"/>
      <c r="AB40" s="107"/>
      <c r="AC40" s="107"/>
      <c r="AD40" s="116">
        <f t="shared" ref="AD40:AD87" si="3">IF(AE40="","",RANK(AE40,$AE$40:$AE$87))</f>
        <v>17</v>
      </c>
      <c r="AE40" s="117">
        <f>IF(AF40="","",(COUNTIF($AF$40:AF40,AF40)-1)*0.0001+AF40)</f>
        <v>30.3</v>
      </c>
      <c r="AF40" s="45">
        <v>30.3</v>
      </c>
      <c r="AH40" s="120">
        <v>1</v>
      </c>
      <c r="AI40" s="106"/>
      <c r="AJ40" s="106"/>
      <c r="AK40" s="383"/>
      <c r="AL40" s="116">
        <f t="shared" ref="AL40:AL87" si="4">IF(AM40="","",RANK(AM40,$AM$40:$AM$87))</f>
        <v>16</v>
      </c>
      <c r="AM40" s="117">
        <f>IF(AN40="","",(COUNTIF($AN$40:AN40,AN40)-1)*0.0001+AN40)</f>
        <v>14.2</v>
      </c>
      <c r="AN40" s="108">
        <v>14.2</v>
      </c>
      <c r="AP40" s="170">
        <v>1</v>
      </c>
      <c r="AQ40" s="106"/>
      <c r="AR40" s="106"/>
      <c r="AS40" s="383"/>
      <c r="AT40" s="116">
        <f t="shared" ref="AT40:AT86" si="5">IF(AU40="","",RANK(AU40,$AU$40:$AU$87))</f>
        <v>18</v>
      </c>
      <c r="AU40" s="117">
        <f>IF(AV40="","",(COUNTIF($AV$40:AV40,AV40)-1)*0.0001+AV40)</f>
        <v>13.4</v>
      </c>
      <c r="AV40" s="108">
        <v>13.4</v>
      </c>
      <c r="AY40" s="120">
        <v>1</v>
      </c>
      <c r="AZ40" s="107"/>
      <c r="BA40" s="107"/>
      <c r="BB40" s="107"/>
      <c r="BC40" s="116" t="str">
        <f>IF(BD40="","",RANK(BD40,#REF!))</f>
        <v/>
      </c>
      <c r="BD40" s="119" t="str">
        <f>IF(BE40="","",(COUNTIF($AX$40:BE40,BE40)-1)*0.0001+BE40)</f>
        <v/>
      </c>
      <c r="BE40" s="45"/>
      <c r="BG40" s="43">
        <v>3</v>
      </c>
      <c r="BH40" s="43">
        <v>0.97</v>
      </c>
    </row>
    <row r="41" spans="2:60" ht="14.4" x14ac:dyDescent="0.3">
      <c r="B41" s="120">
        <v>2</v>
      </c>
      <c r="C41" s="105"/>
      <c r="D41" s="107"/>
      <c r="E41" s="107"/>
      <c r="F41" s="116">
        <f t="shared" si="0"/>
        <v>22</v>
      </c>
      <c r="G41" s="117">
        <f>IF(H41="","",(COUNTIF($H$40:H41,H41)-1)*0.0001+H41)</f>
        <v>25.79</v>
      </c>
      <c r="H41" s="45">
        <v>25.79</v>
      </c>
      <c r="J41" s="120">
        <v>2</v>
      </c>
      <c r="K41" s="107"/>
      <c r="L41" s="107"/>
      <c r="M41" s="107"/>
      <c r="N41" s="118">
        <f t="shared" si="1"/>
        <v>25</v>
      </c>
      <c r="O41" s="119">
        <f>IF(P41="","",(COUNTIF($P$40:P41,P41)-1)*0.0001+P41)</f>
        <v>0.35</v>
      </c>
      <c r="P41" s="109">
        <v>0.35</v>
      </c>
      <c r="R41" s="120">
        <v>2</v>
      </c>
      <c r="S41" s="106"/>
      <c r="T41" s="106"/>
      <c r="U41" s="106"/>
      <c r="V41" s="116">
        <f t="shared" si="2"/>
        <v>7</v>
      </c>
      <c r="W41" s="117">
        <f>IF(X41="","",(COUNTIF($X$40:X41,X41)-1)*0.0001+X41)</f>
        <v>4.2300000000000004</v>
      </c>
      <c r="X41" s="46">
        <v>4.2300000000000004</v>
      </c>
      <c r="Z41" s="120">
        <v>2</v>
      </c>
      <c r="AA41" s="107"/>
      <c r="AB41" s="107"/>
      <c r="AC41" s="107"/>
      <c r="AD41" s="116">
        <f t="shared" si="3"/>
        <v>12</v>
      </c>
      <c r="AE41" s="117">
        <f>IF(AF41="","",(COUNTIF($AF$40:AF41,AF41)-1)*0.0001+AF41)</f>
        <v>30.45</v>
      </c>
      <c r="AF41" s="45">
        <v>30.45</v>
      </c>
      <c r="AH41" s="120">
        <v>2</v>
      </c>
      <c r="AI41" s="106"/>
      <c r="AJ41" s="106"/>
      <c r="AK41" s="383"/>
      <c r="AL41" s="116">
        <f t="shared" si="4"/>
        <v>19</v>
      </c>
      <c r="AM41" s="117">
        <f>IF(AN41="","",(COUNTIF($AN$40:AN41,AN41)-1)*0.0001+AN41)</f>
        <v>14.12</v>
      </c>
      <c r="AN41" s="46">
        <v>14.12</v>
      </c>
      <c r="AP41" s="170">
        <v>2</v>
      </c>
      <c r="AQ41" s="106"/>
      <c r="AR41" s="106"/>
      <c r="AS41" s="383"/>
      <c r="AT41" s="116">
        <f t="shared" si="5"/>
        <v>17</v>
      </c>
      <c r="AU41" s="117">
        <f>IF(AV41="","",(COUNTIF($AV$40:AV41,AV41)-1)*0.0001+AV41)</f>
        <v>13.4001</v>
      </c>
      <c r="AV41" s="46">
        <v>13.4</v>
      </c>
      <c r="AY41" s="120">
        <v>2</v>
      </c>
      <c r="AZ41" s="107"/>
      <c r="BA41" s="107"/>
      <c r="BB41" s="107"/>
      <c r="BC41" s="116" t="str">
        <f>IF(BD41="","",RANK(BD41,#REF!))</f>
        <v/>
      </c>
      <c r="BD41" s="119" t="str">
        <f>IF(BE41="","",(COUNTIF($AX$40:BE41,BE41)-1)*0.0001+BE41)</f>
        <v/>
      </c>
      <c r="BE41" s="109"/>
      <c r="BG41" s="43">
        <v>4</v>
      </c>
      <c r="BH41" s="43">
        <v>0.82899999999999996</v>
      </c>
    </row>
    <row r="42" spans="2:60" ht="14.4" x14ac:dyDescent="0.3">
      <c r="B42" s="120">
        <v>3</v>
      </c>
      <c r="C42" s="105"/>
      <c r="D42" s="107"/>
      <c r="E42" s="107"/>
      <c r="F42" s="116">
        <f t="shared" si="0"/>
        <v>14</v>
      </c>
      <c r="G42" s="117">
        <f>IF(H42="","",(COUNTIF($H$40:H42,H42)-1)*0.0001+H42)</f>
        <v>25.93</v>
      </c>
      <c r="H42" s="45">
        <v>25.93</v>
      </c>
      <c r="J42" s="120">
        <v>3</v>
      </c>
      <c r="K42" s="107"/>
      <c r="L42" s="107"/>
      <c r="M42" s="107"/>
      <c r="N42" s="118">
        <f t="shared" si="1"/>
        <v>21</v>
      </c>
      <c r="O42" s="119">
        <f>IF(P42="","",(COUNTIF($P$40:P42,P42)-1)*0.0001+P42)</f>
        <v>0.37</v>
      </c>
      <c r="P42" s="109">
        <v>0.37</v>
      </c>
      <c r="R42" s="120">
        <v>3</v>
      </c>
      <c r="S42" s="106"/>
      <c r="T42" s="106"/>
      <c r="U42" s="106"/>
      <c r="V42" s="116">
        <f t="shared" si="2"/>
        <v>5</v>
      </c>
      <c r="W42" s="117">
        <f>IF(X42="","",(COUNTIF($X$40:X42,X42)-1)*0.0001+X42)</f>
        <v>4.3</v>
      </c>
      <c r="X42" s="46">
        <v>4.3</v>
      </c>
      <c r="Z42" s="120">
        <v>3</v>
      </c>
      <c r="AA42" s="107"/>
      <c r="AB42" s="107"/>
      <c r="AC42" s="107"/>
      <c r="AD42" s="116">
        <f t="shared" si="3"/>
        <v>10</v>
      </c>
      <c r="AE42" s="117">
        <f>IF(AF42="","",(COUNTIF($AF$40:AF42,AF42)-1)*0.0001+AF42)</f>
        <v>30.6</v>
      </c>
      <c r="AF42" s="45">
        <v>30.6</v>
      </c>
      <c r="AH42" s="120">
        <v>3</v>
      </c>
      <c r="AI42" s="106"/>
      <c r="AJ42" s="106"/>
      <c r="AK42" s="383"/>
      <c r="AL42" s="116">
        <f t="shared" si="4"/>
        <v>15</v>
      </c>
      <c r="AM42" s="117">
        <f>IF(AN42="","",(COUNTIF($AN$40:AN42,AN42)-1)*0.0001+AN42)</f>
        <v>14.200099999999999</v>
      </c>
      <c r="AN42" s="46">
        <v>14.2</v>
      </c>
      <c r="AP42" s="170">
        <v>3</v>
      </c>
      <c r="AQ42" s="106"/>
      <c r="AR42" s="106"/>
      <c r="AS42" s="383"/>
      <c r="AT42" s="116">
        <f t="shared" si="5"/>
        <v>26</v>
      </c>
      <c r="AU42" s="117">
        <f>IF(AV42="","",(COUNTIF($AV$40:AV42,AV42)-1)*0.0001+AV42)</f>
        <v>13.1</v>
      </c>
      <c r="AV42" s="46">
        <v>13.1</v>
      </c>
      <c r="AY42" s="120">
        <v>3</v>
      </c>
      <c r="AZ42" s="107"/>
      <c r="BA42" s="107"/>
      <c r="BB42" s="107"/>
      <c r="BC42" s="116" t="str">
        <f>IF(BD42="","",RANK(BD42,#REF!))</f>
        <v/>
      </c>
      <c r="BD42" s="119" t="str">
        <f>IF(BE42="","",(COUNTIF($AX$40:BE42,BE42)-1)*0.0001+BE42)</f>
        <v/>
      </c>
      <c r="BE42" s="109"/>
      <c r="BG42" s="43">
        <v>5</v>
      </c>
      <c r="BH42" s="43">
        <v>0.71</v>
      </c>
    </row>
    <row r="43" spans="2:60" ht="14.4" x14ac:dyDescent="0.3">
      <c r="B43" s="120">
        <v>4</v>
      </c>
      <c r="C43" s="105"/>
      <c r="D43" s="107"/>
      <c r="E43" s="107"/>
      <c r="F43" s="116">
        <f t="shared" si="0"/>
        <v>20</v>
      </c>
      <c r="G43" s="117">
        <f>IF(H43="","",(COUNTIF($H$40:H43,H43)-1)*0.0001+H43)</f>
        <v>25.85</v>
      </c>
      <c r="H43" s="45">
        <v>25.85</v>
      </c>
      <c r="J43" s="120">
        <v>4</v>
      </c>
      <c r="K43" s="107"/>
      <c r="L43" s="107"/>
      <c r="M43" s="107"/>
      <c r="N43" s="118">
        <f t="shared" si="1"/>
        <v>12</v>
      </c>
      <c r="O43" s="119">
        <f>IF(P43="","",(COUNTIF($P$40:P43,P43)-1)*0.0001+P43)</f>
        <v>0.39</v>
      </c>
      <c r="P43" s="45">
        <v>0.39</v>
      </c>
      <c r="R43" s="120">
        <v>4</v>
      </c>
      <c r="S43" s="106"/>
      <c r="T43" s="106"/>
      <c r="U43" s="106"/>
      <c r="V43" s="116">
        <f t="shared" si="2"/>
        <v>6</v>
      </c>
      <c r="W43" s="117">
        <f>IF(X43="","",(COUNTIF($X$40:X43,X43)-1)*0.0001+X43)</f>
        <v>4.29</v>
      </c>
      <c r="X43" s="108">
        <v>4.29</v>
      </c>
      <c r="Z43" s="120">
        <v>4</v>
      </c>
      <c r="AA43" s="107"/>
      <c r="AB43" s="107"/>
      <c r="AC43" s="107"/>
      <c r="AD43" s="116">
        <f t="shared" si="3"/>
        <v>13</v>
      </c>
      <c r="AE43" s="117">
        <f>IF(AF43="","",(COUNTIF($AF$40:AF43,AF43)-1)*0.0001+AF43)</f>
        <v>30.4</v>
      </c>
      <c r="AF43" s="45">
        <v>30.4</v>
      </c>
      <c r="AH43" s="120">
        <v>4</v>
      </c>
      <c r="AI43" s="106"/>
      <c r="AJ43" s="106"/>
      <c r="AK43" s="383"/>
      <c r="AL43" s="116">
        <f t="shared" si="4"/>
        <v>26</v>
      </c>
      <c r="AM43" s="117">
        <f>IF(AN43="","",(COUNTIF($AN$40:AN43,AN43)-1)*0.0001+AN43)</f>
        <v>14</v>
      </c>
      <c r="AN43" s="108">
        <v>14</v>
      </c>
      <c r="AP43" s="170">
        <v>4</v>
      </c>
      <c r="AQ43" s="106"/>
      <c r="AR43" s="106"/>
      <c r="AS43" s="383"/>
      <c r="AT43" s="116">
        <f t="shared" si="5"/>
        <v>24</v>
      </c>
      <c r="AU43" s="117">
        <f>IF(AV43="","",(COUNTIF($AV$40:AV43,AV43)-1)*0.0001+AV43)</f>
        <v>13.3</v>
      </c>
      <c r="AV43" s="108">
        <v>13.3</v>
      </c>
      <c r="AY43" s="120">
        <v>4</v>
      </c>
      <c r="AZ43" s="107"/>
      <c r="BA43" s="107"/>
      <c r="BB43" s="107"/>
      <c r="BC43" s="116" t="str">
        <f>IF(BD43="","",RANK(BD43,#REF!))</f>
        <v/>
      </c>
      <c r="BD43" s="119" t="str">
        <f>IF(BE43="","",(COUNTIF($AX$40:BE43,BE43)-1)*0.0001+BE43)</f>
        <v/>
      </c>
      <c r="BE43" s="45"/>
      <c r="BG43" s="43">
        <v>6</v>
      </c>
      <c r="BH43" s="43">
        <v>0.628</v>
      </c>
    </row>
    <row r="44" spans="2:60" ht="14.4" x14ac:dyDescent="0.3">
      <c r="B44" s="120">
        <v>5</v>
      </c>
      <c r="C44" s="105"/>
      <c r="D44" s="107"/>
      <c r="E44" s="107"/>
      <c r="F44" s="116">
        <f t="shared" si="0"/>
        <v>24</v>
      </c>
      <c r="G44" s="117">
        <f>IF(H44="","",(COUNTIF($H$40:H44,H44)-1)*0.0001+H44)</f>
        <v>25.64</v>
      </c>
      <c r="H44" s="45">
        <v>25.64</v>
      </c>
      <c r="J44" s="120">
        <v>5</v>
      </c>
      <c r="K44" s="107"/>
      <c r="L44" s="107"/>
      <c r="M44" s="107"/>
      <c r="N44" s="118">
        <f t="shared" si="1"/>
        <v>9</v>
      </c>
      <c r="O44" s="119">
        <f>IF(P44="","",(COUNTIF($P$40:P44,P44)-1)*0.0001+P44)</f>
        <v>0.4</v>
      </c>
      <c r="P44" s="109">
        <v>0.4</v>
      </c>
      <c r="R44" s="120">
        <v>5</v>
      </c>
      <c r="S44" s="106"/>
      <c r="T44" s="106"/>
      <c r="U44" s="106"/>
      <c r="V44" s="116">
        <f t="shared" si="2"/>
        <v>4</v>
      </c>
      <c r="W44" s="117">
        <f>IF(X44="","",(COUNTIF($X$40:X44,X44)-1)*0.0001+X44)</f>
        <v>4.3000999999999996</v>
      </c>
      <c r="X44" s="46">
        <v>4.3</v>
      </c>
      <c r="Z44" s="120">
        <v>5</v>
      </c>
      <c r="AA44" s="107"/>
      <c r="AB44" s="107"/>
      <c r="AC44" s="107"/>
      <c r="AD44" s="116">
        <f t="shared" si="3"/>
        <v>21</v>
      </c>
      <c r="AE44" s="117">
        <f>IF(AF44="","",(COUNTIF($AF$40:AF44,AF44)-1)*0.0001+AF44)</f>
        <v>30.2</v>
      </c>
      <c r="AF44" s="45">
        <v>30.2</v>
      </c>
      <c r="AH44" s="120">
        <v>5</v>
      </c>
      <c r="AI44" s="106"/>
      <c r="AJ44" s="106"/>
      <c r="AK44" s="383"/>
      <c r="AL44" s="116">
        <f t="shared" si="4"/>
        <v>24</v>
      </c>
      <c r="AM44" s="117">
        <f>IF(AN44="","",(COUNTIF($AN$40:AN44,AN44)-1)*0.0001+AN44)</f>
        <v>14.1</v>
      </c>
      <c r="AN44" s="46">
        <v>14.1</v>
      </c>
      <c r="AP44" s="170">
        <v>5</v>
      </c>
      <c r="AQ44" s="106"/>
      <c r="AR44" s="106"/>
      <c r="AS44" s="383"/>
      <c r="AT44" s="116">
        <f t="shared" si="5"/>
        <v>23</v>
      </c>
      <c r="AU44" s="117">
        <f>IF(AV44="","",(COUNTIF($AV$40:AV44,AV44)-1)*0.0001+AV44)</f>
        <v>13.3001</v>
      </c>
      <c r="AV44" s="46">
        <v>13.3</v>
      </c>
      <c r="AY44" s="120">
        <v>5</v>
      </c>
      <c r="AZ44" s="107"/>
      <c r="BA44" s="107"/>
      <c r="BB44" s="107"/>
      <c r="BC44" s="116" t="str">
        <f>IF(BD44="","",RANK(BD44,#REF!))</f>
        <v/>
      </c>
      <c r="BD44" s="119" t="str">
        <f>IF(BE44="","",(COUNTIF($AX$40:BE44,BE44)-1)*0.0001+BE44)</f>
        <v/>
      </c>
      <c r="BE44" s="109"/>
      <c r="BG44" s="43">
        <v>7</v>
      </c>
      <c r="BH44" s="43">
        <v>0.56899999999999995</v>
      </c>
    </row>
    <row r="45" spans="2:60" ht="14.4" x14ac:dyDescent="0.3">
      <c r="B45" s="120">
        <v>6</v>
      </c>
      <c r="C45" s="105"/>
      <c r="D45" s="107"/>
      <c r="E45" s="107"/>
      <c r="F45" s="116">
        <f t="shared" si="0"/>
        <v>10</v>
      </c>
      <c r="G45" s="117">
        <f>IF(H45="","",(COUNTIF($H$40:H45,H45)-1)*0.0001+H45)</f>
        <v>25.97</v>
      </c>
      <c r="H45" s="45">
        <v>25.97</v>
      </c>
      <c r="J45" s="120">
        <v>6</v>
      </c>
      <c r="K45" s="107"/>
      <c r="L45" s="107"/>
      <c r="M45" s="107"/>
      <c r="N45" s="118">
        <f t="shared" si="1"/>
        <v>11</v>
      </c>
      <c r="O45" s="119">
        <f>IF(P45="","",(COUNTIF($P$40:P45,P45)-1)*0.0001+P45)</f>
        <v>0.3901</v>
      </c>
      <c r="P45" s="109">
        <v>0.39</v>
      </c>
      <c r="R45" s="120">
        <v>6</v>
      </c>
      <c r="S45" s="106"/>
      <c r="T45" s="106"/>
      <c r="U45" s="106"/>
      <c r="V45" s="116">
        <f t="shared" si="2"/>
        <v>13</v>
      </c>
      <c r="W45" s="117">
        <f>IF(X45="","",(COUNTIF($X$40:X45,X45)-1)*0.0001+X45)</f>
        <v>4.2</v>
      </c>
      <c r="X45" s="46">
        <v>4.2</v>
      </c>
      <c r="Z45" s="120">
        <v>6</v>
      </c>
      <c r="AA45" s="107"/>
      <c r="AB45" s="107"/>
      <c r="AC45" s="107"/>
      <c r="AD45" s="116">
        <f t="shared" si="3"/>
        <v>3</v>
      </c>
      <c r="AE45" s="117">
        <f>IF(AF45="","",(COUNTIF($AF$40:AF45,AF45)-1)*0.0001+AF45)</f>
        <v>30.8</v>
      </c>
      <c r="AF45" s="45">
        <v>30.8</v>
      </c>
      <c r="AH45" s="120">
        <v>6</v>
      </c>
      <c r="AI45" s="106"/>
      <c r="AJ45" s="106"/>
      <c r="AK45" s="383"/>
      <c r="AL45" s="116">
        <f t="shared" si="4"/>
        <v>8</v>
      </c>
      <c r="AM45" s="117">
        <f>IF(AN45="","",(COUNTIF($AN$40:AN45,AN45)-1)*0.0001+AN45)</f>
        <v>14.23</v>
      </c>
      <c r="AN45" s="46">
        <v>14.23</v>
      </c>
      <c r="AP45" s="170">
        <v>6</v>
      </c>
      <c r="AQ45" s="106"/>
      <c r="AR45" s="106"/>
      <c r="AS45" s="383"/>
      <c r="AT45" s="116">
        <f t="shared" si="5"/>
        <v>15</v>
      </c>
      <c r="AU45" s="117">
        <f>IF(AV45="","",(COUNTIF($AV$40:AV45,AV45)-1)*0.0001+AV45)</f>
        <v>13.6</v>
      </c>
      <c r="AV45" s="108">
        <v>13.6</v>
      </c>
      <c r="AY45" s="120">
        <v>6</v>
      </c>
      <c r="AZ45" s="107"/>
      <c r="BA45" s="107"/>
      <c r="BB45" s="107"/>
      <c r="BC45" s="116" t="str">
        <f>IF(BD45="","",RANK(BD45,#REF!))</f>
        <v/>
      </c>
      <c r="BD45" s="119" t="str">
        <f>IF(BE45="","",(COUNTIF($AX$40:BE45,BE45)-1)*0.0001+BE45)</f>
        <v/>
      </c>
      <c r="BE45" s="109"/>
      <c r="BG45" s="43">
        <v>8</v>
      </c>
      <c r="BH45" s="43">
        <v>0.60799999999999998</v>
      </c>
    </row>
    <row r="46" spans="2:60" ht="14.4" x14ac:dyDescent="0.3">
      <c r="B46" s="120">
        <v>9</v>
      </c>
      <c r="C46" s="105"/>
      <c r="D46" s="107"/>
      <c r="E46" s="107"/>
      <c r="F46" s="116">
        <f t="shared" si="0"/>
        <v>2</v>
      </c>
      <c r="G46" s="117">
        <f>IF(H46="","",(COUNTIF($H$40:H46,H46)-1)*0.0001+H46)</f>
        <v>26.01</v>
      </c>
      <c r="H46" s="45">
        <v>26.01</v>
      </c>
      <c r="J46" s="120">
        <v>9</v>
      </c>
      <c r="K46" s="107"/>
      <c r="L46" s="107"/>
      <c r="M46" s="107"/>
      <c r="N46" s="118">
        <f t="shared" si="1"/>
        <v>5</v>
      </c>
      <c r="O46" s="119">
        <f>IF(P46="","",(COUNTIF($P$40:P46,P46)-1)*0.0001+P46)</f>
        <v>0.43</v>
      </c>
      <c r="P46" s="45">
        <v>0.43</v>
      </c>
      <c r="R46" s="120">
        <v>9</v>
      </c>
      <c r="S46" s="106"/>
      <c r="T46" s="106"/>
      <c r="U46" s="106"/>
      <c r="V46" s="116">
        <f t="shared" si="2"/>
        <v>3</v>
      </c>
      <c r="W46" s="117">
        <f>IF(X46="","",(COUNTIF($X$40:X46,X46)-1)*0.0001+X46)</f>
        <v>4.4000000000000004</v>
      </c>
      <c r="X46" s="108">
        <v>4.4000000000000004</v>
      </c>
      <c r="Z46" s="120">
        <v>9</v>
      </c>
      <c r="AA46" s="107"/>
      <c r="AB46" s="107"/>
      <c r="AC46" s="107"/>
      <c r="AD46" s="116">
        <f t="shared" si="3"/>
        <v>19</v>
      </c>
      <c r="AE46" s="117">
        <f>IF(AF46="","",(COUNTIF($AF$40:AF46,AF46)-1)*0.0001+AF46)</f>
        <v>30.21</v>
      </c>
      <c r="AF46" s="45">
        <v>30.21</v>
      </c>
      <c r="AH46" s="120">
        <v>9</v>
      </c>
      <c r="AI46" s="106"/>
      <c r="AJ46" s="106"/>
      <c r="AK46" s="383"/>
      <c r="AL46" s="116">
        <f t="shared" si="4"/>
        <v>18</v>
      </c>
      <c r="AM46" s="117">
        <f>IF(AN46="","",(COUNTIF($AN$40:AN46,AN46)-1)*0.0001+AN46)</f>
        <v>14.15</v>
      </c>
      <c r="AN46" s="108">
        <v>14.15</v>
      </c>
      <c r="AP46" s="170">
        <v>9</v>
      </c>
      <c r="AQ46" s="106"/>
      <c r="AR46" s="106"/>
      <c r="AS46" s="383"/>
      <c r="AT46" s="116">
        <f t="shared" si="5"/>
        <v>14</v>
      </c>
      <c r="AU46" s="117">
        <f>IF(AV46="","",(COUNTIF($AV$40:AV46,AV46)-1)*0.0001+AV46)</f>
        <v>13.600099999999999</v>
      </c>
      <c r="AV46" s="108">
        <v>13.6</v>
      </c>
      <c r="AY46" s="120">
        <v>9</v>
      </c>
      <c r="AZ46" s="107"/>
      <c r="BA46" s="107"/>
      <c r="BB46" s="107"/>
      <c r="BC46" s="116" t="str">
        <f>IF(BD46="","",RANK(BD46,#REF!))</f>
        <v/>
      </c>
      <c r="BD46" s="119" t="str">
        <f>IF(BE46="","",(COUNTIF($AX$40:BE46,BE46)-1)*0.0001+BE46)</f>
        <v/>
      </c>
      <c r="BE46" s="45"/>
      <c r="BG46" s="43">
        <v>11</v>
      </c>
      <c r="BH46" s="43">
        <v>0.502</v>
      </c>
    </row>
    <row r="47" spans="2:60" ht="14.4" x14ac:dyDescent="0.3">
      <c r="B47" s="120">
        <v>10</v>
      </c>
      <c r="C47" s="105"/>
      <c r="D47" s="107"/>
      <c r="E47" s="107"/>
      <c r="F47" s="116">
        <f t="shared" si="0"/>
        <v>15</v>
      </c>
      <c r="G47" s="117">
        <f>IF(H47="","",(COUNTIF($H$40:H47,H47)-1)*0.0001+H47)</f>
        <v>25.92</v>
      </c>
      <c r="H47" s="45">
        <v>25.92</v>
      </c>
      <c r="J47" s="120">
        <v>10</v>
      </c>
      <c r="K47" s="107"/>
      <c r="L47" s="107"/>
      <c r="M47" s="107"/>
      <c r="N47" s="118">
        <f t="shared" si="1"/>
        <v>16</v>
      </c>
      <c r="O47" s="119">
        <f>IF(P47="","",(COUNTIF($P$40:P47,P47)-1)*0.0001+P47)</f>
        <v>0.38009999999999999</v>
      </c>
      <c r="P47" s="45">
        <v>0.38</v>
      </c>
      <c r="R47" s="120">
        <v>10</v>
      </c>
      <c r="S47" s="106"/>
      <c r="T47" s="106"/>
      <c r="U47" s="106"/>
      <c r="V47" s="116">
        <f t="shared" si="2"/>
        <v>22</v>
      </c>
      <c r="W47" s="117">
        <f>IF(X47="","",(COUNTIF($X$40:X47,X47)-1)*0.0001+X47)</f>
        <v>4</v>
      </c>
      <c r="X47" s="108">
        <v>4</v>
      </c>
      <c r="Z47" s="120">
        <v>10</v>
      </c>
      <c r="AA47" s="107"/>
      <c r="AB47" s="107"/>
      <c r="AC47" s="107"/>
      <c r="AD47" s="116">
        <f t="shared" si="3"/>
        <v>16</v>
      </c>
      <c r="AE47" s="117">
        <f>IF(AF47="","",(COUNTIF($AF$40:AF47,AF47)-1)*0.0001+AF47)</f>
        <v>30.3001</v>
      </c>
      <c r="AF47" s="45">
        <v>30.3</v>
      </c>
      <c r="AH47" s="120">
        <v>10</v>
      </c>
      <c r="AI47" s="106"/>
      <c r="AJ47" s="106"/>
      <c r="AK47" s="383"/>
      <c r="AL47" s="116">
        <f t="shared" si="4"/>
        <v>2</v>
      </c>
      <c r="AM47" s="117">
        <f>IF(AN47="","",(COUNTIF($AN$40:AN47,AN47)-1)*0.0001+AN47)</f>
        <v>14.34</v>
      </c>
      <c r="AN47" s="108">
        <v>14.34</v>
      </c>
      <c r="AP47" s="170">
        <v>10</v>
      </c>
      <c r="AQ47" s="106"/>
      <c r="AR47" s="106"/>
      <c r="AS47" s="383"/>
      <c r="AT47" s="116">
        <f t="shared" si="5"/>
        <v>25</v>
      </c>
      <c r="AU47" s="117">
        <f>IF(AV47="","",(COUNTIF($AV$40:AV47,AV47)-1)*0.0001+AV47)</f>
        <v>13.100099999999999</v>
      </c>
      <c r="AV47" s="108">
        <v>13.1</v>
      </c>
      <c r="AY47" s="120">
        <v>10</v>
      </c>
      <c r="AZ47" s="107"/>
      <c r="BA47" s="107"/>
      <c r="BB47" s="107"/>
      <c r="BC47" s="116" t="str">
        <f>IF(BD47="","",RANK(BD47,#REF!))</f>
        <v/>
      </c>
      <c r="BD47" s="119" t="str">
        <f>IF(BE47="","",(COUNTIF($AX$40:BE47,BE47)-1)*0.0001+BE47)</f>
        <v/>
      </c>
      <c r="BE47" s="45"/>
      <c r="BG47" s="43">
        <v>12</v>
      </c>
      <c r="BH47" s="43">
        <v>0.47899999999999998</v>
      </c>
    </row>
    <row r="48" spans="2:60" ht="14.4" x14ac:dyDescent="0.3">
      <c r="B48" s="120">
        <v>11</v>
      </c>
      <c r="C48" s="105"/>
      <c r="D48" s="107"/>
      <c r="E48" s="107"/>
      <c r="F48" s="116">
        <f t="shared" si="0"/>
        <v>5</v>
      </c>
      <c r="G48" s="117">
        <f>IF(H48="","",(COUNTIF($H$40:H48,H48)-1)*0.0001+H48)</f>
        <v>26</v>
      </c>
      <c r="H48" s="45">
        <v>26</v>
      </c>
      <c r="J48" s="120">
        <v>11</v>
      </c>
      <c r="K48" s="107"/>
      <c r="L48" s="107"/>
      <c r="M48" s="107"/>
      <c r="N48" s="118">
        <f t="shared" si="1"/>
        <v>20</v>
      </c>
      <c r="O48" s="119">
        <f>IF(P48="","",(COUNTIF($P$40:P48,P48)-1)*0.0001+P48)</f>
        <v>0.37009999999999998</v>
      </c>
      <c r="P48" s="45">
        <v>0.37</v>
      </c>
      <c r="R48" s="120">
        <v>11</v>
      </c>
      <c r="S48" s="106"/>
      <c r="T48" s="106"/>
      <c r="U48" s="106"/>
      <c r="V48" s="116">
        <f t="shared" si="2"/>
        <v>16</v>
      </c>
      <c r="W48" s="117">
        <f>IF(X48="","",(COUNTIF($X$40:X48,X48)-1)*0.0001+X48)</f>
        <v>4.1000999999999994</v>
      </c>
      <c r="X48" s="108">
        <v>4.0999999999999996</v>
      </c>
      <c r="Z48" s="120">
        <v>11</v>
      </c>
      <c r="AA48" s="107"/>
      <c r="AB48" s="107"/>
      <c r="AC48" s="107"/>
      <c r="AD48" s="116">
        <f t="shared" si="3"/>
        <v>5</v>
      </c>
      <c r="AE48" s="117">
        <f>IF(AF48="","",(COUNTIF($AF$40:AF48,AF48)-1)*0.0001+AF48)</f>
        <v>30.7</v>
      </c>
      <c r="AF48" s="45">
        <v>30.7</v>
      </c>
      <c r="AH48" s="120">
        <v>11</v>
      </c>
      <c r="AI48" s="106"/>
      <c r="AJ48" s="106"/>
      <c r="AK48" s="383"/>
      <c r="AL48" s="116">
        <f t="shared" si="4"/>
        <v>10</v>
      </c>
      <c r="AM48" s="117">
        <f>IF(AN48="","",(COUNTIF($AN$40:AN48,AN48)-1)*0.0001+AN48)</f>
        <v>14.21</v>
      </c>
      <c r="AN48" s="108">
        <v>14.21</v>
      </c>
      <c r="AP48" s="170">
        <v>11</v>
      </c>
      <c r="AQ48" s="106"/>
      <c r="AR48" s="106"/>
      <c r="AS48" s="383"/>
      <c r="AT48" s="116">
        <f t="shared" si="5"/>
        <v>16</v>
      </c>
      <c r="AU48" s="117">
        <f>IF(AV48="","",(COUNTIF($AV$40:AV48,AV48)-1)*0.0001+AV48)</f>
        <v>13.4002</v>
      </c>
      <c r="AV48" s="108">
        <v>13.4</v>
      </c>
      <c r="AY48" s="120">
        <v>11</v>
      </c>
      <c r="AZ48" s="107"/>
      <c r="BA48" s="107"/>
      <c r="BB48" s="107"/>
      <c r="BC48" s="116" t="str">
        <f>IF(BD48="","",RANK(BD48,#REF!))</f>
        <v/>
      </c>
      <c r="BD48" s="119" t="str">
        <f>IF(BE48="","",(COUNTIF($AX$40:BE48,BE48)-1)*0.0001+BE48)</f>
        <v/>
      </c>
      <c r="BE48" s="45"/>
      <c r="BG48" s="43">
        <v>13</v>
      </c>
      <c r="BH48" s="43">
        <v>0.61099999999999999</v>
      </c>
    </row>
    <row r="49" spans="2:60" ht="14.4" x14ac:dyDescent="0.3">
      <c r="B49" s="120">
        <v>12</v>
      </c>
      <c r="C49" s="105"/>
      <c r="D49" s="107"/>
      <c r="E49" s="107"/>
      <c r="F49" s="116">
        <f t="shared" si="0"/>
        <v>12</v>
      </c>
      <c r="G49" s="117">
        <f>IF(H49="","",(COUNTIF($H$40:H49,H49)-1)*0.0001+H49)</f>
        <v>25.94</v>
      </c>
      <c r="H49" s="45">
        <v>25.94</v>
      </c>
      <c r="J49" s="120">
        <v>12</v>
      </c>
      <c r="K49" s="107"/>
      <c r="L49" s="107"/>
      <c r="M49" s="107"/>
      <c r="N49" s="118">
        <f t="shared" si="1"/>
        <v>19</v>
      </c>
      <c r="O49" s="119">
        <f>IF(P49="","",(COUNTIF($P$40:P49,P49)-1)*0.0001+P49)</f>
        <v>0.37019999999999997</v>
      </c>
      <c r="P49" s="45">
        <v>0.37</v>
      </c>
      <c r="R49" s="120">
        <v>12</v>
      </c>
      <c r="S49" s="106"/>
      <c r="T49" s="106"/>
      <c r="U49" s="106"/>
      <c r="V49" s="116">
        <f t="shared" si="2"/>
        <v>21</v>
      </c>
      <c r="W49" s="117">
        <f>IF(X49="","",(COUNTIF($X$40:X49,X49)-1)*0.0001+X49)</f>
        <v>4.0000999999999998</v>
      </c>
      <c r="X49" s="108">
        <v>4</v>
      </c>
      <c r="Z49" s="120">
        <v>12</v>
      </c>
      <c r="AA49" s="107"/>
      <c r="AB49" s="107"/>
      <c r="AC49" s="107"/>
      <c r="AD49" s="116">
        <f t="shared" si="3"/>
        <v>9</v>
      </c>
      <c r="AE49" s="117">
        <f>IF(AF49="","",(COUNTIF($AF$40:AF49,AF49)-1)*0.0001+AF49)</f>
        <v>30.600100000000001</v>
      </c>
      <c r="AF49" s="45">
        <v>30.6</v>
      </c>
      <c r="AH49" s="120">
        <v>12</v>
      </c>
      <c r="AI49" s="106"/>
      <c r="AJ49" s="106"/>
      <c r="AK49" s="383"/>
      <c r="AL49" s="116">
        <f t="shared" si="4"/>
        <v>7</v>
      </c>
      <c r="AM49" s="117">
        <f>IF(AN49="","",(COUNTIF($AN$40:AN49,AN49)-1)*0.0001+AN49)</f>
        <v>14.3</v>
      </c>
      <c r="AN49" s="108">
        <v>14.3</v>
      </c>
      <c r="AP49" s="170">
        <v>12</v>
      </c>
      <c r="AQ49" s="106"/>
      <c r="AR49" s="106"/>
      <c r="AS49" s="383"/>
      <c r="AT49" s="116">
        <f t="shared" si="5"/>
        <v>22</v>
      </c>
      <c r="AU49" s="117">
        <f>IF(AV49="","",(COUNTIF($AV$40:AV49,AV49)-1)*0.0001+AV49)</f>
        <v>13.3002</v>
      </c>
      <c r="AV49" s="46">
        <v>13.3</v>
      </c>
      <c r="AY49" s="120">
        <v>12</v>
      </c>
      <c r="AZ49" s="107"/>
      <c r="BA49" s="107"/>
      <c r="BB49" s="107"/>
      <c r="BC49" s="116" t="str">
        <f>IF(BD49="","",RANK(BD49,#REF!))</f>
        <v/>
      </c>
      <c r="BD49" s="119" t="str">
        <f>IF(BE49="","",(COUNTIF($AX$40:BE49,BE49)-1)*0.0001+BE49)</f>
        <v/>
      </c>
      <c r="BE49" s="45"/>
      <c r="BG49" s="43">
        <v>14</v>
      </c>
      <c r="BH49" s="43">
        <v>0.58599999999999997</v>
      </c>
    </row>
    <row r="50" spans="2:60" ht="14.4" x14ac:dyDescent="0.3">
      <c r="B50" s="120">
        <v>13</v>
      </c>
      <c r="C50" s="105"/>
      <c r="D50" s="107"/>
      <c r="E50" s="107"/>
      <c r="F50" s="116">
        <f t="shared" si="0"/>
        <v>16</v>
      </c>
      <c r="G50" s="117">
        <f>IF(H50="","",(COUNTIF($H$40:H50,H50)-1)*0.0001+H50)</f>
        <v>25.91</v>
      </c>
      <c r="H50" s="45">
        <v>25.91</v>
      </c>
      <c r="J50" s="120">
        <v>13</v>
      </c>
      <c r="K50" s="107"/>
      <c r="L50" s="107"/>
      <c r="M50" s="107"/>
      <c r="N50" s="118">
        <f t="shared" si="1"/>
        <v>8</v>
      </c>
      <c r="O50" s="119">
        <f>IF(P50="","",(COUNTIF($P$40:P50,P50)-1)*0.0001+P50)</f>
        <v>0.40010000000000001</v>
      </c>
      <c r="P50" s="45">
        <v>0.4</v>
      </c>
      <c r="R50" s="120">
        <v>13</v>
      </c>
      <c r="S50" s="106"/>
      <c r="T50" s="106"/>
      <c r="U50" s="106"/>
      <c r="V50" s="116">
        <f t="shared" si="2"/>
        <v>24</v>
      </c>
      <c r="W50" s="117">
        <f>IF(X50="","",(COUNTIF($X$40:X50,X50)-1)*0.0001+X50)</f>
        <v>3.9</v>
      </c>
      <c r="X50" s="108">
        <v>3.9</v>
      </c>
      <c r="Z50" s="120">
        <v>13</v>
      </c>
      <c r="AA50" s="107"/>
      <c r="AB50" s="107"/>
      <c r="AC50" s="107"/>
      <c r="AD50" s="116">
        <f t="shared" si="3"/>
        <v>11</v>
      </c>
      <c r="AE50" s="117">
        <f>IF(AF50="","",(COUNTIF($AF$40:AF50,AF50)-1)*0.0001+AF50)</f>
        <v>30.5</v>
      </c>
      <c r="AF50" s="45">
        <v>30.5</v>
      </c>
      <c r="AH50" s="120">
        <v>13</v>
      </c>
      <c r="AI50" s="106"/>
      <c r="AJ50" s="106"/>
      <c r="AK50" s="383"/>
      <c r="AL50" s="116">
        <f t="shared" si="4"/>
        <v>25</v>
      </c>
      <c r="AM50" s="117">
        <f>IF(AN50="","",(COUNTIF($AN$40:AN50,AN50)-1)*0.0001+AN50)</f>
        <v>14.0001</v>
      </c>
      <c r="AN50" s="108">
        <v>14</v>
      </c>
      <c r="AP50" s="170">
        <v>13</v>
      </c>
      <c r="AQ50" s="106"/>
      <c r="AR50" s="106"/>
      <c r="AS50" s="383"/>
      <c r="AT50" s="116">
        <f t="shared" si="5"/>
        <v>21</v>
      </c>
      <c r="AU50" s="117">
        <f>IF(AV50="","",(COUNTIF($AV$40:AV50,AV50)-1)*0.0001+AV50)</f>
        <v>13.3003</v>
      </c>
      <c r="AV50" s="108">
        <v>13.3</v>
      </c>
      <c r="AY50" s="120">
        <v>13</v>
      </c>
      <c r="AZ50" s="107"/>
      <c r="BA50" s="107"/>
      <c r="BB50" s="107"/>
      <c r="BC50" s="116" t="str">
        <f>IF(BD50="","",RANK(BD50,#REF!))</f>
        <v/>
      </c>
      <c r="BD50" s="119" t="str">
        <f>IF(BE50="","",(COUNTIF($AX$40:BE50,BE50)-1)*0.0001+BE50)</f>
        <v/>
      </c>
      <c r="BE50" s="45"/>
      <c r="BG50" s="43">
        <v>15</v>
      </c>
      <c r="BH50" s="43">
        <v>0.56499999999999995</v>
      </c>
    </row>
    <row r="51" spans="2:60" ht="14.4" x14ac:dyDescent="0.3">
      <c r="B51" s="120">
        <v>14</v>
      </c>
      <c r="C51" s="105"/>
      <c r="D51" s="107"/>
      <c r="E51" s="107"/>
      <c r="F51" s="116">
        <f t="shared" si="0"/>
        <v>9</v>
      </c>
      <c r="G51" s="117">
        <f>IF(H51="","",(COUNTIF($H$40:H51,H51)-1)*0.0001+H51)</f>
        <v>25.98</v>
      </c>
      <c r="H51" s="45">
        <v>25.98</v>
      </c>
      <c r="J51" s="120">
        <v>14</v>
      </c>
      <c r="K51" s="107"/>
      <c r="L51" s="107"/>
      <c r="M51" s="107"/>
      <c r="N51" s="118">
        <f t="shared" si="1"/>
        <v>18</v>
      </c>
      <c r="O51" s="119">
        <f>IF(P51="","",(COUNTIF($P$40:P51,P51)-1)*0.0001+P51)</f>
        <v>0.37030000000000002</v>
      </c>
      <c r="P51" s="109">
        <v>0.37</v>
      </c>
      <c r="R51" s="120">
        <v>14</v>
      </c>
      <c r="S51" s="106"/>
      <c r="T51" s="106"/>
      <c r="U51" s="106"/>
      <c r="V51" s="116">
        <f t="shared" si="2"/>
        <v>23</v>
      </c>
      <c r="W51" s="117">
        <f>IF(X51="","",(COUNTIF($X$40:X51,X51)-1)*0.0001+X51)</f>
        <v>3.9001000000000001</v>
      </c>
      <c r="X51" s="46">
        <v>3.9</v>
      </c>
      <c r="Z51" s="120">
        <v>14</v>
      </c>
      <c r="AA51" s="107"/>
      <c r="AB51" s="107"/>
      <c r="AC51" s="107"/>
      <c r="AD51" s="116">
        <f t="shared" si="3"/>
        <v>15</v>
      </c>
      <c r="AE51" s="117">
        <f>IF(AF51="","",(COUNTIF($AF$40:AF51,AF51)-1)*0.0001+AF51)</f>
        <v>30.3002</v>
      </c>
      <c r="AF51" s="45">
        <v>30.3</v>
      </c>
      <c r="AH51" s="120">
        <v>14</v>
      </c>
      <c r="AI51" s="106"/>
      <c r="AJ51" s="106"/>
      <c r="AK51" s="383"/>
      <c r="AL51" s="116">
        <f t="shared" si="4"/>
        <v>17</v>
      </c>
      <c r="AM51" s="117">
        <f>IF(AN51="","",(COUNTIF($AN$40:AN51,AN51)-1)*0.0001+AN51)</f>
        <v>14.1501</v>
      </c>
      <c r="AN51" s="46">
        <v>14.15</v>
      </c>
      <c r="AP51" s="170">
        <v>14</v>
      </c>
      <c r="AQ51" s="106"/>
      <c r="AR51" s="106"/>
      <c r="AS51" s="383"/>
      <c r="AT51" s="116">
        <f t="shared" si="5"/>
        <v>20</v>
      </c>
      <c r="AU51" s="117">
        <f>IF(AV51="","",(COUNTIF($AV$40:AV51,AV51)-1)*0.0001+AV51)</f>
        <v>13.300400000000002</v>
      </c>
      <c r="AV51" s="46">
        <v>13.3</v>
      </c>
      <c r="AY51" s="120">
        <v>14</v>
      </c>
      <c r="AZ51" s="107"/>
      <c r="BA51" s="107"/>
      <c r="BB51" s="107"/>
      <c r="BC51" s="116" t="str">
        <f>IF(BD51="","",RANK(BD51,#REF!))</f>
        <v/>
      </c>
      <c r="BD51" s="119" t="str">
        <f>IF(BE51="","",(COUNTIF($AX$40:BE51,BE51)-1)*0.0001+BE51)</f>
        <v/>
      </c>
      <c r="BE51" s="109"/>
      <c r="BG51" s="43">
        <v>16</v>
      </c>
      <c r="BH51" s="43">
        <v>0.54600000000000004</v>
      </c>
    </row>
    <row r="52" spans="2:60" ht="14.4" x14ac:dyDescent="0.3">
      <c r="B52" s="120">
        <v>15</v>
      </c>
      <c r="C52" s="105"/>
      <c r="D52" s="107"/>
      <c r="E52" s="107"/>
      <c r="F52" s="116">
        <f t="shared" si="0"/>
        <v>7</v>
      </c>
      <c r="G52" s="117">
        <f>IF(H52="","",(COUNTIF($H$40:H52,H52)-1)*0.0001+H52)</f>
        <v>25.99</v>
      </c>
      <c r="H52" s="45">
        <v>25.99</v>
      </c>
      <c r="J52" s="120">
        <v>15</v>
      </c>
      <c r="K52" s="107"/>
      <c r="L52" s="107"/>
      <c r="M52" s="107"/>
      <c r="N52" s="118">
        <f t="shared" si="1"/>
        <v>4</v>
      </c>
      <c r="O52" s="119">
        <f>IF(P52="","",(COUNTIF($P$40:P52,P52)-1)*0.0001+P52)</f>
        <v>0.43009999999999998</v>
      </c>
      <c r="P52" s="109">
        <v>0.43</v>
      </c>
      <c r="R52" s="120">
        <v>15</v>
      </c>
      <c r="S52" s="106"/>
      <c r="T52" s="106"/>
      <c r="U52" s="106"/>
      <c r="V52" s="116">
        <f t="shared" si="2"/>
        <v>12</v>
      </c>
      <c r="W52" s="117">
        <f>IF(X52="","",(COUNTIF($X$40:X52,X52)-1)*0.0001+X52)</f>
        <v>4.2000999999999999</v>
      </c>
      <c r="X52" s="46">
        <v>4.2</v>
      </c>
      <c r="Z52" s="120">
        <v>15</v>
      </c>
      <c r="AA52" s="107"/>
      <c r="AB52" s="107"/>
      <c r="AC52" s="107"/>
      <c r="AD52" s="116">
        <f t="shared" si="3"/>
        <v>14</v>
      </c>
      <c r="AE52" s="117">
        <f>IF(AF52="","",(COUNTIF($AF$40:AF52,AF52)-1)*0.0001+AF52)</f>
        <v>30.3003</v>
      </c>
      <c r="AF52" s="45">
        <v>30.3</v>
      </c>
      <c r="AH52" s="120">
        <v>15</v>
      </c>
      <c r="AI52" s="106"/>
      <c r="AJ52" s="106"/>
      <c r="AK52" s="383"/>
      <c r="AL52" s="116">
        <f t="shared" si="4"/>
        <v>3</v>
      </c>
      <c r="AM52" s="117">
        <f>IF(AN52="","",(COUNTIF($AN$40:AN52,AN52)-1)*0.0001+AN52)</f>
        <v>14.32</v>
      </c>
      <c r="AN52" s="46">
        <v>14.32</v>
      </c>
      <c r="AP52" s="170">
        <v>15</v>
      </c>
      <c r="AQ52" s="106"/>
      <c r="AR52" s="106"/>
      <c r="AS52" s="383"/>
      <c r="AT52" s="116">
        <f t="shared" si="5"/>
        <v>19</v>
      </c>
      <c r="AU52" s="117">
        <f>IF(AV52="","",(COUNTIF($AV$40:AV52,AV52)-1)*0.0001+AV52)</f>
        <v>13.300500000000001</v>
      </c>
      <c r="AV52" s="46">
        <v>13.3</v>
      </c>
      <c r="AY52" s="120">
        <v>15</v>
      </c>
      <c r="AZ52" s="107"/>
      <c r="BA52" s="107"/>
      <c r="BB52" s="107"/>
      <c r="BC52" s="116" t="str">
        <f>IF(BD52="","",RANK(BD52,#REF!))</f>
        <v/>
      </c>
      <c r="BD52" s="119" t="str">
        <f>IF(BE52="","",(COUNTIF($AX$40:BE52,BE52)-1)*0.0001+BE52)</f>
        <v/>
      </c>
      <c r="BE52" s="109"/>
      <c r="BG52" s="43">
        <v>17</v>
      </c>
      <c r="BH52" s="43">
        <v>0.52900000000000003</v>
      </c>
    </row>
    <row r="53" spans="2:60" ht="14.4" x14ac:dyDescent="0.3">
      <c r="B53" s="120">
        <v>16</v>
      </c>
      <c r="C53" s="105"/>
      <c r="D53" s="107"/>
      <c r="E53" s="107"/>
      <c r="F53" s="116">
        <f t="shared" si="0"/>
        <v>4</v>
      </c>
      <c r="G53" s="117">
        <f>IF(H53="","",(COUNTIF($H$40:H53,H53)-1)*0.0001+H53)</f>
        <v>26.0001</v>
      </c>
      <c r="H53" s="45">
        <v>26</v>
      </c>
      <c r="J53" s="120">
        <v>16</v>
      </c>
      <c r="K53" s="107"/>
      <c r="L53" s="107"/>
      <c r="M53" s="107"/>
      <c r="N53" s="118">
        <f t="shared" si="1"/>
        <v>15</v>
      </c>
      <c r="O53" s="119">
        <f>IF(P53="","",(COUNTIF($P$40:P53,P53)-1)*0.0001+P53)</f>
        <v>0.38019999999999998</v>
      </c>
      <c r="P53" s="45">
        <v>0.38</v>
      </c>
      <c r="R53" s="120">
        <v>16</v>
      </c>
      <c r="S53" s="106"/>
      <c r="T53" s="106"/>
      <c r="U53" s="106"/>
      <c r="V53" s="116">
        <f t="shared" si="2"/>
        <v>2</v>
      </c>
      <c r="W53" s="117">
        <f>IF(X53="","",(COUNTIF($X$40:X53,X53)-1)*0.0001+X53)</f>
        <v>4.4001000000000001</v>
      </c>
      <c r="X53" s="108">
        <v>4.4000000000000004</v>
      </c>
      <c r="Z53" s="120">
        <v>16</v>
      </c>
      <c r="AA53" s="107"/>
      <c r="AB53" s="107"/>
      <c r="AC53" s="107"/>
      <c r="AD53" s="116">
        <f t="shared" si="3"/>
        <v>8</v>
      </c>
      <c r="AE53" s="117">
        <f>IF(AF53="","",(COUNTIF($AF$40:AF53,AF53)-1)*0.0001+AF53)</f>
        <v>30.600200000000001</v>
      </c>
      <c r="AF53" s="45">
        <v>30.6</v>
      </c>
      <c r="AH53" s="120">
        <v>16</v>
      </c>
      <c r="AI53" s="106"/>
      <c r="AJ53" s="106"/>
      <c r="AK53" s="383"/>
      <c r="AL53" s="116">
        <f t="shared" si="4"/>
        <v>14</v>
      </c>
      <c r="AM53" s="117">
        <f>IF(AN53="","",(COUNTIF($AN$40:AN53,AN53)-1)*0.0001+AN53)</f>
        <v>14.200199999999999</v>
      </c>
      <c r="AN53" s="108">
        <v>14.2</v>
      </c>
      <c r="AP53" s="170">
        <v>16</v>
      </c>
      <c r="AQ53" s="106"/>
      <c r="AR53" s="106"/>
      <c r="AS53" s="383"/>
      <c r="AT53" s="116">
        <f t="shared" si="5"/>
        <v>2</v>
      </c>
      <c r="AU53" s="117">
        <f>IF(AV53="","",(COUNTIF($AV$40:AV53,AV53)-1)*0.0001+AV53)</f>
        <v>14.7</v>
      </c>
      <c r="AV53" s="108">
        <v>14.7</v>
      </c>
      <c r="AY53" s="120">
        <v>16</v>
      </c>
      <c r="AZ53" s="107"/>
      <c r="BA53" s="107"/>
      <c r="BB53" s="107"/>
      <c r="BC53" s="116" t="str">
        <f>IF(BD53="","",RANK(BD53,#REF!))</f>
        <v/>
      </c>
      <c r="BD53" s="119" t="str">
        <f>IF(BE53="","",(COUNTIF($AX$40:BE53,BE53)-1)*0.0001+BE53)</f>
        <v/>
      </c>
      <c r="BE53" s="45"/>
      <c r="BG53" s="43">
        <v>18</v>
      </c>
      <c r="BH53" s="43">
        <v>0.51400000000000001</v>
      </c>
    </row>
    <row r="54" spans="2:60" ht="14.4" x14ac:dyDescent="0.3">
      <c r="B54" s="120">
        <v>17</v>
      </c>
      <c r="C54" s="105"/>
      <c r="D54" s="107"/>
      <c r="E54" s="107"/>
      <c r="F54" s="116">
        <f t="shared" si="0"/>
        <v>19</v>
      </c>
      <c r="G54" s="117">
        <f>IF(H54="","",(COUNTIF($H$40:H54,H54)-1)*0.0001+H54)</f>
        <v>25.89</v>
      </c>
      <c r="H54" s="45">
        <v>25.89</v>
      </c>
      <c r="J54" s="120">
        <v>17</v>
      </c>
      <c r="K54" s="107"/>
      <c r="L54" s="107"/>
      <c r="M54" s="107"/>
      <c r="N54" s="118">
        <f t="shared" si="1"/>
        <v>10</v>
      </c>
      <c r="O54" s="119">
        <f>IF(P54="","",(COUNTIF($P$40:P54,P54)-1)*0.0001+P54)</f>
        <v>0.39019999999999999</v>
      </c>
      <c r="P54" s="109">
        <v>0.39</v>
      </c>
      <c r="R54" s="120">
        <v>17</v>
      </c>
      <c r="S54" s="106"/>
      <c r="T54" s="106"/>
      <c r="U54" s="106"/>
      <c r="V54" s="116">
        <f t="shared" si="2"/>
        <v>15</v>
      </c>
      <c r="W54" s="117">
        <f>IF(X54="","",(COUNTIF($X$40:X54,X54)-1)*0.0001+X54)</f>
        <v>4.1002000000000001</v>
      </c>
      <c r="X54" s="46">
        <v>4.0999999999999996</v>
      </c>
      <c r="Z54" s="120">
        <v>17</v>
      </c>
      <c r="AA54" s="107"/>
      <c r="AB54" s="107"/>
      <c r="AC54" s="107"/>
      <c r="AD54" s="116">
        <f t="shared" si="3"/>
        <v>7</v>
      </c>
      <c r="AE54" s="117">
        <f>IF(AF54="","",(COUNTIF($AF$40:AF54,AF54)-1)*0.0001+AF54)</f>
        <v>30.600300000000001</v>
      </c>
      <c r="AF54" s="45">
        <v>30.6</v>
      </c>
      <c r="AH54" s="120">
        <v>17</v>
      </c>
      <c r="AI54" s="106"/>
      <c r="AJ54" s="106"/>
      <c r="AK54" s="383"/>
      <c r="AL54" s="116">
        <f t="shared" si="4"/>
        <v>6</v>
      </c>
      <c r="AM54" s="117">
        <f>IF(AN54="","",(COUNTIF($AN$40:AN54,AN54)-1)*0.0001+AN54)</f>
        <v>14.3001</v>
      </c>
      <c r="AN54" s="46">
        <v>14.3</v>
      </c>
      <c r="AP54" s="170">
        <v>17</v>
      </c>
      <c r="AQ54" s="106"/>
      <c r="AR54" s="106"/>
      <c r="AS54" s="383"/>
      <c r="AT54" s="116">
        <f t="shared" si="5"/>
        <v>6</v>
      </c>
      <c r="AU54" s="117">
        <f>IF(AV54="","",(COUNTIF($AV$40:AV54,AV54)-1)*0.0001+AV54)</f>
        <v>14.3</v>
      </c>
      <c r="AV54" s="46">
        <v>14.3</v>
      </c>
      <c r="AY54" s="120">
        <v>17</v>
      </c>
      <c r="AZ54" s="107"/>
      <c r="BA54" s="107"/>
      <c r="BB54" s="107"/>
      <c r="BC54" s="116" t="str">
        <f>IF(BD54="","",RANK(BD54,#REF!))</f>
        <v/>
      </c>
      <c r="BD54" s="119" t="str">
        <f>IF(BE54="","",(COUNTIF($AX$40:BE54,BE54)-1)*0.0001+BE54)</f>
        <v/>
      </c>
      <c r="BE54" s="109"/>
      <c r="BG54" s="43">
        <v>19</v>
      </c>
      <c r="BH54" s="43">
        <v>0.501</v>
      </c>
    </row>
    <row r="55" spans="2:60" ht="14.4" x14ac:dyDescent="0.3">
      <c r="B55" s="120">
        <v>18</v>
      </c>
      <c r="C55" s="105"/>
      <c r="D55" s="107"/>
      <c r="E55" s="107"/>
      <c r="F55" s="116">
        <f t="shared" si="0"/>
        <v>25</v>
      </c>
      <c r="G55" s="117">
        <f>IF(H55="","",(COUNTIF($H$40:H55,H55)-1)*0.0001+H55)</f>
        <v>25.61</v>
      </c>
      <c r="H55" s="45">
        <v>25.61</v>
      </c>
      <c r="J55" s="120">
        <v>18</v>
      </c>
      <c r="K55" s="107"/>
      <c r="L55" s="107"/>
      <c r="M55" s="107"/>
      <c r="N55" s="118">
        <f t="shared" si="1"/>
        <v>6</v>
      </c>
      <c r="O55" s="119">
        <f>IF(P55="","",(COUNTIF($P$40:P55,P55)-1)*0.0001+P55)</f>
        <v>0.41</v>
      </c>
      <c r="P55" s="45">
        <v>0.41</v>
      </c>
      <c r="R55" s="120">
        <v>18</v>
      </c>
      <c r="S55" s="106"/>
      <c r="T55" s="106"/>
      <c r="U55" s="106"/>
      <c r="V55" s="116">
        <f t="shared" si="2"/>
        <v>1</v>
      </c>
      <c r="W55" s="117">
        <f>IF(X55="","",(COUNTIF($X$40:X55,X55)-1)*0.0001+X55)</f>
        <v>4.5999999999999996</v>
      </c>
      <c r="X55" s="108">
        <v>4.5999999999999996</v>
      </c>
      <c r="Z55" s="120">
        <v>18</v>
      </c>
      <c r="AA55" s="107"/>
      <c r="AB55" s="107"/>
      <c r="AC55" s="107"/>
      <c r="AD55" s="116">
        <f t="shared" si="3"/>
        <v>26</v>
      </c>
      <c r="AE55" s="117">
        <f>IF(AF55="","",(COUNTIF($AF$40:AF55,AF55)-1)*0.0001+AF55)</f>
        <v>30</v>
      </c>
      <c r="AF55" s="45">
        <v>30</v>
      </c>
      <c r="AH55" s="120">
        <v>18</v>
      </c>
      <c r="AI55" s="106"/>
      <c r="AJ55" s="106"/>
      <c r="AK55" s="383"/>
      <c r="AL55" s="116">
        <f t="shared" si="4"/>
        <v>1</v>
      </c>
      <c r="AM55" s="117">
        <f>IF(AN55="","",(COUNTIF($AN$40:AN55,AN55)-1)*0.0001+AN55)</f>
        <v>14.4</v>
      </c>
      <c r="AN55" s="108">
        <v>14.4</v>
      </c>
      <c r="AP55" s="170">
        <v>18</v>
      </c>
      <c r="AQ55" s="106"/>
      <c r="AR55" s="106"/>
      <c r="AS55" s="383"/>
      <c r="AT55" s="116">
        <f t="shared" si="5"/>
        <v>7</v>
      </c>
      <c r="AU55" s="117">
        <f>IF(AV55="","",(COUNTIF($AV$40:AV55,AV55)-1)*0.0001+AV55)</f>
        <v>14.2</v>
      </c>
      <c r="AV55" s="46">
        <v>14.2</v>
      </c>
      <c r="AY55" s="120">
        <v>18</v>
      </c>
      <c r="AZ55" s="107"/>
      <c r="BA55" s="107"/>
      <c r="BB55" s="107"/>
      <c r="BC55" s="116" t="str">
        <f>IF(BD55="","",RANK(BD55,#REF!))</f>
        <v/>
      </c>
      <c r="BD55" s="119" t="str">
        <f>IF(BE55="","",(COUNTIF($AX$40:BE55,BE55)-1)*0.0001+BE55)</f>
        <v/>
      </c>
      <c r="BE55" s="45"/>
      <c r="BG55" s="43">
        <v>20</v>
      </c>
      <c r="BH55" s="43">
        <v>0.48899999999999999</v>
      </c>
    </row>
    <row r="56" spans="2:60" ht="14.4" x14ac:dyDescent="0.3">
      <c r="B56" s="120">
        <v>19</v>
      </c>
      <c r="C56" s="105"/>
      <c r="D56" s="107"/>
      <c r="E56" s="107"/>
      <c r="F56" s="116">
        <f t="shared" si="0"/>
        <v>8</v>
      </c>
      <c r="G56" s="117">
        <f>IF(H56="","",(COUNTIF($H$40:H56,H56)-1)*0.0001+H56)</f>
        <v>25.9801</v>
      </c>
      <c r="H56" s="45">
        <v>25.98</v>
      </c>
      <c r="J56" s="120">
        <v>19</v>
      </c>
      <c r="K56" s="107"/>
      <c r="L56" s="107"/>
      <c r="M56" s="107"/>
      <c r="N56" s="118">
        <f t="shared" si="1"/>
        <v>3</v>
      </c>
      <c r="O56" s="119">
        <f>IF(P56="","",(COUNTIF($P$40:P56,P56)-1)*0.0001+P56)</f>
        <v>0.43019999999999997</v>
      </c>
      <c r="P56" s="109">
        <v>0.43</v>
      </c>
      <c r="R56" s="120">
        <v>19</v>
      </c>
      <c r="S56" s="106"/>
      <c r="T56" s="106"/>
      <c r="U56" s="106"/>
      <c r="V56" s="116">
        <f t="shared" si="2"/>
        <v>20</v>
      </c>
      <c r="W56" s="117">
        <f>IF(X56="","",(COUNTIF($X$40:X56,X56)-1)*0.0001+X56)</f>
        <v>4.0002000000000004</v>
      </c>
      <c r="X56" s="46">
        <v>4</v>
      </c>
      <c r="Z56" s="120">
        <v>19</v>
      </c>
      <c r="AA56" s="107"/>
      <c r="AB56" s="107"/>
      <c r="AC56" s="107"/>
      <c r="AD56" s="116">
        <f t="shared" si="3"/>
        <v>4</v>
      </c>
      <c r="AE56" s="117">
        <f>IF(AF56="","",(COUNTIF($AF$40:AF56,AF56)-1)*0.0001+AF56)</f>
        <v>30.700099999999999</v>
      </c>
      <c r="AF56" s="45">
        <v>30.7</v>
      </c>
      <c r="AH56" s="120">
        <v>19</v>
      </c>
      <c r="AI56" s="106"/>
      <c r="AJ56" s="106"/>
      <c r="AK56" s="383"/>
      <c r="AL56" s="116">
        <f t="shared" si="4"/>
        <v>5</v>
      </c>
      <c r="AM56" s="117">
        <f>IF(AN56="","",(COUNTIF($AN$40:AN56,AN56)-1)*0.0001+AN56)</f>
        <v>14.3002</v>
      </c>
      <c r="AN56" s="46">
        <v>14.3</v>
      </c>
      <c r="AP56" s="170">
        <v>19</v>
      </c>
      <c r="AQ56" s="106"/>
      <c r="AR56" s="106"/>
      <c r="AS56" s="383"/>
      <c r="AT56" s="116">
        <f t="shared" si="5"/>
        <v>5</v>
      </c>
      <c r="AU56" s="117">
        <f>IF(AV56="","",(COUNTIF($AV$40:AV56,AV56)-1)*0.0001+AV56)</f>
        <v>14.3001</v>
      </c>
      <c r="AV56" s="108">
        <v>14.3</v>
      </c>
      <c r="AY56" s="120">
        <v>19</v>
      </c>
      <c r="AZ56" s="107"/>
      <c r="BA56" s="107"/>
      <c r="BB56" s="107"/>
      <c r="BC56" s="116" t="str">
        <f>IF(BD56="","",RANK(BD56,#REF!))</f>
        <v/>
      </c>
      <c r="BD56" s="119" t="str">
        <f>IF(BE56="","",(COUNTIF($AX$40:BE56,BE56)-1)*0.0001+BE56)</f>
        <v/>
      </c>
      <c r="BE56" s="109"/>
      <c r="BG56" s="43">
        <v>21</v>
      </c>
      <c r="BH56" s="43">
        <v>0.47799999999999998</v>
      </c>
    </row>
    <row r="57" spans="2:60" ht="14.4" x14ac:dyDescent="0.3">
      <c r="B57" s="120">
        <v>20</v>
      </c>
      <c r="C57" s="105"/>
      <c r="D57" s="107"/>
      <c r="E57" s="107"/>
      <c r="F57" s="116">
        <f t="shared" si="0"/>
        <v>18</v>
      </c>
      <c r="G57" s="117">
        <f>IF(H57="","",(COUNTIF($H$40:H57,H57)-1)*0.0001+H57)</f>
        <v>25.8901</v>
      </c>
      <c r="H57" s="45">
        <v>25.89</v>
      </c>
      <c r="J57" s="120">
        <v>20</v>
      </c>
      <c r="K57" s="107"/>
      <c r="L57" s="107"/>
      <c r="M57" s="107"/>
      <c r="N57" s="118">
        <f t="shared" si="1"/>
        <v>14</v>
      </c>
      <c r="O57" s="119">
        <f>IF(P57="","",(COUNTIF($P$40:P57,P57)-1)*0.0001+P57)</f>
        <v>0.38030000000000003</v>
      </c>
      <c r="P57" s="109">
        <v>0.38</v>
      </c>
      <c r="R57" s="120">
        <v>20</v>
      </c>
      <c r="S57" s="106"/>
      <c r="T57" s="106"/>
      <c r="U57" s="106"/>
      <c r="V57" s="116">
        <f t="shared" si="2"/>
        <v>11</v>
      </c>
      <c r="W57" s="117">
        <f>IF(X57="","",(COUNTIF($X$40:X57,X57)-1)*0.0001+X57)</f>
        <v>4.2002000000000006</v>
      </c>
      <c r="X57" s="46">
        <v>4.2</v>
      </c>
      <c r="Z57" s="120">
        <v>20</v>
      </c>
      <c r="AA57" s="107"/>
      <c r="AB57" s="107"/>
      <c r="AC57" s="107"/>
      <c r="AD57" s="116">
        <f t="shared" si="3"/>
        <v>1</v>
      </c>
      <c r="AE57" s="117">
        <f>IF(AF57="","",(COUNTIF($AF$40:AF57,AF57)-1)*0.0001+AF57)</f>
        <v>30.9</v>
      </c>
      <c r="AF57" s="45">
        <v>30.9</v>
      </c>
      <c r="AH57" s="120">
        <v>20</v>
      </c>
      <c r="AI57" s="106"/>
      <c r="AJ57" s="106"/>
      <c r="AK57" s="383"/>
      <c r="AL57" s="116">
        <f t="shared" si="4"/>
        <v>4</v>
      </c>
      <c r="AM57" s="117">
        <f>IF(AN57="","",(COUNTIF($AN$40:AN57,AN57)-1)*0.0001+AN57)</f>
        <v>14.3003</v>
      </c>
      <c r="AN57" s="46">
        <v>14.3</v>
      </c>
      <c r="AP57" s="170">
        <v>20</v>
      </c>
      <c r="AQ57" s="106"/>
      <c r="AR57" s="106"/>
      <c r="AS57" s="383"/>
      <c r="AT57" s="116">
        <f t="shared" si="5"/>
        <v>10</v>
      </c>
      <c r="AU57" s="117">
        <f>IF(AV57="","",(COUNTIF($AV$40:AV57,AV57)-1)*0.0001+AV57)</f>
        <v>14</v>
      </c>
      <c r="AV57" s="108">
        <v>14</v>
      </c>
      <c r="AY57" s="120">
        <v>20</v>
      </c>
      <c r="AZ57" s="107"/>
      <c r="BA57" s="107"/>
      <c r="BB57" s="107"/>
      <c r="BC57" s="116" t="str">
        <f>IF(BD57="","",RANK(BD57,#REF!))</f>
        <v/>
      </c>
      <c r="BD57" s="119" t="str">
        <f>IF(BE57="","",(COUNTIF($AX$40:BE57,BE57)-1)*0.0001+BE57)</f>
        <v/>
      </c>
      <c r="BE57" s="109"/>
      <c r="BG57" s="43">
        <v>22</v>
      </c>
      <c r="BH57" s="43">
        <v>0.46800000000000003</v>
      </c>
    </row>
    <row r="58" spans="2:60" x14ac:dyDescent="0.25">
      <c r="B58" s="120">
        <v>21</v>
      </c>
      <c r="C58" s="105"/>
      <c r="D58" s="107"/>
      <c r="E58" s="107"/>
      <c r="F58" s="116">
        <f t="shared" si="0"/>
        <v>1</v>
      </c>
      <c r="G58" s="117">
        <f>IF(H58="","",(COUNTIF($H$40:H58,H58)-1)*0.0001+H58)</f>
        <v>26.02</v>
      </c>
      <c r="H58" s="45">
        <v>26.02</v>
      </c>
      <c r="J58" s="120">
        <v>21</v>
      </c>
      <c r="K58" s="107"/>
      <c r="L58" s="107"/>
      <c r="M58" s="107"/>
      <c r="N58" s="118">
        <f t="shared" si="1"/>
        <v>24</v>
      </c>
      <c r="O58" s="119">
        <f>IF(P58="","",(COUNTIF($P$40:P58,P58)-1)*0.0001+P58)</f>
        <v>0.35009999999999997</v>
      </c>
      <c r="P58" s="45">
        <v>0.35</v>
      </c>
      <c r="R58" s="120">
        <v>21</v>
      </c>
      <c r="S58" s="106"/>
      <c r="T58" s="106"/>
      <c r="U58" s="106"/>
      <c r="V58" s="116">
        <f t="shared" si="2"/>
        <v>10</v>
      </c>
      <c r="W58" s="117">
        <f>IF(X58="","",(COUNTIF($X$40:X58,X58)-1)*0.0001+X58)</f>
        <v>4.2003000000000004</v>
      </c>
      <c r="X58" s="46">
        <v>4.2</v>
      </c>
      <c r="Z58" s="120">
        <v>21</v>
      </c>
      <c r="AA58" s="107"/>
      <c r="AB58" s="107"/>
      <c r="AC58" s="107"/>
      <c r="AD58" s="116">
        <f t="shared" si="3"/>
        <v>2</v>
      </c>
      <c r="AE58" s="117">
        <f>IF(AF58="","",(COUNTIF($AF$40:AF58,AF58)-1)*0.0001+AF58)</f>
        <v>30.8001</v>
      </c>
      <c r="AF58" s="45">
        <v>30.8</v>
      </c>
      <c r="AH58" s="120">
        <v>21</v>
      </c>
      <c r="AI58" s="106"/>
      <c r="AJ58" s="106"/>
      <c r="AK58" s="106"/>
      <c r="AL58" s="116">
        <f t="shared" si="4"/>
        <v>13</v>
      </c>
      <c r="AM58" s="117">
        <f>IF(AN58="","",(COUNTIF($AN$40:AN58,AN58)-1)*0.0001+AN58)</f>
        <v>14.200299999999999</v>
      </c>
      <c r="AN58" s="108">
        <v>14.2</v>
      </c>
      <c r="AP58" s="170">
        <v>21</v>
      </c>
      <c r="AQ58" s="107"/>
      <c r="AR58" s="107"/>
      <c r="AS58" s="107"/>
      <c r="AT58" s="116">
        <f t="shared" si="5"/>
        <v>4</v>
      </c>
      <c r="AU58" s="117">
        <f>IF(AV58="","",(COUNTIF($AV$40:AV58,AV58)-1)*0.0001+AV58)</f>
        <v>14.3002</v>
      </c>
      <c r="AV58" s="108">
        <v>14.3</v>
      </c>
      <c r="AY58" s="120">
        <v>21</v>
      </c>
      <c r="AZ58" s="107"/>
      <c r="BA58" s="107"/>
      <c r="BB58" s="107"/>
      <c r="BC58" s="118" t="str">
        <f t="shared" ref="BC58:BC87" si="6">IF(BD58="","",RANK(BD58,$O$40:$O$87))</f>
        <v/>
      </c>
      <c r="BD58" s="119" t="str">
        <f>IF(BE58="","",(COUNTIF($P$40:BE58,BE58)-1)*0.0001+BE58)</f>
        <v/>
      </c>
      <c r="BE58" s="45"/>
      <c r="BG58" s="43">
        <v>23</v>
      </c>
      <c r="BH58" s="43">
        <v>0.45900000000000002</v>
      </c>
    </row>
    <row r="59" spans="2:60" x14ac:dyDescent="0.25">
      <c r="B59" s="120">
        <v>22</v>
      </c>
      <c r="C59" s="105"/>
      <c r="D59" s="107"/>
      <c r="E59" s="107"/>
      <c r="F59" s="116">
        <f t="shared" si="0"/>
        <v>6</v>
      </c>
      <c r="G59" s="117">
        <f>IF(H59="","",(COUNTIF($H$40:H59,H59)-1)*0.0001+H59)</f>
        <v>25.990099999999998</v>
      </c>
      <c r="H59" s="45">
        <v>25.99</v>
      </c>
      <c r="J59" s="120">
        <v>22</v>
      </c>
      <c r="K59" s="107"/>
      <c r="L59" s="107"/>
      <c r="M59" s="107"/>
      <c r="N59" s="118">
        <f t="shared" si="1"/>
        <v>23</v>
      </c>
      <c r="O59" s="119">
        <f>IF(P59="","",(COUNTIF($P$40:P59,P59)-1)*0.0001+P59)</f>
        <v>0.36</v>
      </c>
      <c r="P59" s="109">
        <v>0.36</v>
      </c>
      <c r="R59" s="120">
        <v>22</v>
      </c>
      <c r="S59" s="106"/>
      <c r="T59" s="106"/>
      <c r="U59" s="106"/>
      <c r="V59" s="116">
        <f t="shared" si="2"/>
        <v>19</v>
      </c>
      <c r="W59" s="117">
        <f>IF(X59="","",(COUNTIF($X$40:X59,X59)-1)*0.0001+X59)</f>
        <v>4.0003000000000002</v>
      </c>
      <c r="X59" s="46">
        <v>4</v>
      </c>
      <c r="Z59" s="120">
        <v>22</v>
      </c>
      <c r="AA59" s="107"/>
      <c r="AB59" s="107"/>
      <c r="AC59" s="107"/>
      <c r="AD59" s="116">
        <f t="shared" si="3"/>
        <v>24</v>
      </c>
      <c r="AE59" s="117">
        <f>IF(AF59="","",(COUNTIF($AF$40:AF59,AF59)-1)*0.0001+AF59)</f>
        <v>30.1</v>
      </c>
      <c r="AF59" s="45">
        <v>30.1</v>
      </c>
      <c r="AH59" s="120">
        <v>22</v>
      </c>
      <c r="AI59" s="106"/>
      <c r="AJ59" s="106"/>
      <c r="AK59" s="106"/>
      <c r="AL59" s="116">
        <f t="shared" si="4"/>
        <v>23</v>
      </c>
      <c r="AM59" s="117">
        <f>IF(AN59="","",(COUNTIF($AN$40:AN59,AN59)-1)*0.0001+AN59)</f>
        <v>14.100099999999999</v>
      </c>
      <c r="AN59" s="46">
        <v>14.1</v>
      </c>
      <c r="AP59" s="170">
        <v>22</v>
      </c>
      <c r="AQ59" s="107"/>
      <c r="AR59" s="107"/>
      <c r="AS59" s="107"/>
      <c r="AT59" s="116">
        <f t="shared" si="5"/>
        <v>13</v>
      </c>
      <c r="AU59" s="117">
        <f>IF(AV59="","",(COUNTIF($AV$40:AV59,AV59)-1)*0.0001+AV59)</f>
        <v>13.7</v>
      </c>
      <c r="AV59" s="108">
        <v>13.7</v>
      </c>
      <c r="AY59" s="120">
        <v>22</v>
      </c>
      <c r="AZ59" s="107"/>
      <c r="BA59" s="107"/>
      <c r="BB59" s="107"/>
      <c r="BC59" s="118" t="str">
        <f t="shared" si="6"/>
        <v/>
      </c>
      <c r="BD59" s="119" t="str">
        <f>IF(BE59="","",(COUNTIF($P$40:BE59,BE59)-1)*0.0001+BE59)</f>
        <v/>
      </c>
      <c r="BE59" s="109"/>
      <c r="BG59" s="43">
        <v>24</v>
      </c>
      <c r="BH59" s="43">
        <v>0.45100000000000001</v>
      </c>
    </row>
    <row r="60" spans="2:60" x14ac:dyDescent="0.25">
      <c r="B60" s="120">
        <v>23</v>
      </c>
      <c r="C60" s="105"/>
      <c r="D60" s="107"/>
      <c r="E60" s="107"/>
      <c r="F60" s="116">
        <f t="shared" si="0"/>
        <v>13</v>
      </c>
      <c r="G60" s="117">
        <f>IF(H60="","",(COUNTIF($H$40:H60,H60)-1)*0.0001+H60)</f>
        <v>25.930099999999999</v>
      </c>
      <c r="H60" s="45">
        <v>25.93</v>
      </c>
      <c r="J60" s="120">
        <v>23</v>
      </c>
      <c r="K60" s="107"/>
      <c r="L60" s="107"/>
      <c r="M60" s="107"/>
      <c r="N60" s="118">
        <f t="shared" si="1"/>
        <v>1</v>
      </c>
      <c r="O60" s="119">
        <f>IF(P60="","",(COUNTIF($P$40:P60,P60)-1)*0.0001+P60)</f>
        <v>0.45</v>
      </c>
      <c r="P60" s="109">
        <v>0.45</v>
      </c>
      <c r="R60" s="120">
        <v>23</v>
      </c>
      <c r="S60" s="106"/>
      <c r="T60" s="106"/>
      <c r="U60" s="106"/>
      <c r="V60" s="116">
        <f t="shared" si="2"/>
        <v>26</v>
      </c>
      <c r="W60" s="117">
        <f>IF(X60="","",(COUNTIF($X$40:X60,X60)-1)*0.0001+X60)</f>
        <v>3.8</v>
      </c>
      <c r="X60" s="108">
        <v>3.8</v>
      </c>
      <c r="Z60" s="120">
        <v>23</v>
      </c>
      <c r="AA60" s="107"/>
      <c r="AB60" s="107"/>
      <c r="AC60" s="107"/>
      <c r="AD60" s="116">
        <f t="shared" si="3"/>
        <v>23</v>
      </c>
      <c r="AE60" s="117">
        <f>IF(AF60="","",(COUNTIF($AF$40:AF60,AF60)-1)*0.0001+AF60)</f>
        <v>30.100100000000001</v>
      </c>
      <c r="AF60" s="45">
        <v>30.1</v>
      </c>
      <c r="AH60" s="120">
        <v>23</v>
      </c>
      <c r="AI60" s="106"/>
      <c r="AJ60" s="106"/>
      <c r="AK60" s="106"/>
      <c r="AL60" s="116">
        <f t="shared" si="4"/>
        <v>12</v>
      </c>
      <c r="AM60" s="117">
        <f>IF(AN60="","",(COUNTIF($AN$40:AN60,AN60)-1)*0.0001+AN60)</f>
        <v>14.2004</v>
      </c>
      <c r="AN60" s="46">
        <v>14.2</v>
      </c>
      <c r="AP60" s="170">
        <v>23</v>
      </c>
      <c r="AQ60" s="107"/>
      <c r="AR60" s="107"/>
      <c r="AS60" s="107"/>
      <c r="AT60" s="116">
        <f t="shared" si="5"/>
        <v>3</v>
      </c>
      <c r="AU60" s="117">
        <f>IF(AV60="","",(COUNTIF($AV$40:AV60,AV60)-1)*0.0001+AV60)</f>
        <v>14.4</v>
      </c>
      <c r="AV60" s="108">
        <v>14.4</v>
      </c>
      <c r="AY60" s="120">
        <v>23</v>
      </c>
      <c r="AZ60" s="107"/>
      <c r="BA60" s="107"/>
      <c r="BB60" s="107"/>
      <c r="BC60" s="118" t="str">
        <f t="shared" si="6"/>
        <v/>
      </c>
      <c r="BD60" s="119" t="str">
        <f>IF(BE60="","",(COUNTIF($P$40:BE60,BE60)-1)*0.0001+BE60)</f>
        <v/>
      </c>
      <c r="BE60" s="109"/>
      <c r="BG60" s="43">
        <v>25</v>
      </c>
      <c r="BH60" s="43">
        <v>0.443</v>
      </c>
    </row>
    <row r="61" spans="2:60" x14ac:dyDescent="0.25">
      <c r="B61" s="120">
        <v>24</v>
      </c>
      <c r="C61" s="105"/>
      <c r="D61" s="107"/>
      <c r="E61" s="107"/>
      <c r="F61" s="116">
        <f t="shared" si="0"/>
        <v>21</v>
      </c>
      <c r="G61" s="117">
        <f>IF(H61="","",(COUNTIF($H$40:H61,H61)-1)*0.0001+H61)</f>
        <v>25.82</v>
      </c>
      <c r="H61" s="45">
        <v>25.82</v>
      </c>
      <c r="J61" s="120">
        <v>24</v>
      </c>
      <c r="K61" s="107"/>
      <c r="L61" s="107"/>
      <c r="M61" s="107"/>
      <c r="N61" s="118">
        <f t="shared" si="1"/>
        <v>22</v>
      </c>
      <c r="O61" s="119">
        <f>IF(P61="","",(COUNTIF($P$40:P61,P61)-1)*0.0001+P61)</f>
        <v>0.36009999999999998</v>
      </c>
      <c r="P61" s="109">
        <v>0.36</v>
      </c>
      <c r="R61" s="120">
        <v>24</v>
      </c>
      <c r="S61" s="106"/>
      <c r="T61" s="106"/>
      <c r="U61" s="106"/>
      <c r="V61" s="116">
        <f t="shared" si="2"/>
        <v>9</v>
      </c>
      <c r="W61" s="117">
        <f>IF(X61="","",(COUNTIF($X$40:X61,X61)-1)*0.0001+X61)</f>
        <v>4.2004000000000001</v>
      </c>
      <c r="X61" s="108">
        <v>4.2</v>
      </c>
      <c r="Z61" s="120">
        <v>24</v>
      </c>
      <c r="AA61" s="107"/>
      <c r="AB61" s="107"/>
      <c r="AC61" s="107"/>
      <c r="AD61" s="116">
        <f t="shared" si="3"/>
        <v>25</v>
      </c>
      <c r="AE61" s="117">
        <f>IF(AF61="","",(COUNTIF($AF$40:AF61,AF61)-1)*0.0001+AF61)</f>
        <v>30.0001</v>
      </c>
      <c r="AF61" s="45">
        <v>30</v>
      </c>
      <c r="AH61" s="120">
        <v>24</v>
      </c>
      <c r="AI61" s="106"/>
      <c r="AJ61" s="106"/>
      <c r="AK61" s="106"/>
      <c r="AL61" s="116">
        <f t="shared" si="4"/>
        <v>11</v>
      </c>
      <c r="AM61" s="117">
        <f>IF(AN61="","",(COUNTIF($AN$40:AN61,AN61)-1)*0.0001+AN61)</f>
        <v>14.2005</v>
      </c>
      <c r="AN61" s="46">
        <v>14.2</v>
      </c>
      <c r="AP61" s="170">
        <v>24</v>
      </c>
      <c r="AQ61" s="107"/>
      <c r="AR61" s="107"/>
      <c r="AS61" s="107"/>
      <c r="AT61" s="116">
        <f t="shared" si="5"/>
        <v>9</v>
      </c>
      <c r="AU61" s="117">
        <f>IF(AV61="","",(COUNTIF($AV$40:AV61,AV61)-1)*0.0001+AV61)</f>
        <v>14.1</v>
      </c>
      <c r="AV61" s="108">
        <v>14.1</v>
      </c>
      <c r="AY61" s="120">
        <v>24</v>
      </c>
      <c r="AZ61" s="107"/>
      <c r="BA61" s="107"/>
      <c r="BB61" s="107"/>
      <c r="BC61" s="118" t="str">
        <f t="shared" si="6"/>
        <v/>
      </c>
      <c r="BD61" s="119" t="str">
        <f>IF(BE61="","",(COUNTIF($P$40:BE61,BE61)-1)*0.0001+BE61)</f>
        <v/>
      </c>
      <c r="BE61" s="109"/>
      <c r="BG61" s="43">
        <v>26</v>
      </c>
      <c r="BH61" s="43">
        <v>0.436</v>
      </c>
    </row>
    <row r="62" spans="2:60" x14ac:dyDescent="0.25">
      <c r="B62" s="120">
        <v>25</v>
      </c>
      <c r="C62" s="105"/>
      <c r="D62" s="107"/>
      <c r="E62" s="107"/>
      <c r="F62" s="116">
        <f t="shared" si="0"/>
        <v>23</v>
      </c>
      <c r="G62" s="117">
        <f>IF(H62="","",(COUNTIF($H$40:H62,H62)-1)*0.0001+H62)</f>
        <v>25.76</v>
      </c>
      <c r="H62" s="45">
        <v>25.76</v>
      </c>
      <c r="J62" s="120">
        <v>25</v>
      </c>
      <c r="K62" s="107"/>
      <c r="L62" s="107"/>
      <c r="M62" s="107"/>
      <c r="N62" s="118">
        <f t="shared" si="1"/>
        <v>2</v>
      </c>
      <c r="O62" s="119">
        <f>IF(P62="","",(COUNTIF($P$40:P62,P62)-1)*0.0001+P62)</f>
        <v>0.43030000000000002</v>
      </c>
      <c r="P62" s="45">
        <v>0.43</v>
      </c>
      <c r="R62" s="120">
        <v>25</v>
      </c>
      <c r="S62" s="106"/>
      <c r="T62" s="106"/>
      <c r="U62" s="106"/>
      <c r="V62" s="116">
        <f t="shared" si="2"/>
        <v>8</v>
      </c>
      <c r="W62" s="117">
        <f>IF(X62="","",(COUNTIF($X$40:X62,X62)-1)*0.0001+X62)</f>
        <v>4.2004999999999999</v>
      </c>
      <c r="X62" s="108">
        <v>4.2</v>
      </c>
      <c r="Z62" s="120">
        <v>25</v>
      </c>
      <c r="AA62" s="107"/>
      <c r="AB62" s="107"/>
      <c r="AC62" s="107"/>
      <c r="AD62" s="116">
        <f t="shared" si="3"/>
        <v>20</v>
      </c>
      <c r="AE62" s="117">
        <f>IF(AF62="","",(COUNTIF($AF$40:AF62,AF62)-1)*0.0001+AF62)</f>
        <v>30.200099999999999</v>
      </c>
      <c r="AF62" s="45">
        <v>30.2</v>
      </c>
      <c r="AH62" s="120">
        <v>25</v>
      </c>
      <c r="AI62" s="106"/>
      <c r="AJ62" s="106"/>
      <c r="AK62" s="106"/>
      <c r="AL62" s="116">
        <f t="shared" si="4"/>
        <v>22</v>
      </c>
      <c r="AM62" s="117">
        <f>IF(AN62="","",(COUNTIF($AN$40:AN62,AN62)-1)*0.0001+AN62)</f>
        <v>14.100199999999999</v>
      </c>
      <c r="AN62" s="108">
        <v>14.1</v>
      </c>
      <c r="AP62" s="170">
        <v>25</v>
      </c>
      <c r="AQ62" s="107"/>
      <c r="AR62" s="107"/>
      <c r="AS62" s="107"/>
      <c r="AT62" s="116">
        <f t="shared" si="5"/>
        <v>1</v>
      </c>
      <c r="AU62" s="117">
        <f>IF(AV62="","",(COUNTIF($AV$40:AV62,AV62)-1)*0.0001+AV62)</f>
        <v>14.700099999999999</v>
      </c>
      <c r="AV62" s="108">
        <v>14.7</v>
      </c>
      <c r="AY62" s="120">
        <v>25</v>
      </c>
      <c r="AZ62" s="107"/>
      <c r="BA62" s="107"/>
      <c r="BB62" s="107"/>
      <c r="BC62" s="118" t="str">
        <f t="shared" si="6"/>
        <v/>
      </c>
      <c r="BD62" s="119" t="str">
        <f>IF(BE62="","",(COUNTIF($P$40:BE62,BE62)-1)*0.0001+BE62)</f>
        <v/>
      </c>
      <c r="BE62" s="45"/>
      <c r="BG62" s="43">
        <v>27</v>
      </c>
      <c r="BH62" s="43">
        <v>0.42899999999999999</v>
      </c>
    </row>
    <row r="63" spans="2:60" x14ac:dyDescent="0.25">
      <c r="B63" s="120">
        <v>26</v>
      </c>
      <c r="C63" s="105"/>
      <c r="D63" s="107"/>
      <c r="E63" s="107"/>
      <c r="F63" s="116">
        <f t="shared" si="0"/>
        <v>17</v>
      </c>
      <c r="G63" s="117">
        <f>IF(H63="","",(COUNTIF($H$40:H63,H63)-1)*0.0001+H63)</f>
        <v>25.8902</v>
      </c>
      <c r="H63" s="45">
        <v>25.89</v>
      </c>
      <c r="J63" s="120">
        <v>26</v>
      </c>
      <c r="K63" s="107"/>
      <c r="L63" s="107"/>
      <c r="M63" s="107"/>
      <c r="N63" s="118">
        <f t="shared" si="1"/>
        <v>7</v>
      </c>
      <c r="O63" s="119">
        <f>IF(P63="","",(COUNTIF($P$40:P63,P63)-1)*0.0001+P63)</f>
        <v>0.4002</v>
      </c>
      <c r="P63" s="45">
        <v>0.4</v>
      </c>
      <c r="R63" s="120">
        <v>26</v>
      </c>
      <c r="S63" s="106"/>
      <c r="T63" s="106"/>
      <c r="U63" s="106"/>
      <c r="V63" s="116">
        <f t="shared" si="2"/>
        <v>18</v>
      </c>
      <c r="W63" s="117">
        <f>IF(X63="","",(COUNTIF($X$40:X63,X63)-1)*0.0001+X63)</f>
        <v>4.0004</v>
      </c>
      <c r="X63" s="108">
        <v>4</v>
      </c>
      <c r="Z63" s="120">
        <v>26</v>
      </c>
      <c r="AA63" s="107"/>
      <c r="AB63" s="107"/>
      <c r="AC63" s="107"/>
      <c r="AD63" s="116">
        <f t="shared" si="3"/>
        <v>18</v>
      </c>
      <c r="AE63" s="117">
        <f>IF(AF63="","",(COUNTIF($AF$40:AF63,AF63)-1)*0.0001+AF63)</f>
        <v>30.23</v>
      </c>
      <c r="AF63" s="45">
        <v>30.23</v>
      </c>
      <c r="AH63" s="120">
        <v>26</v>
      </c>
      <c r="AI63" s="106"/>
      <c r="AJ63" s="106"/>
      <c r="AK63" s="106"/>
      <c r="AL63" s="116">
        <f t="shared" si="4"/>
        <v>21</v>
      </c>
      <c r="AM63" s="117">
        <f>IF(AN63="","",(COUNTIF($AN$40:AN63,AN63)-1)*0.0001+AN63)</f>
        <v>14.100299999999999</v>
      </c>
      <c r="AN63" s="108">
        <v>14.1</v>
      </c>
      <c r="AP63" s="170">
        <v>26</v>
      </c>
      <c r="AQ63" s="107"/>
      <c r="AR63" s="107"/>
      <c r="AS63" s="107"/>
      <c r="AT63" s="116">
        <f t="shared" si="5"/>
        <v>12</v>
      </c>
      <c r="AU63" s="117">
        <f>IF(AV63="","",(COUNTIF($AV$40:AV63,AV63)-1)*0.0001+AV63)</f>
        <v>13.700099999999999</v>
      </c>
      <c r="AV63" s="108">
        <v>13.7</v>
      </c>
      <c r="AY63" s="120">
        <v>26</v>
      </c>
      <c r="AZ63" s="107"/>
      <c r="BA63" s="107"/>
      <c r="BB63" s="107"/>
      <c r="BC63" s="118" t="str">
        <f t="shared" si="6"/>
        <v/>
      </c>
      <c r="BD63" s="119" t="str">
        <f>IF(BE63="","",(COUNTIF($P$40:BE63,BE63)-1)*0.0001+BE63)</f>
        <v/>
      </c>
      <c r="BE63" s="45"/>
      <c r="BG63" s="43">
        <v>28</v>
      </c>
      <c r="BH63" s="43">
        <v>0.42299999999999999</v>
      </c>
    </row>
    <row r="64" spans="2:60" x14ac:dyDescent="0.25">
      <c r="B64" s="120">
        <v>27</v>
      </c>
      <c r="C64" s="105"/>
      <c r="D64" s="107"/>
      <c r="E64" s="107"/>
      <c r="F64" s="116">
        <f t="shared" si="0"/>
        <v>3</v>
      </c>
      <c r="G64" s="117">
        <f>IF(H64="","",(COUNTIF($H$40:H64,H64)-1)*0.0001+H64)</f>
        <v>26.0002</v>
      </c>
      <c r="H64" s="45">
        <v>26</v>
      </c>
      <c r="J64" s="120">
        <v>27</v>
      </c>
      <c r="K64" s="107"/>
      <c r="L64" s="107"/>
      <c r="M64" s="107"/>
      <c r="N64" s="118">
        <f t="shared" si="1"/>
        <v>13</v>
      </c>
      <c r="O64" s="119">
        <f>IF(P64="","",(COUNTIF($P$40:P64,P64)-1)*0.0001+P64)</f>
        <v>0.38040000000000002</v>
      </c>
      <c r="P64" s="45">
        <v>0.38</v>
      </c>
      <c r="R64" s="120">
        <v>27</v>
      </c>
      <c r="S64" s="106"/>
      <c r="T64" s="106"/>
      <c r="U64" s="106"/>
      <c r="V64" s="116">
        <f t="shared" si="2"/>
        <v>25</v>
      </c>
      <c r="W64" s="117">
        <f>IF(X64="","",(COUNTIF($X$40:X64,X64)-1)*0.0001+X64)</f>
        <v>3.8001</v>
      </c>
      <c r="X64" s="108">
        <v>3.8</v>
      </c>
      <c r="Z64" s="120">
        <v>27</v>
      </c>
      <c r="AA64" s="107"/>
      <c r="AB64" s="107"/>
      <c r="AC64" s="107"/>
      <c r="AD64" s="116">
        <f t="shared" si="3"/>
        <v>6</v>
      </c>
      <c r="AE64" s="117">
        <f>IF(AF64="","",(COUNTIF($AF$40:AF64,AF64)-1)*0.0001+AF64)</f>
        <v>30.6004</v>
      </c>
      <c r="AF64" s="45">
        <v>30.6</v>
      </c>
      <c r="AH64" s="120">
        <v>27</v>
      </c>
      <c r="AI64" s="106"/>
      <c r="AJ64" s="106"/>
      <c r="AK64" s="106"/>
      <c r="AL64" s="116">
        <f t="shared" si="4"/>
        <v>20</v>
      </c>
      <c r="AM64" s="117">
        <f>IF(AN64="","",(COUNTIF($AN$40:AN64,AN64)-1)*0.0001+AN64)</f>
        <v>14.1004</v>
      </c>
      <c r="AN64" s="108">
        <v>14.1</v>
      </c>
      <c r="AP64" s="170">
        <v>27</v>
      </c>
      <c r="AQ64" s="107"/>
      <c r="AR64" s="107"/>
      <c r="AS64" s="107"/>
      <c r="AT64" s="116">
        <f t="shared" si="5"/>
        <v>8</v>
      </c>
      <c r="AU64" s="117">
        <f>IF(AV64="","",(COUNTIF($AV$40:AV64,AV64)-1)*0.0001+AV64)</f>
        <v>14.100099999999999</v>
      </c>
      <c r="AV64" s="108">
        <v>14.1</v>
      </c>
      <c r="AY64" s="120">
        <v>27</v>
      </c>
      <c r="AZ64" s="107"/>
      <c r="BA64" s="107"/>
      <c r="BB64" s="107"/>
      <c r="BC64" s="118" t="str">
        <f t="shared" si="6"/>
        <v/>
      </c>
      <c r="BD64" s="119" t="str">
        <f>IF(BE64="","",(COUNTIF($P$40:BE64,BE64)-1)*0.0001+BE64)</f>
        <v/>
      </c>
      <c r="BE64" s="45"/>
      <c r="BG64" s="43">
        <v>29</v>
      </c>
      <c r="BH64" s="43">
        <v>0.41699999999999998</v>
      </c>
    </row>
    <row r="65" spans="2:60" x14ac:dyDescent="0.25">
      <c r="B65" s="120">
        <v>28</v>
      </c>
      <c r="C65" s="105"/>
      <c r="D65" s="107"/>
      <c r="E65" s="107"/>
      <c r="F65" s="116">
        <f t="shared" si="0"/>
        <v>26</v>
      </c>
      <c r="G65" s="117">
        <f>IF(H65="","",(COUNTIF($H$40:H65,H65)-1)*0.0001+H65)</f>
        <v>25.59</v>
      </c>
      <c r="H65" s="45">
        <v>25.59</v>
      </c>
      <c r="J65" s="120">
        <v>28</v>
      </c>
      <c r="K65" s="107"/>
      <c r="L65" s="107"/>
      <c r="M65" s="107"/>
      <c r="N65" s="118" t="str">
        <f t="shared" si="1"/>
        <v/>
      </c>
      <c r="O65" s="119" t="str">
        <f>IF(P65="","",(COUNTIF($P$40:P65,P65)-1)*0.0001+P65)</f>
        <v/>
      </c>
      <c r="P65" s="45"/>
      <c r="R65" s="120">
        <v>28</v>
      </c>
      <c r="S65" s="106"/>
      <c r="T65" s="106"/>
      <c r="U65" s="106"/>
      <c r="V65" s="116">
        <f t="shared" si="2"/>
        <v>14</v>
      </c>
      <c r="W65" s="117">
        <f>IF(X65="","",(COUNTIF($X$40:X65,X65)-1)*0.0001+X65)</f>
        <v>4.1002999999999998</v>
      </c>
      <c r="X65" s="108">
        <v>4.0999999999999996</v>
      </c>
      <c r="Z65" s="120">
        <v>28</v>
      </c>
      <c r="AA65" s="107"/>
      <c r="AB65" s="107"/>
      <c r="AC65" s="107"/>
      <c r="AD65" s="116">
        <f t="shared" si="3"/>
        <v>22</v>
      </c>
      <c r="AE65" s="117">
        <f>IF(AF65="","",(COUNTIF($AF$40:AF65,AF65)-1)*0.0001+AF65)</f>
        <v>30.100200000000001</v>
      </c>
      <c r="AF65" s="45">
        <v>30.1</v>
      </c>
      <c r="AH65" s="120">
        <v>28</v>
      </c>
      <c r="AI65" s="106"/>
      <c r="AJ65" s="106"/>
      <c r="AK65" s="106"/>
      <c r="AL65" s="116">
        <f t="shared" si="4"/>
        <v>9</v>
      </c>
      <c r="AM65" s="117">
        <f>IF(AN65="","",(COUNTIF($AN$40:AN65,AN65)-1)*0.0001+AN65)</f>
        <v>14.22</v>
      </c>
      <c r="AN65" s="108">
        <v>14.22</v>
      </c>
      <c r="AP65" s="170">
        <v>28</v>
      </c>
      <c r="AQ65" s="107"/>
      <c r="AR65" s="107"/>
      <c r="AS65" s="107"/>
      <c r="AT65" s="116">
        <f t="shared" si="5"/>
        <v>11</v>
      </c>
      <c r="AU65" s="117">
        <f>IF(AV65="","",(COUNTIF($AV$40:AV65,AV65)-1)*0.0001+AV65)</f>
        <v>13.700199999999999</v>
      </c>
      <c r="AV65" s="108">
        <v>13.7</v>
      </c>
      <c r="AY65" s="120">
        <v>28</v>
      </c>
      <c r="AZ65" s="107"/>
      <c r="BA65" s="107"/>
      <c r="BB65" s="107"/>
      <c r="BC65" s="118" t="str">
        <f t="shared" si="6"/>
        <v/>
      </c>
      <c r="BD65" s="119" t="str">
        <f>IF(BE65="","",(COUNTIF($P$40:BE65,BE65)-1)*0.0001+BE65)</f>
        <v/>
      </c>
      <c r="BE65" s="45"/>
      <c r="BG65" s="43">
        <v>30</v>
      </c>
      <c r="BH65" s="43">
        <v>0.41199999999999998</v>
      </c>
    </row>
    <row r="66" spans="2:60" x14ac:dyDescent="0.25">
      <c r="B66" s="120">
        <v>29</v>
      </c>
      <c r="C66" s="105"/>
      <c r="D66" s="107"/>
      <c r="E66" s="107"/>
      <c r="F66" s="116" t="str">
        <f t="shared" si="0"/>
        <v/>
      </c>
      <c r="G66" s="117" t="str">
        <f>IF(H66="","",(COUNTIF($H$40:H66,H66)-1)*0.0001+H66)</f>
        <v/>
      </c>
      <c r="H66" s="45"/>
      <c r="J66" s="120">
        <v>29</v>
      </c>
      <c r="K66" s="107"/>
      <c r="L66" s="107"/>
      <c r="M66" s="107"/>
      <c r="N66" s="118" t="str">
        <f t="shared" si="1"/>
        <v/>
      </c>
      <c r="O66" s="119" t="str">
        <f>IF(P66="","",(COUNTIF($P$40:P66,P66)-1)*0.0001+P66)</f>
        <v/>
      </c>
      <c r="P66" s="45"/>
      <c r="R66" s="120">
        <v>29</v>
      </c>
      <c r="S66" s="106"/>
      <c r="T66" s="106"/>
      <c r="U66" s="106"/>
      <c r="V66" s="116" t="str">
        <f t="shared" si="2"/>
        <v/>
      </c>
      <c r="W66" s="117" t="str">
        <f>IF(X66="","",(COUNTIF($X$40:X66,X66)-1)*0.0001+X66)</f>
        <v/>
      </c>
      <c r="X66" s="108"/>
      <c r="Z66" s="120">
        <v>29</v>
      </c>
      <c r="AA66" s="107"/>
      <c r="AB66" s="107"/>
      <c r="AC66" s="107"/>
      <c r="AD66" s="116" t="str">
        <f t="shared" si="3"/>
        <v/>
      </c>
      <c r="AE66" s="117" t="str">
        <f>IF(AF66="","",(COUNTIF($AF$40:AF66,AF66)-1)*0.0001+AF66)</f>
        <v/>
      </c>
      <c r="AF66" s="45"/>
      <c r="AH66" s="120">
        <v>29</v>
      </c>
      <c r="AI66" s="106"/>
      <c r="AJ66" s="106"/>
      <c r="AK66" s="106"/>
      <c r="AL66" s="116" t="str">
        <f t="shared" si="4"/>
        <v/>
      </c>
      <c r="AM66" s="117" t="str">
        <f>IF(AN66="","",(COUNTIF($AN$40:AN66,AN66)-1)*0.0001+AN66)</f>
        <v/>
      </c>
      <c r="AN66" s="108"/>
      <c r="AP66" s="170">
        <v>29</v>
      </c>
      <c r="AQ66" s="107"/>
      <c r="AR66" s="107"/>
      <c r="AS66" s="107"/>
      <c r="AT66" s="116" t="str">
        <f t="shared" si="5"/>
        <v/>
      </c>
      <c r="AU66" s="117" t="str">
        <f>IF(AV66="","",(COUNTIF($AV$40:AV66,AV66)-1)*0.0001+AV66)</f>
        <v/>
      </c>
      <c r="AV66" s="108"/>
      <c r="AY66" s="120">
        <v>29</v>
      </c>
      <c r="AZ66" s="107"/>
      <c r="BA66" s="107"/>
      <c r="BB66" s="107"/>
      <c r="BC66" s="118" t="str">
        <f t="shared" si="6"/>
        <v/>
      </c>
      <c r="BD66" s="119" t="str">
        <f>IF(BE66="","",(COUNTIF($P$40:BE66,BE66)-1)*0.0001+BE66)</f>
        <v/>
      </c>
      <c r="BE66" s="45"/>
      <c r="BG66" s="43">
        <v>31</v>
      </c>
      <c r="BH66" s="43">
        <v>0.40699999999999997</v>
      </c>
    </row>
    <row r="67" spans="2:60" x14ac:dyDescent="0.25">
      <c r="B67" s="120">
        <v>30</v>
      </c>
      <c r="C67" s="105"/>
      <c r="D67" s="107"/>
      <c r="E67" s="107"/>
      <c r="F67" s="116" t="str">
        <f t="shared" si="0"/>
        <v/>
      </c>
      <c r="G67" s="117" t="str">
        <f>IF(H67="","",(COUNTIF($H$40:H67,H67)-1)*0.0001+H67)</f>
        <v/>
      </c>
      <c r="H67" s="45"/>
      <c r="J67" s="120">
        <v>30</v>
      </c>
      <c r="K67" s="107"/>
      <c r="L67" s="107"/>
      <c r="M67" s="107"/>
      <c r="N67" s="118" t="str">
        <f t="shared" si="1"/>
        <v/>
      </c>
      <c r="O67" s="119" t="str">
        <f>IF(P67="","",(COUNTIF($P$40:P67,P67)-1)*0.0001+P67)</f>
        <v/>
      </c>
      <c r="P67" s="45"/>
      <c r="R67" s="120">
        <v>30</v>
      </c>
      <c r="S67" s="106"/>
      <c r="T67" s="106"/>
      <c r="U67" s="106"/>
      <c r="V67" s="116" t="str">
        <f t="shared" si="2"/>
        <v/>
      </c>
      <c r="W67" s="117" t="str">
        <f>IF(X67="","",(COUNTIF($X$40:X67,X67)-1)*0.0001+X67)</f>
        <v/>
      </c>
      <c r="X67" s="108"/>
      <c r="Z67" s="120">
        <v>30</v>
      </c>
      <c r="AA67" s="107"/>
      <c r="AB67" s="107"/>
      <c r="AC67" s="107"/>
      <c r="AD67" s="116" t="str">
        <f t="shared" si="3"/>
        <v/>
      </c>
      <c r="AE67" s="117" t="str">
        <f>IF(AF67="","",(COUNTIF($AF$40:AF67,AF67)-1)*0.0001+AF67)</f>
        <v/>
      </c>
      <c r="AF67" s="45"/>
      <c r="AH67" s="120">
        <v>30</v>
      </c>
      <c r="AI67" s="106"/>
      <c r="AJ67" s="106"/>
      <c r="AK67" s="106"/>
      <c r="AL67" s="116" t="str">
        <f t="shared" si="4"/>
        <v/>
      </c>
      <c r="AM67" s="117" t="str">
        <f>IF(AN67="","",(COUNTIF($AN$40:AN67,AN67)-1)*0.0001+AN67)</f>
        <v/>
      </c>
      <c r="AN67" s="108"/>
      <c r="AP67" s="170">
        <v>30</v>
      </c>
      <c r="AQ67" s="107"/>
      <c r="AR67" s="107"/>
      <c r="AS67" s="107"/>
      <c r="AT67" s="116" t="str">
        <f t="shared" si="5"/>
        <v/>
      </c>
      <c r="AU67" s="117" t="str">
        <f>IF(AV67="","",(COUNTIF($AV$40:AV67,AV67)-1)*0.0001+AV67)</f>
        <v/>
      </c>
      <c r="AV67" s="108"/>
      <c r="AY67" s="120">
        <v>30</v>
      </c>
      <c r="AZ67" s="107"/>
      <c r="BA67" s="107"/>
      <c r="BB67" s="107"/>
      <c r="BC67" s="118" t="str">
        <f t="shared" si="6"/>
        <v/>
      </c>
      <c r="BD67" s="119" t="str">
        <f>IF(BE67="","",(COUNTIF($P$40:BE67,BE67)-1)*0.0001+BE67)</f>
        <v/>
      </c>
      <c r="BE67" s="45"/>
      <c r="BG67" s="43">
        <v>32</v>
      </c>
      <c r="BH67" s="43">
        <v>0.40200000000000002</v>
      </c>
    </row>
    <row r="68" spans="2:60" x14ac:dyDescent="0.25">
      <c r="B68" s="120">
        <v>31</v>
      </c>
      <c r="C68" s="105"/>
      <c r="D68" s="107"/>
      <c r="E68" s="107"/>
      <c r="F68" s="116" t="str">
        <f t="shared" si="0"/>
        <v/>
      </c>
      <c r="G68" s="117" t="str">
        <f>IF(H68="","",(COUNTIF($H$40:H68,H68)-1)*0.0001+H68)</f>
        <v/>
      </c>
      <c r="H68" s="45"/>
      <c r="J68" s="120">
        <v>31</v>
      </c>
      <c r="K68" s="107"/>
      <c r="L68" s="107"/>
      <c r="M68" s="107"/>
      <c r="N68" s="118" t="str">
        <f t="shared" si="1"/>
        <v/>
      </c>
      <c r="O68" s="119" t="str">
        <f>IF(P68="","",(COUNTIF($P$40:P68,P68)-1)*0.0001+P68)</f>
        <v/>
      </c>
      <c r="P68" s="45"/>
      <c r="R68" s="120">
        <v>31</v>
      </c>
      <c r="S68" s="106"/>
      <c r="T68" s="106"/>
      <c r="U68" s="106"/>
      <c r="V68" s="116" t="str">
        <f t="shared" si="2"/>
        <v/>
      </c>
      <c r="W68" s="117" t="str">
        <f>IF(X68="","",(COUNTIF($X$40:X68,X68)-1)*0.0001+X68)</f>
        <v/>
      </c>
      <c r="X68" s="108"/>
      <c r="Z68" s="120">
        <v>31</v>
      </c>
      <c r="AA68" s="107"/>
      <c r="AB68" s="107"/>
      <c r="AC68" s="107"/>
      <c r="AD68" s="116" t="str">
        <f t="shared" si="3"/>
        <v/>
      </c>
      <c r="AE68" s="117" t="str">
        <f>IF(AF68="","",(COUNTIF($AF$40:AF68,AF68)-1)*0.0001+AF68)</f>
        <v/>
      </c>
      <c r="AF68" s="45"/>
      <c r="AH68" s="120">
        <v>31</v>
      </c>
      <c r="AI68" s="106"/>
      <c r="AJ68" s="106"/>
      <c r="AK68" s="106"/>
      <c r="AL68" s="116" t="str">
        <f t="shared" si="4"/>
        <v/>
      </c>
      <c r="AM68" s="117" t="str">
        <f>IF(AN68="","",(COUNTIF($AN$40:AN68,AN68)-1)*0.0001+AN68)</f>
        <v/>
      </c>
      <c r="AN68" s="108"/>
      <c r="AP68" s="170">
        <v>31</v>
      </c>
      <c r="AQ68" s="107"/>
      <c r="AR68" s="107"/>
      <c r="AS68" s="107"/>
      <c r="AT68" s="116" t="str">
        <f t="shared" si="5"/>
        <v/>
      </c>
      <c r="AU68" s="117" t="str">
        <f>IF(AV68="","",(COUNTIF($AV$40:AV68,AV68)-1)*0.0001+AV68)</f>
        <v/>
      </c>
      <c r="AV68" s="108"/>
      <c r="AY68" s="120">
        <v>31</v>
      </c>
      <c r="AZ68" s="107"/>
      <c r="BA68" s="107"/>
      <c r="BB68" s="107"/>
      <c r="BC68" s="118" t="str">
        <f t="shared" si="6"/>
        <v/>
      </c>
      <c r="BD68" s="119" t="str">
        <f>IF(BE68="","",(COUNTIF($P$40:BE68,BE68)-1)*0.0001+BE68)</f>
        <v/>
      </c>
      <c r="BE68" s="45"/>
      <c r="BG68" s="43">
        <v>33</v>
      </c>
      <c r="BH68" s="43">
        <v>0.39700000000000002</v>
      </c>
    </row>
    <row r="69" spans="2:60" x14ac:dyDescent="0.25">
      <c r="B69" s="120">
        <v>32</v>
      </c>
      <c r="C69" s="105"/>
      <c r="D69" s="107"/>
      <c r="E69" s="107"/>
      <c r="F69" s="116" t="str">
        <f t="shared" si="0"/>
        <v/>
      </c>
      <c r="G69" s="117" t="str">
        <f>IF(H69="","",(COUNTIF($H$40:H69,H69)-1)*0.0001+H69)</f>
        <v/>
      </c>
      <c r="H69" s="45"/>
      <c r="J69" s="120">
        <v>32</v>
      </c>
      <c r="K69" s="107"/>
      <c r="L69" s="107"/>
      <c r="M69" s="107"/>
      <c r="N69" s="118" t="str">
        <f t="shared" si="1"/>
        <v/>
      </c>
      <c r="O69" s="119" t="str">
        <f>IF(P69="","",(COUNTIF($P$40:P69,P69)-1)*0.0001+P69)</f>
        <v/>
      </c>
      <c r="P69" s="45"/>
      <c r="R69" s="120">
        <v>32</v>
      </c>
      <c r="S69" s="106"/>
      <c r="T69" s="106"/>
      <c r="U69" s="106"/>
      <c r="V69" s="116" t="str">
        <f t="shared" si="2"/>
        <v/>
      </c>
      <c r="W69" s="117" t="str">
        <f>IF(X69="","",(COUNTIF($X$40:X69,X69)-1)*0.0001+X69)</f>
        <v/>
      </c>
      <c r="X69" s="108"/>
      <c r="Z69" s="120">
        <v>32</v>
      </c>
      <c r="AA69" s="107"/>
      <c r="AB69" s="107"/>
      <c r="AC69" s="107"/>
      <c r="AD69" s="116" t="str">
        <f t="shared" si="3"/>
        <v/>
      </c>
      <c r="AE69" s="117" t="str">
        <f>IF(AF69="","",(COUNTIF($AF$40:AF69,AF69)-1)*0.0001+AF69)</f>
        <v/>
      </c>
      <c r="AF69" s="45"/>
      <c r="AH69" s="120">
        <v>32</v>
      </c>
      <c r="AI69" s="106"/>
      <c r="AJ69" s="106"/>
      <c r="AK69" s="106"/>
      <c r="AL69" s="116" t="str">
        <f t="shared" si="4"/>
        <v/>
      </c>
      <c r="AM69" s="117" t="str">
        <f>IF(AN69="","",(COUNTIF($AN$40:AN69,AN69)-1)*0.0001+AN69)</f>
        <v/>
      </c>
      <c r="AN69" s="108"/>
      <c r="AP69" s="170">
        <v>32</v>
      </c>
      <c r="AQ69" s="107"/>
      <c r="AR69" s="107"/>
      <c r="AS69" s="107"/>
      <c r="AT69" s="116" t="str">
        <f t="shared" si="5"/>
        <v/>
      </c>
      <c r="AU69" s="117" t="str">
        <f>IF(AV69="","",(COUNTIF($AV$40:AV69,AV69)-1)*0.0001+AV69)</f>
        <v/>
      </c>
      <c r="AV69" s="108"/>
      <c r="AY69" s="120">
        <v>32</v>
      </c>
      <c r="AZ69" s="107"/>
      <c r="BA69" s="107"/>
      <c r="BB69" s="107"/>
      <c r="BC69" s="118" t="str">
        <f t="shared" si="6"/>
        <v/>
      </c>
      <c r="BD69" s="119" t="str">
        <f>IF(BE69="","",(COUNTIF($P$40:BE69,BE69)-1)*0.0001+BE69)</f>
        <v/>
      </c>
      <c r="BE69" s="45"/>
      <c r="BG69" s="43">
        <v>34</v>
      </c>
      <c r="BH69" s="43">
        <v>0.39300000000000002</v>
      </c>
    </row>
    <row r="70" spans="2:60" x14ac:dyDescent="0.25">
      <c r="B70" s="120">
        <v>33</v>
      </c>
      <c r="C70" s="105"/>
      <c r="D70" s="107"/>
      <c r="E70" s="107"/>
      <c r="F70" s="116" t="str">
        <f t="shared" si="0"/>
        <v/>
      </c>
      <c r="G70" s="117" t="str">
        <f>IF(H70="","",(COUNTIF($H$40:H70,H70)-1)*0.0001+H70)</f>
        <v/>
      </c>
      <c r="H70" s="45"/>
      <c r="J70" s="120">
        <v>33</v>
      </c>
      <c r="K70" s="107"/>
      <c r="L70" s="107"/>
      <c r="M70" s="107"/>
      <c r="N70" s="118" t="str">
        <f t="shared" si="1"/>
        <v/>
      </c>
      <c r="O70" s="119" t="str">
        <f>IF(P70="","",(COUNTIF($P$40:P70,P70)-1)*0.0001+P70)</f>
        <v/>
      </c>
      <c r="P70" s="45"/>
      <c r="R70" s="120">
        <v>33</v>
      </c>
      <c r="S70" s="106"/>
      <c r="T70" s="106"/>
      <c r="U70" s="106"/>
      <c r="V70" s="116" t="str">
        <f t="shared" si="2"/>
        <v/>
      </c>
      <c r="W70" s="117" t="str">
        <f>IF(X70="","",(COUNTIF($X$40:X70,X70)-1)*0.0001+X70)</f>
        <v/>
      </c>
      <c r="X70" s="108"/>
      <c r="Z70" s="120">
        <v>33</v>
      </c>
      <c r="AA70" s="107"/>
      <c r="AB70" s="107"/>
      <c r="AC70" s="107"/>
      <c r="AD70" s="116" t="str">
        <f t="shared" si="3"/>
        <v/>
      </c>
      <c r="AE70" s="117" t="str">
        <f>IF(AF70="","",(COUNTIF($AF$40:AF70,AF70)-1)*0.0001+AF70)</f>
        <v/>
      </c>
      <c r="AF70" s="45"/>
      <c r="AH70" s="120">
        <v>33</v>
      </c>
      <c r="AI70" s="106"/>
      <c r="AJ70" s="106"/>
      <c r="AK70" s="106"/>
      <c r="AL70" s="116" t="str">
        <f t="shared" si="4"/>
        <v/>
      </c>
      <c r="AM70" s="117" t="str">
        <f>IF(AN70="","",(COUNTIF($AN$40:AN70,AN70)-1)*0.0001+AN70)</f>
        <v/>
      </c>
      <c r="AN70" s="108"/>
      <c r="AP70" s="170">
        <v>33</v>
      </c>
      <c r="AQ70" s="107"/>
      <c r="AR70" s="107"/>
      <c r="AS70" s="107"/>
      <c r="AT70" s="116" t="str">
        <f t="shared" si="5"/>
        <v/>
      </c>
      <c r="AU70" s="117" t="str">
        <f>IF(AV70="","",(COUNTIF($AV$40:AV70,AV70)-1)*0.0001+AV70)</f>
        <v/>
      </c>
      <c r="AV70" s="108"/>
      <c r="AY70" s="120">
        <v>33</v>
      </c>
      <c r="AZ70" s="107"/>
      <c r="BA70" s="107"/>
      <c r="BB70" s="107"/>
      <c r="BC70" s="118" t="str">
        <f t="shared" si="6"/>
        <v/>
      </c>
      <c r="BD70" s="119" t="str">
        <f>IF(BE70="","",(COUNTIF($P$40:BE70,BE70)-1)*0.0001+BE70)</f>
        <v/>
      </c>
      <c r="BE70" s="45"/>
      <c r="BG70" s="43">
        <v>35</v>
      </c>
      <c r="BH70" s="43">
        <v>0.38800000000000001</v>
      </c>
    </row>
    <row r="71" spans="2:60" x14ac:dyDescent="0.25">
      <c r="B71" s="120">
        <v>34</v>
      </c>
      <c r="C71" s="105"/>
      <c r="D71" s="107"/>
      <c r="E71" s="107"/>
      <c r="F71" s="116" t="str">
        <f t="shared" si="0"/>
        <v/>
      </c>
      <c r="G71" s="117" t="str">
        <f>IF(H71="","",(COUNTIF($H$40:H71,H71)-1)*0.0001+H71)</f>
        <v/>
      </c>
      <c r="H71" s="45"/>
      <c r="J71" s="120">
        <v>34</v>
      </c>
      <c r="K71" s="107"/>
      <c r="L71" s="107"/>
      <c r="M71" s="107"/>
      <c r="N71" s="118" t="str">
        <f t="shared" si="1"/>
        <v/>
      </c>
      <c r="O71" s="119" t="str">
        <f>IF(P71="","",(COUNTIF($P$40:P71,P71)-1)*0.0001+P71)</f>
        <v/>
      </c>
      <c r="P71" s="45"/>
      <c r="R71" s="120">
        <v>34</v>
      </c>
      <c r="S71" s="106"/>
      <c r="T71" s="106"/>
      <c r="U71" s="106"/>
      <c r="V71" s="116" t="str">
        <f t="shared" si="2"/>
        <v/>
      </c>
      <c r="W71" s="117" t="str">
        <f>IF(X71="","",(COUNTIF($X$40:X71,X71)-1)*0.0001+X71)</f>
        <v/>
      </c>
      <c r="X71" s="108"/>
      <c r="Z71" s="120">
        <v>34</v>
      </c>
      <c r="AA71" s="107"/>
      <c r="AB71" s="107"/>
      <c r="AC71" s="107"/>
      <c r="AD71" s="116" t="str">
        <f t="shared" si="3"/>
        <v/>
      </c>
      <c r="AE71" s="117" t="str">
        <f>IF(AF71="","",(COUNTIF($AF$40:AF71,AF71)-1)*0.0001+AF71)</f>
        <v/>
      </c>
      <c r="AF71" s="45"/>
      <c r="AH71" s="120">
        <v>34</v>
      </c>
      <c r="AI71" s="106"/>
      <c r="AJ71" s="106"/>
      <c r="AK71" s="106"/>
      <c r="AL71" s="116" t="str">
        <f t="shared" si="4"/>
        <v/>
      </c>
      <c r="AM71" s="117" t="str">
        <f>IF(AN71="","",(COUNTIF($AN$40:AN71,AN71)-1)*0.0001+AN71)</f>
        <v/>
      </c>
      <c r="AN71" s="108"/>
      <c r="AP71" s="170">
        <v>34</v>
      </c>
      <c r="AQ71" s="107"/>
      <c r="AR71" s="107"/>
      <c r="AS71" s="107"/>
      <c r="AT71" s="116" t="str">
        <f t="shared" si="5"/>
        <v/>
      </c>
      <c r="AU71" s="117" t="str">
        <f>IF(AV71="","",(COUNTIF($AV$40:AV71,AV71)-1)*0.0001+AV71)</f>
        <v/>
      </c>
      <c r="AV71" s="108"/>
      <c r="AY71" s="120">
        <v>34</v>
      </c>
      <c r="AZ71" s="107"/>
      <c r="BA71" s="107"/>
      <c r="BB71" s="107"/>
      <c r="BC71" s="118" t="str">
        <f t="shared" si="6"/>
        <v/>
      </c>
      <c r="BD71" s="119" t="str">
        <f>IF(BE71="","",(COUNTIF($P$40:BE71,BE71)-1)*0.0001+BE71)</f>
        <v/>
      </c>
      <c r="BE71" s="45"/>
      <c r="BG71" s="43">
        <v>36</v>
      </c>
      <c r="BH71" s="43">
        <v>0.38400000000000001</v>
      </c>
    </row>
    <row r="72" spans="2:60" x14ac:dyDescent="0.25">
      <c r="B72" s="120">
        <v>35</v>
      </c>
      <c r="C72" s="105"/>
      <c r="D72" s="107"/>
      <c r="E72" s="107"/>
      <c r="F72" s="116" t="str">
        <f t="shared" si="0"/>
        <v/>
      </c>
      <c r="G72" s="117" t="str">
        <f>IF(H72="","",(COUNTIF($H$40:H72,H72)-1)*0.0001+H72)</f>
        <v/>
      </c>
      <c r="H72" s="45"/>
      <c r="J72" s="120">
        <v>35</v>
      </c>
      <c r="K72" s="107"/>
      <c r="L72" s="107"/>
      <c r="M72" s="107"/>
      <c r="N72" s="118" t="str">
        <f t="shared" si="1"/>
        <v/>
      </c>
      <c r="O72" s="119" t="str">
        <f>IF(P72="","",(COUNTIF($P$40:P72,P72)-1)*0.0001+P72)</f>
        <v/>
      </c>
      <c r="P72" s="45"/>
      <c r="R72" s="120">
        <v>35</v>
      </c>
      <c r="S72" s="106"/>
      <c r="T72" s="106"/>
      <c r="U72" s="106"/>
      <c r="V72" s="116" t="str">
        <f t="shared" si="2"/>
        <v/>
      </c>
      <c r="W72" s="117" t="str">
        <f>IF(X72="","",(COUNTIF($X$40:X72,X72)-1)*0.0001+X72)</f>
        <v/>
      </c>
      <c r="X72" s="108"/>
      <c r="Z72" s="120">
        <v>35</v>
      </c>
      <c r="AA72" s="107"/>
      <c r="AB72" s="107"/>
      <c r="AC72" s="107"/>
      <c r="AD72" s="116" t="str">
        <f t="shared" si="3"/>
        <v/>
      </c>
      <c r="AE72" s="117" t="str">
        <f>IF(AF72="","",(COUNTIF($AF$40:AF72,AF72)-1)*0.0001+AF72)</f>
        <v/>
      </c>
      <c r="AF72" s="45"/>
      <c r="AH72" s="120">
        <v>35</v>
      </c>
      <c r="AI72" s="106"/>
      <c r="AJ72" s="106"/>
      <c r="AK72" s="106"/>
      <c r="AL72" s="116" t="str">
        <f t="shared" si="4"/>
        <v/>
      </c>
      <c r="AM72" s="117" t="str">
        <f>IF(AN72="","",(COUNTIF($AN$40:AN72,AN72)-1)*0.0001+AN72)</f>
        <v/>
      </c>
      <c r="AN72" s="108"/>
      <c r="AP72" s="170">
        <v>35</v>
      </c>
      <c r="AQ72" s="107"/>
      <c r="AR72" s="107"/>
      <c r="AS72" s="107"/>
      <c r="AT72" s="116" t="str">
        <f t="shared" si="5"/>
        <v/>
      </c>
      <c r="AU72" s="117" t="str">
        <f>IF(AV72="","",(COUNTIF($AV$40:AV72,AV72)-1)*0.0001+AV72)</f>
        <v/>
      </c>
      <c r="AV72" s="108"/>
      <c r="AY72" s="120">
        <v>35</v>
      </c>
      <c r="AZ72" s="107"/>
      <c r="BA72" s="107"/>
      <c r="BB72" s="107"/>
      <c r="BC72" s="118" t="str">
        <f t="shared" si="6"/>
        <v/>
      </c>
      <c r="BD72" s="119" t="str">
        <f>IF(BE72="","",(COUNTIF($P$40:BE72,BE72)-1)*0.0001+BE72)</f>
        <v/>
      </c>
      <c r="BE72" s="45"/>
      <c r="BG72" s="43">
        <v>37</v>
      </c>
      <c r="BH72" s="43">
        <v>0.38100000000000001</v>
      </c>
    </row>
    <row r="73" spans="2:60" x14ac:dyDescent="0.25">
      <c r="B73" s="120">
        <v>36</v>
      </c>
      <c r="C73" s="105"/>
      <c r="D73" s="107"/>
      <c r="E73" s="107"/>
      <c r="F73" s="116" t="str">
        <f t="shared" si="0"/>
        <v/>
      </c>
      <c r="G73" s="117" t="str">
        <f>IF(H73="","",(COUNTIF($H$40:H73,H73)-1)*0.0001+H73)</f>
        <v/>
      </c>
      <c r="H73" s="45"/>
      <c r="J73" s="120">
        <v>36</v>
      </c>
      <c r="K73" s="107"/>
      <c r="L73" s="107"/>
      <c r="M73" s="107"/>
      <c r="N73" s="118" t="str">
        <f t="shared" si="1"/>
        <v/>
      </c>
      <c r="O73" s="119" t="str">
        <f>IF(P73="","",(COUNTIF($P$40:P73,P73)-1)*0.0001+P73)</f>
        <v/>
      </c>
      <c r="P73" s="45"/>
      <c r="R73" s="120">
        <v>36</v>
      </c>
      <c r="S73" s="106"/>
      <c r="T73" s="106"/>
      <c r="U73" s="106"/>
      <c r="V73" s="116" t="str">
        <f t="shared" si="2"/>
        <v/>
      </c>
      <c r="W73" s="117" t="str">
        <f>IF(X73="","",(COUNTIF($X$40:X73,X73)-1)*0.0001+X73)</f>
        <v/>
      </c>
      <c r="X73" s="108"/>
      <c r="Z73" s="120">
        <v>36</v>
      </c>
      <c r="AA73" s="107"/>
      <c r="AB73" s="107"/>
      <c r="AC73" s="107"/>
      <c r="AD73" s="116" t="str">
        <f t="shared" si="3"/>
        <v/>
      </c>
      <c r="AE73" s="117" t="str">
        <f>IF(AF73="","",(COUNTIF($AF$40:AF73,AF73)-1)*0.0001+AF73)</f>
        <v/>
      </c>
      <c r="AF73" s="45"/>
      <c r="AH73" s="120">
        <v>36</v>
      </c>
      <c r="AI73" s="106"/>
      <c r="AJ73" s="106"/>
      <c r="AK73" s="106"/>
      <c r="AL73" s="116" t="str">
        <f t="shared" si="4"/>
        <v/>
      </c>
      <c r="AM73" s="117" t="str">
        <f>IF(AN73="","",(COUNTIF($AN$40:AN73,AN73)-1)*0.0001+AN73)</f>
        <v/>
      </c>
      <c r="AN73" s="108"/>
      <c r="AP73" s="170">
        <v>36</v>
      </c>
      <c r="AQ73" s="107"/>
      <c r="AR73" s="107"/>
      <c r="AS73" s="107"/>
      <c r="AT73" s="116" t="str">
        <f t="shared" si="5"/>
        <v/>
      </c>
      <c r="AU73" s="117" t="str">
        <f>IF(AV73="","",(COUNTIF($AV$40:AV73,AV73)-1)*0.0001+AV73)</f>
        <v/>
      </c>
      <c r="AV73" s="108"/>
      <c r="AY73" s="120">
        <v>36</v>
      </c>
      <c r="AZ73" s="107"/>
      <c r="BA73" s="107"/>
      <c r="BB73" s="107"/>
      <c r="BC73" s="118" t="str">
        <f t="shared" si="6"/>
        <v/>
      </c>
      <c r="BD73" s="119" t="str">
        <f>IF(BE73="","",(COUNTIF($P$40:BE73,BE73)-1)*0.0001+BE73)</f>
        <v/>
      </c>
      <c r="BE73" s="45"/>
      <c r="BG73" s="43">
        <v>38</v>
      </c>
      <c r="BH73" s="43">
        <v>0.377</v>
      </c>
    </row>
    <row r="74" spans="2:60" x14ac:dyDescent="0.25">
      <c r="B74" s="120">
        <v>37</v>
      </c>
      <c r="C74" s="105"/>
      <c r="D74" s="107"/>
      <c r="E74" s="107"/>
      <c r="F74" s="116" t="str">
        <f t="shared" si="0"/>
        <v/>
      </c>
      <c r="G74" s="117" t="str">
        <f>IF(H74="","",(COUNTIF($H$40:H74,H74)-1)*0.0001+H74)</f>
        <v/>
      </c>
      <c r="H74" s="45"/>
      <c r="J74" s="120">
        <v>37</v>
      </c>
      <c r="K74" s="107"/>
      <c r="L74" s="107"/>
      <c r="M74" s="107"/>
      <c r="N74" s="118" t="str">
        <f t="shared" si="1"/>
        <v/>
      </c>
      <c r="O74" s="119" t="str">
        <f>IF(P74="","",(COUNTIF($P$40:P74,P74)-1)*0.0001+P74)</f>
        <v/>
      </c>
      <c r="P74" s="45"/>
      <c r="R74" s="120">
        <v>37</v>
      </c>
      <c r="S74" s="106"/>
      <c r="T74" s="106"/>
      <c r="U74" s="106"/>
      <c r="V74" s="116" t="str">
        <f t="shared" si="2"/>
        <v/>
      </c>
      <c r="W74" s="117" t="str">
        <f>IF(X74="","",(COUNTIF($X$40:X74,X74)-1)*0.0001+X74)</f>
        <v/>
      </c>
      <c r="X74" s="108"/>
      <c r="Z74" s="120">
        <v>37</v>
      </c>
      <c r="AA74" s="107"/>
      <c r="AB74" s="107"/>
      <c r="AC74" s="107"/>
      <c r="AD74" s="116" t="str">
        <f t="shared" si="3"/>
        <v/>
      </c>
      <c r="AE74" s="117" t="str">
        <f>IF(AF74="","",(COUNTIF($AF$40:AF74,AF74)-1)*0.0001+AF74)</f>
        <v/>
      </c>
      <c r="AF74" s="45"/>
      <c r="AH74" s="120">
        <v>37</v>
      </c>
      <c r="AI74" s="106"/>
      <c r="AJ74" s="106"/>
      <c r="AK74" s="106"/>
      <c r="AL74" s="116" t="str">
        <f t="shared" si="4"/>
        <v/>
      </c>
      <c r="AM74" s="117" t="str">
        <f>IF(AN74="","",(COUNTIF($AN$40:AN74,AN74)-1)*0.0001+AN74)</f>
        <v/>
      </c>
      <c r="AN74" s="108"/>
      <c r="AP74" s="170">
        <v>37</v>
      </c>
      <c r="AQ74" s="107"/>
      <c r="AR74" s="107"/>
      <c r="AS74" s="107"/>
      <c r="AT74" s="116" t="str">
        <f t="shared" si="5"/>
        <v/>
      </c>
      <c r="AU74" s="117" t="str">
        <f>IF(AV74="","",(COUNTIF($AV$40:AV74,AV74)-1)*0.0001+AV74)</f>
        <v/>
      </c>
      <c r="AV74" s="108"/>
      <c r="AY74" s="120">
        <v>37</v>
      </c>
      <c r="AZ74" s="107"/>
      <c r="BA74" s="107"/>
      <c r="BB74" s="107"/>
      <c r="BC74" s="118" t="str">
        <f t="shared" si="6"/>
        <v/>
      </c>
      <c r="BD74" s="119" t="str">
        <f>IF(BE74="","",(COUNTIF($P$40:BE74,BE74)-1)*0.0001+BE74)</f>
        <v/>
      </c>
      <c r="BE74" s="45"/>
      <c r="BG74" s="43">
        <v>39</v>
      </c>
      <c r="BH74" s="43">
        <v>0.374</v>
      </c>
    </row>
    <row r="75" spans="2:60" x14ac:dyDescent="0.25">
      <c r="B75" s="120">
        <v>38</v>
      </c>
      <c r="C75" s="105"/>
      <c r="D75" s="107"/>
      <c r="E75" s="107"/>
      <c r="F75" s="116" t="str">
        <f t="shared" si="0"/>
        <v/>
      </c>
      <c r="G75" s="117" t="str">
        <f>IF(H75="","",(COUNTIF($H$40:H75,H75)-1)*0.0001+H75)</f>
        <v/>
      </c>
      <c r="H75" s="45"/>
      <c r="J75" s="120">
        <v>38</v>
      </c>
      <c r="K75" s="107"/>
      <c r="L75" s="107"/>
      <c r="M75" s="107"/>
      <c r="N75" s="118" t="str">
        <f t="shared" si="1"/>
        <v/>
      </c>
      <c r="O75" s="119" t="str">
        <f>IF(P75="","",(COUNTIF($P$40:P75,P75)-1)*0.0001+P75)</f>
        <v/>
      </c>
      <c r="P75" s="45"/>
      <c r="R75" s="120">
        <v>38</v>
      </c>
      <c r="S75" s="106"/>
      <c r="T75" s="106"/>
      <c r="U75" s="106"/>
      <c r="V75" s="116" t="str">
        <f t="shared" si="2"/>
        <v/>
      </c>
      <c r="W75" s="117" t="str">
        <f>IF(X75="","",(COUNTIF($X$40:X75,X75)-1)*0.0001+X75)</f>
        <v/>
      </c>
      <c r="X75" s="108"/>
      <c r="Z75" s="120">
        <v>38</v>
      </c>
      <c r="AA75" s="107"/>
      <c r="AB75" s="107"/>
      <c r="AC75" s="107"/>
      <c r="AD75" s="116" t="str">
        <f t="shared" si="3"/>
        <v/>
      </c>
      <c r="AE75" s="117" t="str">
        <f>IF(AF75="","",(COUNTIF($AF$40:AF75,AF75)-1)*0.0001+AF75)</f>
        <v/>
      </c>
      <c r="AF75" s="45"/>
      <c r="AH75" s="120">
        <v>38</v>
      </c>
      <c r="AI75" s="106"/>
      <c r="AJ75" s="106"/>
      <c r="AK75" s="106"/>
      <c r="AL75" s="116" t="str">
        <f t="shared" si="4"/>
        <v/>
      </c>
      <c r="AM75" s="117" t="str">
        <f>IF(AN75="","",(COUNTIF($AN$40:AN75,AN75)-1)*0.0001+AN75)</f>
        <v/>
      </c>
      <c r="AN75" s="108"/>
      <c r="AP75" s="170">
        <v>38</v>
      </c>
      <c r="AQ75" s="107"/>
      <c r="AR75" s="107"/>
      <c r="AS75" s="107"/>
      <c r="AT75" s="116" t="str">
        <f t="shared" si="5"/>
        <v/>
      </c>
      <c r="AU75" s="117" t="str">
        <f>IF(AV75="","",(COUNTIF($AV$40:AV75,AV75)-1)*0.0001+AV75)</f>
        <v/>
      </c>
      <c r="AV75" s="108"/>
      <c r="AY75" s="120">
        <v>38</v>
      </c>
      <c r="AZ75" s="107"/>
      <c r="BA75" s="107"/>
      <c r="BB75" s="107"/>
      <c r="BC75" s="118" t="str">
        <f t="shared" si="6"/>
        <v/>
      </c>
      <c r="BD75" s="119" t="str">
        <f>IF(BE75="","",(COUNTIF($P$40:BE75,BE75)-1)*0.0001+BE75)</f>
        <v/>
      </c>
      <c r="BE75" s="45"/>
      <c r="BG75" s="43">
        <v>40</v>
      </c>
      <c r="BH75" s="43">
        <v>0.371</v>
      </c>
    </row>
    <row r="76" spans="2:60" x14ac:dyDescent="0.25">
      <c r="B76" s="120">
        <v>39</v>
      </c>
      <c r="C76" s="105"/>
      <c r="D76" s="107"/>
      <c r="E76" s="107"/>
      <c r="F76" s="116" t="str">
        <f t="shared" si="0"/>
        <v/>
      </c>
      <c r="G76" s="117" t="str">
        <f>IF(H76="","",(COUNTIF($H$40:H76,H76)-1)*0.0001+H76)</f>
        <v/>
      </c>
      <c r="H76" s="45"/>
      <c r="J76" s="120">
        <v>39</v>
      </c>
      <c r="K76" s="107"/>
      <c r="L76" s="107"/>
      <c r="M76" s="107"/>
      <c r="N76" s="118" t="str">
        <f t="shared" si="1"/>
        <v/>
      </c>
      <c r="O76" s="119" t="str">
        <f>IF(P76="","",(COUNTIF($P$40:P76,P76)-1)*0.0001+P76)</f>
        <v/>
      </c>
      <c r="P76" s="45"/>
      <c r="R76" s="120">
        <v>39</v>
      </c>
      <c r="S76" s="106"/>
      <c r="T76" s="106"/>
      <c r="U76" s="106"/>
      <c r="V76" s="116" t="str">
        <f t="shared" si="2"/>
        <v/>
      </c>
      <c r="W76" s="117" t="str">
        <f>IF(X76="","",(COUNTIF($X$40:X76,X76)-1)*0.0001+X76)</f>
        <v/>
      </c>
      <c r="X76" s="108"/>
      <c r="Z76" s="120">
        <v>39</v>
      </c>
      <c r="AA76" s="107"/>
      <c r="AB76" s="107"/>
      <c r="AC76" s="107"/>
      <c r="AD76" s="116" t="str">
        <f t="shared" si="3"/>
        <v/>
      </c>
      <c r="AE76" s="117" t="str">
        <f>IF(AF76="","",(COUNTIF($AF$40:AF76,AF76)-1)*0.0001+AF76)</f>
        <v/>
      </c>
      <c r="AF76" s="45"/>
      <c r="AH76" s="120">
        <v>39</v>
      </c>
      <c r="AI76" s="106"/>
      <c r="AJ76" s="106"/>
      <c r="AK76" s="106"/>
      <c r="AL76" s="116" t="str">
        <f t="shared" si="4"/>
        <v/>
      </c>
      <c r="AM76" s="117" t="str">
        <f>IF(AN76="","",(COUNTIF($AN$40:AN76,AN76)-1)*0.0001+AN76)</f>
        <v/>
      </c>
      <c r="AN76" s="108"/>
      <c r="AP76" s="170">
        <v>39</v>
      </c>
      <c r="AQ76" s="107"/>
      <c r="AR76" s="107"/>
      <c r="AS76" s="107"/>
      <c r="AT76" s="116" t="str">
        <f t="shared" si="5"/>
        <v/>
      </c>
      <c r="AU76" s="117" t="str">
        <f>IF(AV76="","",(COUNTIF($AV$40:AV76,AV76)-1)*0.0001+AV76)</f>
        <v/>
      </c>
      <c r="AV76" s="108"/>
      <c r="AY76" s="120">
        <v>39</v>
      </c>
      <c r="AZ76" s="107"/>
      <c r="BA76" s="107"/>
      <c r="BB76" s="107"/>
      <c r="BC76" s="118" t="str">
        <f t="shared" si="6"/>
        <v/>
      </c>
      <c r="BD76" s="119" t="str">
        <f>IF(BE76="","",(COUNTIF($P$40:BE76,BE76)-1)*0.0001+BE76)</f>
        <v/>
      </c>
      <c r="BE76" s="45"/>
      <c r="BG76" s="43">
        <v>41</v>
      </c>
      <c r="BH76" s="43">
        <v>0.371</v>
      </c>
    </row>
    <row r="77" spans="2:60" x14ac:dyDescent="0.25">
      <c r="B77" s="120">
        <v>40</v>
      </c>
      <c r="C77" s="105"/>
      <c r="D77" s="107"/>
      <c r="E77" s="107"/>
      <c r="F77" s="116" t="str">
        <f t="shared" si="0"/>
        <v/>
      </c>
      <c r="G77" s="117" t="str">
        <f>IF(H77="","",(COUNTIF($H$40:H77,H77)-1)*0.0001+H77)</f>
        <v/>
      </c>
      <c r="H77" s="45"/>
      <c r="J77" s="120">
        <v>40</v>
      </c>
      <c r="K77" s="107"/>
      <c r="L77" s="107"/>
      <c r="M77" s="107"/>
      <c r="N77" s="118" t="str">
        <f t="shared" si="1"/>
        <v/>
      </c>
      <c r="O77" s="119" t="str">
        <f>IF(P77="","",(COUNTIF($P$40:P77,P77)-1)*0.0001+P77)</f>
        <v/>
      </c>
      <c r="P77" s="45"/>
      <c r="R77" s="120">
        <v>40</v>
      </c>
      <c r="S77" s="106"/>
      <c r="T77" s="106"/>
      <c r="U77" s="106"/>
      <c r="V77" s="116" t="str">
        <f t="shared" si="2"/>
        <v/>
      </c>
      <c r="W77" s="117" t="str">
        <f>IF(X77="","",(COUNTIF($X$40:X77,X77)-1)*0.0001+X77)</f>
        <v/>
      </c>
      <c r="X77" s="108"/>
      <c r="Z77" s="120">
        <v>40</v>
      </c>
      <c r="AA77" s="107"/>
      <c r="AB77" s="107"/>
      <c r="AC77" s="107"/>
      <c r="AD77" s="116" t="str">
        <f t="shared" si="3"/>
        <v/>
      </c>
      <c r="AE77" s="117" t="str">
        <f>IF(AF77="","",(COUNTIF($AF$40:AF77,AF77)-1)*0.0001+AF77)</f>
        <v/>
      </c>
      <c r="AF77" s="45"/>
      <c r="AH77" s="120">
        <v>40</v>
      </c>
      <c r="AI77" s="106"/>
      <c r="AJ77" s="106"/>
      <c r="AK77" s="106"/>
      <c r="AL77" s="116" t="str">
        <f t="shared" si="4"/>
        <v/>
      </c>
      <c r="AM77" s="117" t="str">
        <f>IF(AN77="","",(COUNTIF($AN$40:AN77,AN77)-1)*0.0001+AN77)</f>
        <v/>
      </c>
      <c r="AN77" s="108"/>
      <c r="AP77" s="170">
        <v>40</v>
      </c>
      <c r="AQ77" s="107"/>
      <c r="AR77" s="107"/>
      <c r="AS77" s="107"/>
      <c r="AT77" s="116" t="str">
        <f t="shared" si="5"/>
        <v/>
      </c>
      <c r="AU77" s="117" t="str">
        <f>IF(AV77="","",(COUNTIF($AV$40:AV77,AV77)-1)*0.0001+AV77)</f>
        <v/>
      </c>
      <c r="AV77" s="108"/>
      <c r="AY77" s="120">
        <v>40</v>
      </c>
      <c r="AZ77" s="107"/>
      <c r="BA77" s="107"/>
      <c r="BB77" s="107"/>
      <c r="BC77" s="118" t="str">
        <f t="shared" si="6"/>
        <v/>
      </c>
      <c r="BD77" s="119" t="str">
        <f>IF(BE77="","",(COUNTIF($P$40:BE77,BE77)-1)*0.0001+BE77)</f>
        <v/>
      </c>
      <c r="BE77" s="45"/>
      <c r="BG77" s="43">
        <v>42</v>
      </c>
      <c r="BH77" s="43">
        <v>0.371</v>
      </c>
    </row>
    <row r="78" spans="2:60" x14ac:dyDescent="0.25">
      <c r="B78" s="120">
        <v>41</v>
      </c>
      <c r="C78" s="105"/>
      <c r="D78" s="107"/>
      <c r="E78" s="107"/>
      <c r="F78" s="116" t="str">
        <f t="shared" si="0"/>
        <v/>
      </c>
      <c r="G78" s="117" t="str">
        <f>IF(H78="","",(COUNTIF($H$40:H78,H78)-1)*0.0001+H78)</f>
        <v/>
      </c>
      <c r="H78" s="45"/>
      <c r="J78" s="120">
        <v>41</v>
      </c>
      <c r="K78" s="107"/>
      <c r="L78" s="107"/>
      <c r="M78" s="107"/>
      <c r="N78" s="118" t="str">
        <f t="shared" si="1"/>
        <v/>
      </c>
      <c r="O78" s="119" t="str">
        <f>IF(P78="","",(COUNTIF($P$40:P78,P78)-1)*0.0001+P78)</f>
        <v/>
      </c>
      <c r="P78" s="45"/>
      <c r="R78" s="120">
        <v>41</v>
      </c>
      <c r="S78" s="106"/>
      <c r="T78" s="106"/>
      <c r="U78" s="106"/>
      <c r="V78" s="116" t="str">
        <f t="shared" si="2"/>
        <v/>
      </c>
      <c r="W78" s="117" t="str">
        <f>IF(X78="","",(COUNTIF($X$40:X78,X78)-1)*0.0001+X78)</f>
        <v/>
      </c>
      <c r="X78" s="108"/>
      <c r="Z78" s="120">
        <v>41</v>
      </c>
      <c r="AA78" s="107"/>
      <c r="AB78" s="107"/>
      <c r="AC78" s="107"/>
      <c r="AD78" s="116" t="str">
        <f t="shared" si="3"/>
        <v/>
      </c>
      <c r="AE78" s="117" t="str">
        <f>IF(AF78="","",(COUNTIF($AF$40:AF78,AF78)-1)*0.0001+AF78)</f>
        <v/>
      </c>
      <c r="AF78" s="45"/>
      <c r="AH78" s="120">
        <v>41</v>
      </c>
      <c r="AI78" s="106"/>
      <c r="AJ78" s="106"/>
      <c r="AK78" s="106"/>
      <c r="AL78" s="116" t="str">
        <f t="shared" si="4"/>
        <v/>
      </c>
      <c r="AM78" s="117" t="str">
        <f>IF(AN78="","",(COUNTIF($AN$40:AN78,AN78)-1)*0.0001+AN78)</f>
        <v/>
      </c>
      <c r="AN78" s="108"/>
      <c r="AP78" s="170">
        <v>41</v>
      </c>
      <c r="AQ78" s="107"/>
      <c r="AR78" s="107"/>
      <c r="AS78" s="107"/>
      <c r="AT78" s="116" t="str">
        <f t="shared" si="5"/>
        <v/>
      </c>
      <c r="AU78" s="117" t="str">
        <f>IF(AV78="","",(COUNTIF($AV$40:AV78,AV78)-1)*0.0001+AV78)</f>
        <v/>
      </c>
      <c r="AV78" s="45"/>
      <c r="AY78" s="120">
        <v>41</v>
      </c>
      <c r="AZ78" s="107"/>
      <c r="BA78" s="107"/>
      <c r="BB78" s="107"/>
      <c r="BC78" s="118" t="str">
        <f t="shared" si="6"/>
        <v/>
      </c>
      <c r="BD78" s="119" t="str">
        <f>IF(BE78="","",(COUNTIF($P$40:BE78,BE78)-1)*0.0001+BE78)</f>
        <v/>
      </c>
      <c r="BE78" s="45"/>
      <c r="BG78" s="43">
        <v>43</v>
      </c>
      <c r="BH78" s="43">
        <v>0.371</v>
      </c>
    </row>
    <row r="79" spans="2:60" x14ac:dyDescent="0.25">
      <c r="B79" s="120">
        <v>42</v>
      </c>
      <c r="C79" s="105"/>
      <c r="D79" s="107"/>
      <c r="E79" s="107"/>
      <c r="F79" s="116" t="str">
        <f t="shared" si="0"/>
        <v/>
      </c>
      <c r="G79" s="117" t="str">
        <f>IF(H79="","",(COUNTIF($H$40:H79,H79)-1)*0.0001+H79)</f>
        <v/>
      </c>
      <c r="H79" s="45"/>
      <c r="J79" s="120">
        <v>42</v>
      </c>
      <c r="K79" s="107"/>
      <c r="L79" s="107"/>
      <c r="M79" s="107"/>
      <c r="N79" s="118" t="str">
        <f t="shared" si="1"/>
        <v/>
      </c>
      <c r="O79" s="119" t="str">
        <f>IF(P79="","",(COUNTIF($P$40:P79,P79)-1)*0.0001+P79)</f>
        <v/>
      </c>
      <c r="P79" s="45"/>
      <c r="R79" s="120">
        <v>42</v>
      </c>
      <c r="S79" s="106"/>
      <c r="T79" s="106"/>
      <c r="U79" s="106"/>
      <c r="V79" s="116" t="str">
        <f t="shared" si="2"/>
        <v/>
      </c>
      <c r="W79" s="117" t="str">
        <f>IF(X79="","",(COUNTIF($X$40:X79,X79)-1)*0.0001+X79)</f>
        <v/>
      </c>
      <c r="X79" s="108"/>
      <c r="Z79" s="120">
        <v>42</v>
      </c>
      <c r="AA79" s="107"/>
      <c r="AB79" s="107"/>
      <c r="AC79" s="107"/>
      <c r="AD79" s="116" t="str">
        <f t="shared" si="3"/>
        <v/>
      </c>
      <c r="AE79" s="117" t="str">
        <f>IF(AF79="","",(COUNTIF($AF$40:AF79,AF79)-1)*0.0001+AF79)</f>
        <v/>
      </c>
      <c r="AF79" s="45"/>
      <c r="AH79" s="120">
        <v>42</v>
      </c>
      <c r="AI79" s="106"/>
      <c r="AJ79" s="106"/>
      <c r="AK79" s="106"/>
      <c r="AL79" s="116" t="str">
        <f t="shared" si="4"/>
        <v/>
      </c>
      <c r="AM79" s="117" t="str">
        <f>IF(AN79="","",(COUNTIF($AN$40:AN79,AN79)-1)*0.0001+AN79)</f>
        <v/>
      </c>
      <c r="AN79" s="108"/>
      <c r="AP79" s="170">
        <v>42</v>
      </c>
      <c r="AQ79" s="107"/>
      <c r="AR79" s="107"/>
      <c r="AS79" s="107"/>
      <c r="AT79" s="116" t="str">
        <f t="shared" si="5"/>
        <v/>
      </c>
      <c r="AU79" s="117" t="str">
        <f>IF(AV79="","",(COUNTIF($AV$40:AV79,AV79)-1)*0.0001+AV79)</f>
        <v/>
      </c>
      <c r="AV79" s="45"/>
      <c r="AY79" s="120">
        <v>42</v>
      </c>
      <c r="AZ79" s="107"/>
      <c r="BA79" s="107"/>
      <c r="BB79" s="107"/>
      <c r="BC79" s="118" t="str">
        <f t="shared" si="6"/>
        <v/>
      </c>
      <c r="BD79" s="119" t="str">
        <f>IF(BE79="","",(COUNTIF($P$40:BE79,BE79)-1)*0.0001+BE79)</f>
        <v/>
      </c>
      <c r="BE79" s="45"/>
      <c r="BG79" s="43">
        <v>44</v>
      </c>
      <c r="BH79" s="43">
        <v>0.371</v>
      </c>
    </row>
    <row r="80" spans="2:60" x14ac:dyDescent="0.25">
      <c r="B80" s="120">
        <v>43</v>
      </c>
      <c r="C80" s="105"/>
      <c r="D80" s="107"/>
      <c r="E80" s="107"/>
      <c r="F80" s="116" t="str">
        <f t="shared" si="0"/>
        <v/>
      </c>
      <c r="G80" s="117" t="str">
        <f>IF(H80="","",(COUNTIF($H$40:H80,H80)-1)*0.0001+H80)</f>
        <v/>
      </c>
      <c r="H80" s="45"/>
      <c r="J80" s="120">
        <v>43</v>
      </c>
      <c r="K80" s="107"/>
      <c r="L80" s="107"/>
      <c r="M80" s="107"/>
      <c r="N80" s="118" t="str">
        <f t="shared" si="1"/>
        <v/>
      </c>
      <c r="O80" s="119" t="str">
        <f>IF(P80="","",(COUNTIF($P$40:P80,P80)-1)*0.0001+P80)</f>
        <v/>
      </c>
      <c r="P80" s="45"/>
      <c r="R80" s="120">
        <v>43</v>
      </c>
      <c r="S80" s="106"/>
      <c r="T80" s="106"/>
      <c r="U80" s="106"/>
      <c r="V80" s="116" t="str">
        <f t="shared" si="2"/>
        <v/>
      </c>
      <c r="W80" s="117" t="str">
        <f>IF(X80="","",(COUNTIF($X$40:X80,X80)-1)*0.0001+X80)</f>
        <v/>
      </c>
      <c r="X80" s="108"/>
      <c r="Z80" s="120">
        <v>43</v>
      </c>
      <c r="AA80" s="107"/>
      <c r="AB80" s="107"/>
      <c r="AC80" s="107"/>
      <c r="AD80" s="116" t="str">
        <f t="shared" si="3"/>
        <v/>
      </c>
      <c r="AE80" s="117" t="str">
        <f>IF(AF80="","",(COUNTIF($AF$40:AF80,AF80)-1)*0.0001+AF80)</f>
        <v/>
      </c>
      <c r="AF80" s="45"/>
      <c r="AH80" s="120">
        <v>43</v>
      </c>
      <c r="AI80" s="106"/>
      <c r="AJ80" s="106"/>
      <c r="AK80" s="106"/>
      <c r="AL80" s="116" t="str">
        <f t="shared" si="4"/>
        <v/>
      </c>
      <c r="AM80" s="117" t="str">
        <f>IF(AN80="","",(COUNTIF($AN$40:AN80,AN80)-1)*0.0001+AN80)</f>
        <v/>
      </c>
      <c r="AN80" s="108"/>
      <c r="AP80" s="170">
        <v>43</v>
      </c>
      <c r="AQ80" s="107"/>
      <c r="AR80" s="107"/>
      <c r="AS80" s="107"/>
      <c r="AT80" s="116" t="str">
        <f t="shared" si="5"/>
        <v/>
      </c>
      <c r="AU80" s="117" t="str">
        <f>IF(AV80="","",(COUNTIF($AV$40:AV80,AV80)-1)*0.0001+AV80)</f>
        <v/>
      </c>
      <c r="AV80" s="45"/>
      <c r="AY80" s="120">
        <v>43</v>
      </c>
      <c r="AZ80" s="107"/>
      <c r="BA80" s="107"/>
      <c r="BB80" s="107"/>
      <c r="BC80" s="118" t="str">
        <f t="shared" si="6"/>
        <v/>
      </c>
      <c r="BD80" s="119" t="str">
        <f>IF(BE80="","",(COUNTIF($P$40:BE80,BE80)-1)*0.0001+BE80)</f>
        <v/>
      </c>
      <c r="BE80" s="45"/>
      <c r="BG80" s="43">
        <v>45</v>
      </c>
      <c r="BH80" s="43">
        <v>0.371</v>
      </c>
    </row>
    <row r="81" spans="2:60" x14ac:dyDescent="0.25">
      <c r="B81" s="120">
        <v>44</v>
      </c>
      <c r="C81" s="105"/>
      <c r="D81" s="107"/>
      <c r="E81" s="107"/>
      <c r="F81" s="116" t="str">
        <f t="shared" si="0"/>
        <v/>
      </c>
      <c r="G81" s="117" t="str">
        <f>IF(H81="","",(COUNTIF($H$40:H81,H81)-1)*0.0001+H81)</f>
        <v/>
      </c>
      <c r="H81" s="45"/>
      <c r="J81" s="120">
        <v>44</v>
      </c>
      <c r="K81" s="107"/>
      <c r="L81" s="107"/>
      <c r="M81" s="107"/>
      <c r="N81" s="118" t="str">
        <f t="shared" si="1"/>
        <v/>
      </c>
      <c r="O81" s="119" t="str">
        <f>IF(P81="","",(COUNTIF($P$40:P81,P81)-1)*0.0001+P81)</f>
        <v/>
      </c>
      <c r="P81" s="45"/>
      <c r="R81" s="120">
        <v>44</v>
      </c>
      <c r="S81" s="106"/>
      <c r="T81" s="106"/>
      <c r="U81" s="106"/>
      <c r="V81" s="116" t="str">
        <f t="shared" si="2"/>
        <v/>
      </c>
      <c r="W81" s="117" t="str">
        <f>IF(X81="","",(COUNTIF($X$40:X81,X81)-1)*0.0001+X81)</f>
        <v/>
      </c>
      <c r="X81" s="108"/>
      <c r="Z81" s="120">
        <v>44</v>
      </c>
      <c r="AA81" s="107"/>
      <c r="AB81" s="107"/>
      <c r="AC81" s="107"/>
      <c r="AD81" s="116" t="str">
        <f t="shared" si="3"/>
        <v/>
      </c>
      <c r="AE81" s="117" t="str">
        <f>IF(AF81="","",(COUNTIF($AF$40:AF81,AF81)-1)*0.0001+AF81)</f>
        <v/>
      </c>
      <c r="AF81" s="45"/>
      <c r="AH81" s="120">
        <v>44</v>
      </c>
      <c r="AI81" s="106"/>
      <c r="AJ81" s="106"/>
      <c r="AK81" s="106"/>
      <c r="AL81" s="116" t="str">
        <f t="shared" si="4"/>
        <v/>
      </c>
      <c r="AM81" s="117" t="str">
        <f>IF(AN81="","",(COUNTIF($AN$40:AN81,AN81)-1)*0.0001+AN81)</f>
        <v/>
      </c>
      <c r="AN81" s="108"/>
      <c r="AP81" s="170">
        <v>44</v>
      </c>
      <c r="AQ81" s="107"/>
      <c r="AR81" s="107"/>
      <c r="AS81" s="107"/>
      <c r="AT81" s="116" t="str">
        <f t="shared" si="5"/>
        <v/>
      </c>
      <c r="AU81" s="117" t="str">
        <f>IF(AV81="","",(COUNTIF($AV$40:AV81,AV81)-1)*0.0001+AV81)</f>
        <v/>
      </c>
      <c r="AV81" s="45"/>
      <c r="AY81" s="120">
        <v>44</v>
      </c>
      <c r="AZ81" s="107"/>
      <c r="BA81" s="107"/>
      <c r="BB81" s="107"/>
      <c r="BC81" s="118" t="str">
        <f t="shared" si="6"/>
        <v/>
      </c>
      <c r="BD81" s="119" t="str">
        <f>IF(BE81="","",(COUNTIF($P$40:BE81,BE81)-1)*0.0001+BE81)</f>
        <v/>
      </c>
      <c r="BE81" s="45"/>
      <c r="BG81" s="43">
        <v>46</v>
      </c>
      <c r="BH81" s="43">
        <v>0.371</v>
      </c>
    </row>
    <row r="82" spans="2:60" x14ac:dyDescent="0.25">
      <c r="B82" s="120">
        <v>45</v>
      </c>
      <c r="C82" s="105"/>
      <c r="D82" s="107"/>
      <c r="E82" s="107"/>
      <c r="F82" s="116" t="str">
        <f t="shared" si="0"/>
        <v/>
      </c>
      <c r="G82" s="117" t="str">
        <f>IF(H82="","",(COUNTIF($H$40:H82,H82)-1)*0.0001+H82)</f>
        <v/>
      </c>
      <c r="H82" s="45"/>
      <c r="J82" s="120">
        <v>45</v>
      </c>
      <c r="K82" s="107"/>
      <c r="L82" s="107"/>
      <c r="M82" s="107"/>
      <c r="N82" s="118" t="str">
        <f t="shared" si="1"/>
        <v/>
      </c>
      <c r="O82" s="119" t="str">
        <f>IF(P82="","",(COUNTIF($P$40:P82,P82)-1)*0.0001+P82)</f>
        <v/>
      </c>
      <c r="P82" s="45"/>
      <c r="R82" s="120">
        <v>45</v>
      </c>
      <c r="S82" s="106"/>
      <c r="T82" s="106"/>
      <c r="U82" s="106"/>
      <c r="V82" s="116" t="str">
        <f t="shared" si="2"/>
        <v/>
      </c>
      <c r="W82" s="117" t="str">
        <f>IF(X82="","",(COUNTIF($X$40:X82,X82)-1)*0.0001+X82)</f>
        <v/>
      </c>
      <c r="X82" s="108"/>
      <c r="Z82" s="120">
        <v>45</v>
      </c>
      <c r="AA82" s="107"/>
      <c r="AB82" s="107"/>
      <c r="AC82" s="107"/>
      <c r="AD82" s="116" t="str">
        <f t="shared" si="3"/>
        <v/>
      </c>
      <c r="AE82" s="117" t="str">
        <f>IF(AF82="","",(COUNTIF($AF$40:AF82,AF82)-1)*0.0001+AF82)</f>
        <v/>
      </c>
      <c r="AF82" s="45"/>
      <c r="AH82" s="120">
        <v>45</v>
      </c>
      <c r="AI82" s="106"/>
      <c r="AJ82" s="106"/>
      <c r="AK82" s="106"/>
      <c r="AL82" s="116" t="str">
        <f t="shared" si="4"/>
        <v/>
      </c>
      <c r="AM82" s="117" t="str">
        <f>IF(AN82="","",(COUNTIF($AN$40:AN82,AN82)-1)*0.0001+AN82)</f>
        <v/>
      </c>
      <c r="AN82" s="108"/>
      <c r="AP82" s="170">
        <v>45</v>
      </c>
      <c r="AQ82" s="107"/>
      <c r="AR82" s="107"/>
      <c r="AS82" s="107"/>
      <c r="AT82" s="116" t="str">
        <f t="shared" si="5"/>
        <v/>
      </c>
      <c r="AU82" s="117" t="str">
        <f>IF(AV82="","",(COUNTIF($AV$40:AV82,AV82)-1)*0.0001+AV82)</f>
        <v/>
      </c>
      <c r="AV82" s="45"/>
      <c r="AY82" s="120">
        <v>45</v>
      </c>
      <c r="AZ82" s="107"/>
      <c r="BA82" s="107"/>
      <c r="BB82" s="107"/>
      <c r="BC82" s="118" t="str">
        <f t="shared" si="6"/>
        <v/>
      </c>
      <c r="BD82" s="119" t="str">
        <f>IF(BE82="","",(COUNTIF($P$40:BE82,BE82)-1)*0.0001+BE82)</f>
        <v/>
      </c>
      <c r="BE82" s="45"/>
      <c r="BG82" s="43">
        <v>47</v>
      </c>
      <c r="BH82" s="43">
        <v>0.371</v>
      </c>
    </row>
    <row r="83" spans="2:60" x14ac:dyDescent="0.25">
      <c r="B83" s="120">
        <v>46</v>
      </c>
      <c r="C83" s="105"/>
      <c r="D83" s="107"/>
      <c r="E83" s="107"/>
      <c r="F83" s="116" t="str">
        <f t="shared" si="0"/>
        <v/>
      </c>
      <c r="G83" s="117" t="str">
        <f>IF(H83="","",(COUNTIF($H$40:H83,H83)-1)*0.0001+H83)</f>
        <v/>
      </c>
      <c r="H83" s="45"/>
      <c r="J83" s="120">
        <v>46</v>
      </c>
      <c r="K83" s="107"/>
      <c r="L83" s="107"/>
      <c r="M83" s="107"/>
      <c r="N83" s="118" t="str">
        <f t="shared" si="1"/>
        <v/>
      </c>
      <c r="O83" s="119" t="str">
        <f>IF(P83="","",(COUNTIF($P$40:P83,P83)-1)*0.0001+P83)</f>
        <v/>
      </c>
      <c r="P83" s="45"/>
      <c r="R83" s="120">
        <v>46</v>
      </c>
      <c r="S83" s="106"/>
      <c r="T83" s="106"/>
      <c r="U83" s="106"/>
      <c r="V83" s="116" t="str">
        <f t="shared" si="2"/>
        <v/>
      </c>
      <c r="W83" s="117" t="str">
        <f>IF(X83="","",(COUNTIF($X$40:X83,X83)-1)*0.0001+X83)</f>
        <v/>
      </c>
      <c r="X83" s="108"/>
      <c r="Z83" s="120">
        <v>46</v>
      </c>
      <c r="AA83" s="107"/>
      <c r="AB83" s="107"/>
      <c r="AC83" s="107"/>
      <c r="AD83" s="116" t="str">
        <f t="shared" si="3"/>
        <v/>
      </c>
      <c r="AE83" s="117" t="str">
        <f>IF(AF83="","",(COUNTIF($AF$40:AF83,AF83)-1)*0.0001+AF83)</f>
        <v/>
      </c>
      <c r="AF83" s="45"/>
      <c r="AH83" s="120">
        <v>46</v>
      </c>
      <c r="AI83" s="106"/>
      <c r="AJ83" s="106"/>
      <c r="AK83" s="106"/>
      <c r="AL83" s="116" t="str">
        <f t="shared" si="4"/>
        <v/>
      </c>
      <c r="AM83" s="117" t="str">
        <f>IF(AN83="","",(COUNTIF($AN$40:AN83,AN83)-1)*0.0001+AN83)</f>
        <v/>
      </c>
      <c r="AN83" s="108"/>
      <c r="AP83" s="170">
        <v>46</v>
      </c>
      <c r="AQ83" s="107"/>
      <c r="AR83" s="107"/>
      <c r="AS83" s="107"/>
      <c r="AT83" s="116" t="str">
        <f t="shared" si="5"/>
        <v/>
      </c>
      <c r="AU83" s="117" t="str">
        <f>IF(AV83="","",(COUNTIF($AV$40:AV83,AV83)-1)*0.0001+AV83)</f>
        <v/>
      </c>
      <c r="AV83" s="45"/>
      <c r="AY83" s="120">
        <v>46</v>
      </c>
      <c r="AZ83" s="107"/>
      <c r="BA83" s="107"/>
      <c r="BB83" s="107"/>
      <c r="BC83" s="118" t="str">
        <f t="shared" si="6"/>
        <v/>
      </c>
      <c r="BD83" s="119" t="str">
        <f>IF(BE83="","",(COUNTIF($P$40:BE83,BE83)-1)*0.0001+BE83)</f>
        <v/>
      </c>
      <c r="BE83" s="45"/>
      <c r="BG83" s="43">
        <v>48</v>
      </c>
      <c r="BH83" s="43">
        <v>0.371</v>
      </c>
    </row>
    <row r="84" spans="2:60" x14ac:dyDescent="0.25">
      <c r="B84" s="120">
        <v>47</v>
      </c>
      <c r="C84" s="105"/>
      <c r="D84" s="107"/>
      <c r="E84" s="107"/>
      <c r="F84" s="116" t="str">
        <f t="shared" si="0"/>
        <v/>
      </c>
      <c r="G84" s="117" t="str">
        <f>IF(H84="","",(COUNTIF($H$40:H84,H84)-1)*0.0001+H84)</f>
        <v/>
      </c>
      <c r="H84" s="45"/>
      <c r="J84" s="120">
        <v>47</v>
      </c>
      <c r="K84" s="107"/>
      <c r="L84" s="107"/>
      <c r="M84" s="107"/>
      <c r="N84" s="118" t="str">
        <f t="shared" si="1"/>
        <v/>
      </c>
      <c r="O84" s="119" t="str">
        <f>IF(P84="","",(COUNTIF($P$40:P84,P84)-1)*0.0001+P84)</f>
        <v/>
      </c>
      <c r="P84" s="45"/>
      <c r="R84" s="120">
        <v>47</v>
      </c>
      <c r="S84" s="106"/>
      <c r="T84" s="106"/>
      <c r="U84" s="106"/>
      <c r="V84" s="116" t="str">
        <f t="shared" si="2"/>
        <v/>
      </c>
      <c r="W84" s="117" t="str">
        <f>IF(X84="","",(COUNTIF($X$40:X84,X84)-1)*0.0001+X84)</f>
        <v/>
      </c>
      <c r="X84" s="108"/>
      <c r="Z84" s="120">
        <v>47</v>
      </c>
      <c r="AA84" s="107"/>
      <c r="AB84" s="107"/>
      <c r="AC84" s="107"/>
      <c r="AD84" s="116" t="str">
        <f t="shared" si="3"/>
        <v/>
      </c>
      <c r="AE84" s="117" t="str">
        <f>IF(AF84="","",(COUNTIF($AF$40:AF84,AF84)-1)*0.0001+AF84)</f>
        <v/>
      </c>
      <c r="AF84" s="45"/>
      <c r="AH84" s="120">
        <v>47</v>
      </c>
      <c r="AI84" s="106"/>
      <c r="AJ84" s="106"/>
      <c r="AK84" s="106"/>
      <c r="AL84" s="116" t="str">
        <f t="shared" si="4"/>
        <v/>
      </c>
      <c r="AM84" s="117" t="str">
        <f>IF(AN84="","",(COUNTIF($AN$40:AN84,AN84)-1)*0.0001+AN84)</f>
        <v/>
      </c>
      <c r="AN84" s="108"/>
      <c r="AP84" s="170">
        <v>47</v>
      </c>
      <c r="AQ84" s="107"/>
      <c r="AR84" s="107"/>
      <c r="AS84" s="107"/>
      <c r="AT84" s="116" t="str">
        <f t="shared" si="5"/>
        <v/>
      </c>
      <c r="AU84" s="117" t="str">
        <f>IF(AV84="","",(COUNTIF($AV$40:AV84,AV84)-1)*0.0001+AV84)</f>
        <v/>
      </c>
      <c r="AV84" s="45"/>
      <c r="AY84" s="120">
        <v>47</v>
      </c>
      <c r="AZ84" s="107"/>
      <c r="BA84" s="107"/>
      <c r="BB84" s="107"/>
      <c r="BC84" s="118" t="str">
        <f t="shared" si="6"/>
        <v/>
      </c>
      <c r="BD84" s="119" t="str">
        <f>IF(BE84="","",(COUNTIF($P$40:BE84,BE84)-1)*0.0001+BE84)</f>
        <v/>
      </c>
      <c r="BE84" s="45"/>
      <c r="BG84" s="43">
        <v>49</v>
      </c>
      <c r="BH84" s="43">
        <v>0.371</v>
      </c>
    </row>
    <row r="85" spans="2:60" x14ac:dyDescent="0.25">
      <c r="B85" s="120">
        <v>48</v>
      </c>
      <c r="C85" s="105"/>
      <c r="D85" s="107"/>
      <c r="E85" s="107"/>
      <c r="F85" s="116" t="str">
        <f t="shared" si="0"/>
        <v/>
      </c>
      <c r="G85" s="117" t="str">
        <f>IF(H85="","",(COUNTIF($H$40:H85,H85)-1)*0.0001+H85)</f>
        <v/>
      </c>
      <c r="H85" s="45"/>
      <c r="J85" s="120">
        <v>48</v>
      </c>
      <c r="K85" s="107"/>
      <c r="L85" s="107"/>
      <c r="M85" s="107"/>
      <c r="N85" s="118" t="str">
        <f t="shared" si="1"/>
        <v/>
      </c>
      <c r="O85" s="119" t="str">
        <f>IF(P85="","",(COUNTIF($P$40:P85,P85)-1)*0.0001+P85)</f>
        <v/>
      </c>
      <c r="P85" s="45"/>
      <c r="R85" s="120">
        <v>48</v>
      </c>
      <c r="S85" s="106"/>
      <c r="T85" s="106"/>
      <c r="U85" s="106"/>
      <c r="V85" s="116" t="str">
        <f t="shared" si="2"/>
        <v/>
      </c>
      <c r="W85" s="117" t="str">
        <f>IF(X85="","",(COUNTIF($X$40:X85,X85)-1)*0.0001+X85)</f>
        <v/>
      </c>
      <c r="X85" s="108"/>
      <c r="Z85" s="120">
        <v>48</v>
      </c>
      <c r="AA85" s="107"/>
      <c r="AB85" s="107"/>
      <c r="AC85" s="107"/>
      <c r="AD85" s="116" t="str">
        <f t="shared" si="3"/>
        <v/>
      </c>
      <c r="AE85" s="117" t="str">
        <f>IF(AF85="","",(COUNTIF($AF$40:AF85,AF85)-1)*0.0001+AF85)</f>
        <v/>
      </c>
      <c r="AF85" s="45"/>
      <c r="AH85" s="120">
        <v>48</v>
      </c>
      <c r="AI85" s="106"/>
      <c r="AJ85" s="106"/>
      <c r="AK85" s="106"/>
      <c r="AL85" s="116" t="str">
        <f t="shared" si="4"/>
        <v/>
      </c>
      <c r="AM85" s="117" t="str">
        <f>IF(AN85="","",(COUNTIF($AN$40:AN85,AN85)-1)*0.0001+AN85)</f>
        <v/>
      </c>
      <c r="AN85" s="108"/>
      <c r="AP85" s="170">
        <v>48</v>
      </c>
      <c r="AQ85" s="107"/>
      <c r="AR85" s="107"/>
      <c r="AS85" s="107"/>
      <c r="AT85" s="116" t="str">
        <f t="shared" si="5"/>
        <v/>
      </c>
      <c r="AU85" s="117" t="str">
        <f>IF(AV85="","",(COUNTIF($AV$40:AV85,AV85)-1)*0.0001+AV85)</f>
        <v/>
      </c>
      <c r="AV85" s="45"/>
      <c r="AY85" s="120">
        <v>48</v>
      </c>
      <c r="AZ85" s="107"/>
      <c r="BA85" s="107"/>
      <c r="BB85" s="107"/>
      <c r="BC85" s="118" t="str">
        <f t="shared" si="6"/>
        <v/>
      </c>
      <c r="BD85" s="119" t="str">
        <f>IF(BE85="","",(COUNTIF($P$40:BE85,BE85)-1)*0.0001+BE85)</f>
        <v/>
      </c>
      <c r="BE85" s="45"/>
      <c r="BG85" s="43">
        <v>50</v>
      </c>
      <c r="BH85" s="43">
        <v>0.371</v>
      </c>
    </row>
    <row r="86" spans="2:60" x14ac:dyDescent="0.25">
      <c r="B86" s="120">
        <v>49</v>
      </c>
      <c r="C86" s="105"/>
      <c r="D86" s="107"/>
      <c r="E86" s="107"/>
      <c r="F86" s="116" t="str">
        <f t="shared" si="0"/>
        <v/>
      </c>
      <c r="G86" s="117" t="str">
        <f>IF(H86="","",(COUNTIF($H$40:H86,H86)-1)*0.0001+H86)</f>
        <v/>
      </c>
      <c r="H86" s="45"/>
      <c r="J86" s="120">
        <v>49</v>
      </c>
      <c r="K86" s="107"/>
      <c r="L86" s="107"/>
      <c r="M86" s="107"/>
      <c r="N86" s="118" t="str">
        <f t="shared" si="1"/>
        <v/>
      </c>
      <c r="O86" s="119" t="str">
        <f>IF(P86="","",(COUNTIF($P$40:P86,P86)-1)*0.0001+P86)</f>
        <v/>
      </c>
      <c r="P86" s="45"/>
      <c r="R86" s="120">
        <v>49</v>
      </c>
      <c r="S86" s="106"/>
      <c r="T86" s="106"/>
      <c r="U86" s="106"/>
      <c r="V86" s="116" t="str">
        <f t="shared" si="2"/>
        <v/>
      </c>
      <c r="W86" s="117" t="str">
        <f>IF(X86="","",(COUNTIF($X$40:X86,X86)-1)*0.0001+X86)</f>
        <v/>
      </c>
      <c r="X86" s="108"/>
      <c r="Z86" s="120">
        <v>49</v>
      </c>
      <c r="AA86" s="107"/>
      <c r="AB86" s="107"/>
      <c r="AC86" s="107"/>
      <c r="AD86" s="116" t="str">
        <f t="shared" si="3"/>
        <v/>
      </c>
      <c r="AE86" s="117" t="str">
        <f>IF(AF86="","",(COUNTIF($AF$40:AF86,AF86)-1)*0.0001+AF86)</f>
        <v/>
      </c>
      <c r="AF86" s="45"/>
      <c r="AH86" s="120">
        <v>49</v>
      </c>
      <c r="AI86" s="106"/>
      <c r="AJ86" s="106"/>
      <c r="AK86" s="106"/>
      <c r="AL86" s="116" t="str">
        <f t="shared" si="4"/>
        <v/>
      </c>
      <c r="AM86" s="117" t="str">
        <f>IF(AN86="","",(COUNTIF($AN$40:AN86,AN86)-1)*0.0001+AN86)</f>
        <v/>
      </c>
      <c r="AN86" s="108"/>
      <c r="AP86" s="170">
        <v>49</v>
      </c>
      <c r="AQ86" s="107"/>
      <c r="AR86" s="107"/>
      <c r="AS86" s="107"/>
      <c r="AT86" s="116" t="str">
        <f t="shared" si="5"/>
        <v/>
      </c>
      <c r="AU86" s="117" t="str">
        <f>IF(AV86="","",(COUNTIF($AV$40:AV86,AV86)-1)*0.0001+AV86)</f>
        <v/>
      </c>
      <c r="AV86" s="45"/>
      <c r="AY86" s="120">
        <v>49</v>
      </c>
      <c r="AZ86" s="107"/>
      <c r="BA86" s="107"/>
      <c r="BB86" s="107"/>
      <c r="BC86" s="118" t="str">
        <f t="shared" si="6"/>
        <v/>
      </c>
      <c r="BD86" s="119" t="str">
        <f>IF(BE86="","",(COUNTIF($P$40:BE86,BE86)-1)*0.0001+BE86)</f>
        <v/>
      </c>
      <c r="BE86" s="45"/>
      <c r="BH86" s="40"/>
    </row>
    <row r="87" spans="2:60" ht="14.4" thickBot="1" x14ac:dyDescent="0.3">
      <c r="B87" s="155">
        <v>50</v>
      </c>
      <c r="C87" s="156"/>
      <c r="D87" s="157"/>
      <c r="E87" s="157"/>
      <c r="F87" s="158" t="str">
        <f t="shared" si="0"/>
        <v/>
      </c>
      <c r="G87" s="159" t="str">
        <f>IF(H87="","",(COUNTIF($H$40:H87,H87)-1)*0.0001+H87)</f>
        <v/>
      </c>
      <c r="H87" s="160"/>
      <c r="J87" s="155">
        <v>50</v>
      </c>
      <c r="K87" s="157"/>
      <c r="L87" s="157"/>
      <c r="M87" s="157"/>
      <c r="N87" s="165" t="str">
        <f t="shared" si="1"/>
        <v/>
      </c>
      <c r="O87" s="166" t="str">
        <f>IF(P87="","",(COUNTIF($P$40:P87,P87)-1)*0.0001+P87)</f>
        <v/>
      </c>
      <c r="P87" s="160"/>
      <c r="R87" s="155">
        <v>50</v>
      </c>
      <c r="S87" s="167"/>
      <c r="T87" s="167"/>
      <c r="U87" s="167"/>
      <c r="V87" s="158" t="str">
        <f t="shared" si="2"/>
        <v/>
      </c>
      <c r="W87" s="159" t="str">
        <f>IF(X87="","",(COUNTIF($X$40:X87,X87)-1)*0.0001+X87)</f>
        <v/>
      </c>
      <c r="X87" s="168"/>
      <c r="Z87" s="155">
        <v>50</v>
      </c>
      <c r="AA87" s="157"/>
      <c r="AB87" s="157"/>
      <c r="AC87" s="157"/>
      <c r="AD87" s="158" t="str">
        <f t="shared" si="3"/>
        <v/>
      </c>
      <c r="AE87" s="159" t="str">
        <f>IF(AF87="","",(COUNTIF($AF$40:AF87,AF87)-1)*0.0001+AF87)</f>
        <v/>
      </c>
      <c r="AF87" s="160"/>
      <c r="AH87" s="155">
        <v>50</v>
      </c>
      <c r="AI87" s="167"/>
      <c r="AJ87" s="167"/>
      <c r="AK87" s="167"/>
      <c r="AL87" s="158" t="str">
        <f t="shared" si="4"/>
        <v/>
      </c>
      <c r="AM87" s="159" t="str">
        <f>IF(AN87="","",(COUNTIF($AN$40:AN87,AN87)-1)*0.0001+AN87)</f>
        <v/>
      </c>
      <c r="AN87" s="168"/>
      <c r="AP87" s="172">
        <v>50</v>
      </c>
      <c r="AQ87" s="157"/>
      <c r="AR87" s="157"/>
      <c r="AS87" s="157"/>
      <c r="AT87" s="158"/>
      <c r="AU87" s="159"/>
      <c r="AV87" s="160"/>
      <c r="AY87" s="155">
        <v>50</v>
      </c>
      <c r="AZ87" s="157"/>
      <c r="BA87" s="157"/>
      <c r="BB87" s="157"/>
      <c r="BC87" s="165" t="str">
        <f t="shared" si="6"/>
        <v/>
      </c>
      <c r="BD87" s="166" t="str">
        <f>IF(BE87="","",(COUNTIF($P$40:BE87,BE87)-1)*0.0001+BE87)</f>
        <v/>
      </c>
      <c r="BE87" s="160"/>
      <c r="BH87" s="40"/>
    </row>
    <row r="88" spans="2:60" x14ac:dyDescent="0.25">
      <c r="B88" s="161"/>
      <c r="C88" s="162"/>
      <c r="D88" s="162"/>
      <c r="E88" s="560" t="s">
        <v>50</v>
      </c>
      <c r="F88" s="561"/>
      <c r="G88" s="163"/>
      <c r="H88" s="164">
        <f>COUNT(H40:H87)</f>
        <v>26</v>
      </c>
      <c r="J88" s="161"/>
      <c r="K88" s="162"/>
      <c r="L88" s="162"/>
      <c r="M88" s="560" t="s">
        <v>50</v>
      </c>
      <c r="N88" s="561"/>
      <c r="O88" s="163"/>
      <c r="P88" s="164">
        <f>COUNT(P40:P87)</f>
        <v>25</v>
      </c>
      <c r="R88" s="161"/>
      <c r="S88" s="162"/>
      <c r="T88" s="162"/>
      <c r="U88" s="560" t="s">
        <v>50</v>
      </c>
      <c r="V88" s="561"/>
      <c r="W88" s="163"/>
      <c r="X88" s="164">
        <f>COUNT(X40:X87)</f>
        <v>26</v>
      </c>
      <c r="Z88" s="161"/>
      <c r="AA88" s="162"/>
      <c r="AB88" s="162"/>
      <c r="AC88" s="560" t="s">
        <v>50</v>
      </c>
      <c r="AD88" s="561"/>
      <c r="AE88" s="163"/>
      <c r="AF88" s="164">
        <f>COUNT(AF40:AF87)</f>
        <v>26</v>
      </c>
      <c r="AH88" s="161"/>
      <c r="AI88" s="162"/>
      <c r="AJ88" s="162"/>
      <c r="AK88" s="560" t="s">
        <v>50</v>
      </c>
      <c r="AL88" s="561"/>
      <c r="AM88" s="163"/>
      <c r="AN88" s="164">
        <f>COUNT(AN40:AN87)</f>
        <v>26</v>
      </c>
      <c r="AP88" s="161"/>
      <c r="AQ88" s="162"/>
      <c r="AR88" s="162"/>
      <c r="AS88" s="560" t="s">
        <v>50</v>
      </c>
      <c r="AT88" s="561"/>
      <c r="AU88" s="163"/>
      <c r="AV88" s="164">
        <f>COUNT(AV40:AV87)</f>
        <v>26</v>
      </c>
      <c r="AY88" s="161"/>
      <c r="AZ88" s="162"/>
      <c r="BA88" s="162"/>
      <c r="BB88" s="560" t="s">
        <v>50</v>
      </c>
      <c r="BC88" s="561"/>
      <c r="BD88" s="163"/>
      <c r="BE88" s="164">
        <f>COUNT(BE40:BE87)</f>
        <v>0</v>
      </c>
    </row>
    <row r="89" spans="2:60" x14ac:dyDescent="0.25">
      <c r="B89" s="129" t="s">
        <v>170</v>
      </c>
      <c r="C89" s="152"/>
      <c r="D89" s="126"/>
      <c r="E89" s="528" t="s">
        <v>16</v>
      </c>
      <c r="F89" s="529"/>
      <c r="G89" s="127"/>
      <c r="H89" s="130">
        <f>AVERAGE(H40:H87)</f>
        <v>25.89423076923077</v>
      </c>
      <c r="J89" s="129" t="s">
        <v>170</v>
      </c>
      <c r="K89" s="152"/>
      <c r="L89" s="126"/>
      <c r="M89" s="528" t="s">
        <v>16</v>
      </c>
      <c r="N89" s="529"/>
      <c r="O89" s="127"/>
      <c r="P89" s="130">
        <f>AVERAGE(P40:P87)</f>
        <v>0.39</v>
      </c>
      <c r="R89" s="129" t="s">
        <v>170</v>
      </c>
      <c r="S89" s="152"/>
      <c r="T89" s="126"/>
      <c r="U89" s="528" t="s">
        <v>16</v>
      </c>
      <c r="V89" s="529"/>
      <c r="W89" s="127"/>
      <c r="X89" s="130">
        <f>AVERAGE(X40:X87)</f>
        <v>4.1353846153846154</v>
      </c>
      <c r="Z89" s="129" t="s">
        <v>170</v>
      </c>
      <c r="AA89" s="152"/>
      <c r="AB89" s="126"/>
      <c r="AC89" s="528" t="s">
        <v>16</v>
      </c>
      <c r="AD89" s="529"/>
      <c r="AE89" s="127"/>
      <c r="AF89" s="130">
        <f>AVERAGE(AF40:AF87)</f>
        <v>30.407307692307704</v>
      </c>
      <c r="AH89" s="129" t="s">
        <v>170</v>
      </c>
      <c r="AI89" s="152"/>
      <c r="AJ89" s="126"/>
      <c r="AK89" s="528" t="s">
        <v>16</v>
      </c>
      <c r="AL89" s="529"/>
      <c r="AM89" s="127"/>
      <c r="AN89" s="130">
        <f>AVERAGE(AN40:AN87)</f>
        <v>14.19384615384616</v>
      </c>
      <c r="AP89" s="129" t="s">
        <v>170</v>
      </c>
      <c r="AQ89" s="152"/>
      <c r="AR89" s="126"/>
      <c r="AS89" s="528" t="s">
        <v>16</v>
      </c>
      <c r="AT89" s="529"/>
      <c r="AU89" s="127"/>
      <c r="AV89" s="130">
        <f>AVERAGE(AV40:AV87)</f>
        <v>13.753846153846155</v>
      </c>
      <c r="AY89" s="129" t="s">
        <v>170</v>
      </c>
      <c r="AZ89" s="152" t="s">
        <v>169</v>
      </c>
      <c r="BA89" s="126"/>
      <c r="BB89" s="528" t="s">
        <v>16</v>
      </c>
      <c r="BC89" s="529"/>
      <c r="BD89" s="127"/>
      <c r="BE89" s="130" t="e">
        <f>AVERAGE(BE40:BE87)</f>
        <v>#DIV/0!</v>
      </c>
    </row>
    <row r="90" spans="2:60" x14ac:dyDescent="0.25">
      <c r="B90" s="129"/>
      <c r="C90" s="152"/>
      <c r="D90" s="126"/>
      <c r="E90" s="528" t="s">
        <v>23</v>
      </c>
      <c r="F90" s="529"/>
      <c r="G90" s="127"/>
      <c r="H90" s="131">
        <f>STDEV(H40:H87)</f>
        <v>0.12403783541881321</v>
      </c>
      <c r="J90" s="129"/>
      <c r="K90" s="152"/>
      <c r="L90" s="126"/>
      <c r="M90" s="528" t="s">
        <v>23</v>
      </c>
      <c r="N90" s="529"/>
      <c r="O90" s="127"/>
      <c r="P90" s="131">
        <f>STDEV(P40:P87)</f>
        <v>2.7233557730613655E-2</v>
      </c>
      <c r="R90" s="129"/>
      <c r="S90" s="152"/>
      <c r="T90" s="126"/>
      <c r="U90" s="528" t="s">
        <v>23</v>
      </c>
      <c r="V90" s="529"/>
      <c r="W90" s="127"/>
      <c r="X90" s="131">
        <f>STDEV(X40:X87)</f>
        <v>0.18978368252788799</v>
      </c>
      <c r="Z90" s="129"/>
      <c r="AA90" s="152"/>
      <c r="AB90" s="126"/>
      <c r="AC90" s="528" t="s">
        <v>23</v>
      </c>
      <c r="AD90" s="529"/>
      <c r="AE90" s="127"/>
      <c r="AF90" s="131">
        <f>STDEV(AF40:AF87)</f>
        <v>0.26352317078097987</v>
      </c>
      <c r="AH90" s="129"/>
      <c r="AI90" s="152"/>
      <c r="AJ90" s="126"/>
      <c r="AK90" s="528" t="s">
        <v>23</v>
      </c>
      <c r="AL90" s="529"/>
      <c r="AM90" s="127"/>
      <c r="AN90" s="131">
        <f>STDEV(AN40:AN87)</f>
        <v>0.10115639072552673</v>
      </c>
      <c r="AP90" s="129"/>
      <c r="AQ90" s="152"/>
      <c r="AR90" s="126"/>
      <c r="AS90" s="528" t="s">
        <v>23</v>
      </c>
      <c r="AT90" s="529"/>
      <c r="AU90" s="127"/>
      <c r="AV90" s="131">
        <f>STDEV(AV40:AV87)</f>
        <v>0.49495920577822894</v>
      </c>
      <c r="AY90" s="129"/>
      <c r="AZ90" s="152"/>
      <c r="BA90" s="126"/>
      <c r="BB90" s="528" t="s">
        <v>23</v>
      </c>
      <c r="BC90" s="529"/>
      <c r="BD90" s="127"/>
      <c r="BE90" s="131" t="e">
        <f>STDEV(BE40:BE87)</f>
        <v>#DIV/0!</v>
      </c>
    </row>
    <row r="91" spans="2:60" x14ac:dyDescent="0.25">
      <c r="B91" s="125"/>
      <c r="C91" s="106"/>
      <c r="D91" s="126"/>
      <c r="E91" s="528" t="s">
        <v>52</v>
      </c>
      <c r="F91" s="529"/>
      <c r="G91" s="127"/>
      <c r="H91" s="132">
        <f>MIN(H40:H87)</f>
        <v>25.59</v>
      </c>
      <c r="J91" s="129"/>
      <c r="K91" s="106"/>
      <c r="L91" s="126"/>
      <c r="M91" s="528" t="s">
        <v>52</v>
      </c>
      <c r="N91" s="529"/>
      <c r="O91" s="127"/>
      <c r="P91" s="132">
        <f>MIN(P40:P87)</f>
        <v>0.35</v>
      </c>
      <c r="R91" s="129"/>
      <c r="S91" s="106"/>
      <c r="T91" s="126"/>
      <c r="U91" s="528" t="s">
        <v>52</v>
      </c>
      <c r="V91" s="529"/>
      <c r="W91" s="127"/>
      <c r="X91" s="132">
        <f>MIN(X40:X87)</f>
        <v>3.8</v>
      </c>
      <c r="Z91" s="129"/>
      <c r="AA91" s="152"/>
      <c r="AB91" s="126"/>
      <c r="AC91" s="528" t="s">
        <v>52</v>
      </c>
      <c r="AD91" s="529"/>
      <c r="AE91" s="127"/>
      <c r="AF91" s="132">
        <f>MIN(AF40:AF87)</f>
        <v>30</v>
      </c>
      <c r="AH91" s="125"/>
      <c r="AI91" s="152"/>
      <c r="AJ91" s="126"/>
      <c r="AK91" s="528" t="s">
        <v>52</v>
      </c>
      <c r="AL91" s="529"/>
      <c r="AM91" s="127"/>
      <c r="AN91" s="132">
        <f>MIN(AN40:AN87)</f>
        <v>14</v>
      </c>
      <c r="AP91" s="129"/>
      <c r="AQ91" s="152"/>
      <c r="AR91" s="126"/>
      <c r="AS91" s="528" t="s">
        <v>52</v>
      </c>
      <c r="AT91" s="529"/>
      <c r="AU91" s="127"/>
      <c r="AV91" s="132">
        <f>MIN(AV40:AV87)</f>
        <v>13.1</v>
      </c>
      <c r="AY91" s="129"/>
      <c r="AZ91" s="106"/>
      <c r="BA91" s="126"/>
      <c r="BB91" s="528" t="s">
        <v>52</v>
      </c>
      <c r="BC91" s="529"/>
      <c r="BD91" s="127"/>
      <c r="BE91" s="132">
        <f>MIN(BE40:BE87)</f>
        <v>0</v>
      </c>
    </row>
    <row r="92" spans="2:60" x14ac:dyDescent="0.25">
      <c r="B92" s="125"/>
      <c r="C92" s="106"/>
      <c r="D92" s="126"/>
      <c r="E92" s="528" t="s">
        <v>53</v>
      </c>
      <c r="F92" s="529"/>
      <c r="G92" s="127"/>
      <c r="H92" s="132">
        <f>MAX(H40:H87)</f>
        <v>26.02</v>
      </c>
      <c r="J92" s="129"/>
      <c r="K92" s="106"/>
      <c r="L92" s="126"/>
      <c r="M92" s="528" t="s">
        <v>53</v>
      </c>
      <c r="N92" s="529"/>
      <c r="O92" s="127"/>
      <c r="P92" s="132">
        <f>MAX(P40:P87)</f>
        <v>0.45</v>
      </c>
      <c r="R92" s="129"/>
      <c r="S92" s="106"/>
      <c r="T92" s="126"/>
      <c r="U92" s="528" t="s">
        <v>53</v>
      </c>
      <c r="V92" s="529"/>
      <c r="W92" s="127"/>
      <c r="X92" s="132">
        <f>MAX(X40:X87)</f>
        <v>4.5999999999999996</v>
      </c>
      <c r="Z92" s="125"/>
      <c r="AA92" s="106"/>
      <c r="AB92" s="126"/>
      <c r="AC92" s="528" t="s">
        <v>53</v>
      </c>
      <c r="AD92" s="529"/>
      <c r="AE92" s="127"/>
      <c r="AF92" s="132">
        <f>MAX(AF40:AF87)</f>
        <v>30.9</v>
      </c>
      <c r="AH92" s="125"/>
      <c r="AI92" s="106"/>
      <c r="AJ92" s="126"/>
      <c r="AK92" s="528" t="s">
        <v>53</v>
      </c>
      <c r="AL92" s="529"/>
      <c r="AM92" s="127"/>
      <c r="AN92" s="132">
        <f>MAX(AN40:AN87)</f>
        <v>14.4</v>
      </c>
      <c r="AP92" s="125"/>
      <c r="AQ92" s="106"/>
      <c r="AR92" s="126"/>
      <c r="AS92" s="528" t="s">
        <v>53</v>
      </c>
      <c r="AT92" s="529"/>
      <c r="AU92" s="127"/>
      <c r="AV92" s="132">
        <f>MAX(AV40:AV87)</f>
        <v>14.7</v>
      </c>
      <c r="AY92" s="129"/>
      <c r="AZ92" s="106"/>
      <c r="BA92" s="126"/>
      <c r="BB92" s="528" t="s">
        <v>53</v>
      </c>
      <c r="BC92" s="529"/>
      <c r="BD92" s="127"/>
      <c r="BE92" s="132">
        <f>MAX(BE40:BE87)</f>
        <v>0</v>
      </c>
    </row>
    <row r="93" spans="2:60" x14ac:dyDescent="0.25">
      <c r="B93" s="125"/>
      <c r="C93" s="106"/>
      <c r="D93" s="126"/>
      <c r="E93" s="528" t="s">
        <v>7</v>
      </c>
      <c r="F93" s="529"/>
      <c r="G93" s="127"/>
      <c r="H93" s="132">
        <f>H92-H91</f>
        <v>0.42999999999999972</v>
      </c>
      <c r="J93" s="129"/>
      <c r="K93" s="106"/>
      <c r="L93" s="126"/>
      <c r="M93" s="528" t="s">
        <v>7</v>
      </c>
      <c r="N93" s="529"/>
      <c r="O93" s="127"/>
      <c r="P93" s="132">
        <f>P92-P91</f>
        <v>0.10000000000000003</v>
      </c>
      <c r="R93" s="129"/>
      <c r="S93" s="106"/>
      <c r="T93" s="126"/>
      <c r="U93" s="528" t="s">
        <v>7</v>
      </c>
      <c r="V93" s="529"/>
      <c r="W93" s="127"/>
      <c r="X93" s="132">
        <f>X92-X91</f>
        <v>0.79999999999999982</v>
      </c>
      <c r="Z93" s="125"/>
      <c r="AA93" s="106"/>
      <c r="AB93" s="126"/>
      <c r="AC93" s="528" t="s">
        <v>7</v>
      </c>
      <c r="AD93" s="529"/>
      <c r="AE93" s="127"/>
      <c r="AF93" s="132">
        <f>AF92-AF91</f>
        <v>0.89999999999999858</v>
      </c>
      <c r="AH93" s="125"/>
      <c r="AI93" s="106"/>
      <c r="AJ93" s="126"/>
      <c r="AK93" s="528" t="s">
        <v>7</v>
      </c>
      <c r="AL93" s="529"/>
      <c r="AM93" s="127"/>
      <c r="AN93" s="132">
        <f>AN92-AN91</f>
        <v>0.40000000000000036</v>
      </c>
      <c r="AP93" s="125"/>
      <c r="AQ93" s="106"/>
      <c r="AR93" s="126"/>
      <c r="AS93" s="528" t="s">
        <v>7</v>
      </c>
      <c r="AT93" s="529"/>
      <c r="AU93" s="127"/>
      <c r="AV93" s="132">
        <f>AV92-AV91</f>
        <v>1.5999999999999996</v>
      </c>
      <c r="AY93" s="129"/>
      <c r="AZ93" s="106"/>
      <c r="BA93" s="126"/>
      <c r="BB93" s="528" t="s">
        <v>7</v>
      </c>
      <c r="BC93" s="529"/>
      <c r="BD93" s="127"/>
      <c r="BE93" s="132">
        <f>BE92-BE91</f>
        <v>0</v>
      </c>
    </row>
    <row r="94" spans="2:60" x14ac:dyDescent="0.25">
      <c r="B94" s="125"/>
      <c r="C94" s="106"/>
      <c r="D94" s="126"/>
      <c r="E94" s="528" t="s">
        <v>62</v>
      </c>
      <c r="F94" s="529"/>
      <c r="G94" s="127"/>
      <c r="H94" s="128">
        <f>MIN(F40:F87)</f>
        <v>1</v>
      </c>
      <c r="J94" s="129"/>
      <c r="K94" s="106"/>
      <c r="L94" s="126"/>
      <c r="M94" s="528" t="s">
        <v>62</v>
      </c>
      <c r="N94" s="529"/>
      <c r="O94" s="127"/>
      <c r="P94" s="128">
        <f>MIN(N40:N87)</f>
        <v>1</v>
      </c>
      <c r="R94" s="129"/>
      <c r="S94" s="106"/>
      <c r="T94" s="126"/>
      <c r="U94" s="528" t="s">
        <v>62</v>
      </c>
      <c r="V94" s="529"/>
      <c r="W94" s="127"/>
      <c r="X94" s="128">
        <f>MIN(V40:V87)</f>
        <v>1</v>
      </c>
      <c r="Z94" s="125"/>
      <c r="AA94" s="106"/>
      <c r="AB94" s="126"/>
      <c r="AC94" s="528" t="s">
        <v>62</v>
      </c>
      <c r="AD94" s="529"/>
      <c r="AE94" s="127"/>
      <c r="AF94" s="128">
        <f>MIN(AD40:AD87)</f>
        <v>1</v>
      </c>
      <c r="AH94" s="125"/>
      <c r="AI94" s="106"/>
      <c r="AJ94" s="126"/>
      <c r="AK94" s="528" t="s">
        <v>62</v>
      </c>
      <c r="AL94" s="529"/>
      <c r="AM94" s="127"/>
      <c r="AN94" s="128">
        <f>MIN(AL40:AL87)</f>
        <v>1</v>
      </c>
      <c r="AP94" s="125"/>
      <c r="AQ94" s="106"/>
      <c r="AR94" s="126"/>
      <c r="AS94" s="528" t="s">
        <v>62</v>
      </c>
      <c r="AT94" s="529"/>
      <c r="AU94" s="127"/>
      <c r="AV94" s="128">
        <f>MIN(AT40:AT87)</f>
        <v>1</v>
      </c>
      <c r="AY94" s="129"/>
      <c r="AZ94" s="106"/>
      <c r="BA94" s="126"/>
      <c r="BB94" s="528" t="s">
        <v>62</v>
      </c>
      <c r="BC94" s="529"/>
      <c r="BD94" s="127"/>
      <c r="BE94" s="128">
        <f>MIN(BC40:BC87)</f>
        <v>0</v>
      </c>
    </row>
    <row r="95" spans="2:60" x14ac:dyDescent="0.25">
      <c r="B95" s="125"/>
      <c r="C95" s="106"/>
      <c r="D95" s="126"/>
      <c r="E95" s="528" t="s">
        <v>63</v>
      </c>
      <c r="F95" s="529"/>
      <c r="G95" s="127"/>
      <c r="H95" s="128">
        <f>MAX(F40:F87)</f>
        <v>26</v>
      </c>
      <c r="J95" s="125"/>
      <c r="K95" s="106"/>
      <c r="L95" s="126"/>
      <c r="M95" s="528" t="s">
        <v>63</v>
      </c>
      <c r="N95" s="529"/>
      <c r="O95" s="127"/>
      <c r="P95" s="128">
        <f>MAX(N40:N87)</f>
        <v>25</v>
      </c>
      <c r="R95" s="125"/>
      <c r="S95" s="106"/>
      <c r="T95" s="126"/>
      <c r="U95" s="528" t="s">
        <v>63</v>
      </c>
      <c r="V95" s="529"/>
      <c r="W95" s="127"/>
      <c r="X95" s="128">
        <f>MAX(V40:V87)</f>
        <v>26</v>
      </c>
      <c r="Z95" s="125"/>
      <c r="AA95" s="106"/>
      <c r="AB95" s="126"/>
      <c r="AC95" s="528" t="s">
        <v>63</v>
      </c>
      <c r="AD95" s="529"/>
      <c r="AE95" s="127"/>
      <c r="AF95" s="128">
        <f>MAX(AD40:AD87)</f>
        <v>26</v>
      </c>
      <c r="AH95" s="125"/>
      <c r="AI95" s="106"/>
      <c r="AJ95" s="126"/>
      <c r="AK95" s="528" t="s">
        <v>63</v>
      </c>
      <c r="AL95" s="529"/>
      <c r="AM95" s="127"/>
      <c r="AN95" s="128">
        <f>MAX(AL40:AL87)</f>
        <v>26</v>
      </c>
      <c r="AP95" s="125"/>
      <c r="AQ95" s="106"/>
      <c r="AR95" s="126"/>
      <c r="AS95" s="528" t="s">
        <v>63</v>
      </c>
      <c r="AT95" s="529"/>
      <c r="AU95" s="127"/>
      <c r="AV95" s="128">
        <f>MAX(AT40:AT87)</f>
        <v>26</v>
      </c>
      <c r="AY95" s="125"/>
      <c r="AZ95" s="106"/>
      <c r="BA95" s="126"/>
      <c r="BB95" s="528" t="s">
        <v>63</v>
      </c>
      <c r="BC95" s="529"/>
      <c r="BD95" s="127"/>
      <c r="BE95" s="128">
        <f>MAX(BC40:BC87)</f>
        <v>0</v>
      </c>
    </row>
    <row r="96" spans="2:60" ht="15.6" x14ac:dyDescent="0.35">
      <c r="B96" s="125"/>
      <c r="C96" s="106"/>
      <c r="D96" s="126"/>
      <c r="E96" s="528" t="s">
        <v>65</v>
      </c>
      <c r="F96" s="529"/>
      <c r="G96" s="127"/>
      <c r="H96" s="133">
        <f>(VLOOKUP(H94,F40:H87,3,FALSE)-VLOOKUP((H94+1),F40:H87,3,FALSE))/H93</f>
        <v>2.3255813953483761E-2</v>
      </c>
      <c r="J96" s="125"/>
      <c r="K96" s="106"/>
      <c r="L96" s="126"/>
      <c r="M96" s="528" t="s">
        <v>65</v>
      </c>
      <c r="N96" s="529"/>
      <c r="O96" s="127"/>
      <c r="P96" s="133">
        <f>(VLOOKUP(P94,N40:P87,3,FALSE)-VLOOKUP((P94+1),N40:P87,3,FALSE))/P93</f>
        <v>0.20000000000000012</v>
      </c>
      <c r="R96" s="125"/>
      <c r="S96" s="106"/>
      <c r="T96" s="126"/>
      <c r="U96" s="528" t="s">
        <v>65</v>
      </c>
      <c r="V96" s="529"/>
      <c r="W96" s="127"/>
      <c r="X96" s="133">
        <f>(VLOOKUP(X94,V40:X87,3,FALSE)-VLOOKUP((X94+1),V40:X87,3,FALSE))/X93</f>
        <v>0.24999999999999917</v>
      </c>
      <c r="Z96" s="125"/>
      <c r="AA96" s="106"/>
      <c r="AB96" s="126"/>
      <c r="AC96" s="528" t="s">
        <v>65</v>
      </c>
      <c r="AD96" s="529"/>
      <c r="AE96" s="127"/>
      <c r="AF96" s="133">
        <f>(VLOOKUP(AF94,AD40:AF87,3,FALSE)-VLOOKUP((AF94+1),AD40:AF87,3,FALSE))/AF93</f>
        <v>0.11111111111110891</v>
      </c>
      <c r="AH96" s="125"/>
      <c r="AI96" s="106"/>
      <c r="AJ96" s="126"/>
      <c r="AK96" s="528" t="s">
        <v>65</v>
      </c>
      <c r="AL96" s="529"/>
      <c r="AM96" s="127"/>
      <c r="AN96" s="133">
        <f>(VLOOKUP(AN94,AL40:AN87,3,FALSE)-VLOOKUP((AN94+1),AL40:AN87,3,FALSE))/AN93</f>
        <v>0.1500000000000011</v>
      </c>
      <c r="AP96" s="125"/>
      <c r="AQ96" s="106"/>
      <c r="AR96" s="126"/>
      <c r="AS96" s="528" t="s">
        <v>65</v>
      </c>
      <c r="AT96" s="529"/>
      <c r="AU96" s="127"/>
      <c r="AV96" s="133">
        <f>(VLOOKUP(AV94,AT40:AV87,3,FALSE)-VLOOKUP((AV94+1),AT40:AV87,3,FALSE))/AV93</f>
        <v>0</v>
      </c>
      <c r="AY96" s="125"/>
      <c r="AZ96" s="106"/>
      <c r="BA96" s="126"/>
      <c r="BB96" s="528" t="s">
        <v>65</v>
      </c>
      <c r="BC96" s="529"/>
      <c r="BD96" s="127"/>
      <c r="BE96" s="133" t="e">
        <f>(VLOOKUP(BE94,BC40:BE87,3,FALSE)-VLOOKUP((BE94+1),BC40:BE87,3,FALSE))/BE93</f>
        <v>#N/A</v>
      </c>
    </row>
    <row r="97" spans="2:57" ht="16.2" thickBot="1" x14ac:dyDescent="0.4">
      <c r="B97" s="134"/>
      <c r="C97" s="171"/>
      <c r="D97" s="135"/>
      <c r="E97" s="541" t="s">
        <v>66</v>
      </c>
      <c r="F97" s="542"/>
      <c r="G97" s="136"/>
      <c r="H97" s="137">
        <f>(VLOOKUP((H95-1),F40:H87,2,FALSE)-VLOOKUP((H95),F40:H87,2,FALSE))/H93</f>
        <v>4.6511627906975786E-2</v>
      </c>
      <c r="J97" s="134"/>
      <c r="K97" s="171"/>
      <c r="L97" s="135"/>
      <c r="M97" s="541" t="s">
        <v>66</v>
      </c>
      <c r="N97" s="542"/>
      <c r="O97" s="136"/>
      <c r="P97" s="137">
        <f>(VLOOKUP((P95-1),N40:P87,2,FALSE)-VLOOKUP((P95),N40:P87,2,FALSE))/P93</f>
        <v>9.9999999999988943E-4</v>
      </c>
      <c r="R97" s="134"/>
      <c r="S97" s="171"/>
      <c r="T97" s="135"/>
      <c r="U97" s="541" t="s">
        <v>66</v>
      </c>
      <c r="V97" s="542"/>
      <c r="W97" s="136"/>
      <c r="X97" s="137">
        <f>(VLOOKUP((X95-1),V40:X87,2,FALSE)-VLOOKUP((X95),V40:X87,2,FALSE))/X93</f>
        <v>1.2500000000026382E-4</v>
      </c>
      <c r="Z97" s="134"/>
      <c r="AA97" s="171"/>
      <c r="AB97" s="135"/>
      <c r="AC97" s="541" t="s">
        <v>66</v>
      </c>
      <c r="AD97" s="542"/>
      <c r="AE97" s="136"/>
      <c r="AF97" s="137">
        <f>(VLOOKUP((AF95-1),AD40:AF87,2,FALSE)-VLOOKUP((AF95),AD40:AF87,2,FALSE))/AF93</f>
        <v>1.1111111111085233E-4</v>
      </c>
      <c r="AH97" s="134"/>
      <c r="AI97" s="171"/>
      <c r="AJ97" s="135"/>
      <c r="AK97" s="541" t="s">
        <v>66</v>
      </c>
      <c r="AL97" s="542"/>
      <c r="AM97" s="136"/>
      <c r="AN97" s="137">
        <f>(VLOOKUP((AN95-1),AL40:AN87,2,FALSE)-VLOOKUP((AN95),AL40:AN87,2,FALSE))/AN93</f>
        <v>2.4999999999941714E-4</v>
      </c>
      <c r="AP97" s="134"/>
      <c r="AQ97" s="171"/>
      <c r="AR97" s="135"/>
      <c r="AS97" s="541" t="s">
        <v>66</v>
      </c>
      <c r="AT97" s="542"/>
      <c r="AU97" s="136"/>
      <c r="AV97" s="137">
        <f>(VLOOKUP((AV95-1),AT40:AV87,2,FALSE)-VLOOKUP((AV95),AT40:AV87,2,FALSE))/AV93</f>
        <v>6.2499999999854352E-5</v>
      </c>
      <c r="AY97" s="134"/>
      <c r="AZ97" s="171"/>
      <c r="BA97" s="135"/>
      <c r="BB97" s="541" t="s">
        <v>66</v>
      </c>
      <c r="BC97" s="542"/>
      <c r="BD97" s="136"/>
      <c r="BE97" s="137" t="e">
        <f>(VLOOKUP((BE95-1),BC40:BE87,2,FALSE)-VLOOKUP((BE95),BC40:BE87,2,FALSE))/BE93</f>
        <v>#N/A</v>
      </c>
    </row>
    <row r="98" spans="2:57" x14ac:dyDescent="0.25">
      <c r="F98" s="44"/>
      <c r="G98" s="44"/>
    </row>
    <row r="99" spans="2:57" x14ac:dyDescent="0.25">
      <c r="F99" s="44"/>
      <c r="G99" s="44"/>
    </row>
    <row r="100" spans="2:57" x14ac:dyDescent="0.25">
      <c r="G100" s="39" t="s">
        <v>173</v>
      </c>
      <c r="H100" s="113" t="s">
        <v>176</v>
      </c>
    </row>
    <row r="101" spans="2:57" x14ac:dyDescent="0.25">
      <c r="H101" s="114" t="s">
        <v>174</v>
      </c>
      <c r="AA101" s="110"/>
    </row>
    <row r="102" spans="2:57" x14ac:dyDescent="0.25">
      <c r="H102" s="115" t="s">
        <v>175</v>
      </c>
      <c r="AA102" s="110"/>
    </row>
    <row r="103" spans="2:57" x14ac:dyDescent="0.25">
      <c r="AA103" s="44"/>
    </row>
    <row r="104" spans="2:57" x14ac:dyDescent="0.25">
      <c r="AA104" s="44"/>
    </row>
    <row r="105" spans="2:57" x14ac:dyDescent="0.25">
      <c r="AA105" s="44"/>
    </row>
  </sheetData>
  <sortState xmlns:xlrd2="http://schemas.microsoft.com/office/spreadsheetml/2017/richdata2" ref="H11:H32">
    <sortCondition ref="H11:H32"/>
  </sortState>
  <mergeCells count="443">
    <mergeCell ref="BB93:BC93"/>
    <mergeCell ref="BB94:BC94"/>
    <mergeCell ref="BB95:BC95"/>
    <mergeCell ref="BB96:BC96"/>
    <mergeCell ref="BB97:BC97"/>
    <mergeCell ref="AY36:BB36"/>
    <mergeCell ref="BD36:BE36"/>
    <mergeCell ref="AY37:BE37"/>
    <mergeCell ref="AY38:BE38"/>
    <mergeCell ref="BB88:BC88"/>
    <mergeCell ref="BB89:BC89"/>
    <mergeCell ref="BB90:BC90"/>
    <mergeCell ref="BB91:BC91"/>
    <mergeCell ref="BB92:BC92"/>
    <mergeCell ref="AY31:BB31"/>
    <mergeCell ref="BC31:BE31"/>
    <mergeCell ref="AY32:BB32"/>
    <mergeCell ref="BC32:BE32"/>
    <mergeCell ref="AY33:BB33"/>
    <mergeCell ref="BC33:BE33"/>
    <mergeCell ref="AY34:BB34"/>
    <mergeCell ref="BC34:BE34"/>
    <mergeCell ref="AY35:BB35"/>
    <mergeCell ref="BC35:BE35"/>
    <mergeCell ref="AY25:BB25"/>
    <mergeCell ref="BC25:BE25"/>
    <mergeCell ref="AY26:BB26"/>
    <mergeCell ref="BC26:BE26"/>
    <mergeCell ref="AY27:BE27"/>
    <mergeCell ref="AY28:BE28"/>
    <mergeCell ref="AY29:BB29"/>
    <mergeCell ref="BC29:BE29"/>
    <mergeCell ref="AY30:BB30"/>
    <mergeCell ref="BC30:BE30"/>
    <mergeCell ref="AY19:BB19"/>
    <mergeCell ref="BC19:BE19"/>
    <mergeCell ref="AY20:BB20"/>
    <mergeCell ref="BC20:BE20"/>
    <mergeCell ref="AY21:BE21"/>
    <mergeCell ref="AY22:BE22"/>
    <mergeCell ref="AY23:BB23"/>
    <mergeCell ref="BC23:BE23"/>
    <mergeCell ref="AY24:BB24"/>
    <mergeCell ref="BC24:BE24"/>
    <mergeCell ref="AY14:BB14"/>
    <mergeCell ref="BC14:BE14"/>
    <mergeCell ref="AY15:BB15"/>
    <mergeCell ref="BC15:BE15"/>
    <mergeCell ref="AY16:BB16"/>
    <mergeCell ref="BC16:BE16"/>
    <mergeCell ref="AY17:BB17"/>
    <mergeCell ref="BC17:BE17"/>
    <mergeCell ref="AY18:BB18"/>
    <mergeCell ref="BC18:BE18"/>
    <mergeCell ref="AY9:BB9"/>
    <mergeCell ref="BC9:BE9"/>
    <mergeCell ref="AY10:BE10"/>
    <mergeCell ref="AY11:BB11"/>
    <mergeCell ref="BC11:BE11"/>
    <mergeCell ref="AY12:BB12"/>
    <mergeCell ref="BC12:BE12"/>
    <mergeCell ref="AY13:BB13"/>
    <mergeCell ref="BC13:BE13"/>
    <mergeCell ref="AP38:AV38"/>
    <mergeCell ref="B1:K1"/>
    <mergeCell ref="R10:X10"/>
    <mergeCell ref="Z10:AF10"/>
    <mergeCell ref="AH10:AN10"/>
    <mergeCell ref="AP10:AV10"/>
    <mergeCell ref="B21:H21"/>
    <mergeCell ref="J21:P21"/>
    <mergeCell ref="R21:X21"/>
    <mergeCell ref="Z21:AF21"/>
    <mergeCell ref="AH21:AN21"/>
    <mergeCell ref="AP21:AV21"/>
    <mergeCell ref="B28:H28"/>
    <mergeCell ref="B22:H22"/>
    <mergeCell ref="J22:P22"/>
    <mergeCell ref="R22:X22"/>
    <mergeCell ref="Z22:AF22"/>
    <mergeCell ref="AH22:AN22"/>
    <mergeCell ref="AP22:AV22"/>
    <mergeCell ref="J28:P28"/>
    <mergeCell ref="R28:X28"/>
    <mergeCell ref="Z28:AF28"/>
    <mergeCell ref="AH28:AN28"/>
    <mergeCell ref="AP28:AV28"/>
    <mergeCell ref="B27:H27"/>
    <mergeCell ref="J27:P27"/>
    <mergeCell ref="R27:X27"/>
    <mergeCell ref="Z27:AF27"/>
    <mergeCell ref="AH27:AN27"/>
    <mergeCell ref="AP27:AV27"/>
    <mergeCell ref="AT24:AV24"/>
    <mergeCell ref="AP25:AS25"/>
    <mergeCell ref="AT25:AV25"/>
    <mergeCell ref="AP26:AS26"/>
    <mergeCell ref="AT26:AV26"/>
    <mergeCell ref="V24:X26"/>
    <mergeCell ref="Z24:AC24"/>
    <mergeCell ref="AD24:AF24"/>
    <mergeCell ref="Z25:AC25"/>
    <mergeCell ref="AD25:AF25"/>
    <mergeCell ref="Z26:AC26"/>
    <mergeCell ref="AD26:AF26"/>
    <mergeCell ref="B25:E25"/>
    <mergeCell ref="F25:H25"/>
    <mergeCell ref="B26:E26"/>
    <mergeCell ref="F26:H26"/>
    <mergeCell ref="B24:E24"/>
    <mergeCell ref="F24:H24"/>
    <mergeCell ref="AT17:AV17"/>
    <mergeCell ref="AP18:AS18"/>
    <mergeCell ref="AT18:AV18"/>
    <mergeCell ref="AP19:AS19"/>
    <mergeCell ref="AT19:AV19"/>
    <mergeCell ref="AP20:AS20"/>
    <mergeCell ref="AT20:AV20"/>
    <mergeCell ref="AP17:AS17"/>
    <mergeCell ref="AH17:AK17"/>
    <mergeCell ref="AL17:AN17"/>
    <mergeCell ref="AH18:AK18"/>
    <mergeCell ref="AL18:AN18"/>
    <mergeCell ref="AH19:AK19"/>
    <mergeCell ref="AL19:AN19"/>
    <mergeCell ref="AH20:AK20"/>
    <mergeCell ref="AL20:AN20"/>
    <mergeCell ref="AP23:AS23"/>
    <mergeCell ref="AT23:AV23"/>
    <mergeCell ref="AH23:AK23"/>
    <mergeCell ref="AL23:AN23"/>
    <mergeCell ref="AH24:AK24"/>
    <mergeCell ref="AL24:AN24"/>
    <mergeCell ref="AH25:AK25"/>
    <mergeCell ref="AL25:AN25"/>
    <mergeCell ref="AH26:AK26"/>
    <mergeCell ref="AL26:AN26"/>
    <mergeCell ref="AP24:AS24"/>
    <mergeCell ref="AT12:AV12"/>
    <mergeCell ref="AP13:AS13"/>
    <mergeCell ref="AT13:AV13"/>
    <mergeCell ref="AP14:AS14"/>
    <mergeCell ref="AT14:AV14"/>
    <mergeCell ref="AP15:AS15"/>
    <mergeCell ref="AT15:AV15"/>
    <mergeCell ref="AP16:AS16"/>
    <mergeCell ref="AT16:AV16"/>
    <mergeCell ref="AP12:AS12"/>
    <mergeCell ref="AH12:AK12"/>
    <mergeCell ref="AL12:AN12"/>
    <mergeCell ref="AH13:AK13"/>
    <mergeCell ref="AL13:AN13"/>
    <mergeCell ref="AH14:AK14"/>
    <mergeCell ref="AL14:AN14"/>
    <mergeCell ref="AH15:AK15"/>
    <mergeCell ref="AL15:AN15"/>
    <mergeCell ref="AH16:AK16"/>
    <mergeCell ref="AL16:AN16"/>
    <mergeCell ref="AD20:AF20"/>
    <mergeCell ref="AD23:AF23"/>
    <mergeCell ref="J23:M23"/>
    <mergeCell ref="N23:P23"/>
    <mergeCell ref="J24:M24"/>
    <mergeCell ref="N24:P24"/>
    <mergeCell ref="J25:M25"/>
    <mergeCell ref="N25:P25"/>
    <mergeCell ref="J26:M26"/>
    <mergeCell ref="N26:P26"/>
    <mergeCell ref="R24:U24"/>
    <mergeCell ref="R25:U25"/>
    <mergeCell ref="R26:U26"/>
    <mergeCell ref="V17:X20"/>
    <mergeCell ref="AD17:AF17"/>
    <mergeCell ref="Z18:AC18"/>
    <mergeCell ref="AD18:AF18"/>
    <mergeCell ref="Z19:AC19"/>
    <mergeCell ref="AD19:AF19"/>
    <mergeCell ref="Z20:AC20"/>
    <mergeCell ref="J17:M17"/>
    <mergeCell ref="N17:P17"/>
    <mergeCell ref="J18:M18"/>
    <mergeCell ref="N18:P18"/>
    <mergeCell ref="J19:M19"/>
    <mergeCell ref="N19:P19"/>
    <mergeCell ref="J20:M20"/>
    <mergeCell ref="N20:P20"/>
    <mergeCell ref="B23:E23"/>
    <mergeCell ref="F23:H23"/>
    <mergeCell ref="B17:E17"/>
    <mergeCell ref="F17:H17"/>
    <mergeCell ref="B18:E18"/>
    <mergeCell ref="F18:H18"/>
    <mergeCell ref="B19:E19"/>
    <mergeCell ref="F19:H19"/>
    <mergeCell ref="B20:E20"/>
    <mergeCell ref="F20:H20"/>
    <mergeCell ref="V23:X23"/>
    <mergeCell ref="R12:U12"/>
    <mergeCell ref="V12:X12"/>
    <mergeCell ref="R13:U13"/>
    <mergeCell ref="R14:U14"/>
    <mergeCell ref="R15:U15"/>
    <mergeCell ref="R16:U16"/>
    <mergeCell ref="V16:X16"/>
    <mergeCell ref="V13:X15"/>
    <mergeCell ref="B16:E16"/>
    <mergeCell ref="F16:H16"/>
    <mergeCell ref="H3:K3"/>
    <mergeCell ref="H4:K4"/>
    <mergeCell ref="H5:K5"/>
    <mergeCell ref="B4:E4"/>
    <mergeCell ref="B3:E3"/>
    <mergeCell ref="B5:E5"/>
    <mergeCell ref="E7:G7"/>
    <mergeCell ref="J12:M12"/>
    <mergeCell ref="B12:E12"/>
    <mergeCell ref="F12:H12"/>
    <mergeCell ref="B10:H10"/>
    <mergeCell ref="J10:P10"/>
    <mergeCell ref="N12:P12"/>
    <mergeCell ref="J13:M13"/>
    <mergeCell ref="N13:P13"/>
    <mergeCell ref="J14:M14"/>
    <mergeCell ref="N14:P14"/>
    <mergeCell ref="J15:M15"/>
    <mergeCell ref="N15:P15"/>
    <mergeCell ref="J16:M16"/>
    <mergeCell ref="N16:P16"/>
    <mergeCell ref="AH9:AK9"/>
    <mergeCell ref="AH11:AK11"/>
    <mergeCell ref="AH29:AK29"/>
    <mergeCell ref="AH30:AK30"/>
    <mergeCell ref="AH31:AK31"/>
    <mergeCell ref="AH32:AK32"/>
    <mergeCell ref="AH33:AK33"/>
    <mergeCell ref="B9:E9"/>
    <mergeCell ref="J9:M9"/>
    <mergeCell ref="F9:H9"/>
    <mergeCell ref="B11:E11"/>
    <mergeCell ref="B29:E29"/>
    <mergeCell ref="B30:E30"/>
    <mergeCell ref="B31:E31"/>
    <mergeCell ref="B32:E32"/>
    <mergeCell ref="B33:E33"/>
    <mergeCell ref="N9:P9"/>
    <mergeCell ref="N11:P11"/>
    <mergeCell ref="N29:P29"/>
    <mergeCell ref="B13:E13"/>
    <mergeCell ref="F13:H13"/>
    <mergeCell ref="B14:E14"/>
    <mergeCell ref="F14:H14"/>
    <mergeCell ref="B15:E15"/>
    <mergeCell ref="BG39:BH39"/>
    <mergeCell ref="F11:H11"/>
    <mergeCell ref="F35:H35"/>
    <mergeCell ref="N35:P35"/>
    <mergeCell ref="V36:X36"/>
    <mergeCell ref="V35:X35"/>
    <mergeCell ref="AD36:AF36"/>
    <mergeCell ref="AD35:AF35"/>
    <mergeCell ref="AL35:AN35"/>
    <mergeCell ref="AL36:AN36"/>
    <mergeCell ref="AT35:AV35"/>
    <mergeCell ref="AT36:AV36"/>
    <mergeCell ref="J11:M11"/>
    <mergeCell ref="J29:M29"/>
    <mergeCell ref="J30:M30"/>
    <mergeCell ref="J31:M31"/>
    <mergeCell ref="J32:M32"/>
    <mergeCell ref="J33:M33"/>
    <mergeCell ref="J35:M35"/>
    <mergeCell ref="N33:P33"/>
    <mergeCell ref="AD32:AF32"/>
    <mergeCell ref="AD33:AF33"/>
    <mergeCell ref="F15:H15"/>
    <mergeCell ref="R23:U23"/>
    <mergeCell ref="B35:E35"/>
    <mergeCell ref="B36:E36"/>
    <mergeCell ref="J36:M36"/>
    <mergeCell ref="F29:H29"/>
    <mergeCell ref="F30:H30"/>
    <mergeCell ref="F31:H31"/>
    <mergeCell ref="F32:H32"/>
    <mergeCell ref="F33:H33"/>
    <mergeCell ref="E93:F93"/>
    <mergeCell ref="B34:E34"/>
    <mergeCell ref="J34:M34"/>
    <mergeCell ref="B37:H37"/>
    <mergeCell ref="B38:H38"/>
    <mergeCell ref="J37:P37"/>
    <mergeCell ref="N30:P30"/>
    <mergeCell ref="N31:P31"/>
    <mergeCell ref="J38:P38"/>
    <mergeCell ref="N32:P32"/>
    <mergeCell ref="G36:H36"/>
    <mergeCell ref="O36:P36"/>
    <mergeCell ref="E94:F94"/>
    <mergeCell ref="E95:F95"/>
    <mergeCell ref="M97:N97"/>
    <mergeCell ref="M88:N88"/>
    <mergeCell ref="M89:N89"/>
    <mergeCell ref="M90:N90"/>
    <mergeCell ref="M91:N91"/>
    <mergeCell ref="M92:N92"/>
    <mergeCell ref="E96:F96"/>
    <mergeCell ref="E97:F97"/>
    <mergeCell ref="E88:F88"/>
    <mergeCell ref="E89:F89"/>
    <mergeCell ref="E90:F90"/>
    <mergeCell ref="E91:F91"/>
    <mergeCell ref="E92:F92"/>
    <mergeCell ref="M93:N93"/>
    <mergeCell ref="M94:N94"/>
    <mergeCell ref="M95:N95"/>
    <mergeCell ref="M96:N96"/>
    <mergeCell ref="V29:X29"/>
    <mergeCell ref="V30:X30"/>
    <mergeCell ref="U88:V88"/>
    <mergeCell ref="U89:V89"/>
    <mergeCell ref="V9:X9"/>
    <mergeCell ref="V11:X11"/>
    <mergeCell ref="V31:X31"/>
    <mergeCell ref="R9:U9"/>
    <mergeCell ref="R11:U11"/>
    <mergeCell ref="R29:U29"/>
    <mergeCell ref="R30:U30"/>
    <mergeCell ref="R31:U31"/>
    <mergeCell ref="R38:X38"/>
    <mergeCell ref="R32:U32"/>
    <mergeCell ref="R33:U33"/>
    <mergeCell ref="R35:U35"/>
    <mergeCell ref="R36:U36"/>
    <mergeCell ref="V32:X32"/>
    <mergeCell ref="V33:X33"/>
    <mergeCell ref="R34:U34"/>
    <mergeCell ref="R17:U17"/>
    <mergeCell ref="R18:U18"/>
    <mergeCell ref="R19:U19"/>
    <mergeCell ref="R20:U20"/>
    <mergeCell ref="AC93:AD93"/>
    <mergeCell ref="AC94:AD94"/>
    <mergeCell ref="AC95:AD95"/>
    <mergeCell ref="AC96:AD96"/>
    <mergeCell ref="U91:V91"/>
    <mergeCell ref="U92:V92"/>
    <mergeCell ref="U93:V93"/>
    <mergeCell ref="U94:V94"/>
    <mergeCell ref="U95:V95"/>
    <mergeCell ref="U96:V96"/>
    <mergeCell ref="AD12:AF12"/>
    <mergeCell ref="Z13:AC13"/>
    <mergeCell ref="AD13:AF13"/>
    <mergeCell ref="Z14:AC14"/>
    <mergeCell ref="AD14:AF14"/>
    <mergeCell ref="Z15:AC15"/>
    <mergeCell ref="AD15:AF15"/>
    <mergeCell ref="Z16:AC16"/>
    <mergeCell ref="AD16:AF16"/>
    <mergeCell ref="Z9:AC9"/>
    <mergeCell ref="Z11:AC11"/>
    <mergeCell ref="Z29:AC29"/>
    <mergeCell ref="Z30:AC30"/>
    <mergeCell ref="Z31:AC31"/>
    <mergeCell ref="Z32:AC32"/>
    <mergeCell ref="Z33:AC33"/>
    <mergeCell ref="Z35:AC35"/>
    <mergeCell ref="Z36:AC36"/>
    <mergeCell ref="Z12:AC12"/>
    <mergeCell ref="Z17:AC17"/>
    <mergeCell ref="Z34:AC34"/>
    <mergeCell ref="Z23:AC23"/>
    <mergeCell ref="AC97:AD97"/>
    <mergeCell ref="AL9:AN9"/>
    <mergeCell ref="AL11:AN11"/>
    <mergeCell ref="AL29:AN29"/>
    <mergeCell ref="AL30:AN30"/>
    <mergeCell ref="AL31:AN31"/>
    <mergeCell ref="AK88:AL88"/>
    <mergeCell ref="AK89:AL89"/>
    <mergeCell ref="AK90:AL90"/>
    <mergeCell ref="AK91:AL91"/>
    <mergeCell ref="AK92:AL92"/>
    <mergeCell ref="AK93:AL93"/>
    <mergeCell ref="AK94:AL94"/>
    <mergeCell ref="AK95:AL95"/>
    <mergeCell ref="AK96:AL96"/>
    <mergeCell ref="AK97:AL97"/>
    <mergeCell ref="AD9:AF9"/>
    <mergeCell ref="AD11:AF11"/>
    <mergeCell ref="AD29:AF29"/>
    <mergeCell ref="AD30:AF30"/>
    <mergeCell ref="AD31:AF31"/>
    <mergeCell ref="AC88:AD88"/>
    <mergeCell ref="AC89:AD89"/>
    <mergeCell ref="AC90:AD90"/>
    <mergeCell ref="U97:V97"/>
    <mergeCell ref="AL32:AN32"/>
    <mergeCell ref="AL33:AN33"/>
    <mergeCell ref="AT9:AV9"/>
    <mergeCell ref="AT11:AV11"/>
    <mergeCell ref="AT29:AV29"/>
    <mergeCell ref="AT30:AV30"/>
    <mergeCell ref="AT31:AV31"/>
    <mergeCell ref="AT32:AV32"/>
    <mergeCell ref="AT33:AV33"/>
    <mergeCell ref="AP9:AS9"/>
    <mergeCell ref="AP11:AS11"/>
    <mergeCell ref="AP29:AS29"/>
    <mergeCell ref="AP30:AS30"/>
    <mergeCell ref="AP31:AS31"/>
    <mergeCell ref="AP32:AS32"/>
    <mergeCell ref="AP33:AS33"/>
    <mergeCell ref="AS93:AT93"/>
    <mergeCell ref="AS94:AT94"/>
    <mergeCell ref="AS95:AT95"/>
    <mergeCell ref="AS96:AT96"/>
    <mergeCell ref="AS97:AT97"/>
    <mergeCell ref="AS88:AT88"/>
    <mergeCell ref="AS89:AT89"/>
    <mergeCell ref="AT34:AV34"/>
    <mergeCell ref="AL34:AN34"/>
    <mergeCell ref="AD34:AF34"/>
    <mergeCell ref="V34:X34"/>
    <mergeCell ref="N34:P34"/>
    <mergeCell ref="F34:H34"/>
    <mergeCell ref="AS90:AT90"/>
    <mergeCell ref="AS91:AT91"/>
    <mergeCell ref="AS92:AT92"/>
    <mergeCell ref="AC91:AD91"/>
    <mergeCell ref="AP35:AS35"/>
    <mergeCell ref="AP36:AS36"/>
    <mergeCell ref="AP34:AS34"/>
    <mergeCell ref="AH35:AK35"/>
    <mergeCell ref="AH36:AK36"/>
    <mergeCell ref="AH38:AN38"/>
    <mergeCell ref="U90:V90"/>
    <mergeCell ref="AC92:AD92"/>
    <mergeCell ref="Z38:AF38"/>
    <mergeCell ref="AH34:AK34"/>
    <mergeCell ref="R37:X37"/>
    <mergeCell ref="Z37:AF37"/>
    <mergeCell ref="AH37:AN37"/>
    <mergeCell ref="AP37:AV37"/>
  </mergeCells>
  <conditionalFormatting sqref="F24:H24 N24 V24 AD24 AL24 AT24 F26:H26 N26 AD26 AL26 AT26">
    <cfRule type="cellIs" dxfId="320" priority="88" operator="equal">
      <formula>""</formula>
    </cfRule>
    <cfRule type="cellIs" dxfId="319" priority="89" operator="equal">
      <formula>"PASS"</formula>
    </cfRule>
    <cfRule type="cellIs" dxfId="318" priority="90" operator="equal">
      <formula>"FAIL-HIGH"</formula>
    </cfRule>
    <cfRule type="cellIs" dxfId="317" priority="91" operator="equal">
      <formula>"FAIL-LOW"</formula>
    </cfRule>
  </conditionalFormatting>
  <conditionalFormatting sqref="F31:H31 N31:P31 V31:X31 AD31:AF31 AL31:AN31 AT31:AV31">
    <cfRule type="cellIs" dxfId="316" priority="257" operator="equal">
      <formula>"Yes"</formula>
    </cfRule>
    <cfRule type="cellIs" dxfId="315" priority="256" operator="equal">
      <formula>"No"</formula>
    </cfRule>
    <cfRule type="cellIs" dxfId="314" priority="255" operator="equal">
      <formula>""</formula>
    </cfRule>
  </conditionalFormatting>
  <conditionalFormatting sqref="F32:H33 N32:P33 V32:X33 AD32:AF33 AL32:AN33 AT32:AV33">
    <cfRule type="cellIs" dxfId="313" priority="252" operator="equal">
      <formula>""</formula>
    </cfRule>
    <cfRule type="cellIs" dxfId="312" priority="253" operator="greaterThan">
      <formula>0</formula>
    </cfRule>
  </conditionalFormatting>
  <conditionalFormatting sqref="F35:H35 N35:P35 V35:X35 AD35:AF35 AL35:AN35 AT35:AV35">
    <cfRule type="cellIs" dxfId="311" priority="182" operator="equal">
      <formula>"PASS"</formula>
    </cfRule>
    <cfRule type="cellIs" dxfId="310" priority="180" operator="equal">
      <formula>""</formula>
    </cfRule>
    <cfRule type="cellIs" dxfId="309" priority="181" operator="equal">
      <formula>"FAIL"</formula>
    </cfRule>
  </conditionalFormatting>
  <conditionalFormatting sqref="H40:H87">
    <cfRule type="cellIs" dxfId="308" priority="276" operator="equal">
      <formula>$H$92</formula>
    </cfRule>
    <cfRule type="cellIs" dxfId="307" priority="275" operator="equal">
      <formula>$H$91</formula>
    </cfRule>
    <cfRule type="cellIs" dxfId="306" priority="274" operator="equal">
      <formula>$F$32</formula>
    </cfRule>
    <cfRule type="cellIs" dxfId="305" priority="273" operator="equal">
      <formula>$F$33</formula>
    </cfRule>
    <cfRule type="cellIs" dxfId="304" priority="272" operator="equal">
      <formula>""</formula>
    </cfRule>
  </conditionalFormatting>
  <conditionalFormatting sqref="P40:P87 BE40:BE87">
    <cfRule type="cellIs" dxfId="303" priority="286" operator="equal">
      <formula>$P$92</formula>
    </cfRule>
    <cfRule type="cellIs" dxfId="302" priority="284" operator="equal">
      <formula>$N$32</formula>
    </cfRule>
    <cfRule type="cellIs" dxfId="301" priority="285" operator="equal">
      <formula>$P$91</formula>
    </cfRule>
    <cfRule type="cellIs" dxfId="300" priority="283" operator="equal">
      <formula>$N$33</formula>
    </cfRule>
    <cfRule type="cellIs" dxfId="299" priority="282" operator="equal">
      <formula>""</formula>
    </cfRule>
  </conditionalFormatting>
  <conditionalFormatting sqref="X40:X87">
    <cfRule type="cellIs" dxfId="298" priority="296" operator="equal">
      <formula>$X$92</formula>
    </cfRule>
    <cfRule type="cellIs" dxfId="297" priority="295" operator="equal">
      <formula>$X$91</formula>
    </cfRule>
    <cfRule type="cellIs" dxfId="296" priority="294" operator="equal">
      <formula>$V$32</formula>
    </cfRule>
    <cfRule type="cellIs" dxfId="295" priority="293" operator="equal">
      <formula>$V$33</formula>
    </cfRule>
    <cfRule type="cellIs" dxfId="294" priority="292" operator="equal">
      <formula>""</formula>
    </cfRule>
  </conditionalFormatting>
  <conditionalFormatting sqref="AF40">
    <cfRule type="cellIs" dxfId="293" priority="261" operator="equal">
      <formula>$AF$92</formula>
    </cfRule>
    <cfRule type="cellIs" dxfId="292" priority="260" operator="equal">
      <formula>$AF$91</formula>
    </cfRule>
    <cfRule type="cellIs" dxfId="291" priority="258" operator="equal">
      <formula>""</formula>
    </cfRule>
    <cfRule type="cellIs" dxfId="290" priority="259" operator="equal">
      <formula>$AD$32</formula>
    </cfRule>
  </conditionalFormatting>
  <conditionalFormatting sqref="AF41:AF87">
    <cfRule type="cellIs" dxfId="289" priority="262" operator="equal">
      <formula>""</formula>
    </cfRule>
    <cfRule type="cellIs" dxfId="288" priority="263" operator="equal">
      <formula>$AD$33</formula>
    </cfRule>
    <cfRule type="cellIs" dxfId="287" priority="264" operator="equal">
      <formula>$AD$32</formula>
    </cfRule>
    <cfRule type="cellIs" dxfId="286" priority="265" operator="equal">
      <formula>$AF$91</formula>
    </cfRule>
    <cfRule type="cellIs" dxfId="285" priority="266" operator="equal">
      <formula>$AF$92</formula>
    </cfRule>
  </conditionalFormatting>
  <conditionalFormatting sqref="AN40:AN87 AV40:AV87">
    <cfRule type="cellIs" dxfId="284" priority="6" operator="equal">
      <formula>""</formula>
    </cfRule>
  </conditionalFormatting>
  <conditionalFormatting sqref="AV40:AV77 AN40:AN87">
    <cfRule type="cellIs" dxfId="283" priority="10" operator="equal">
      <formula>$AN$92</formula>
    </cfRule>
    <cfRule type="cellIs" dxfId="282" priority="9" operator="equal">
      <formula>$AN$91</formula>
    </cfRule>
    <cfRule type="cellIs" dxfId="281" priority="8" operator="equal">
      <formula>$AL$32</formula>
    </cfRule>
    <cfRule type="cellIs" dxfId="280" priority="7" operator="equal">
      <formula>$AL$33</formula>
    </cfRule>
  </conditionalFormatting>
  <conditionalFormatting sqref="AV78:AV87">
    <cfRule type="cellIs" dxfId="279" priority="96" operator="equal">
      <formula>$AV$92</formula>
    </cfRule>
    <cfRule type="cellIs" dxfId="278" priority="95" operator="equal">
      <formula>$AV$91</formula>
    </cfRule>
    <cfRule type="cellIs" dxfId="277" priority="93" operator="equal">
      <formula>$AT$33</formula>
    </cfRule>
    <cfRule type="cellIs" dxfId="276" priority="94" operator="equal">
      <formula>$AT$32</formula>
    </cfRule>
  </conditionalFormatting>
  <conditionalFormatting sqref="BC24 BC26">
    <cfRule type="cellIs" dxfId="275" priority="23" operator="equal">
      <formula>"FAIL-HIGH"</formula>
    </cfRule>
    <cfRule type="cellIs" dxfId="274" priority="24" operator="equal">
      <formula>"FAIL-LOW"</formula>
    </cfRule>
    <cfRule type="cellIs" dxfId="273" priority="22" operator="equal">
      <formula>"PASS"</formula>
    </cfRule>
    <cfRule type="cellIs" dxfId="272" priority="21" operator="equal">
      <formula>""</formula>
    </cfRule>
  </conditionalFormatting>
  <conditionalFormatting sqref="BC31:BE31">
    <cfRule type="cellIs" dxfId="271" priority="37" operator="equal">
      <formula>"Yes"</formula>
    </cfRule>
    <cfRule type="cellIs" dxfId="270" priority="36" operator="equal">
      <formula>"No"</formula>
    </cfRule>
    <cfRule type="cellIs" dxfId="269" priority="35" operator="equal">
      <formula>""</formula>
    </cfRule>
  </conditionalFormatting>
  <conditionalFormatting sqref="BC32:BE33">
    <cfRule type="cellIs" dxfId="268" priority="34" operator="greaterThan">
      <formula>0</formula>
    </cfRule>
    <cfRule type="cellIs" dxfId="267" priority="33" operator="equal">
      <formula>""</formula>
    </cfRule>
  </conditionalFormatting>
  <conditionalFormatting sqref="BC35:BE35">
    <cfRule type="cellIs" dxfId="266" priority="32" operator="equal">
      <formula>"PASS"</formula>
    </cfRule>
    <cfRule type="cellIs" dxfId="265" priority="31" operator="equal">
      <formula>"FAIL"</formula>
    </cfRule>
    <cfRule type="cellIs" dxfId="264" priority="30" operator="equal">
      <formula>""</formula>
    </cfRule>
  </conditionalFormatting>
  <pageMargins left="0.7" right="0.7" top="0.75" bottom="0.75" header="0.3" footer="0.3"/>
  <pageSetup paperSize="9" scale="19" orientation="landscape" r:id="rId1"/>
  <ignoredErrors>
    <ignoredError sqref="F29:F33 N29:N33 N35 V29:X33 AD29:AF33 AL29:AN33 AL35:AN36 AT29:AV36 H89:H97 P89:P97 X89:X97 AF89:AF97 AN89:AN97 AV89:AV97"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B1:AT89"/>
  <sheetViews>
    <sheetView topLeftCell="A8" zoomScale="40" zoomScaleNormal="40" workbookViewId="0">
      <selection activeCell="L36" sqref="L36:M36"/>
    </sheetView>
  </sheetViews>
  <sheetFormatPr defaultColWidth="9.21875" defaultRowHeight="14.4" x14ac:dyDescent="0.3"/>
  <cols>
    <col min="1" max="1" width="0.21875" customWidth="1"/>
    <col min="2" max="2" width="10.77734375" customWidth="1"/>
    <col min="3" max="4" width="13.77734375" customWidth="1"/>
    <col min="5" max="46" width="8.77734375" customWidth="1"/>
    <col min="47" max="49" width="3" customWidth="1"/>
  </cols>
  <sheetData>
    <row r="1" spans="2:46" x14ac:dyDescent="0.3">
      <c r="B1" s="1"/>
      <c r="AQ1" s="1"/>
    </row>
    <row r="2" spans="2:46" ht="50.1" customHeight="1" thickBot="1" x14ac:dyDescent="0.8">
      <c r="B2" s="65" t="s">
        <v>85</v>
      </c>
      <c r="C2" s="62"/>
      <c r="D2" s="63"/>
      <c r="E2" s="63"/>
      <c r="F2" s="64"/>
      <c r="G2" s="63"/>
      <c r="H2" s="64"/>
      <c r="I2" s="64"/>
      <c r="J2" s="64"/>
      <c r="K2" s="64"/>
      <c r="L2" s="423" t="str">
        <f>'Plot Data'!C7</f>
        <v>Calorific Value (MJ/kg)</v>
      </c>
      <c r="M2" s="423"/>
      <c r="N2" s="423"/>
      <c r="O2" s="423"/>
      <c r="P2" s="423"/>
      <c r="Q2" s="423"/>
      <c r="R2" s="423"/>
      <c r="S2" s="423"/>
      <c r="T2" s="423"/>
      <c r="U2" s="423"/>
      <c r="V2" s="423"/>
      <c r="W2" s="423"/>
      <c r="X2" s="63"/>
      <c r="Y2" s="63"/>
      <c r="Z2" s="63"/>
      <c r="AA2" s="63"/>
      <c r="AB2" s="65"/>
      <c r="AC2" s="424" t="s">
        <v>92</v>
      </c>
      <c r="AD2" s="424"/>
      <c r="AE2" s="424"/>
      <c r="AF2" s="424"/>
      <c r="AG2" s="424"/>
      <c r="AH2" s="424"/>
      <c r="AI2" s="424"/>
      <c r="AJ2" s="424"/>
      <c r="AK2" s="644"/>
      <c r="AL2" s="644"/>
      <c r="AM2" s="644"/>
      <c r="AN2" s="644"/>
      <c r="AO2" s="644"/>
      <c r="AP2" s="644"/>
      <c r="AQ2" s="644"/>
      <c r="AR2" s="644"/>
      <c r="AS2" s="644"/>
      <c r="AT2" s="644"/>
    </row>
    <row r="3" spans="2:46" ht="22.05" customHeight="1" x14ac:dyDescent="0.85">
      <c r="B3" s="61"/>
      <c r="C3" s="66"/>
      <c r="D3" s="66"/>
      <c r="E3" s="66"/>
      <c r="F3" s="67"/>
      <c r="G3" s="66"/>
      <c r="H3" s="67"/>
      <c r="I3" s="67"/>
      <c r="J3" s="66"/>
      <c r="K3" s="66"/>
      <c r="L3" s="66"/>
      <c r="M3" s="66"/>
      <c r="N3" s="66"/>
      <c r="O3" s="66"/>
      <c r="P3" s="66"/>
      <c r="Q3" s="66"/>
      <c r="R3" s="66"/>
      <c r="S3" s="66"/>
      <c r="T3" s="66"/>
      <c r="U3" s="66"/>
      <c r="V3" s="66"/>
      <c r="W3" s="66"/>
      <c r="X3" s="66"/>
      <c r="Y3" s="66"/>
      <c r="Z3" s="66"/>
      <c r="AA3" s="66"/>
      <c r="AB3" s="66"/>
      <c r="AC3" s="66"/>
      <c r="AD3" s="66"/>
      <c r="AE3" s="66"/>
      <c r="AF3" s="66"/>
      <c r="AG3" s="66"/>
      <c r="AH3" s="68"/>
      <c r="AI3" s="66"/>
      <c r="AJ3" s="68"/>
      <c r="AK3" s="66"/>
      <c r="AL3" s="66"/>
      <c r="AM3" s="66"/>
      <c r="AN3" s="66"/>
      <c r="AO3" s="67"/>
      <c r="AP3" s="66"/>
      <c r="AQ3" s="67"/>
      <c r="AR3" s="66"/>
      <c r="AS3" s="66"/>
    </row>
    <row r="4" spans="2:46" ht="50.1" customHeight="1" x14ac:dyDescent="0.85">
      <c r="B4" s="60"/>
      <c r="C4" s="66"/>
      <c r="D4" s="66"/>
      <c r="E4" s="66"/>
      <c r="F4" s="66"/>
      <c r="G4" s="66"/>
      <c r="H4" s="66"/>
      <c r="I4" s="66"/>
      <c r="J4" s="66"/>
      <c r="K4" s="66"/>
      <c r="L4" s="426" t="s">
        <v>87</v>
      </c>
      <c r="M4" s="426"/>
      <c r="N4" s="426"/>
      <c r="O4" s="426"/>
      <c r="P4" s="426"/>
      <c r="Q4" s="426"/>
      <c r="R4" s="426"/>
      <c r="S4" s="426"/>
      <c r="T4" s="426"/>
      <c r="U4" s="426"/>
      <c r="V4" s="426"/>
      <c r="W4" s="426"/>
      <c r="X4" s="426"/>
      <c r="Y4" s="426"/>
      <c r="Z4" s="426"/>
      <c r="AA4" s="426"/>
      <c r="AB4" s="426"/>
      <c r="AC4" s="426"/>
      <c r="AD4" s="645" t="s">
        <v>224</v>
      </c>
      <c r="AE4" s="645"/>
      <c r="AF4" s="645"/>
      <c r="AG4" s="645"/>
      <c r="AH4" s="645"/>
      <c r="AI4" s="645"/>
      <c r="AJ4" s="645"/>
      <c r="AK4" s="646" t="s">
        <v>89</v>
      </c>
      <c r="AL4" s="646"/>
      <c r="AM4" s="646"/>
      <c r="AN4" s="646"/>
      <c r="AO4" s="646"/>
      <c r="AP4" s="646"/>
      <c r="AQ4" s="646"/>
      <c r="AR4" s="646"/>
      <c r="AS4" s="646"/>
      <c r="AT4" s="646"/>
    </row>
    <row r="5" spans="2:46" ht="22.05" customHeight="1" thickBot="1" x14ac:dyDescent="0.35">
      <c r="K5" s="2"/>
    </row>
    <row r="6" spans="2:46" ht="50.1" customHeight="1" x14ac:dyDescent="0.3">
      <c r="B6" s="428" t="s">
        <v>0</v>
      </c>
      <c r="C6" s="429"/>
      <c r="D6" s="430"/>
      <c r="E6" s="431"/>
      <c r="F6" s="432"/>
      <c r="G6" s="431"/>
      <c r="H6" s="432"/>
      <c r="I6" s="431"/>
      <c r="J6" s="432"/>
      <c r="K6" s="431"/>
      <c r="L6" s="432"/>
      <c r="M6" s="431"/>
      <c r="N6" s="432"/>
      <c r="O6" s="431"/>
      <c r="P6" s="432"/>
      <c r="Q6" s="431"/>
      <c r="R6" s="432"/>
      <c r="S6" s="431"/>
      <c r="T6" s="432"/>
      <c r="U6" s="431"/>
      <c r="V6" s="432"/>
      <c r="W6" s="431"/>
      <c r="X6" s="432"/>
      <c r="Y6" s="431"/>
      <c r="Z6" s="432"/>
      <c r="AA6" s="431"/>
      <c r="AB6" s="432"/>
      <c r="AC6" s="431"/>
      <c r="AD6" s="432"/>
      <c r="AE6" s="431"/>
      <c r="AF6" s="432"/>
      <c r="AG6" s="431"/>
      <c r="AH6" s="432"/>
      <c r="AI6" s="431"/>
      <c r="AJ6" s="432"/>
      <c r="AK6" s="431"/>
      <c r="AL6" s="432"/>
      <c r="AM6" s="431"/>
      <c r="AN6" s="432"/>
      <c r="AO6" s="431"/>
      <c r="AP6" s="432"/>
      <c r="AQ6" s="431"/>
      <c r="AR6" s="432"/>
      <c r="AS6" s="431"/>
      <c r="AT6" s="432"/>
    </row>
    <row r="7" spans="2:46" ht="50.1" customHeight="1" thickBot="1" x14ac:dyDescent="0.35">
      <c r="B7" s="433" t="s">
        <v>1</v>
      </c>
      <c r="C7" s="434"/>
      <c r="D7" s="435"/>
      <c r="E7" s="436"/>
      <c r="F7" s="437"/>
      <c r="G7" s="436"/>
      <c r="H7" s="437"/>
      <c r="I7" s="436"/>
      <c r="J7" s="437"/>
      <c r="K7" s="436"/>
      <c r="L7" s="437"/>
      <c r="M7" s="436"/>
      <c r="N7" s="437"/>
      <c r="O7" s="436"/>
      <c r="P7" s="437"/>
      <c r="Q7" s="436"/>
      <c r="R7" s="437"/>
      <c r="S7" s="436"/>
      <c r="T7" s="437"/>
      <c r="U7" s="436"/>
      <c r="V7" s="437"/>
      <c r="W7" s="436"/>
      <c r="X7" s="437"/>
      <c r="Y7" s="436"/>
      <c r="Z7" s="437"/>
      <c r="AA7" s="436"/>
      <c r="AB7" s="437"/>
      <c r="AC7" s="436"/>
      <c r="AD7" s="437"/>
      <c r="AE7" s="436"/>
      <c r="AF7" s="437"/>
      <c r="AG7" s="436"/>
      <c r="AH7" s="437"/>
      <c r="AI7" s="436"/>
      <c r="AJ7" s="437"/>
      <c r="AK7" s="436"/>
      <c r="AL7" s="437"/>
      <c r="AM7" s="436"/>
      <c r="AN7" s="437"/>
      <c r="AO7" s="436"/>
      <c r="AP7" s="437"/>
      <c r="AQ7" s="436"/>
      <c r="AR7" s="437"/>
      <c r="AS7" s="436"/>
      <c r="AT7" s="437"/>
    </row>
    <row r="8" spans="2:46" ht="50.1" customHeight="1" thickBot="1" x14ac:dyDescent="0.35">
      <c r="B8" s="438" t="s">
        <v>2</v>
      </c>
      <c r="C8" s="439"/>
      <c r="D8" s="440"/>
      <c r="E8" s="441"/>
      <c r="F8" s="442"/>
      <c r="G8" s="441"/>
      <c r="H8" s="442"/>
      <c r="I8" s="441"/>
      <c r="J8" s="442"/>
      <c r="K8" s="441"/>
      <c r="L8" s="442"/>
      <c r="M8" s="441"/>
      <c r="N8" s="442"/>
      <c r="O8" s="441"/>
      <c r="P8" s="442"/>
      <c r="Q8" s="441"/>
      <c r="R8" s="442"/>
      <c r="S8" s="441"/>
      <c r="T8" s="442"/>
      <c r="U8" s="441"/>
      <c r="V8" s="442"/>
      <c r="W8" s="441"/>
      <c r="X8" s="442"/>
      <c r="Y8" s="441"/>
      <c r="Z8" s="442"/>
      <c r="AA8" s="441"/>
      <c r="AB8" s="442"/>
      <c r="AC8" s="441"/>
      <c r="AD8" s="442"/>
      <c r="AE8" s="441"/>
      <c r="AF8" s="442"/>
      <c r="AG8" s="441"/>
      <c r="AH8" s="442"/>
      <c r="AI8" s="441"/>
      <c r="AJ8" s="442"/>
      <c r="AK8" s="441"/>
      <c r="AL8" s="442"/>
      <c r="AM8" s="441"/>
      <c r="AN8" s="442"/>
      <c r="AO8" s="441"/>
      <c r="AP8" s="442"/>
      <c r="AQ8" s="441"/>
      <c r="AR8" s="442"/>
      <c r="AS8" s="441"/>
      <c r="AT8" s="442"/>
    </row>
    <row r="9" spans="2:46" ht="50.1" customHeight="1" thickBot="1" x14ac:dyDescent="0.35">
      <c r="B9" s="447" t="s">
        <v>3</v>
      </c>
      <c r="C9" s="448"/>
      <c r="D9" s="449"/>
      <c r="E9" s="443"/>
      <c r="F9" s="444"/>
      <c r="G9" s="443"/>
      <c r="H9" s="444"/>
      <c r="I9" s="443"/>
      <c r="J9" s="444"/>
      <c r="K9" s="443"/>
      <c r="L9" s="444"/>
      <c r="M9" s="443"/>
      <c r="N9" s="444"/>
      <c r="O9" s="443"/>
      <c r="P9" s="444"/>
      <c r="Q9" s="443"/>
      <c r="R9" s="444"/>
      <c r="S9" s="443"/>
      <c r="T9" s="444"/>
      <c r="U9" s="443"/>
      <c r="V9" s="444"/>
      <c r="W9" s="443"/>
      <c r="X9" s="444"/>
      <c r="Y9" s="443"/>
      <c r="Z9" s="444"/>
      <c r="AA9" s="443"/>
      <c r="AB9" s="444"/>
      <c r="AC9" s="443"/>
      <c r="AD9" s="444"/>
      <c r="AE9" s="443"/>
      <c r="AF9" s="444"/>
      <c r="AG9" s="443"/>
      <c r="AH9" s="444"/>
      <c r="AI9" s="443"/>
      <c r="AJ9" s="444"/>
      <c r="AK9" s="443"/>
      <c r="AL9" s="444"/>
      <c r="AM9" s="443"/>
      <c r="AN9" s="444"/>
      <c r="AO9" s="443"/>
      <c r="AP9" s="444"/>
      <c r="AQ9" s="443"/>
      <c r="AR9" s="444"/>
      <c r="AS9" s="443"/>
      <c r="AT9" s="444"/>
    </row>
    <row r="10" spans="2:46" ht="50.1" customHeight="1" thickBot="1" x14ac:dyDescent="0.35">
      <c r="B10" s="428" t="s">
        <v>4</v>
      </c>
      <c r="C10" s="429"/>
      <c r="D10" s="430"/>
      <c r="E10" s="441"/>
      <c r="F10" s="442"/>
      <c r="G10" s="441"/>
      <c r="H10" s="442"/>
      <c r="I10" s="441"/>
      <c r="J10" s="442"/>
      <c r="K10" s="445"/>
      <c r="L10" s="446"/>
      <c r="M10" s="441"/>
      <c r="N10" s="442"/>
      <c r="O10" s="441"/>
      <c r="P10" s="442"/>
      <c r="Q10" s="441"/>
      <c r="R10" s="442"/>
      <c r="S10" s="441"/>
      <c r="T10" s="442"/>
      <c r="U10" s="441"/>
      <c r="V10" s="442"/>
      <c r="W10" s="441"/>
      <c r="X10" s="442"/>
      <c r="Y10" s="441"/>
      <c r="Z10" s="442"/>
      <c r="AA10" s="441"/>
      <c r="AB10" s="442"/>
      <c r="AC10" s="441"/>
      <c r="AD10" s="442"/>
      <c r="AE10" s="441"/>
      <c r="AF10" s="442"/>
      <c r="AG10" s="441"/>
      <c r="AH10" s="442"/>
      <c r="AI10" s="441"/>
      <c r="AJ10" s="442"/>
      <c r="AK10" s="441"/>
      <c r="AL10" s="442"/>
      <c r="AM10" s="441"/>
      <c r="AN10" s="442"/>
      <c r="AO10" s="441"/>
      <c r="AP10" s="442"/>
      <c r="AQ10" s="441"/>
      <c r="AR10" s="442"/>
      <c r="AS10" s="441"/>
      <c r="AT10" s="442"/>
    </row>
    <row r="11" spans="2:46" ht="50.1" customHeight="1" thickBot="1" x14ac:dyDescent="0.35">
      <c r="B11" s="450" t="s">
        <v>5</v>
      </c>
      <c r="C11" s="451"/>
      <c r="D11" s="452"/>
      <c r="E11" s="441"/>
      <c r="F11" s="442"/>
      <c r="G11" s="441"/>
      <c r="H11" s="442"/>
      <c r="I11" s="441"/>
      <c r="J11" s="442"/>
      <c r="K11" s="72"/>
      <c r="L11" s="72"/>
      <c r="M11" s="441"/>
      <c r="N11" s="442"/>
      <c r="O11" s="441"/>
      <c r="P11" s="442"/>
      <c r="Q11" s="441"/>
      <c r="R11" s="442"/>
      <c r="S11" s="441"/>
      <c r="T11" s="442"/>
      <c r="U11" s="441"/>
      <c r="V11" s="442"/>
      <c r="W11" s="441"/>
      <c r="X11" s="442"/>
      <c r="Y11" s="441"/>
      <c r="Z11" s="442"/>
      <c r="AA11" s="441"/>
      <c r="AB11" s="442"/>
      <c r="AC11" s="441"/>
      <c r="AD11" s="442"/>
      <c r="AE11" s="441"/>
      <c r="AF11" s="442"/>
      <c r="AG11" s="441"/>
      <c r="AH11" s="442"/>
      <c r="AI11" s="441"/>
      <c r="AJ11" s="442"/>
      <c r="AK11" s="441"/>
      <c r="AL11" s="442"/>
      <c r="AM11" s="441"/>
      <c r="AN11" s="442"/>
      <c r="AO11" s="441"/>
      <c r="AP11" s="442"/>
      <c r="AQ11" s="441"/>
      <c r="AR11" s="442"/>
      <c r="AS11" s="441"/>
      <c r="AT11" s="442"/>
    </row>
    <row r="12" spans="2:46" ht="18" customHeight="1" thickTop="1" x14ac:dyDescent="0.6">
      <c r="B12" s="453" t="s">
        <v>6</v>
      </c>
      <c r="C12" s="98"/>
      <c r="D12" s="73"/>
      <c r="E12" s="74"/>
      <c r="F12" s="456"/>
      <c r="G12" s="457"/>
      <c r="H12" s="456"/>
      <c r="I12" s="457"/>
      <c r="J12" s="456"/>
      <c r="K12" s="457"/>
      <c r="L12" s="456"/>
      <c r="M12" s="457"/>
      <c r="N12" s="456"/>
      <c r="O12" s="457"/>
      <c r="P12" s="456"/>
      <c r="Q12" s="457"/>
      <c r="R12" s="456"/>
      <c r="S12" s="457"/>
      <c r="T12" s="456"/>
      <c r="U12" s="457"/>
      <c r="V12" s="456"/>
      <c r="W12" s="457"/>
      <c r="X12" s="456"/>
      <c r="Y12" s="457"/>
      <c r="Z12" s="456"/>
      <c r="AA12" s="457"/>
      <c r="AB12" s="456"/>
      <c r="AC12" s="457"/>
      <c r="AD12" s="456"/>
      <c r="AE12" s="457"/>
      <c r="AF12" s="456"/>
      <c r="AG12" s="457"/>
      <c r="AH12" s="456"/>
      <c r="AI12" s="457"/>
      <c r="AJ12" s="456"/>
      <c r="AK12" s="457"/>
      <c r="AL12" s="456"/>
      <c r="AM12" s="457"/>
      <c r="AN12" s="456"/>
      <c r="AO12" s="457"/>
      <c r="AP12" s="456"/>
      <c r="AQ12" s="457"/>
      <c r="AR12" s="456"/>
      <c r="AS12" s="457"/>
      <c r="AT12" s="93"/>
    </row>
    <row r="13" spans="2:46" ht="18" customHeight="1" thickBot="1" x14ac:dyDescent="0.35">
      <c r="B13" s="454"/>
      <c r="C13" s="458">
        <f>'Plot Data'!Q64</f>
        <v>23.449999999999992</v>
      </c>
      <c r="D13" s="5"/>
      <c r="E13" s="6"/>
      <c r="F13" s="461"/>
      <c r="G13" s="462"/>
      <c r="H13" s="461"/>
      <c r="I13" s="462"/>
      <c r="J13" s="461"/>
      <c r="K13" s="462"/>
      <c r="L13" s="461"/>
      <c r="M13" s="462"/>
      <c r="N13" s="461"/>
      <c r="O13" s="462"/>
      <c r="P13" s="461"/>
      <c r="Q13" s="462"/>
      <c r="R13" s="461"/>
      <c r="S13" s="462"/>
      <c r="T13" s="461"/>
      <c r="U13" s="462"/>
      <c r="V13" s="461"/>
      <c r="W13" s="462"/>
      <c r="X13" s="461"/>
      <c r="Y13" s="462"/>
      <c r="Z13" s="461"/>
      <c r="AA13" s="462"/>
      <c r="AB13" s="461"/>
      <c r="AC13" s="462"/>
      <c r="AD13" s="461"/>
      <c r="AE13" s="462"/>
      <c r="AF13" s="461"/>
      <c r="AG13" s="462"/>
      <c r="AH13" s="461"/>
      <c r="AI13" s="462"/>
      <c r="AJ13" s="461"/>
      <c r="AK13" s="462"/>
      <c r="AL13" s="461"/>
      <c r="AM13" s="462"/>
      <c r="AN13" s="461"/>
      <c r="AO13" s="462"/>
      <c r="AP13" s="461"/>
      <c r="AQ13" s="462"/>
      <c r="AR13" s="461"/>
      <c r="AS13" s="462"/>
      <c r="AT13" s="463" t="s">
        <v>48</v>
      </c>
    </row>
    <row r="14" spans="2:46" ht="18" customHeight="1" thickTop="1" x14ac:dyDescent="0.3">
      <c r="B14" s="454"/>
      <c r="C14" s="458"/>
      <c r="D14" s="7"/>
      <c r="E14" s="8"/>
      <c r="F14" s="459"/>
      <c r="G14" s="460"/>
      <c r="H14" s="459"/>
      <c r="I14" s="460"/>
      <c r="J14" s="459"/>
      <c r="K14" s="460"/>
      <c r="L14" s="459"/>
      <c r="M14" s="460"/>
      <c r="N14" s="459"/>
      <c r="O14" s="460"/>
      <c r="P14" s="459"/>
      <c r="Q14" s="460"/>
      <c r="R14" s="459"/>
      <c r="S14" s="460"/>
      <c r="T14" s="459"/>
      <c r="U14" s="460"/>
      <c r="V14" s="459"/>
      <c r="W14" s="460"/>
      <c r="X14" s="459"/>
      <c r="Y14" s="460"/>
      <c r="Z14" s="459"/>
      <c r="AA14" s="460"/>
      <c r="AB14" s="459"/>
      <c r="AC14" s="460"/>
      <c r="AD14" s="459"/>
      <c r="AE14" s="460"/>
      <c r="AF14" s="459"/>
      <c r="AG14" s="460"/>
      <c r="AH14" s="459"/>
      <c r="AI14" s="460"/>
      <c r="AJ14" s="459"/>
      <c r="AK14" s="460"/>
      <c r="AL14" s="459"/>
      <c r="AM14" s="460"/>
      <c r="AN14" s="459"/>
      <c r="AO14" s="460"/>
      <c r="AP14" s="459"/>
      <c r="AQ14" s="460"/>
      <c r="AR14" s="459"/>
      <c r="AS14" s="460"/>
      <c r="AT14" s="464"/>
    </row>
    <row r="15" spans="2:46" ht="18" customHeight="1" x14ac:dyDescent="0.6">
      <c r="B15" s="454"/>
      <c r="C15" s="458">
        <f>C19+(C13-C19)/2</f>
        <v>23.399999999999991</v>
      </c>
      <c r="D15" s="13"/>
      <c r="E15" s="8"/>
      <c r="F15" s="459"/>
      <c r="G15" s="460"/>
      <c r="H15" s="459"/>
      <c r="I15" s="460"/>
      <c r="J15" s="459"/>
      <c r="K15" s="460"/>
      <c r="L15" s="459"/>
      <c r="M15" s="460"/>
      <c r="N15" s="459"/>
      <c r="O15" s="460"/>
      <c r="P15" s="459"/>
      <c r="Q15" s="460"/>
      <c r="R15" s="459"/>
      <c r="S15" s="460"/>
      <c r="T15" s="459"/>
      <c r="U15" s="460"/>
      <c r="V15" s="459"/>
      <c r="W15" s="460"/>
      <c r="X15" s="459"/>
      <c r="Y15" s="460"/>
      <c r="Z15" s="459"/>
      <c r="AA15" s="460"/>
      <c r="AB15" s="459"/>
      <c r="AC15" s="460"/>
      <c r="AD15" s="459"/>
      <c r="AE15" s="460"/>
      <c r="AF15" s="459"/>
      <c r="AG15" s="460"/>
      <c r="AH15" s="459"/>
      <c r="AI15" s="460"/>
      <c r="AJ15" s="459"/>
      <c r="AK15" s="460"/>
      <c r="AL15" s="459"/>
      <c r="AM15" s="460"/>
      <c r="AN15" s="459"/>
      <c r="AO15" s="460"/>
      <c r="AP15" s="459"/>
      <c r="AQ15" s="460"/>
      <c r="AR15" s="459"/>
      <c r="AS15" s="460"/>
      <c r="AT15" s="94"/>
    </row>
    <row r="16" spans="2:46" ht="18" customHeight="1" x14ac:dyDescent="0.6">
      <c r="B16" s="454"/>
      <c r="C16" s="458"/>
      <c r="D16" s="3"/>
      <c r="E16" s="8"/>
      <c r="F16" s="459"/>
      <c r="G16" s="460"/>
      <c r="H16" s="459"/>
      <c r="I16" s="460"/>
      <c r="J16" s="459"/>
      <c r="K16" s="460"/>
      <c r="L16" s="459"/>
      <c r="M16" s="460"/>
      <c r="N16" s="459"/>
      <c r="O16" s="460"/>
      <c r="P16" s="459"/>
      <c r="Q16" s="460"/>
      <c r="R16" s="459"/>
      <c r="S16" s="460"/>
      <c r="T16" s="459"/>
      <c r="U16" s="460"/>
      <c r="V16" s="459"/>
      <c r="W16" s="460"/>
      <c r="X16" s="459"/>
      <c r="Y16" s="460"/>
      <c r="Z16" s="459"/>
      <c r="AA16" s="460"/>
      <c r="AB16" s="459"/>
      <c r="AC16" s="460"/>
      <c r="AD16" s="459"/>
      <c r="AE16" s="460"/>
      <c r="AF16" s="459"/>
      <c r="AG16" s="460"/>
      <c r="AH16" s="459"/>
      <c r="AI16" s="460"/>
      <c r="AJ16" s="459"/>
      <c r="AK16" s="460"/>
      <c r="AL16" s="459"/>
      <c r="AM16" s="460"/>
      <c r="AN16" s="459"/>
      <c r="AO16" s="460"/>
      <c r="AP16" s="459"/>
      <c r="AQ16" s="460"/>
      <c r="AR16" s="459"/>
      <c r="AS16" s="460"/>
      <c r="AT16" s="94"/>
    </row>
    <row r="17" spans="2:46" ht="18" customHeight="1" x14ac:dyDescent="0.6">
      <c r="B17" s="454"/>
      <c r="C17" s="458"/>
      <c r="D17" s="3"/>
      <c r="E17" s="8"/>
      <c r="F17" s="459"/>
      <c r="G17" s="460"/>
      <c r="H17" s="459"/>
      <c r="I17" s="460"/>
      <c r="J17" s="459"/>
      <c r="K17" s="460"/>
      <c r="L17" s="459"/>
      <c r="M17" s="460"/>
      <c r="N17" s="459"/>
      <c r="O17" s="460"/>
      <c r="P17" s="459"/>
      <c r="Q17" s="460"/>
      <c r="R17" s="459"/>
      <c r="S17" s="460"/>
      <c r="T17" s="459"/>
      <c r="U17" s="460"/>
      <c r="V17" s="459"/>
      <c r="W17" s="460"/>
      <c r="X17" s="459"/>
      <c r="Y17" s="460"/>
      <c r="Z17" s="459"/>
      <c r="AA17" s="460"/>
      <c r="AB17" s="459"/>
      <c r="AC17" s="460"/>
      <c r="AD17" s="459"/>
      <c r="AE17" s="460"/>
      <c r="AF17" s="459"/>
      <c r="AG17" s="460"/>
      <c r="AH17" s="459"/>
      <c r="AI17" s="460"/>
      <c r="AJ17" s="459"/>
      <c r="AK17" s="460"/>
      <c r="AL17" s="459"/>
      <c r="AM17" s="460"/>
      <c r="AN17" s="459"/>
      <c r="AO17" s="460"/>
      <c r="AP17" s="459"/>
      <c r="AQ17" s="460"/>
      <c r="AR17" s="459"/>
      <c r="AS17" s="460"/>
      <c r="AT17" s="94"/>
    </row>
    <row r="18" spans="2:46" ht="18" customHeight="1" x14ac:dyDescent="0.6">
      <c r="B18" s="454"/>
      <c r="C18" s="458"/>
      <c r="D18" s="7"/>
      <c r="E18" s="8"/>
      <c r="F18" s="459"/>
      <c r="G18" s="460"/>
      <c r="H18" s="459"/>
      <c r="I18" s="460"/>
      <c r="J18" s="459"/>
      <c r="K18" s="460"/>
      <c r="L18" s="459"/>
      <c r="M18" s="460"/>
      <c r="N18" s="459"/>
      <c r="O18" s="460"/>
      <c r="P18" s="459"/>
      <c r="Q18" s="460"/>
      <c r="R18" s="459"/>
      <c r="S18" s="460"/>
      <c r="T18" s="459"/>
      <c r="U18" s="460"/>
      <c r="V18" s="459"/>
      <c r="W18" s="460"/>
      <c r="X18" s="459"/>
      <c r="Y18" s="460"/>
      <c r="Z18" s="459"/>
      <c r="AA18" s="460"/>
      <c r="AB18" s="459"/>
      <c r="AC18" s="460"/>
      <c r="AD18" s="459"/>
      <c r="AE18" s="460"/>
      <c r="AF18" s="459"/>
      <c r="AG18" s="460"/>
      <c r="AH18" s="459"/>
      <c r="AI18" s="460"/>
      <c r="AJ18" s="459"/>
      <c r="AK18" s="460"/>
      <c r="AL18" s="459"/>
      <c r="AM18" s="460"/>
      <c r="AN18" s="459"/>
      <c r="AO18" s="460"/>
      <c r="AP18" s="459"/>
      <c r="AQ18" s="460"/>
      <c r="AR18" s="459"/>
      <c r="AS18" s="460"/>
      <c r="AT18" s="94"/>
    </row>
    <row r="19" spans="2:46" ht="18" customHeight="1" thickBot="1" x14ac:dyDescent="0.35">
      <c r="B19" s="454"/>
      <c r="C19" s="458">
        <f>'Plot Data'!Q62</f>
        <v>23.349999999999991</v>
      </c>
      <c r="D19" s="9"/>
      <c r="E19" s="10"/>
      <c r="F19" s="11"/>
      <c r="G19" s="12"/>
      <c r="H19" s="11"/>
      <c r="I19" s="12"/>
      <c r="J19" s="11"/>
      <c r="K19" s="12"/>
      <c r="L19" s="11"/>
      <c r="M19" s="12"/>
      <c r="N19" s="11"/>
      <c r="O19" s="12"/>
      <c r="P19" s="11"/>
      <c r="Q19" s="12"/>
      <c r="R19" s="11"/>
      <c r="S19" s="12"/>
      <c r="T19" s="11"/>
      <c r="U19" s="12"/>
      <c r="V19" s="11"/>
      <c r="W19" s="12"/>
      <c r="X19" s="11"/>
      <c r="Y19" s="12"/>
      <c r="Z19" s="11"/>
      <c r="AA19" s="12"/>
      <c r="AB19" s="11"/>
      <c r="AC19" s="12"/>
      <c r="AD19" s="11"/>
      <c r="AE19" s="12"/>
      <c r="AF19" s="11"/>
      <c r="AG19" s="12"/>
      <c r="AH19" s="11"/>
      <c r="AI19" s="12"/>
      <c r="AJ19" s="11"/>
      <c r="AK19" s="12"/>
      <c r="AL19" s="11"/>
      <c r="AM19" s="12"/>
      <c r="AN19" s="11"/>
      <c r="AO19" s="12"/>
      <c r="AP19" s="11"/>
      <c r="AQ19" s="12"/>
      <c r="AR19" s="11"/>
      <c r="AS19" s="12"/>
      <c r="AT19" s="463" t="s">
        <v>47</v>
      </c>
    </row>
    <row r="20" spans="2:46" ht="18" customHeight="1" x14ac:dyDescent="0.3">
      <c r="B20" s="454"/>
      <c r="C20" s="458"/>
      <c r="D20" s="7"/>
      <c r="E20" s="8"/>
      <c r="F20" s="459"/>
      <c r="G20" s="460"/>
      <c r="H20" s="459"/>
      <c r="I20" s="460"/>
      <c r="J20" s="459"/>
      <c r="K20" s="460"/>
      <c r="L20" s="459"/>
      <c r="M20" s="460"/>
      <c r="N20" s="459"/>
      <c r="O20" s="460"/>
      <c r="P20" s="459"/>
      <c r="Q20" s="460"/>
      <c r="R20" s="459"/>
      <c r="S20" s="460"/>
      <c r="T20" s="459"/>
      <c r="U20" s="460"/>
      <c r="V20" s="459"/>
      <c r="W20" s="460"/>
      <c r="X20" s="459"/>
      <c r="Y20" s="460"/>
      <c r="Z20" s="459"/>
      <c r="AA20" s="460"/>
      <c r="AB20" s="459"/>
      <c r="AC20" s="460"/>
      <c r="AD20" s="459"/>
      <c r="AE20" s="460"/>
      <c r="AF20" s="459"/>
      <c r="AG20" s="460"/>
      <c r="AH20" s="459"/>
      <c r="AI20" s="460"/>
      <c r="AJ20" s="459"/>
      <c r="AK20" s="460"/>
      <c r="AL20" s="459"/>
      <c r="AM20" s="460"/>
      <c r="AN20" s="459"/>
      <c r="AO20" s="460"/>
      <c r="AP20" s="459"/>
      <c r="AQ20" s="460"/>
      <c r="AR20" s="459"/>
      <c r="AS20" s="460"/>
      <c r="AT20" s="464"/>
    </row>
    <row r="21" spans="2:46" ht="18" customHeight="1" x14ac:dyDescent="0.6">
      <c r="B21" s="454"/>
      <c r="C21" s="458">
        <f>C25+(C19-C25)/2</f>
        <v>23.29999999999999</v>
      </c>
      <c r="D21" s="13"/>
      <c r="E21" s="8"/>
      <c r="F21" s="459"/>
      <c r="G21" s="460"/>
      <c r="H21" s="459"/>
      <c r="I21" s="460"/>
      <c r="J21" s="459"/>
      <c r="K21" s="460"/>
      <c r="L21" s="459"/>
      <c r="M21" s="460"/>
      <c r="N21" s="459"/>
      <c r="O21" s="460"/>
      <c r="P21" s="459"/>
      <c r="Q21" s="460"/>
      <c r="R21" s="459"/>
      <c r="S21" s="460"/>
      <c r="T21" s="459"/>
      <c r="U21" s="460"/>
      <c r="V21" s="459"/>
      <c r="W21" s="460"/>
      <c r="X21" s="459"/>
      <c r="Y21" s="460"/>
      <c r="Z21" s="459"/>
      <c r="AA21" s="460"/>
      <c r="AB21" s="459"/>
      <c r="AC21" s="460"/>
      <c r="AD21" s="459"/>
      <c r="AE21" s="460"/>
      <c r="AF21" s="459"/>
      <c r="AG21" s="460"/>
      <c r="AH21" s="459"/>
      <c r="AI21" s="460"/>
      <c r="AJ21" s="459"/>
      <c r="AK21" s="460"/>
      <c r="AL21" s="459"/>
      <c r="AM21" s="460"/>
      <c r="AN21" s="459"/>
      <c r="AO21" s="460"/>
      <c r="AP21" s="459"/>
      <c r="AQ21" s="460"/>
      <c r="AR21" s="459"/>
      <c r="AS21" s="460"/>
      <c r="AT21" s="94"/>
    </row>
    <row r="22" spans="2:46" ht="18" customHeight="1" x14ac:dyDescent="0.6">
      <c r="B22" s="454"/>
      <c r="C22" s="458"/>
      <c r="D22" s="3"/>
      <c r="E22" s="8"/>
      <c r="F22" s="459"/>
      <c r="G22" s="460"/>
      <c r="H22" s="459"/>
      <c r="I22" s="460"/>
      <c r="J22" s="459"/>
      <c r="K22" s="460"/>
      <c r="L22" s="459"/>
      <c r="M22" s="460"/>
      <c r="N22" s="459"/>
      <c r="O22" s="460"/>
      <c r="P22" s="459"/>
      <c r="Q22" s="460"/>
      <c r="R22" s="459"/>
      <c r="S22" s="460"/>
      <c r="T22" s="459"/>
      <c r="U22" s="460"/>
      <c r="V22" s="459"/>
      <c r="W22" s="460"/>
      <c r="X22" s="459"/>
      <c r="Y22" s="460"/>
      <c r="Z22" s="459"/>
      <c r="AA22" s="460"/>
      <c r="AB22" s="459"/>
      <c r="AC22" s="460"/>
      <c r="AD22" s="459"/>
      <c r="AE22" s="460"/>
      <c r="AF22" s="459"/>
      <c r="AG22" s="460"/>
      <c r="AH22" s="459"/>
      <c r="AI22" s="460"/>
      <c r="AJ22" s="459"/>
      <c r="AK22" s="460"/>
      <c r="AL22" s="459"/>
      <c r="AM22" s="460"/>
      <c r="AN22" s="459"/>
      <c r="AO22" s="460"/>
      <c r="AP22" s="459"/>
      <c r="AQ22" s="460"/>
      <c r="AR22" s="459"/>
      <c r="AS22" s="460"/>
      <c r="AT22" s="94"/>
    </row>
    <row r="23" spans="2:46" ht="18" customHeight="1" x14ac:dyDescent="0.6">
      <c r="B23" s="454"/>
      <c r="C23" s="458"/>
      <c r="D23" s="3"/>
      <c r="E23" s="8"/>
      <c r="F23" s="459"/>
      <c r="G23" s="460"/>
      <c r="H23" s="459"/>
      <c r="I23" s="460"/>
      <c r="J23" s="459"/>
      <c r="K23" s="460"/>
      <c r="L23" s="459"/>
      <c r="M23" s="460"/>
      <c r="N23" s="459"/>
      <c r="O23" s="460"/>
      <c r="P23" s="459"/>
      <c r="Q23" s="460"/>
      <c r="R23" s="459"/>
      <c r="S23" s="460"/>
      <c r="T23" s="459"/>
      <c r="U23" s="460"/>
      <c r="V23" s="459"/>
      <c r="W23" s="460"/>
      <c r="X23" s="459"/>
      <c r="Y23" s="460"/>
      <c r="Z23" s="459"/>
      <c r="AA23" s="460"/>
      <c r="AB23" s="459"/>
      <c r="AC23" s="460"/>
      <c r="AD23" s="459"/>
      <c r="AE23" s="460"/>
      <c r="AF23" s="459"/>
      <c r="AG23" s="460"/>
      <c r="AH23" s="459"/>
      <c r="AI23" s="460"/>
      <c r="AJ23" s="459"/>
      <c r="AK23" s="460"/>
      <c r="AL23" s="459"/>
      <c r="AM23" s="460"/>
      <c r="AN23" s="459"/>
      <c r="AO23" s="460"/>
      <c r="AP23" s="459"/>
      <c r="AQ23" s="460"/>
      <c r="AR23" s="459"/>
      <c r="AS23" s="460"/>
      <c r="AT23" s="94"/>
    </row>
    <row r="24" spans="2:46" ht="18" customHeight="1" x14ac:dyDescent="0.6">
      <c r="B24" s="454"/>
      <c r="C24" s="458"/>
      <c r="D24" s="7"/>
      <c r="E24" s="8"/>
      <c r="F24" s="459"/>
      <c r="G24" s="460"/>
      <c r="H24" s="459"/>
      <c r="I24" s="460"/>
      <c r="J24" s="459"/>
      <c r="K24" s="460"/>
      <c r="L24" s="459"/>
      <c r="M24" s="460"/>
      <c r="N24" s="459"/>
      <c r="O24" s="460"/>
      <c r="P24" s="459"/>
      <c r="Q24" s="460"/>
      <c r="R24" s="459"/>
      <c r="S24" s="460"/>
      <c r="T24" s="459"/>
      <c r="U24" s="460"/>
      <c r="V24" s="459"/>
      <c r="W24" s="460"/>
      <c r="X24" s="459"/>
      <c r="Y24" s="460"/>
      <c r="Z24" s="459"/>
      <c r="AA24" s="460"/>
      <c r="AB24" s="459"/>
      <c r="AC24" s="460"/>
      <c r="AD24" s="459"/>
      <c r="AE24" s="460"/>
      <c r="AF24" s="459"/>
      <c r="AG24" s="460"/>
      <c r="AH24" s="459"/>
      <c r="AI24" s="460"/>
      <c r="AJ24" s="459"/>
      <c r="AK24" s="460"/>
      <c r="AL24" s="459"/>
      <c r="AM24" s="460"/>
      <c r="AN24" s="459"/>
      <c r="AO24" s="460"/>
      <c r="AP24" s="459"/>
      <c r="AQ24" s="460"/>
      <c r="AR24" s="459"/>
      <c r="AS24" s="460"/>
      <c r="AT24" s="94"/>
    </row>
    <row r="25" spans="2:46" ht="18" customHeight="1" x14ac:dyDescent="0.6">
      <c r="B25" s="454"/>
      <c r="C25" s="458">
        <f>'Plot Data'!Q63</f>
        <v>23.249999999999993</v>
      </c>
      <c r="D25" s="13"/>
      <c r="E25" s="8"/>
      <c r="F25" s="459"/>
      <c r="G25" s="460"/>
      <c r="H25" s="459"/>
      <c r="I25" s="460"/>
      <c r="J25" s="459"/>
      <c r="K25" s="460"/>
      <c r="L25" s="459"/>
      <c r="M25" s="460"/>
      <c r="N25" s="459"/>
      <c r="O25" s="460"/>
      <c r="P25" s="459"/>
      <c r="Q25" s="460"/>
      <c r="R25" s="459"/>
      <c r="S25" s="460"/>
      <c r="T25" s="459"/>
      <c r="U25" s="460"/>
      <c r="V25" s="459"/>
      <c r="W25" s="460"/>
      <c r="X25" s="459"/>
      <c r="Y25" s="460"/>
      <c r="Z25" s="459"/>
      <c r="AA25" s="460"/>
      <c r="AB25" s="459"/>
      <c r="AC25" s="460"/>
      <c r="AD25" s="459"/>
      <c r="AE25" s="460"/>
      <c r="AF25" s="459"/>
      <c r="AG25" s="460"/>
      <c r="AH25" s="459"/>
      <c r="AI25" s="460"/>
      <c r="AJ25" s="459"/>
      <c r="AK25" s="460"/>
      <c r="AL25" s="459"/>
      <c r="AM25" s="460"/>
      <c r="AN25" s="459"/>
      <c r="AO25" s="460"/>
      <c r="AP25" s="459"/>
      <c r="AQ25" s="460"/>
      <c r="AR25" s="459"/>
      <c r="AS25" s="460"/>
      <c r="AT25" s="94"/>
    </row>
    <row r="26" spans="2:46" ht="18" customHeight="1" x14ac:dyDescent="0.6">
      <c r="B26" s="454"/>
      <c r="C26" s="458"/>
      <c r="D26" s="7"/>
      <c r="E26" s="8"/>
      <c r="F26" s="459"/>
      <c r="G26" s="460"/>
      <c r="H26" s="459"/>
      <c r="I26" s="460"/>
      <c r="J26" s="459"/>
      <c r="K26" s="460"/>
      <c r="L26" s="459"/>
      <c r="M26" s="460"/>
      <c r="N26" s="459"/>
      <c r="O26" s="460"/>
      <c r="P26" s="459"/>
      <c r="Q26" s="460"/>
      <c r="R26" s="459"/>
      <c r="S26" s="460"/>
      <c r="T26" s="459"/>
      <c r="U26" s="460"/>
      <c r="V26" s="459"/>
      <c r="W26" s="460"/>
      <c r="X26" s="459"/>
      <c r="Y26" s="460"/>
      <c r="Z26" s="459"/>
      <c r="AA26" s="460"/>
      <c r="AB26" s="459"/>
      <c r="AC26" s="460"/>
      <c r="AD26" s="459"/>
      <c r="AE26" s="460"/>
      <c r="AF26" s="459"/>
      <c r="AG26" s="460"/>
      <c r="AH26" s="459"/>
      <c r="AI26" s="460"/>
      <c r="AJ26" s="459"/>
      <c r="AK26" s="460"/>
      <c r="AL26" s="459"/>
      <c r="AM26" s="460"/>
      <c r="AN26" s="459"/>
      <c r="AO26" s="460"/>
      <c r="AP26" s="459"/>
      <c r="AQ26" s="460"/>
      <c r="AR26" s="459"/>
      <c r="AS26" s="460"/>
      <c r="AT26" s="94"/>
    </row>
    <row r="27" spans="2:46" ht="18" customHeight="1" x14ac:dyDescent="0.6">
      <c r="B27" s="454"/>
      <c r="C27" s="458">
        <f>C31+(C25-C31)/2</f>
        <v>23.199999999999992</v>
      </c>
      <c r="D27" s="13"/>
      <c r="E27" s="8"/>
      <c r="F27" s="459"/>
      <c r="G27" s="460"/>
      <c r="H27" s="459"/>
      <c r="I27" s="460"/>
      <c r="J27" s="459"/>
      <c r="K27" s="460"/>
      <c r="L27" s="459"/>
      <c r="M27" s="460"/>
      <c r="N27" s="459"/>
      <c r="O27" s="460"/>
      <c r="P27" s="459"/>
      <c r="Q27" s="460"/>
      <c r="R27" s="459"/>
      <c r="S27" s="460"/>
      <c r="T27" s="459"/>
      <c r="U27" s="460"/>
      <c r="V27" s="459"/>
      <c r="W27" s="460"/>
      <c r="X27" s="459"/>
      <c r="Y27" s="460"/>
      <c r="Z27" s="459"/>
      <c r="AA27" s="460"/>
      <c r="AB27" s="459"/>
      <c r="AC27" s="460"/>
      <c r="AD27" s="459"/>
      <c r="AE27" s="460"/>
      <c r="AF27" s="459"/>
      <c r="AG27" s="460"/>
      <c r="AH27" s="459"/>
      <c r="AI27" s="460"/>
      <c r="AJ27" s="459"/>
      <c r="AK27" s="460"/>
      <c r="AL27" s="459"/>
      <c r="AM27" s="460"/>
      <c r="AN27" s="459"/>
      <c r="AO27" s="460"/>
      <c r="AP27" s="459"/>
      <c r="AQ27" s="460"/>
      <c r="AR27" s="459"/>
      <c r="AS27" s="460"/>
      <c r="AT27" s="94"/>
    </row>
    <row r="28" spans="2:46" ht="18" customHeight="1" x14ac:dyDescent="0.6">
      <c r="B28" s="454"/>
      <c r="C28" s="458"/>
      <c r="D28" s="3"/>
      <c r="E28" s="8"/>
      <c r="F28" s="459"/>
      <c r="G28" s="460"/>
      <c r="H28" s="459"/>
      <c r="I28" s="460"/>
      <c r="J28" s="459"/>
      <c r="K28" s="460"/>
      <c r="L28" s="459"/>
      <c r="M28" s="460"/>
      <c r="N28" s="459"/>
      <c r="O28" s="460"/>
      <c r="P28" s="459"/>
      <c r="Q28" s="460"/>
      <c r="R28" s="459"/>
      <c r="S28" s="460"/>
      <c r="T28" s="459"/>
      <c r="U28" s="460"/>
      <c r="V28" s="459"/>
      <c r="W28" s="460"/>
      <c r="X28" s="459"/>
      <c r="Y28" s="460"/>
      <c r="Z28" s="459"/>
      <c r="AA28" s="460"/>
      <c r="AB28" s="459"/>
      <c r="AC28" s="460"/>
      <c r="AD28" s="459"/>
      <c r="AE28" s="460"/>
      <c r="AF28" s="459"/>
      <c r="AG28" s="460"/>
      <c r="AH28" s="459"/>
      <c r="AI28" s="460"/>
      <c r="AJ28" s="459"/>
      <c r="AK28" s="460"/>
      <c r="AL28" s="459"/>
      <c r="AM28" s="460"/>
      <c r="AN28" s="459"/>
      <c r="AO28" s="460"/>
      <c r="AP28" s="459"/>
      <c r="AQ28" s="460"/>
      <c r="AR28" s="459"/>
      <c r="AS28" s="460"/>
      <c r="AT28" s="94"/>
    </row>
    <row r="29" spans="2:46" ht="18" customHeight="1" x14ac:dyDescent="0.6">
      <c r="B29" s="454"/>
      <c r="C29" s="458"/>
      <c r="D29" s="3"/>
      <c r="E29" s="8"/>
      <c r="F29" s="459"/>
      <c r="G29" s="460"/>
      <c r="H29" s="459"/>
      <c r="I29" s="460"/>
      <c r="J29" s="459"/>
      <c r="K29" s="460"/>
      <c r="L29" s="459"/>
      <c r="M29" s="460"/>
      <c r="N29" s="459"/>
      <c r="O29" s="460"/>
      <c r="P29" s="459"/>
      <c r="Q29" s="460"/>
      <c r="R29" s="459"/>
      <c r="S29" s="460"/>
      <c r="T29" s="459"/>
      <c r="U29" s="460"/>
      <c r="V29" s="459"/>
      <c r="W29" s="460"/>
      <c r="X29" s="459"/>
      <c r="Y29" s="460"/>
      <c r="Z29" s="459"/>
      <c r="AA29" s="460"/>
      <c r="AB29" s="459"/>
      <c r="AC29" s="460"/>
      <c r="AD29" s="459"/>
      <c r="AE29" s="460"/>
      <c r="AF29" s="459"/>
      <c r="AG29" s="460"/>
      <c r="AH29" s="459"/>
      <c r="AI29" s="460"/>
      <c r="AJ29" s="459"/>
      <c r="AK29" s="460"/>
      <c r="AL29" s="459"/>
      <c r="AM29" s="460"/>
      <c r="AN29" s="459"/>
      <c r="AO29" s="460"/>
      <c r="AP29" s="459"/>
      <c r="AQ29" s="460"/>
      <c r="AR29" s="459"/>
      <c r="AS29" s="460"/>
      <c r="AT29" s="94"/>
    </row>
    <row r="30" spans="2:46" ht="18" customHeight="1" x14ac:dyDescent="0.6">
      <c r="B30" s="454"/>
      <c r="C30" s="458"/>
      <c r="D30" s="7"/>
      <c r="E30" s="8"/>
      <c r="F30" s="459"/>
      <c r="G30" s="460"/>
      <c r="H30" s="459"/>
      <c r="I30" s="460"/>
      <c r="J30" s="459"/>
      <c r="K30" s="460"/>
      <c r="L30" s="459"/>
      <c r="M30" s="460"/>
      <c r="N30" s="459"/>
      <c r="O30" s="460"/>
      <c r="P30" s="459"/>
      <c r="Q30" s="460"/>
      <c r="R30" s="459"/>
      <c r="S30" s="460"/>
      <c r="T30" s="459"/>
      <c r="U30" s="460"/>
      <c r="V30" s="459"/>
      <c r="W30" s="460"/>
      <c r="X30" s="459"/>
      <c r="Y30" s="460"/>
      <c r="Z30" s="459"/>
      <c r="AA30" s="460"/>
      <c r="AB30" s="459"/>
      <c r="AC30" s="460"/>
      <c r="AD30" s="459"/>
      <c r="AE30" s="460"/>
      <c r="AF30" s="459"/>
      <c r="AG30" s="460"/>
      <c r="AH30" s="459"/>
      <c r="AI30" s="460"/>
      <c r="AJ30" s="459"/>
      <c r="AK30" s="460"/>
      <c r="AL30" s="459"/>
      <c r="AM30" s="460"/>
      <c r="AN30" s="459"/>
      <c r="AO30" s="460"/>
      <c r="AP30" s="459"/>
      <c r="AQ30" s="460"/>
      <c r="AR30" s="459"/>
      <c r="AS30" s="460"/>
      <c r="AT30" s="94"/>
    </row>
    <row r="31" spans="2:46" ht="18" customHeight="1" thickBot="1" x14ac:dyDescent="0.35">
      <c r="B31" s="454"/>
      <c r="C31" s="458">
        <f>'Plot Data'!Q58</f>
        <v>23.149999999999991</v>
      </c>
      <c r="D31" s="14"/>
      <c r="E31" s="15"/>
      <c r="F31" s="465"/>
      <c r="G31" s="466"/>
      <c r="H31" s="465"/>
      <c r="I31" s="466"/>
      <c r="J31" s="465"/>
      <c r="K31" s="466"/>
      <c r="L31" s="465"/>
      <c r="M31" s="466"/>
      <c r="N31" s="465"/>
      <c r="O31" s="466"/>
      <c r="P31" s="465"/>
      <c r="Q31" s="466"/>
      <c r="R31" s="465"/>
      <c r="S31" s="466"/>
      <c r="T31" s="465"/>
      <c r="U31" s="466"/>
      <c r="V31" s="465"/>
      <c r="W31" s="466"/>
      <c r="X31" s="465"/>
      <c r="Y31" s="466"/>
      <c r="Z31" s="465"/>
      <c r="AA31" s="466"/>
      <c r="AB31" s="465"/>
      <c r="AC31" s="466"/>
      <c r="AD31" s="465"/>
      <c r="AE31" s="466"/>
      <c r="AF31" s="465"/>
      <c r="AG31" s="466"/>
      <c r="AH31" s="465"/>
      <c r="AI31" s="466"/>
      <c r="AJ31" s="465"/>
      <c r="AK31" s="466"/>
      <c r="AL31" s="465"/>
      <c r="AM31" s="466"/>
      <c r="AN31" s="465"/>
      <c r="AO31" s="466"/>
      <c r="AP31" s="465"/>
      <c r="AQ31" s="466"/>
      <c r="AR31" s="465"/>
      <c r="AS31" s="466"/>
      <c r="AT31" s="469" t="s">
        <v>90</v>
      </c>
    </row>
    <row r="32" spans="2:46" ht="18" customHeight="1" x14ac:dyDescent="0.3">
      <c r="B32" s="454"/>
      <c r="C32" s="458"/>
      <c r="D32" s="16"/>
      <c r="E32" s="17"/>
      <c r="F32" s="467"/>
      <c r="G32" s="468"/>
      <c r="H32" s="467"/>
      <c r="I32" s="468"/>
      <c r="J32" s="467"/>
      <c r="K32" s="468"/>
      <c r="L32" s="467"/>
      <c r="M32" s="468"/>
      <c r="N32" s="467"/>
      <c r="O32" s="468"/>
      <c r="P32" s="467"/>
      <c r="Q32" s="468"/>
      <c r="R32" s="467"/>
      <c r="S32" s="468"/>
      <c r="T32" s="467"/>
      <c r="U32" s="468"/>
      <c r="V32" s="467"/>
      <c r="W32" s="468"/>
      <c r="X32" s="467"/>
      <c r="Y32" s="468"/>
      <c r="Z32" s="467"/>
      <c r="AA32" s="468"/>
      <c r="AB32" s="467"/>
      <c r="AC32" s="468"/>
      <c r="AD32" s="467"/>
      <c r="AE32" s="468"/>
      <c r="AF32" s="467"/>
      <c r="AG32" s="468"/>
      <c r="AH32" s="467"/>
      <c r="AI32" s="468"/>
      <c r="AJ32" s="467"/>
      <c r="AK32" s="468"/>
      <c r="AL32" s="467"/>
      <c r="AM32" s="468"/>
      <c r="AN32" s="467"/>
      <c r="AO32" s="468"/>
      <c r="AP32" s="467"/>
      <c r="AQ32" s="468"/>
      <c r="AR32" s="467"/>
      <c r="AS32" s="468"/>
      <c r="AT32" s="464"/>
    </row>
    <row r="33" spans="2:46" ht="18" customHeight="1" x14ac:dyDescent="0.6">
      <c r="B33" s="454"/>
      <c r="C33" s="458">
        <f>C37+(C31-C37)/2</f>
        <v>23.099999999999991</v>
      </c>
      <c r="D33" s="13"/>
      <c r="E33" s="8"/>
      <c r="F33" s="459"/>
      <c r="G33" s="460"/>
      <c r="H33" s="459"/>
      <c r="I33" s="460"/>
      <c r="J33" s="459"/>
      <c r="K33" s="460"/>
      <c r="L33" s="459"/>
      <c r="M33" s="460"/>
      <c r="N33" s="459"/>
      <c r="O33" s="460"/>
      <c r="P33" s="459"/>
      <c r="Q33" s="460"/>
      <c r="R33" s="459"/>
      <c r="S33" s="460"/>
      <c r="T33" s="459"/>
      <c r="U33" s="460"/>
      <c r="V33" s="459"/>
      <c r="W33" s="460"/>
      <c r="X33" s="459"/>
      <c r="Y33" s="460"/>
      <c r="Z33" s="459"/>
      <c r="AA33" s="460"/>
      <c r="AB33" s="459"/>
      <c r="AC33" s="460"/>
      <c r="AD33" s="459"/>
      <c r="AE33" s="460"/>
      <c r="AF33" s="459"/>
      <c r="AG33" s="460"/>
      <c r="AH33" s="459"/>
      <c r="AI33" s="460"/>
      <c r="AJ33" s="459"/>
      <c r="AK33" s="460"/>
      <c r="AL33" s="459"/>
      <c r="AM33" s="460"/>
      <c r="AN33" s="459"/>
      <c r="AO33" s="460"/>
      <c r="AP33" s="459"/>
      <c r="AQ33" s="460"/>
      <c r="AR33" s="459"/>
      <c r="AS33" s="460"/>
      <c r="AT33" s="94"/>
    </row>
    <row r="34" spans="2:46" ht="18" customHeight="1" x14ac:dyDescent="0.6">
      <c r="B34" s="454"/>
      <c r="C34" s="458"/>
      <c r="D34" s="13"/>
      <c r="E34" s="8"/>
      <c r="F34" s="459"/>
      <c r="G34" s="460"/>
      <c r="H34" s="459"/>
      <c r="I34" s="460"/>
      <c r="J34" s="459"/>
      <c r="K34" s="460"/>
      <c r="L34" s="459"/>
      <c r="M34" s="460"/>
      <c r="N34" s="459"/>
      <c r="O34" s="460"/>
      <c r="P34" s="459"/>
      <c r="Q34" s="460"/>
      <c r="R34" s="459"/>
      <c r="S34" s="460"/>
      <c r="T34" s="459"/>
      <c r="U34" s="460"/>
      <c r="V34" s="459"/>
      <c r="W34" s="460"/>
      <c r="X34" s="459"/>
      <c r="Y34" s="460"/>
      <c r="Z34" s="459"/>
      <c r="AA34" s="460"/>
      <c r="AB34" s="459"/>
      <c r="AC34" s="460"/>
      <c r="AD34" s="459"/>
      <c r="AE34" s="460"/>
      <c r="AF34" s="459"/>
      <c r="AG34" s="460"/>
      <c r="AH34" s="459"/>
      <c r="AI34" s="460"/>
      <c r="AJ34" s="459"/>
      <c r="AK34" s="460"/>
      <c r="AL34" s="459"/>
      <c r="AM34" s="460"/>
      <c r="AN34" s="459"/>
      <c r="AO34" s="460"/>
      <c r="AP34" s="459"/>
      <c r="AQ34" s="460"/>
      <c r="AR34" s="459"/>
      <c r="AS34" s="460"/>
      <c r="AT34" s="94"/>
    </row>
    <row r="35" spans="2:46" ht="18" customHeight="1" x14ac:dyDescent="0.6">
      <c r="B35" s="454"/>
      <c r="C35" s="458"/>
      <c r="D35" s="13"/>
      <c r="E35" s="8"/>
      <c r="F35" s="459"/>
      <c r="G35" s="460"/>
      <c r="H35" s="459"/>
      <c r="I35" s="460"/>
      <c r="J35" s="459"/>
      <c r="K35" s="460"/>
      <c r="L35" s="459"/>
      <c r="M35" s="460"/>
      <c r="N35" s="459"/>
      <c r="O35" s="460"/>
      <c r="P35" s="459"/>
      <c r="Q35" s="460"/>
      <c r="R35" s="459"/>
      <c r="S35" s="460"/>
      <c r="T35" s="459"/>
      <c r="U35" s="460"/>
      <c r="V35" s="459"/>
      <c r="W35" s="460"/>
      <c r="X35" s="459"/>
      <c r="Y35" s="460"/>
      <c r="Z35" s="459"/>
      <c r="AA35" s="460"/>
      <c r="AB35" s="459"/>
      <c r="AC35" s="460"/>
      <c r="AD35" s="459"/>
      <c r="AE35" s="460"/>
      <c r="AF35" s="459"/>
      <c r="AG35" s="460"/>
      <c r="AH35" s="459"/>
      <c r="AI35" s="460"/>
      <c r="AJ35" s="459"/>
      <c r="AK35" s="460"/>
      <c r="AL35" s="459"/>
      <c r="AM35" s="460"/>
      <c r="AN35" s="459"/>
      <c r="AO35" s="460"/>
      <c r="AP35" s="459"/>
      <c r="AQ35" s="460"/>
      <c r="AR35" s="459"/>
      <c r="AS35" s="460"/>
      <c r="AT35" s="94"/>
    </row>
    <row r="36" spans="2:46" ht="18" customHeight="1" x14ac:dyDescent="0.6">
      <c r="B36" s="454"/>
      <c r="C36" s="458"/>
      <c r="D36" s="92"/>
      <c r="E36" s="8"/>
      <c r="F36" s="459"/>
      <c r="G36" s="460"/>
      <c r="H36" s="459"/>
      <c r="I36" s="460"/>
      <c r="J36" s="459"/>
      <c r="K36" s="460"/>
      <c r="L36" s="459"/>
      <c r="M36" s="460"/>
      <c r="N36" s="459"/>
      <c r="O36" s="460"/>
      <c r="P36" s="459"/>
      <c r="Q36" s="460"/>
      <c r="R36" s="459"/>
      <c r="S36" s="460"/>
      <c r="T36" s="459"/>
      <c r="U36" s="460"/>
      <c r="V36" s="459"/>
      <c r="W36" s="460"/>
      <c r="X36" s="459"/>
      <c r="Y36" s="460"/>
      <c r="Z36" s="459"/>
      <c r="AA36" s="460"/>
      <c r="AB36" s="459"/>
      <c r="AC36" s="460"/>
      <c r="AD36" s="459"/>
      <c r="AE36" s="460"/>
      <c r="AF36" s="459"/>
      <c r="AG36" s="460"/>
      <c r="AH36" s="459"/>
      <c r="AI36" s="460"/>
      <c r="AJ36" s="459"/>
      <c r="AK36" s="460"/>
      <c r="AL36" s="459"/>
      <c r="AM36" s="460"/>
      <c r="AN36" s="459"/>
      <c r="AO36" s="460"/>
      <c r="AP36" s="459"/>
      <c r="AQ36" s="460"/>
      <c r="AR36" s="459"/>
      <c r="AS36" s="460"/>
      <c r="AT36" s="94"/>
    </row>
    <row r="37" spans="2:46" ht="18" customHeight="1" x14ac:dyDescent="0.6">
      <c r="B37" s="454"/>
      <c r="C37" s="458">
        <f>'Plot Data'!Q66</f>
        <v>23.04999999999999</v>
      </c>
      <c r="D37" s="13"/>
      <c r="E37" s="8"/>
      <c r="F37" s="470"/>
      <c r="G37" s="471"/>
      <c r="H37" s="459"/>
      <c r="I37" s="460"/>
      <c r="J37" s="459"/>
      <c r="K37" s="460"/>
      <c r="L37" s="459"/>
      <c r="M37" s="460"/>
      <c r="N37" s="459"/>
      <c r="O37" s="460"/>
      <c r="P37" s="459"/>
      <c r="Q37" s="460"/>
      <c r="R37" s="459"/>
      <c r="S37" s="460"/>
      <c r="T37" s="459"/>
      <c r="U37" s="460"/>
      <c r="V37" s="459"/>
      <c r="W37" s="460"/>
      <c r="X37" s="459"/>
      <c r="Y37" s="460"/>
      <c r="Z37" s="459"/>
      <c r="AA37" s="460"/>
      <c r="AB37" s="459"/>
      <c r="AC37" s="460"/>
      <c r="AD37" s="459"/>
      <c r="AE37" s="460"/>
      <c r="AF37" s="459"/>
      <c r="AG37" s="460"/>
      <c r="AH37" s="459"/>
      <c r="AI37" s="460"/>
      <c r="AJ37" s="459"/>
      <c r="AK37" s="460"/>
      <c r="AL37" s="459"/>
      <c r="AM37" s="460"/>
      <c r="AN37" s="459"/>
      <c r="AO37" s="460"/>
      <c r="AP37" s="459"/>
      <c r="AQ37" s="460"/>
      <c r="AR37" s="459"/>
      <c r="AS37" s="460"/>
      <c r="AT37" s="94"/>
    </row>
    <row r="38" spans="2:46" ht="18" customHeight="1" x14ac:dyDescent="0.6">
      <c r="B38" s="454"/>
      <c r="C38" s="458"/>
      <c r="D38" s="7"/>
      <c r="E38" s="8"/>
      <c r="F38" s="459"/>
      <c r="G38" s="460"/>
      <c r="H38" s="459"/>
      <c r="I38" s="460"/>
      <c r="J38" s="459"/>
      <c r="K38" s="460"/>
      <c r="L38" s="459"/>
      <c r="M38" s="460"/>
      <c r="N38" s="459"/>
      <c r="O38" s="460"/>
      <c r="P38" s="459"/>
      <c r="Q38" s="460"/>
      <c r="R38" s="459"/>
      <c r="S38" s="460"/>
      <c r="T38" s="459"/>
      <c r="U38" s="460"/>
      <c r="V38" s="459"/>
      <c r="W38" s="460"/>
      <c r="X38" s="459"/>
      <c r="Y38" s="460"/>
      <c r="Z38" s="459"/>
      <c r="AA38" s="460"/>
      <c r="AB38" s="459"/>
      <c r="AC38" s="460"/>
      <c r="AD38" s="459"/>
      <c r="AE38" s="460"/>
      <c r="AF38" s="459"/>
      <c r="AG38" s="460"/>
      <c r="AH38" s="459"/>
      <c r="AI38" s="460"/>
      <c r="AJ38" s="459"/>
      <c r="AK38" s="460"/>
      <c r="AL38" s="459"/>
      <c r="AM38" s="460"/>
      <c r="AN38" s="459"/>
      <c r="AO38" s="460"/>
      <c r="AP38" s="459"/>
      <c r="AQ38" s="460"/>
      <c r="AR38" s="459"/>
      <c r="AS38" s="460"/>
      <c r="AT38" s="94"/>
    </row>
    <row r="39" spans="2:46" ht="18" customHeight="1" x14ac:dyDescent="0.6">
      <c r="B39" s="454"/>
      <c r="C39" s="458">
        <f>C43+(C37-C43)/2</f>
        <v>22.999999999999993</v>
      </c>
      <c r="D39" s="13"/>
      <c r="E39" s="8"/>
      <c r="F39" s="459"/>
      <c r="G39" s="460"/>
      <c r="H39" s="459"/>
      <c r="I39" s="460"/>
      <c r="J39" s="459"/>
      <c r="K39" s="460"/>
      <c r="L39" s="459"/>
      <c r="M39" s="460"/>
      <c r="N39" s="459"/>
      <c r="O39" s="460"/>
      <c r="P39" s="459"/>
      <c r="Q39" s="460"/>
      <c r="R39" s="459"/>
      <c r="S39" s="460"/>
      <c r="T39" s="459"/>
      <c r="U39" s="460"/>
      <c r="V39" s="459"/>
      <c r="W39" s="460"/>
      <c r="X39" s="459"/>
      <c r="Y39" s="460"/>
      <c r="Z39" s="459"/>
      <c r="AA39" s="460"/>
      <c r="AB39" s="459"/>
      <c r="AC39" s="460"/>
      <c r="AD39" s="459"/>
      <c r="AE39" s="460"/>
      <c r="AF39" s="459"/>
      <c r="AG39" s="460"/>
      <c r="AH39" s="459"/>
      <c r="AI39" s="460"/>
      <c r="AJ39" s="459"/>
      <c r="AK39" s="460"/>
      <c r="AL39" s="459"/>
      <c r="AM39" s="460"/>
      <c r="AN39" s="459"/>
      <c r="AO39" s="460"/>
      <c r="AP39" s="459"/>
      <c r="AQ39" s="460"/>
      <c r="AR39" s="459"/>
      <c r="AS39" s="460"/>
      <c r="AT39" s="94"/>
    </row>
    <row r="40" spans="2:46" ht="18" customHeight="1" x14ac:dyDescent="0.6">
      <c r="B40" s="454"/>
      <c r="C40" s="458"/>
      <c r="D40" s="3"/>
      <c r="E40" s="8"/>
      <c r="F40" s="459"/>
      <c r="G40" s="460"/>
      <c r="H40" s="459"/>
      <c r="I40" s="460"/>
      <c r="J40" s="459"/>
      <c r="K40" s="460"/>
      <c r="L40" s="459"/>
      <c r="M40" s="460"/>
      <c r="N40" s="459"/>
      <c r="O40" s="460"/>
      <c r="P40" s="459"/>
      <c r="Q40" s="460"/>
      <c r="R40" s="459"/>
      <c r="S40" s="460"/>
      <c r="T40" s="459"/>
      <c r="U40" s="460"/>
      <c r="V40" s="459"/>
      <c r="W40" s="460"/>
      <c r="X40" s="459"/>
      <c r="Y40" s="460"/>
      <c r="Z40" s="459"/>
      <c r="AA40" s="460"/>
      <c r="AB40" s="459"/>
      <c r="AC40" s="460"/>
      <c r="AD40" s="459"/>
      <c r="AE40" s="460"/>
      <c r="AF40" s="459"/>
      <c r="AG40" s="460"/>
      <c r="AH40" s="459"/>
      <c r="AI40" s="460"/>
      <c r="AJ40" s="459"/>
      <c r="AK40" s="460"/>
      <c r="AL40" s="459"/>
      <c r="AM40" s="460"/>
      <c r="AN40" s="459"/>
      <c r="AO40" s="460"/>
      <c r="AP40" s="459"/>
      <c r="AQ40" s="460"/>
      <c r="AR40" s="459"/>
      <c r="AS40" s="460"/>
      <c r="AT40" s="94"/>
    </row>
    <row r="41" spans="2:46" ht="18" customHeight="1" x14ac:dyDescent="0.6">
      <c r="B41" s="454"/>
      <c r="C41" s="458"/>
      <c r="D41" s="3"/>
      <c r="E41" s="8"/>
      <c r="F41" s="459"/>
      <c r="G41" s="460"/>
      <c r="H41" s="459"/>
      <c r="I41" s="460"/>
      <c r="J41" s="459"/>
      <c r="K41" s="460"/>
      <c r="L41" s="459"/>
      <c r="M41" s="460"/>
      <c r="N41" s="459"/>
      <c r="O41" s="460"/>
      <c r="P41" s="459"/>
      <c r="Q41" s="460"/>
      <c r="R41" s="459"/>
      <c r="S41" s="460"/>
      <c r="T41" s="459"/>
      <c r="U41" s="460"/>
      <c r="V41" s="459"/>
      <c r="W41" s="460"/>
      <c r="X41" s="459"/>
      <c r="Y41" s="460"/>
      <c r="Z41" s="459"/>
      <c r="AA41" s="460"/>
      <c r="AB41" s="459"/>
      <c r="AC41" s="460"/>
      <c r="AD41" s="459"/>
      <c r="AE41" s="460"/>
      <c r="AF41" s="459"/>
      <c r="AG41" s="460"/>
      <c r="AH41" s="459"/>
      <c r="AI41" s="460"/>
      <c r="AJ41" s="459"/>
      <c r="AK41" s="460"/>
      <c r="AL41" s="459"/>
      <c r="AM41" s="460"/>
      <c r="AN41" s="459"/>
      <c r="AO41" s="460"/>
      <c r="AP41" s="459"/>
      <c r="AQ41" s="460"/>
      <c r="AR41" s="459"/>
      <c r="AS41" s="460"/>
      <c r="AT41" s="94"/>
    </row>
    <row r="42" spans="2:46" ht="18" customHeight="1" x14ac:dyDescent="0.6">
      <c r="B42" s="454"/>
      <c r="C42" s="458"/>
      <c r="D42" s="7"/>
      <c r="E42" s="8"/>
      <c r="F42" s="459"/>
      <c r="G42" s="460"/>
      <c r="H42" s="459"/>
      <c r="I42" s="460"/>
      <c r="J42" s="459"/>
      <c r="K42" s="460"/>
      <c r="L42" s="459"/>
      <c r="M42" s="460"/>
      <c r="N42" s="459"/>
      <c r="O42" s="460"/>
      <c r="P42" s="459"/>
      <c r="Q42" s="460"/>
      <c r="R42" s="459"/>
      <c r="S42" s="460"/>
      <c r="T42" s="459"/>
      <c r="U42" s="460"/>
      <c r="V42" s="459"/>
      <c r="W42" s="460"/>
      <c r="X42" s="459"/>
      <c r="Y42" s="460"/>
      <c r="Z42" s="459"/>
      <c r="AA42" s="460"/>
      <c r="AB42" s="459"/>
      <c r="AC42" s="460"/>
      <c r="AD42" s="459"/>
      <c r="AE42" s="460"/>
      <c r="AF42" s="459"/>
      <c r="AG42" s="460"/>
      <c r="AH42" s="459"/>
      <c r="AI42" s="460"/>
      <c r="AJ42" s="459"/>
      <c r="AK42" s="460"/>
      <c r="AL42" s="459"/>
      <c r="AM42" s="460"/>
      <c r="AN42" s="459"/>
      <c r="AO42" s="460"/>
      <c r="AP42" s="459"/>
      <c r="AQ42" s="460"/>
      <c r="AR42" s="459"/>
      <c r="AS42" s="460"/>
      <c r="AT42" s="94"/>
    </row>
    <row r="43" spans="2:46" ht="18" customHeight="1" thickBot="1" x14ac:dyDescent="0.35">
      <c r="B43" s="454"/>
      <c r="C43" s="458">
        <f>'Plot Data'!Q65</f>
        <v>22.949999999999992</v>
      </c>
      <c r="D43" s="9"/>
      <c r="E43" s="10"/>
      <c r="F43" s="11"/>
      <c r="G43" s="12"/>
      <c r="H43" s="11"/>
      <c r="I43" s="12"/>
      <c r="J43" s="11"/>
      <c r="K43" s="12"/>
      <c r="L43" s="11"/>
      <c r="M43" s="12"/>
      <c r="N43" s="11"/>
      <c r="O43" s="12"/>
      <c r="P43" s="11"/>
      <c r="Q43" s="12"/>
      <c r="R43" s="11"/>
      <c r="S43" s="12"/>
      <c r="T43" s="11"/>
      <c r="U43" s="12"/>
      <c r="V43" s="11"/>
      <c r="W43" s="12"/>
      <c r="X43" s="11"/>
      <c r="Y43" s="12"/>
      <c r="Z43" s="11"/>
      <c r="AA43" s="12"/>
      <c r="AB43" s="11"/>
      <c r="AC43" s="12"/>
      <c r="AD43" s="11"/>
      <c r="AE43" s="12"/>
      <c r="AF43" s="11"/>
      <c r="AG43" s="12"/>
      <c r="AH43" s="11"/>
      <c r="AI43" s="12"/>
      <c r="AJ43" s="11"/>
      <c r="AK43" s="12"/>
      <c r="AL43" s="11"/>
      <c r="AM43" s="12"/>
      <c r="AN43" s="11"/>
      <c r="AO43" s="12"/>
      <c r="AP43" s="11"/>
      <c r="AQ43" s="12"/>
      <c r="AR43" s="11"/>
      <c r="AS43" s="12"/>
      <c r="AT43" s="463" t="s">
        <v>46</v>
      </c>
    </row>
    <row r="44" spans="2:46" ht="18" customHeight="1" x14ac:dyDescent="0.3">
      <c r="B44" s="454"/>
      <c r="C44" s="458"/>
      <c r="D44" s="7"/>
      <c r="E44" s="8"/>
      <c r="F44" s="459"/>
      <c r="G44" s="460"/>
      <c r="H44" s="459"/>
      <c r="I44" s="460"/>
      <c r="J44" s="459"/>
      <c r="K44" s="460"/>
      <c r="L44" s="459"/>
      <c r="M44" s="460"/>
      <c r="N44" s="459"/>
      <c r="O44" s="460"/>
      <c r="P44" s="459"/>
      <c r="Q44" s="460"/>
      <c r="R44" s="459"/>
      <c r="S44" s="460"/>
      <c r="T44" s="459"/>
      <c r="U44" s="460"/>
      <c r="V44" s="459"/>
      <c r="W44" s="460"/>
      <c r="X44" s="459"/>
      <c r="Y44" s="460"/>
      <c r="Z44" s="459"/>
      <c r="AA44" s="460"/>
      <c r="AB44" s="459"/>
      <c r="AC44" s="460"/>
      <c r="AD44" s="459"/>
      <c r="AE44" s="460"/>
      <c r="AF44" s="459"/>
      <c r="AG44" s="460"/>
      <c r="AH44" s="459"/>
      <c r="AI44" s="460"/>
      <c r="AJ44" s="459"/>
      <c r="AK44" s="460"/>
      <c r="AL44" s="459"/>
      <c r="AM44" s="460"/>
      <c r="AN44" s="459"/>
      <c r="AO44" s="460"/>
      <c r="AP44" s="459"/>
      <c r="AQ44" s="460"/>
      <c r="AR44" s="459"/>
      <c r="AS44" s="460"/>
      <c r="AT44" s="464"/>
    </row>
    <row r="45" spans="2:46" ht="18" customHeight="1" x14ac:dyDescent="0.6">
      <c r="B45" s="454"/>
      <c r="C45" s="458">
        <f>C49+(C43-C49)/2</f>
        <v>22.899999999999991</v>
      </c>
      <c r="D45" s="13"/>
      <c r="E45" s="8"/>
      <c r="F45" s="459"/>
      <c r="G45" s="460"/>
      <c r="H45" s="459"/>
      <c r="I45" s="460"/>
      <c r="J45" s="459"/>
      <c r="K45" s="460"/>
      <c r="L45" s="459"/>
      <c r="M45" s="460"/>
      <c r="N45" s="459"/>
      <c r="O45" s="460"/>
      <c r="P45" s="459"/>
      <c r="Q45" s="460"/>
      <c r="R45" s="459"/>
      <c r="S45" s="460"/>
      <c r="T45" s="459"/>
      <c r="U45" s="460"/>
      <c r="V45" s="459"/>
      <c r="W45" s="460"/>
      <c r="X45" s="459"/>
      <c r="Y45" s="460"/>
      <c r="Z45" s="459"/>
      <c r="AA45" s="460"/>
      <c r="AB45" s="459"/>
      <c r="AC45" s="460"/>
      <c r="AD45" s="459"/>
      <c r="AE45" s="460"/>
      <c r="AF45" s="459"/>
      <c r="AG45" s="460"/>
      <c r="AH45" s="459"/>
      <c r="AI45" s="460"/>
      <c r="AJ45" s="459"/>
      <c r="AK45" s="460"/>
      <c r="AL45" s="459"/>
      <c r="AM45" s="460"/>
      <c r="AN45" s="459"/>
      <c r="AO45" s="460"/>
      <c r="AP45" s="459"/>
      <c r="AQ45" s="460"/>
      <c r="AR45" s="459"/>
      <c r="AS45" s="460"/>
      <c r="AT45" s="94"/>
    </row>
    <row r="46" spans="2:46" ht="18" customHeight="1" x14ac:dyDescent="0.6">
      <c r="B46" s="454"/>
      <c r="C46" s="458"/>
      <c r="D46" s="3"/>
      <c r="E46" s="8"/>
      <c r="F46" s="459"/>
      <c r="G46" s="460"/>
      <c r="H46" s="459"/>
      <c r="I46" s="460"/>
      <c r="J46" s="459"/>
      <c r="K46" s="460"/>
      <c r="L46" s="459"/>
      <c r="M46" s="460"/>
      <c r="N46" s="459"/>
      <c r="O46" s="460"/>
      <c r="P46" s="459"/>
      <c r="Q46" s="460"/>
      <c r="R46" s="459"/>
      <c r="S46" s="460"/>
      <c r="T46" s="459"/>
      <c r="U46" s="460"/>
      <c r="V46" s="459"/>
      <c r="W46" s="460"/>
      <c r="X46" s="459"/>
      <c r="Y46" s="460"/>
      <c r="Z46" s="459"/>
      <c r="AA46" s="460"/>
      <c r="AB46" s="459"/>
      <c r="AC46" s="460"/>
      <c r="AD46" s="459"/>
      <c r="AE46" s="460"/>
      <c r="AF46" s="459"/>
      <c r="AG46" s="460"/>
      <c r="AH46" s="459"/>
      <c r="AI46" s="460"/>
      <c r="AJ46" s="459"/>
      <c r="AK46" s="460"/>
      <c r="AL46" s="459"/>
      <c r="AM46" s="460"/>
      <c r="AN46" s="459"/>
      <c r="AO46" s="460"/>
      <c r="AP46" s="459"/>
      <c r="AQ46" s="460"/>
      <c r="AR46" s="459"/>
      <c r="AS46" s="460"/>
      <c r="AT46" s="94"/>
    </row>
    <row r="47" spans="2:46" ht="18" customHeight="1" x14ac:dyDescent="0.6">
      <c r="B47" s="454"/>
      <c r="C47" s="458"/>
      <c r="D47" s="3"/>
      <c r="E47" s="8"/>
      <c r="F47" s="459"/>
      <c r="G47" s="460"/>
      <c r="H47" s="459"/>
      <c r="I47" s="460"/>
      <c r="J47" s="459"/>
      <c r="K47" s="460"/>
      <c r="L47" s="459"/>
      <c r="M47" s="460"/>
      <c r="N47" s="459"/>
      <c r="O47" s="460"/>
      <c r="P47" s="459"/>
      <c r="Q47" s="460"/>
      <c r="R47" s="459"/>
      <c r="S47" s="460"/>
      <c r="T47" s="459"/>
      <c r="U47" s="460"/>
      <c r="V47" s="459"/>
      <c r="W47" s="460"/>
      <c r="X47" s="459"/>
      <c r="Y47" s="460"/>
      <c r="Z47" s="459"/>
      <c r="AA47" s="460"/>
      <c r="AB47" s="459"/>
      <c r="AC47" s="460"/>
      <c r="AD47" s="459"/>
      <c r="AE47" s="460"/>
      <c r="AF47" s="459"/>
      <c r="AG47" s="460"/>
      <c r="AH47" s="459"/>
      <c r="AI47" s="460"/>
      <c r="AJ47" s="459"/>
      <c r="AK47" s="460"/>
      <c r="AL47" s="459"/>
      <c r="AM47" s="460"/>
      <c r="AN47" s="459"/>
      <c r="AO47" s="460"/>
      <c r="AP47" s="459"/>
      <c r="AQ47" s="460"/>
      <c r="AR47" s="459"/>
      <c r="AS47" s="460"/>
      <c r="AT47" s="94"/>
    </row>
    <row r="48" spans="2:46" ht="18" customHeight="1" x14ac:dyDescent="0.6">
      <c r="B48" s="454"/>
      <c r="C48" s="458"/>
      <c r="D48" s="7"/>
      <c r="E48" s="8"/>
      <c r="F48" s="459"/>
      <c r="G48" s="460"/>
      <c r="H48" s="459"/>
      <c r="I48" s="460"/>
      <c r="J48" s="459"/>
      <c r="K48" s="460"/>
      <c r="L48" s="459"/>
      <c r="M48" s="460"/>
      <c r="N48" s="459"/>
      <c r="O48" s="460"/>
      <c r="P48" s="459"/>
      <c r="Q48" s="460"/>
      <c r="R48" s="459"/>
      <c r="S48" s="460"/>
      <c r="T48" s="459"/>
      <c r="U48" s="460"/>
      <c r="V48" s="459"/>
      <c r="W48" s="460"/>
      <c r="X48" s="459"/>
      <c r="Y48" s="460"/>
      <c r="Z48" s="459"/>
      <c r="AA48" s="460"/>
      <c r="AB48" s="459"/>
      <c r="AC48" s="460"/>
      <c r="AD48" s="459"/>
      <c r="AE48" s="460"/>
      <c r="AF48" s="459"/>
      <c r="AG48" s="460"/>
      <c r="AH48" s="459"/>
      <c r="AI48" s="460"/>
      <c r="AJ48" s="459"/>
      <c r="AK48" s="460"/>
      <c r="AL48" s="459"/>
      <c r="AM48" s="460"/>
      <c r="AN48" s="459"/>
      <c r="AO48" s="460"/>
      <c r="AP48" s="459"/>
      <c r="AQ48" s="460"/>
      <c r="AR48" s="459"/>
      <c r="AS48" s="460"/>
      <c r="AT48" s="94"/>
    </row>
    <row r="49" spans="2:46" ht="18" customHeight="1" thickBot="1" x14ac:dyDescent="0.35">
      <c r="B49" s="454"/>
      <c r="C49" s="458">
        <f>'Plot Data'!Q67</f>
        <v>22.849999999999991</v>
      </c>
      <c r="D49" s="5"/>
      <c r="E49" s="6"/>
      <c r="F49" s="461"/>
      <c r="G49" s="462"/>
      <c r="H49" s="461"/>
      <c r="I49" s="462"/>
      <c r="J49" s="461"/>
      <c r="K49" s="462"/>
      <c r="L49" s="461"/>
      <c r="M49" s="462"/>
      <c r="N49" s="461"/>
      <c r="O49" s="462"/>
      <c r="P49" s="461"/>
      <c r="Q49" s="462"/>
      <c r="R49" s="461"/>
      <c r="S49" s="462"/>
      <c r="T49" s="461"/>
      <c r="U49" s="462"/>
      <c r="V49" s="461"/>
      <c r="W49" s="462"/>
      <c r="X49" s="461"/>
      <c r="Y49" s="462"/>
      <c r="Z49" s="461"/>
      <c r="AA49" s="462"/>
      <c r="AB49" s="461"/>
      <c r="AC49" s="462"/>
      <c r="AD49" s="461"/>
      <c r="AE49" s="462"/>
      <c r="AF49" s="461"/>
      <c r="AG49" s="462"/>
      <c r="AH49" s="461"/>
      <c r="AI49" s="462"/>
      <c r="AJ49" s="461"/>
      <c r="AK49" s="462"/>
      <c r="AL49" s="461"/>
      <c r="AM49" s="462"/>
      <c r="AN49" s="461"/>
      <c r="AO49" s="462"/>
      <c r="AP49" s="461"/>
      <c r="AQ49" s="462"/>
      <c r="AR49" s="461"/>
      <c r="AS49" s="462"/>
      <c r="AT49" s="463" t="s">
        <v>45</v>
      </c>
    </row>
    <row r="50" spans="2:46" ht="18" customHeight="1" thickTop="1" thickBot="1" x14ac:dyDescent="0.35">
      <c r="B50" s="455"/>
      <c r="C50" s="472"/>
      <c r="D50" s="77"/>
      <c r="E50" s="78"/>
      <c r="F50" s="473"/>
      <c r="G50" s="474"/>
      <c r="H50" s="473"/>
      <c r="I50" s="474"/>
      <c r="J50" s="473"/>
      <c r="K50" s="474"/>
      <c r="L50" s="473"/>
      <c r="M50" s="474"/>
      <c r="N50" s="473"/>
      <c r="O50" s="474"/>
      <c r="P50" s="473"/>
      <c r="Q50" s="474"/>
      <c r="R50" s="473"/>
      <c r="S50" s="474"/>
      <c r="T50" s="473"/>
      <c r="U50" s="474"/>
      <c r="V50" s="473"/>
      <c r="W50" s="474"/>
      <c r="X50" s="473"/>
      <c r="Y50" s="474"/>
      <c r="Z50" s="473"/>
      <c r="AA50" s="474"/>
      <c r="AB50" s="473"/>
      <c r="AC50" s="474"/>
      <c r="AD50" s="473"/>
      <c r="AE50" s="474"/>
      <c r="AF50" s="473"/>
      <c r="AG50" s="474"/>
      <c r="AH50" s="473"/>
      <c r="AI50" s="474"/>
      <c r="AJ50" s="473"/>
      <c r="AK50" s="474"/>
      <c r="AL50" s="473"/>
      <c r="AM50" s="474"/>
      <c r="AN50" s="473"/>
      <c r="AO50" s="474"/>
      <c r="AP50" s="473"/>
      <c r="AQ50" s="474"/>
      <c r="AR50" s="473"/>
      <c r="AS50" s="474"/>
      <c r="AT50" s="477"/>
    </row>
    <row r="51" spans="2:46" ht="30" customHeight="1" thickTop="1" thickBot="1" x14ac:dyDescent="0.35">
      <c r="B51" s="88"/>
      <c r="C51" s="95"/>
      <c r="D51" s="90"/>
      <c r="E51" s="89"/>
      <c r="F51" s="475"/>
      <c r="G51" s="476"/>
      <c r="H51" s="475"/>
      <c r="I51" s="476"/>
      <c r="J51" s="475"/>
      <c r="K51" s="476"/>
      <c r="L51" s="475"/>
      <c r="M51" s="476"/>
      <c r="N51" s="475"/>
      <c r="O51" s="476"/>
      <c r="P51" s="475"/>
      <c r="Q51" s="476"/>
      <c r="R51" s="475"/>
      <c r="S51" s="476"/>
      <c r="T51" s="475"/>
      <c r="U51" s="476"/>
      <c r="V51" s="475"/>
      <c r="W51" s="476"/>
      <c r="X51" s="475"/>
      <c r="Y51" s="476"/>
      <c r="Z51" s="475"/>
      <c r="AA51" s="476"/>
      <c r="AB51" s="475"/>
      <c r="AC51" s="476"/>
      <c r="AD51" s="475"/>
      <c r="AE51" s="476"/>
      <c r="AF51" s="475"/>
      <c r="AG51" s="476"/>
      <c r="AH51" s="475"/>
      <c r="AI51" s="476"/>
      <c r="AJ51" s="475"/>
      <c r="AK51" s="476"/>
      <c r="AL51" s="475"/>
      <c r="AM51" s="476"/>
      <c r="AN51" s="475"/>
      <c r="AO51" s="476"/>
      <c r="AP51" s="475"/>
      <c r="AQ51" s="476"/>
      <c r="AR51" s="475"/>
      <c r="AS51" s="476"/>
      <c r="AT51" s="91"/>
    </row>
    <row r="52" spans="2:46" ht="9" customHeight="1" thickTop="1" x14ac:dyDescent="0.3">
      <c r="B52" s="478" t="s">
        <v>7</v>
      </c>
      <c r="C52" s="96"/>
      <c r="D52" s="79"/>
      <c r="E52" s="74"/>
      <c r="F52" s="456"/>
      <c r="G52" s="457"/>
      <c r="H52" s="456"/>
      <c r="I52" s="457"/>
      <c r="J52" s="456"/>
      <c r="K52" s="457"/>
      <c r="L52" s="456"/>
      <c r="M52" s="457"/>
      <c r="N52" s="456"/>
      <c r="O52" s="457"/>
      <c r="P52" s="456"/>
      <c r="Q52" s="457"/>
      <c r="R52" s="456"/>
      <c r="S52" s="457"/>
      <c r="T52" s="456"/>
      <c r="U52" s="457"/>
      <c r="V52" s="456"/>
      <c r="W52" s="457"/>
      <c r="X52" s="456"/>
      <c r="Y52" s="457"/>
      <c r="Z52" s="456"/>
      <c r="AA52" s="457"/>
      <c r="AB52" s="456"/>
      <c r="AC52" s="457"/>
      <c r="AD52" s="456"/>
      <c r="AE52" s="457"/>
      <c r="AF52" s="456"/>
      <c r="AG52" s="457"/>
      <c r="AH52" s="456"/>
      <c r="AI52" s="457"/>
      <c r="AJ52" s="456"/>
      <c r="AK52" s="457"/>
      <c r="AL52" s="456"/>
      <c r="AM52" s="457"/>
      <c r="AN52" s="456"/>
      <c r="AO52" s="457"/>
      <c r="AP52" s="456"/>
      <c r="AQ52" s="457"/>
      <c r="AR52" s="456"/>
      <c r="AS52" s="457"/>
      <c r="AT52" s="75"/>
    </row>
    <row r="53" spans="2:46" ht="9" customHeight="1" x14ac:dyDescent="0.3">
      <c r="B53" s="479"/>
      <c r="C53" s="97"/>
      <c r="D53" s="13"/>
      <c r="E53" s="4"/>
      <c r="F53" s="481"/>
      <c r="G53" s="482"/>
      <c r="H53" s="481"/>
      <c r="I53" s="482"/>
      <c r="J53" s="481"/>
      <c r="K53" s="482"/>
      <c r="L53" s="481"/>
      <c r="M53" s="482"/>
      <c r="N53" s="481"/>
      <c r="O53" s="482"/>
      <c r="P53" s="481"/>
      <c r="Q53" s="482"/>
      <c r="R53" s="481"/>
      <c r="S53" s="482"/>
      <c r="T53" s="481"/>
      <c r="U53" s="482"/>
      <c r="V53" s="481"/>
      <c r="W53" s="482"/>
      <c r="X53" s="481"/>
      <c r="Y53" s="482"/>
      <c r="Z53" s="481"/>
      <c r="AA53" s="482"/>
      <c r="AB53" s="481"/>
      <c r="AC53" s="482"/>
      <c r="AD53" s="481"/>
      <c r="AE53" s="482"/>
      <c r="AF53" s="481"/>
      <c r="AG53" s="482"/>
      <c r="AH53" s="481"/>
      <c r="AI53" s="482"/>
      <c r="AJ53" s="481"/>
      <c r="AK53" s="482"/>
      <c r="AL53" s="481"/>
      <c r="AM53" s="482"/>
      <c r="AN53" s="481"/>
      <c r="AO53" s="482"/>
      <c r="AP53" s="481"/>
      <c r="AQ53" s="482"/>
      <c r="AR53" s="481"/>
      <c r="AS53" s="482"/>
      <c r="AT53" s="80"/>
    </row>
    <row r="54" spans="2:46" ht="9" customHeight="1" x14ac:dyDescent="0.3">
      <c r="B54" s="479"/>
      <c r="C54" s="97"/>
      <c r="D54" s="3"/>
      <c r="E54" s="8"/>
      <c r="F54" s="459"/>
      <c r="G54" s="460"/>
      <c r="H54" s="459"/>
      <c r="I54" s="460"/>
      <c r="J54" s="459"/>
      <c r="K54" s="460"/>
      <c r="L54" s="459"/>
      <c r="M54" s="460"/>
      <c r="N54" s="459"/>
      <c r="O54" s="460"/>
      <c r="P54" s="459"/>
      <c r="Q54" s="460"/>
      <c r="R54" s="459"/>
      <c r="S54" s="460"/>
      <c r="T54" s="459"/>
      <c r="U54" s="460"/>
      <c r="V54" s="459"/>
      <c r="W54" s="460"/>
      <c r="X54" s="459"/>
      <c r="Y54" s="460"/>
      <c r="Z54" s="459"/>
      <c r="AA54" s="460"/>
      <c r="AB54" s="459"/>
      <c r="AC54" s="460"/>
      <c r="AD54" s="459"/>
      <c r="AE54" s="460"/>
      <c r="AF54" s="459"/>
      <c r="AG54" s="460"/>
      <c r="AH54" s="459"/>
      <c r="AI54" s="460"/>
      <c r="AJ54" s="459"/>
      <c r="AK54" s="460"/>
      <c r="AL54" s="459"/>
      <c r="AM54" s="460"/>
      <c r="AN54" s="459"/>
      <c r="AO54" s="460"/>
      <c r="AP54" s="459"/>
      <c r="AQ54" s="460"/>
      <c r="AR54" s="459"/>
      <c r="AS54" s="460"/>
      <c r="AT54" s="76"/>
    </row>
    <row r="55" spans="2:46" ht="9" customHeight="1" thickBot="1" x14ac:dyDescent="0.4">
      <c r="B55" s="479"/>
      <c r="C55" s="485">
        <f>'Plot Data'!C68</f>
        <v>0.12</v>
      </c>
      <c r="D55" s="70"/>
      <c r="E55" s="71"/>
      <c r="F55" s="483"/>
      <c r="G55" s="484"/>
      <c r="H55" s="483"/>
      <c r="I55" s="484"/>
      <c r="J55" s="483"/>
      <c r="K55" s="484"/>
      <c r="L55" s="483"/>
      <c r="M55" s="484"/>
      <c r="N55" s="483"/>
      <c r="O55" s="484"/>
      <c r="P55" s="483"/>
      <c r="Q55" s="484"/>
      <c r="R55" s="483"/>
      <c r="S55" s="484"/>
      <c r="T55" s="483"/>
      <c r="U55" s="484"/>
      <c r="V55" s="483"/>
      <c r="W55" s="484"/>
      <c r="X55" s="483"/>
      <c r="Y55" s="484"/>
      <c r="Z55" s="483"/>
      <c r="AA55" s="484"/>
      <c r="AB55" s="483"/>
      <c r="AC55" s="484"/>
      <c r="AD55" s="483"/>
      <c r="AE55" s="484"/>
      <c r="AF55" s="483"/>
      <c r="AG55" s="484"/>
      <c r="AH55" s="483"/>
      <c r="AI55" s="484"/>
      <c r="AJ55" s="483"/>
      <c r="AK55" s="484"/>
      <c r="AL55" s="483"/>
      <c r="AM55" s="484"/>
      <c r="AN55" s="483"/>
      <c r="AO55" s="484"/>
      <c r="AP55" s="483"/>
      <c r="AQ55" s="484"/>
      <c r="AR55" s="483"/>
      <c r="AS55" s="484"/>
      <c r="AT55" s="81"/>
    </row>
    <row r="56" spans="2:46" ht="9" customHeight="1" thickTop="1" x14ac:dyDescent="0.3">
      <c r="B56" s="479"/>
      <c r="C56" s="486"/>
      <c r="D56" s="19"/>
      <c r="E56" s="20"/>
      <c r="F56" s="487"/>
      <c r="G56" s="488"/>
      <c r="H56" s="487"/>
      <c r="I56" s="488"/>
      <c r="J56" s="487"/>
      <c r="K56" s="488"/>
      <c r="L56" s="487"/>
      <c r="M56" s="488"/>
      <c r="N56" s="487"/>
      <c r="O56" s="488"/>
      <c r="P56" s="487"/>
      <c r="Q56" s="488"/>
      <c r="R56" s="487"/>
      <c r="S56" s="488"/>
      <c r="T56" s="487"/>
      <c r="U56" s="488"/>
      <c r="V56" s="487"/>
      <c r="W56" s="488"/>
      <c r="X56" s="487"/>
      <c r="Y56" s="488"/>
      <c r="Z56" s="487"/>
      <c r="AA56" s="488"/>
      <c r="AB56" s="487"/>
      <c r="AC56" s="488"/>
      <c r="AD56" s="487"/>
      <c r="AE56" s="488"/>
      <c r="AF56" s="487"/>
      <c r="AG56" s="488"/>
      <c r="AH56" s="487"/>
      <c r="AI56" s="488"/>
      <c r="AJ56" s="487"/>
      <c r="AK56" s="488"/>
      <c r="AL56" s="487"/>
      <c r="AM56" s="488"/>
      <c r="AN56" s="487"/>
      <c r="AO56" s="488"/>
      <c r="AP56" s="487"/>
      <c r="AQ56" s="488"/>
      <c r="AR56" s="487"/>
      <c r="AS56" s="488"/>
      <c r="AT56" s="82"/>
    </row>
    <row r="57" spans="2:46" ht="9" customHeight="1" x14ac:dyDescent="0.3">
      <c r="B57" s="479"/>
      <c r="C57" s="458"/>
      <c r="D57" s="13"/>
      <c r="E57" s="8"/>
      <c r="F57" s="459"/>
      <c r="G57" s="460"/>
      <c r="H57" s="459"/>
      <c r="I57" s="460"/>
      <c r="J57" s="459"/>
      <c r="K57" s="460"/>
      <c r="L57" s="459"/>
      <c r="M57" s="460"/>
      <c r="N57" s="459"/>
      <c r="O57" s="460"/>
      <c r="P57" s="459"/>
      <c r="Q57" s="460"/>
      <c r="R57" s="459"/>
      <c r="S57" s="460"/>
      <c r="T57" s="459"/>
      <c r="U57" s="460"/>
      <c r="V57" s="459"/>
      <c r="W57" s="460"/>
      <c r="X57" s="459"/>
      <c r="Y57" s="460"/>
      <c r="Z57" s="459"/>
      <c r="AA57" s="460"/>
      <c r="AB57" s="459"/>
      <c r="AC57" s="460"/>
      <c r="AD57" s="459"/>
      <c r="AE57" s="460"/>
      <c r="AF57" s="459"/>
      <c r="AG57" s="460"/>
      <c r="AH57" s="459"/>
      <c r="AI57" s="460"/>
      <c r="AJ57" s="459"/>
      <c r="AK57" s="460"/>
      <c r="AL57" s="459"/>
      <c r="AM57" s="460"/>
      <c r="AN57" s="459"/>
      <c r="AO57" s="460"/>
      <c r="AP57" s="459"/>
      <c r="AQ57" s="460"/>
      <c r="AR57" s="459"/>
      <c r="AS57" s="460"/>
      <c r="AT57" s="76"/>
    </row>
    <row r="58" spans="2:46" ht="9" customHeight="1" x14ac:dyDescent="0.3">
      <c r="B58" s="479"/>
      <c r="C58" s="458"/>
      <c r="D58" s="3"/>
      <c r="E58" s="8"/>
      <c r="F58" s="459"/>
      <c r="G58" s="460"/>
      <c r="H58" s="459"/>
      <c r="I58" s="460"/>
      <c r="J58" s="459"/>
      <c r="K58" s="460"/>
      <c r="L58" s="459"/>
      <c r="M58" s="460"/>
      <c r="N58" s="459"/>
      <c r="O58" s="460"/>
      <c r="P58" s="459"/>
      <c r="Q58" s="460"/>
      <c r="R58" s="459"/>
      <c r="S58" s="460"/>
      <c r="T58" s="459"/>
      <c r="U58" s="460"/>
      <c r="V58" s="459"/>
      <c r="W58" s="460"/>
      <c r="X58" s="459"/>
      <c r="Y58" s="460"/>
      <c r="Z58" s="459"/>
      <c r="AA58" s="460"/>
      <c r="AB58" s="459"/>
      <c r="AC58" s="460"/>
      <c r="AD58" s="459"/>
      <c r="AE58" s="460"/>
      <c r="AF58" s="459"/>
      <c r="AG58" s="460"/>
      <c r="AH58" s="459"/>
      <c r="AI58" s="460"/>
      <c r="AJ58" s="459"/>
      <c r="AK58" s="460"/>
      <c r="AL58" s="459"/>
      <c r="AM58" s="460"/>
      <c r="AN58" s="459"/>
      <c r="AO58" s="460"/>
      <c r="AP58" s="459"/>
      <c r="AQ58" s="460"/>
      <c r="AR58" s="459"/>
      <c r="AS58" s="460"/>
      <c r="AT58" s="76"/>
    </row>
    <row r="59" spans="2:46" ht="9" customHeight="1" x14ac:dyDescent="0.3">
      <c r="B59" s="479"/>
      <c r="C59" s="458">
        <f>C63+(C55-C63)/2</f>
        <v>0.105</v>
      </c>
      <c r="D59" s="13"/>
      <c r="E59" s="4"/>
      <c r="F59" s="459"/>
      <c r="G59" s="460"/>
      <c r="H59" s="459"/>
      <c r="I59" s="460"/>
      <c r="J59" s="459"/>
      <c r="K59" s="460"/>
      <c r="L59" s="459"/>
      <c r="M59" s="460"/>
      <c r="N59" s="459"/>
      <c r="O59" s="460"/>
      <c r="P59" s="459"/>
      <c r="Q59" s="460"/>
      <c r="R59" s="459"/>
      <c r="S59" s="460"/>
      <c r="T59" s="459"/>
      <c r="U59" s="460"/>
      <c r="V59" s="459"/>
      <c r="W59" s="460"/>
      <c r="X59" s="459"/>
      <c r="Y59" s="460"/>
      <c r="Z59" s="459"/>
      <c r="AA59" s="460"/>
      <c r="AB59" s="459"/>
      <c r="AC59" s="460"/>
      <c r="AD59" s="459"/>
      <c r="AE59" s="460"/>
      <c r="AF59" s="459"/>
      <c r="AG59" s="460"/>
      <c r="AH59" s="459"/>
      <c r="AI59" s="460"/>
      <c r="AJ59" s="459"/>
      <c r="AK59" s="460"/>
      <c r="AL59" s="459"/>
      <c r="AM59" s="460"/>
      <c r="AN59" s="459"/>
      <c r="AO59" s="460"/>
      <c r="AP59" s="459"/>
      <c r="AQ59" s="460"/>
      <c r="AR59" s="459"/>
      <c r="AS59" s="460"/>
      <c r="AT59" s="80"/>
    </row>
    <row r="60" spans="2:46" ht="9" customHeight="1" x14ac:dyDescent="0.3">
      <c r="B60" s="479"/>
      <c r="C60" s="458"/>
      <c r="D60" s="13"/>
      <c r="E60" s="4"/>
      <c r="F60" s="459"/>
      <c r="G60" s="460"/>
      <c r="H60" s="459"/>
      <c r="I60" s="460"/>
      <c r="J60" s="459"/>
      <c r="K60" s="460"/>
      <c r="L60" s="459"/>
      <c r="M60" s="460"/>
      <c r="N60" s="459"/>
      <c r="O60" s="460"/>
      <c r="P60" s="459"/>
      <c r="Q60" s="460"/>
      <c r="R60" s="459"/>
      <c r="S60" s="460"/>
      <c r="T60" s="459"/>
      <c r="U60" s="460"/>
      <c r="V60" s="459"/>
      <c r="W60" s="460"/>
      <c r="X60" s="459"/>
      <c r="Y60" s="460"/>
      <c r="Z60" s="459"/>
      <c r="AA60" s="460"/>
      <c r="AB60" s="459"/>
      <c r="AC60" s="460"/>
      <c r="AD60" s="459"/>
      <c r="AE60" s="460"/>
      <c r="AF60" s="459"/>
      <c r="AG60" s="460"/>
      <c r="AH60" s="459"/>
      <c r="AI60" s="460"/>
      <c r="AJ60" s="459"/>
      <c r="AK60" s="460"/>
      <c r="AL60" s="459"/>
      <c r="AM60" s="460"/>
      <c r="AN60" s="459"/>
      <c r="AO60" s="460"/>
      <c r="AP60" s="459"/>
      <c r="AQ60" s="460"/>
      <c r="AR60" s="459"/>
      <c r="AS60" s="460"/>
      <c r="AT60" s="80"/>
    </row>
    <row r="61" spans="2:46" ht="9" customHeight="1" x14ac:dyDescent="0.3">
      <c r="B61" s="479"/>
      <c r="C61" s="458"/>
      <c r="D61" s="7"/>
      <c r="E61" s="18"/>
      <c r="F61" s="489"/>
      <c r="G61" s="490"/>
      <c r="H61" s="489"/>
      <c r="I61" s="490"/>
      <c r="J61" s="489"/>
      <c r="K61" s="490"/>
      <c r="L61" s="489"/>
      <c r="M61" s="490"/>
      <c r="N61" s="489"/>
      <c r="O61" s="490"/>
      <c r="P61" s="489"/>
      <c r="Q61" s="490"/>
      <c r="R61" s="489"/>
      <c r="S61" s="490"/>
      <c r="T61" s="489"/>
      <c r="U61" s="490"/>
      <c r="V61" s="489"/>
      <c r="W61" s="490"/>
      <c r="X61" s="489"/>
      <c r="Y61" s="490"/>
      <c r="Z61" s="489"/>
      <c r="AA61" s="490"/>
      <c r="AB61" s="489"/>
      <c r="AC61" s="490"/>
      <c r="AD61" s="489"/>
      <c r="AE61" s="490"/>
      <c r="AF61" s="489"/>
      <c r="AG61" s="490"/>
      <c r="AH61" s="489"/>
      <c r="AI61" s="490"/>
      <c r="AJ61" s="489"/>
      <c r="AK61" s="490"/>
      <c r="AL61" s="489"/>
      <c r="AM61" s="490"/>
      <c r="AN61" s="489"/>
      <c r="AO61" s="490"/>
      <c r="AP61" s="489"/>
      <c r="AQ61" s="490"/>
      <c r="AR61" s="489"/>
      <c r="AS61" s="490"/>
      <c r="AT61" s="83"/>
    </row>
    <row r="62" spans="2:46" ht="9" customHeight="1" x14ac:dyDescent="0.3">
      <c r="B62" s="479"/>
      <c r="C62" s="458"/>
      <c r="D62" s="21"/>
      <c r="E62" s="22"/>
      <c r="F62" s="491"/>
      <c r="G62" s="492"/>
      <c r="H62" s="491"/>
      <c r="I62" s="492"/>
      <c r="J62" s="491"/>
      <c r="K62" s="492"/>
      <c r="L62" s="491"/>
      <c r="M62" s="492"/>
      <c r="N62" s="491"/>
      <c r="O62" s="492"/>
      <c r="P62" s="491"/>
      <c r="Q62" s="492"/>
      <c r="R62" s="491"/>
      <c r="S62" s="492"/>
      <c r="T62" s="491"/>
      <c r="U62" s="492"/>
      <c r="V62" s="491"/>
      <c r="W62" s="492"/>
      <c r="X62" s="491"/>
      <c r="Y62" s="492"/>
      <c r="Z62" s="491"/>
      <c r="AA62" s="492"/>
      <c r="AB62" s="491"/>
      <c r="AC62" s="492"/>
      <c r="AD62" s="491"/>
      <c r="AE62" s="492"/>
      <c r="AF62" s="491"/>
      <c r="AG62" s="492"/>
      <c r="AH62" s="491"/>
      <c r="AI62" s="492"/>
      <c r="AJ62" s="491"/>
      <c r="AK62" s="492"/>
      <c r="AL62" s="491"/>
      <c r="AM62" s="492"/>
      <c r="AN62" s="491"/>
      <c r="AO62" s="492"/>
      <c r="AP62" s="491"/>
      <c r="AQ62" s="492"/>
      <c r="AR62" s="491"/>
      <c r="AS62" s="492"/>
      <c r="AT62" s="84"/>
    </row>
    <row r="63" spans="2:46" ht="9" customHeight="1" x14ac:dyDescent="0.3">
      <c r="B63" s="479"/>
      <c r="C63" s="458">
        <f>C69+(C55-C69)/2</f>
        <v>0.09</v>
      </c>
      <c r="D63" s="13"/>
      <c r="E63" s="4"/>
      <c r="F63" s="459"/>
      <c r="G63" s="460"/>
      <c r="H63" s="459"/>
      <c r="I63" s="460"/>
      <c r="J63" s="459"/>
      <c r="K63" s="460"/>
      <c r="L63" s="459"/>
      <c r="M63" s="460"/>
      <c r="N63" s="459"/>
      <c r="O63" s="460"/>
      <c r="P63" s="459"/>
      <c r="Q63" s="460"/>
      <c r="R63" s="459"/>
      <c r="S63" s="460"/>
      <c r="T63" s="459"/>
      <c r="U63" s="460"/>
      <c r="V63" s="459"/>
      <c r="W63" s="460"/>
      <c r="X63" s="459"/>
      <c r="Y63" s="460"/>
      <c r="Z63" s="459"/>
      <c r="AA63" s="460"/>
      <c r="AB63" s="459"/>
      <c r="AC63" s="460"/>
      <c r="AD63" s="459"/>
      <c r="AE63" s="460"/>
      <c r="AF63" s="459"/>
      <c r="AG63" s="460"/>
      <c r="AH63" s="459"/>
      <c r="AI63" s="460"/>
      <c r="AJ63" s="459"/>
      <c r="AK63" s="460"/>
      <c r="AL63" s="459"/>
      <c r="AM63" s="460"/>
      <c r="AN63" s="459"/>
      <c r="AO63" s="460"/>
      <c r="AP63" s="459"/>
      <c r="AQ63" s="460"/>
      <c r="AR63" s="459"/>
      <c r="AS63" s="460"/>
      <c r="AT63" s="80"/>
    </row>
    <row r="64" spans="2:46" ht="9" customHeight="1" x14ac:dyDescent="0.3">
      <c r="B64" s="479"/>
      <c r="C64" s="458"/>
      <c r="D64" s="13"/>
      <c r="E64" s="4"/>
      <c r="F64" s="459"/>
      <c r="G64" s="460"/>
      <c r="H64" s="459"/>
      <c r="I64" s="460"/>
      <c r="J64" s="459"/>
      <c r="K64" s="460"/>
      <c r="L64" s="459"/>
      <c r="M64" s="460"/>
      <c r="N64" s="459"/>
      <c r="O64" s="460"/>
      <c r="P64" s="459"/>
      <c r="Q64" s="460"/>
      <c r="R64" s="459"/>
      <c r="S64" s="460"/>
      <c r="T64" s="459"/>
      <c r="U64" s="460"/>
      <c r="V64" s="459"/>
      <c r="W64" s="460"/>
      <c r="X64" s="459"/>
      <c r="Y64" s="460"/>
      <c r="Z64" s="459"/>
      <c r="AA64" s="460"/>
      <c r="AB64" s="459"/>
      <c r="AC64" s="460"/>
      <c r="AD64" s="459"/>
      <c r="AE64" s="460"/>
      <c r="AF64" s="459"/>
      <c r="AG64" s="460"/>
      <c r="AH64" s="459"/>
      <c r="AI64" s="460"/>
      <c r="AJ64" s="459"/>
      <c r="AK64" s="460"/>
      <c r="AL64" s="459"/>
      <c r="AM64" s="460"/>
      <c r="AN64" s="459"/>
      <c r="AO64" s="460"/>
      <c r="AP64" s="459"/>
      <c r="AQ64" s="460"/>
      <c r="AR64" s="459"/>
      <c r="AS64" s="460"/>
      <c r="AT64" s="80"/>
    </row>
    <row r="65" spans="2:46" ht="15" customHeight="1" x14ac:dyDescent="0.3">
      <c r="B65" s="479"/>
      <c r="C65" s="458"/>
      <c r="D65" s="13"/>
      <c r="E65" s="4"/>
      <c r="F65" s="459"/>
      <c r="G65" s="460"/>
      <c r="H65" s="459"/>
      <c r="I65" s="460"/>
      <c r="J65" s="459"/>
      <c r="K65" s="460"/>
      <c r="L65" s="459"/>
      <c r="M65" s="460"/>
      <c r="N65" s="459"/>
      <c r="O65" s="460"/>
      <c r="P65" s="459"/>
      <c r="Q65" s="460"/>
      <c r="R65" s="459"/>
      <c r="S65" s="460"/>
      <c r="T65" s="459"/>
      <c r="U65" s="460"/>
      <c r="V65" s="459"/>
      <c r="W65" s="460"/>
      <c r="X65" s="459"/>
      <c r="Y65" s="460"/>
      <c r="Z65" s="459"/>
      <c r="AA65" s="460"/>
      <c r="AB65" s="459"/>
      <c r="AC65" s="460"/>
      <c r="AD65" s="459"/>
      <c r="AE65" s="460"/>
      <c r="AF65" s="459"/>
      <c r="AG65" s="460"/>
      <c r="AH65" s="459"/>
      <c r="AI65" s="460"/>
      <c r="AJ65" s="459"/>
      <c r="AK65" s="460"/>
      <c r="AL65" s="459"/>
      <c r="AM65" s="460"/>
      <c r="AN65" s="459"/>
      <c r="AO65" s="460"/>
      <c r="AP65" s="459"/>
      <c r="AQ65" s="460"/>
      <c r="AR65" s="459"/>
      <c r="AS65" s="460"/>
      <c r="AT65" s="80"/>
    </row>
    <row r="66" spans="2:46" ht="15" customHeight="1" x14ac:dyDescent="0.3">
      <c r="B66" s="479"/>
      <c r="C66" s="458"/>
      <c r="D66" s="13"/>
      <c r="E66" s="4"/>
      <c r="F66" s="459"/>
      <c r="G66" s="460"/>
      <c r="H66" s="459"/>
      <c r="I66" s="460"/>
      <c r="J66" s="459"/>
      <c r="K66" s="460"/>
      <c r="L66" s="459"/>
      <c r="M66" s="460"/>
      <c r="N66" s="459"/>
      <c r="O66" s="460"/>
      <c r="P66" s="459"/>
      <c r="Q66" s="460"/>
      <c r="R66" s="459"/>
      <c r="S66" s="460"/>
      <c r="T66" s="459"/>
      <c r="U66" s="460"/>
      <c r="V66" s="459"/>
      <c r="W66" s="460"/>
      <c r="X66" s="459"/>
      <c r="Y66" s="460"/>
      <c r="Z66" s="459"/>
      <c r="AA66" s="460"/>
      <c r="AB66" s="459"/>
      <c r="AC66" s="460"/>
      <c r="AD66" s="459"/>
      <c r="AE66" s="460"/>
      <c r="AF66" s="459"/>
      <c r="AG66" s="460"/>
      <c r="AH66" s="459"/>
      <c r="AI66" s="460"/>
      <c r="AJ66" s="459"/>
      <c r="AK66" s="460"/>
      <c r="AL66" s="459"/>
      <c r="AM66" s="460"/>
      <c r="AN66" s="459"/>
      <c r="AO66" s="460"/>
      <c r="AP66" s="459"/>
      <c r="AQ66" s="460"/>
      <c r="AR66" s="459"/>
      <c r="AS66" s="460"/>
      <c r="AT66" s="80"/>
    </row>
    <row r="67" spans="2:46" ht="15" customHeight="1" x14ac:dyDescent="0.3">
      <c r="B67" s="479"/>
      <c r="C67" s="458"/>
      <c r="D67" s="13"/>
      <c r="E67" s="4"/>
      <c r="F67" s="459"/>
      <c r="G67" s="460"/>
      <c r="H67" s="459"/>
      <c r="I67" s="460"/>
      <c r="J67" s="459"/>
      <c r="K67" s="460"/>
      <c r="L67" s="459"/>
      <c r="M67" s="460"/>
      <c r="N67" s="459"/>
      <c r="O67" s="460"/>
      <c r="P67" s="459"/>
      <c r="Q67" s="460"/>
      <c r="R67" s="459"/>
      <c r="S67" s="460"/>
      <c r="T67" s="459"/>
      <c r="U67" s="460"/>
      <c r="V67" s="459"/>
      <c r="W67" s="460"/>
      <c r="X67" s="459"/>
      <c r="Y67" s="460"/>
      <c r="Z67" s="459"/>
      <c r="AA67" s="460"/>
      <c r="AB67" s="459"/>
      <c r="AC67" s="460"/>
      <c r="AD67" s="459"/>
      <c r="AE67" s="460"/>
      <c r="AF67" s="459"/>
      <c r="AG67" s="460"/>
      <c r="AH67" s="459"/>
      <c r="AI67" s="460"/>
      <c r="AJ67" s="459"/>
      <c r="AK67" s="460"/>
      <c r="AL67" s="459"/>
      <c r="AM67" s="460"/>
      <c r="AN67" s="459"/>
      <c r="AO67" s="460"/>
      <c r="AP67" s="459"/>
      <c r="AQ67" s="460"/>
      <c r="AR67" s="459"/>
      <c r="AS67" s="460"/>
      <c r="AT67" s="80"/>
    </row>
    <row r="68" spans="2:46" ht="15" customHeight="1" x14ac:dyDescent="0.3">
      <c r="B68" s="479"/>
      <c r="C68" s="458"/>
      <c r="D68" s="13"/>
      <c r="E68" s="4"/>
      <c r="F68" s="459"/>
      <c r="G68" s="460"/>
      <c r="H68" s="459"/>
      <c r="I68" s="460"/>
      <c r="J68" s="459"/>
      <c r="K68" s="460"/>
      <c r="L68" s="459"/>
      <c r="M68" s="460"/>
      <c r="N68" s="459"/>
      <c r="O68" s="460"/>
      <c r="P68" s="459"/>
      <c r="Q68" s="460"/>
      <c r="R68" s="459"/>
      <c r="S68" s="460"/>
      <c r="T68" s="459"/>
      <c r="U68" s="460"/>
      <c r="V68" s="459"/>
      <c r="W68" s="460"/>
      <c r="X68" s="459"/>
      <c r="Y68" s="460"/>
      <c r="Z68" s="459"/>
      <c r="AA68" s="460"/>
      <c r="AB68" s="459"/>
      <c r="AC68" s="460"/>
      <c r="AD68" s="459"/>
      <c r="AE68" s="460"/>
      <c r="AF68" s="459"/>
      <c r="AG68" s="460"/>
      <c r="AH68" s="459"/>
      <c r="AI68" s="460"/>
      <c r="AJ68" s="459"/>
      <c r="AK68" s="460"/>
      <c r="AL68" s="459"/>
      <c r="AM68" s="460"/>
      <c r="AN68" s="459"/>
      <c r="AO68" s="460"/>
      <c r="AP68" s="459"/>
      <c r="AQ68" s="460"/>
      <c r="AR68" s="459"/>
      <c r="AS68" s="460"/>
      <c r="AT68" s="80"/>
    </row>
    <row r="69" spans="2:46" ht="15" customHeight="1" x14ac:dyDescent="0.3">
      <c r="B69" s="479"/>
      <c r="C69" s="458">
        <f>C55/2</f>
        <v>0.06</v>
      </c>
      <c r="D69" s="13"/>
      <c r="E69" s="4"/>
      <c r="F69" s="459"/>
      <c r="G69" s="460"/>
      <c r="H69" s="459"/>
      <c r="I69" s="460"/>
      <c r="J69" s="459"/>
      <c r="K69" s="460"/>
      <c r="L69" s="459"/>
      <c r="M69" s="460"/>
      <c r="N69" s="459"/>
      <c r="O69" s="460"/>
      <c r="P69" s="459"/>
      <c r="Q69" s="460"/>
      <c r="R69" s="459"/>
      <c r="S69" s="460"/>
      <c r="T69" s="459"/>
      <c r="U69" s="460"/>
      <c r="V69" s="459"/>
      <c r="W69" s="460"/>
      <c r="X69" s="459"/>
      <c r="Y69" s="460"/>
      <c r="Z69" s="459"/>
      <c r="AA69" s="460"/>
      <c r="AB69" s="459"/>
      <c r="AC69" s="460"/>
      <c r="AD69" s="459"/>
      <c r="AE69" s="460"/>
      <c r="AF69" s="459"/>
      <c r="AG69" s="460"/>
      <c r="AH69" s="459"/>
      <c r="AI69" s="460"/>
      <c r="AJ69" s="459"/>
      <c r="AK69" s="460"/>
      <c r="AL69" s="459"/>
      <c r="AM69" s="460"/>
      <c r="AN69" s="459"/>
      <c r="AO69" s="460"/>
      <c r="AP69" s="459"/>
      <c r="AQ69" s="460"/>
      <c r="AR69" s="459"/>
      <c r="AS69" s="460"/>
      <c r="AT69" s="80"/>
    </row>
    <row r="70" spans="2:46" ht="15" customHeight="1" x14ac:dyDescent="0.3">
      <c r="B70" s="479"/>
      <c r="C70" s="458"/>
      <c r="D70" s="13"/>
      <c r="E70" s="4"/>
      <c r="F70" s="459"/>
      <c r="G70" s="460"/>
      <c r="H70" s="459"/>
      <c r="I70" s="460"/>
      <c r="J70" s="459"/>
      <c r="K70" s="460"/>
      <c r="L70" s="459"/>
      <c r="M70" s="460"/>
      <c r="N70" s="459"/>
      <c r="O70" s="460"/>
      <c r="P70" s="459"/>
      <c r="Q70" s="460"/>
      <c r="R70" s="459"/>
      <c r="S70" s="460"/>
      <c r="T70" s="459"/>
      <c r="U70" s="460"/>
      <c r="V70" s="459"/>
      <c r="W70" s="460"/>
      <c r="X70" s="459"/>
      <c r="Y70" s="460"/>
      <c r="Z70" s="459"/>
      <c r="AA70" s="460"/>
      <c r="AB70" s="459"/>
      <c r="AC70" s="460"/>
      <c r="AD70" s="459"/>
      <c r="AE70" s="460"/>
      <c r="AF70" s="459"/>
      <c r="AG70" s="460"/>
      <c r="AH70" s="459"/>
      <c r="AI70" s="460"/>
      <c r="AJ70" s="459"/>
      <c r="AK70" s="460"/>
      <c r="AL70" s="459"/>
      <c r="AM70" s="460"/>
      <c r="AN70" s="459"/>
      <c r="AO70" s="460"/>
      <c r="AP70" s="459"/>
      <c r="AQ70" s="460"/>
      <c r="AR70" s="459"/>
      <c r="AS70" s="460"/>
      <c r="AT70" s="80"/>
    </row>
    <row r="71" spans="2:46" ht="15" customHeight="1" x14ac:dyDescent="0.3">
      <c r="B71" s="479"/>
      <c r="C71" s="458"/>
      <c r="D71" s="13"/>
      <c r="E71" s="4"/>
      <c r="F71" s="459"/>
      <c r="G71" s="460"/>
      <c r="H71" s="459"/>
      <c r="I71" s="460"/>
      <c r="J71" s="459"/>
      <c r="K71" s="460"/>
      <c r="L71" s="459"/>
      <c r="M71" s="460"/>
      <c r="N71" s="459"/>
      <c r="O71" s="460"/>
      <c r="P71" s="459"/>
      <c r="Q71" s="460"/>
      <c r="R71" s="459"/>
      <c r="S71" s="460"/>
      <c r="T71" s="459"/>
      <c r="U71" s="460"/>
      <c r="V71" s="459"/>
      <c r="W71" s="460"/>
      <c r="X71" s="459"/>
      <c r="Y71" s="460"/>
      <c r="Z71" s="459"/>
      <c r="AA71" s="460"/>
      <c r="AB71" s="459"/>
      <c r="AC71" s="460"/>
      <c r="AD71" s="459"/>
      <c r="AE71" s="460"/>
      <c r="AF71" s="459"/>
      <c r="AG71" s="460"/>
      <c r="AH71" s="459"/>
      <c r="AI71" s="460"/>
      <c r="AJ71" s="459"/>
      <c r="AK71" s="460"/>
      <c r="AL71" s="459"/>
      <c r="AM71" s="460"/>
      <c r="AN71" s="459"/>
      <c r="AO71" s="460"/>
      <c r="AP71" s="459"/>
      <c r="AQ71" s="460"/>
      <c r="AR71" s="459"/>
      <c r="AS71" s="460"/>
      <c r="AT71" s="80"/>
    </row>
    <row r="72" spans="2:46" ht="15" customHeight="1" x14ac:dyDescent="0.3">
      <c r="B72" s="479"/>
      <c r="C72" s="458"/>
      <c r="D72" s="13"/>
      <c r="E72" s="4"/>
      <c r="F72" s="459"/>
      <c r="G72" s="460"/>
      <c r="H72" s="459"/>
      <c r="I72" s="460"/>
      <c r="J72" s="459"/>
      <c r="K72" s="460"/>
      <c r="L72" s="459"/>
      <c r="M72" s="460"/>
      <c r="N72" s="459"/>
      <c r="O72" s="460"/>
      <c r="P72" s="459"/>
      <c r="Q72" s="460"/>
      <c r="R72" s="459"/>
      <c r="S72" s="460"/>
      <c r="T72" s="459"/>
      <c r="U72" s="460"/>
      <c r="V72" s="459"/>
      <c r="W72" s="460"/>
      <c r="X72" s="459"/>
      <c r="Y72" s="460"/>
      <c r="Z72" s="459"/>
      <c r="AA72" s="460"/>
      <c r="AB72" s="459"/>
      <c r="AC72" s="460"/>
      <c r="AD72" s="459"/>
      <c r="AE72" s="460"/>
      <c r="AF72" s="459"/>
      <c r="AG72" s="460"/>
      <c r="AH72" s="459"/>
      <c r="AI72" s="460"/>
      <c r="AJ72" s="459"/>
      <c r="AK72" s="460"/>
      <c r="AL72" s="459"/>
      <c r="AM72" s="460"/>
      <c r="AN72" s="459"/>
      <c r="AO72" s="460"/>
      <c r="AP72" s="459"/>
      <c r="AQ72" s="460"/>
      <c r="AR72" s="459"/>
      <c r="AS72" s="460"/>
      <c r="AT72" s="80"/>
    </row>
    <row r="73" spans="2:46" ht="15" customHeight="1" x14ac:dyDescent="0.3">
      <c r="B73" s="479"/>
      <c r="C73" s="458"/>
      <c r="D73" s="13"/>
      <c r="E73" s="4"/>
      <c r="F73" s="459"/>
      <c r="G73" s="460"/>
      <c r="H73" s="459"/>
      <c r="I73" s="460"/>
      <c r="J73" s="459"/>
      <c r="K73" s="460"/>
      <c r="L73" s="459"/>
      <c r="M73" s="460"/>
      <c r="N73" s="459"/>
      <c r="O73" s="460"/>
      <c r="P73" s="459"/>
      <c r="Q73" s="460"/>
      <c r="R73" s="459"/>
      <c r="S73" s="460"/>
      <c r="T73" s="459"/>
      <c r="U73" s="460"/>
      <c r="V73" s="459"/>
      <c r="W73" s="460"/>
      <c r="X73" s="459"/>
      <c r="Y73" s="460"/>
      <c r="Z73" s="459"/>
      <c r="AA73" s="460"/>
      <c r="AB73" s="459"/>
      <c r="AC73" s="460"/>
      <c r="AD73" s="459"/>
      <c r="AE73" s="460"/>
      <c r="AF73" s="459"/>
      <c r="AG73" s="460"/>
      <c r="AH73" s="459"/>
      <c r="AI73" s="460"/>
      <c r="AJ73" s="459"/>
      <c r="AK73" s="460"/>
      <c r="AL73" s="459"/>
      <c r="AM73" s="460"/>
      <c r="AN73" s="459"/>
      <c r="AO73" s="460"/>
      <c r="AP73" s="459"/>
      <c r="AQ73" s="460"/>
      <c r="AR73" s="459"/>
      <c r="AS73" s="460"/>
      <c r="AT73" s="80"/>
    </row>
    <row r="74" spans="2:46" ht="15" customHeight="1" x14ac:dyDescent="0.3">
      <c r="B74" s="479"/>
      <c r="C74" s="458"/>
      <c r="D74" s="13"/>
      <c r="E74" s="4"/>
      <c r="F74" s="459"/>
      <c r="G74" s="460"/>
      <c r="H74" s="459"/>
      <c r="I74" s="460"/>
      <c r="J74" s="459"/>
      <c r="K74" s="460"/>
      <c r="L74" s="459"/>
      <c r="M74" s="460"/>
      <c r="N74" s="459"/>
      <c r="O74" s="460"/>
      <c r="P74" s="459"/>
      <c r="Q74" s="460"/>
      <c r="R74" s="459"/>
      <c r="S74" s="460"/>
      <c r="T74" s="459"/>
      <c r="U74" s="460"/>
      <c r="V74" s="459"/>
      <c r="W74" s="460"/>
      <c r="X74" s="459"/>
      <c r="Y74" s="460"/>
      <c r="Z74" s="459"/>
      <c r="AA74" s="460"/>
      <c r="AB74" s="459"/>
      <c r="AC74" s="460"/>
      <c r="AD74" s="459"/>
      <c r="AE74" s="460"/>
      <c r="AF74" s="459"/>
      <c r="AG74" s="460"/>
      <c r="AH74" s="459"/>
      <c r="AI74" s="460"/>
      <c r="AJ74" s="459"/>
      <c r="AK74" s="460"/>
      <c r="AL74" s="459"/>
      <c r="AM74" s="460"/>
      <c r="AN74" s="459"/>
      <c r="AO74" s="460"/>
      <c r="AP74" s="459"/>
      <c r="AQ74" s="460"/>
      <c r="AR74" s="459"/>
      <c r="AS74" s="460"/>
      <c r="AT74" s="80"/>
    </row>
    <row r="75" spans="2:46" ht="15" customHeight="1" x14ac:dyDescent="0.3">
      <c r="B75" s="479"/>
      <c r="C75" s="458"/>
      <c r="D75" s="13"/>
      <c r="E75" s="4"/>
      <c r="F75" s="459"/>
      <c r="G75" s="460"/>
      <c r="H75" s="459"/>
      <c r="I75" s="460"/>
      <c r="J75" s="459"/>
      <c r="K75" s="460"/>
      <c r="L75" s="459"/>
      <c r="M75" s="460"/>
      <c r="N75" s="459"/>
      <c r="O75" s="460"/>
      <c r="P75" s="459"/>
      <c r="Q75" s="460"/>
      <c r="R75" s="459"/>
      <c r="S75" s="460"/>
      <c r="T75" s="459"/>
      <c r="U75" s="460"/>
      <c r="V75" s="459"/>
      <c r="W75" s="460"/>
      <c r="X75" s="459"/>
      <c r="Y75" s="460"/>
      <c r="Z75" s="459"/>
      <c r="AA75" s="460"/>
      <c r="AB75" s="459"/>
      <c r="AC75" s="460"/>
      <c r="AD75" s="459"/>
      <c r="AE75" s="460"/>
      <c r="AF75" s="459"/>
      <c r="AG75" s="460"/>
      <c r="AH75" s="459"/>
      <c r="AI75" s="460"/>
      <c r="AJ75" s="459"/>
      <c r="AK75" s="460"/>
      <c r="AL75" s="459"/>
      <c r="AM75" s="460"/>
      <c r="AN75" s="459"/>
      <c r="AO75" s="460"/>
      <c r="AP75" s="459"/>
      <c r="AQ75" s="460"/>
      <c r="AR75" s="459"/>
      <c r="AS75" s="460"/>
      <c r="AT75" s="80"/>
    </row>
    <row r="76" spans="2:46" ht="15" customHeight="1" x14ac:dyDescent="0.3">
      <c r="B76" s="479"/>
      <c r="C76" s="458"/>
      <c r="D76" s="13"/>
      <c r="E76" s="4"/>
      <c r="F76" s="459"/>
      <c r="G76" s="460"/>
      <c r="H76" s="459"/>
      <c r="I76" s="460"/>
      <c r="J76" s="459"/>
      <c r="K76" s="460"/>
      <c r="L76" s="459"/>
      <c r="M76" s="460"/>
      <c r="N76" s="459"/>
      <c r="O76" s="460"/>
      <c r="P76" s="459"/>
      <c r="Q76" s="460"/>
      <c r="R76" s="459"/>
      <c r="S76" s="460"/>
      <c r="T76" s="459"/>
      <c r="U76" s="460"/>
      <c r="V76" s="459"/>
      <c r="W76" s="460"/>
      <c r="X76" s="459"/>
      <c r="Y76" s="460"/>
      <c r="Z76" s="459"/>
      <c r="AA76" s="460"/>
      <c r="AB76" s="459"/>
      <c r="AC76" s="460"/>
      <c r="AD76" s="459"/>
      <c r="AE76" s="460"/>
      <c r="AF76" s="459"/>
      <c r="AG76" s="460"/>
      <c r="AH76" s="459"/>
      <c r="AI76" s="460"/>
      <c r="AJ76" s="459"/>
      <c r="AK76" s="460"/>
      <c r="AL76" s="459"/>
      <c r="AM76" s="460"/>
      <c r="AN76" s="459"/>
      <c r="AO76" s="460"/>
      <c r="AP76" s="459"/>
      <c r="AQ76" s="460"/>
      <c r="AR76" s="459"/>
      <c r="AS76" s="460"/>
      <c r="AT76" s="80"/>
    </row>
    <row r="77" spans="2:46" ht="15" customHeight="1" x14ac:dyDescent="0.3">
      <c r="B77" s="479"/>
      <c r="C77" s="458">
        <f>C69/2</f>
        <v>0.03</v>
      </c>
      <c r="D77" s="13"/>
      <c r="E77" s="4"/>
      <c r="F77" s="459"/>
      <c r="G77" s="460"/>
      <c r="H77" s="459"/>
      <c r="I77" s="460"/>
      <c r="J77" s="459"/>
      <c r="K77" s="460"/>
      <c r="L77" s="459"/>
      <c r="M77" s="460"/>
      <c r="N77" s="459"/>
      <c r="O77" s="460"/>
      <c r="P77" s="459"/>
      <c r="Q77" s="460"/>
      <c r="R77" s="459"/>
      <c r="S77" s="460"/>
      <c r="T77" s="459"/>
      <c r="U77" s="460"/>
      <c r="V77" s="459"/>
      <c r="W77" s="460"/>
      <c r="X77" s="459"/>
      <c r="Y77" s="460"/>
      <c r="Z77" s="459"/>
      <c r="AA77" s="460"/>
      <c r="AB77" s="459"/>
      <c r="AC77" s="460"/>
      <c r="AD77" s="459"/>
      <c r="AE77" s="460"/>
      <c r="AF77" s="459"/>
      <c r="AG77" s="460"/>
      <c r="AH77" s="459"/>
      <c r="AI77" s="460"/>
      <c r="AJ77" s="459"/>
      <c r="AK77" s="460"/>
      <c r="AL77" s="459"/>
      <c r="AM77" s="460"/>
      <c r="AN77" s="459"/>
      <c r="AO77" s="460"/>
      <c r="AP77" s="459"/>
      <c r="AQ77" s="460"/>
      <c r="AR77" s="459"/>
      <c r="AS77" s="460"/>
      <c r="AT77" s="80"/>
    </row>
    <row r="78" spans="2:46" ht="15" customHeight="1" x14ac:dyDescent="0.3">
      <c r="B78" s="479"/>
      <c r="C78" s="458"/>
      <c r="D78" s="13"/>
      <c r="E78" s="4"/>
      <c r="F78" s="459"/>
      <c r="G78" s="460"/>
      <c r="H78" s="459"/>
      <c r="I78" s="460"/>
      <c r="J78" s="459"/>
      <c r="K78" s="460"/>
      <c r="L78" s="459"/>
      <c r="M78" s="460"/>
      <c r="N78" s="459"/>
      <c r="O78" s="460"/>
      <c r="P78" s="459"/>
      <c r="Q78" s="460"/>
      <c r="R78" s="459"/>
      <c r="S78" s="460"/>
      <c r="T78" s="459"/>
      <c r="U78" s="460"/>
      <c r="V78" s="459"/>
      <c r="W78" s="460"/>
      <c r="X78" s="459"/>
      <c r="Y78" s="460"/>
      <c r="Z78" s="459"/>
      <c r="AA78" s="460"/>
      <c r="AB78" s="459"/>
      <c r="AC78" s="460"/>
      <c r="AD78" s="459"/>
      <c r="AE78" s="460"/>
      <c r="AF78" s="459"/>
      <c r="AG78" s="460"/>
      <c r="AH78" s="459"/>
      <c r="AI78" s="460"/>
      <c r="AJ78" s="459"/>
      <c r="AK78" s="460"/>
      <c r="AL78" s="459"/>
      <c r="AM78" s="460"/>
      <c r="AN78" s="459"/>
      <c r="AO78" s="460"/>
      <c r="AP78" s="459"/>
      <c r="AQ78" s="460"/>
      <c r="AR78" s="459"/>
      <c r="AS78" s="460"/>
      <c r="AT78" s="80"/>
    </row>
    <row r="79" spans="2:46" ht="15" customHeight="1" x14ac:dyDescent="0.3">
      <c r="B79" s="479"/>
      <c r="C79" s="458"/>
      <c r="D79" s="13"/>
      <c r="E79" s="4"/>
      <c r="F79" s="459"/>
      <c r="G79" s="460"/>
      <c r="H79" s="459"/>
      <c r="I79" s="460"/>
      <c r="J79" s="459"/>
      <c r="K79" s="460"/>
      <c r="L79" s="459"/>
      <c r="M79" s="460"/>
      <c r="N79" s="459"/>
      <c r="O79" s="460"/>
      <c r="P79" s="459"/>
      <c r="Q79" s="460"/>
      <c r="R79" s="459"/>
      <c r="S79" s="460"/>
      <c r="T79" s="459"/>
      <c r="U79" s="460"/>
      <c r="V79" s="459"/>
      <c r="W79" s="460"/>
      <c r="X79" s="459"/>
      <c r="Y79" s="460"/>
      <c r="Z79" s="459"/>
      <c r="AA79" s="460"/>
      <c r="AB79" s="459"/>
      <c r="AC79" s="460"/>
      <c r="AD79" s="459"/>
      <c r="AE79" s="460"/>
      <c r="AF79" s="459"/>
      <c r="AG79" s="460"/>
      <c r="AH79" s="459"/>
      <c r="AI79" s="460"/>
      <c r="AJ79" s="459"/>
      <c r="AK79" s="460"/>
      <c r="AL79" s="459"/>
      <c r="AM79" s="460"/>
      <c r="AN79" s="459"/>
      <c r="AO79" s="460"/>
      <c r="AP79" s="459"/>
      <c r="AQ79" s="460"/>
      <c r="AR79" s="459"/>
      <c r="AS79" s="460"/>
      <c r="AT79" s="80"/>
    </row>
    <row r="80" spans="2:46" ht="15" customHeight="1" x14ac:dyDescent="0.3">
      <c r="B80" s="479"/>
      <c r="C80" s="458"/>
      <c r="D80" s="13"/>
      <c r="E80" s="4"/>
      <c r="F80" s="459"/>
      <c r="G80" s="460"/>
      <c r="H80" s="459"/>
      <c r="I80" s="460"/>
      <c r="J80" s="459"/>
      <c r="K80" s="460"/>
      <c r="L80" s="459"/>
      <c r="M80" s="460"/>
      <c r="N80" s="459"/>
      <c r="O80" s="460"/>
      <c r="P80" s="459"/>
      <c r="Q80" s="460"/>
      <c r="R80" s="459"/>
      <c r="S80" s="460"/>
      <c r="T80" s="459"/>
      <c r="U80" s="460"/>
      <c r="V80" s="459"/>
      <c r="W80" s="460"/>
      <c r="X80" s="459"/>
      <c r="Y80" s="460"/>
      <c r="Z80" s="459"/>
      <c r="AA80" s="460"/>
      <c r="AB80" s="459"/>
      <c r="AC80" s="460"/>
      <c r="AD80" s="459"/>
      <c r="AE80" s="460"/>
      <c r="AF80" s="459"/>
      <c r="AG80" s="460"/>
      <c r="AH80" s="459"/>
      <c r="AI80" s="460"/>
      <c r="AJ80" s="459"/>
      <c r="AK80" s="460"/>
      <c r="AL80" s="459"/>
      <c r="AM80" s="460"/>
      <c r="AN80" s="459"/>
      <c r="AO80" s="460"/>
      <c r="AP80" s="459"/>
      <c r="AQ80" s="460"/>
      <c r="AR80" s="459"/>
      <c r="AS80" s="460"/>
      <c r="AT80" s="80"/>
    </row>
    <row r="81" spans="2:46" ht="15" customHeight="1" x14ac:dyDescent="0.3">
      <c r="B81" s="479"/>
      <c r="C81" s="458">
        <f>C77/2</f>
        <v>1.4999999999999999E-2</v>
      </c>
      <c r="D81" s="13"/>
      <c r="E81" s="4"/>
      <c r="F81" s="459"/>
      <c r="G81" s="460"/>
      <c r="H81" s="459"/>
      <c r="I81" s="460"/>
      <c r="J81" s="459"/>
      <c r="K81" s="460"/>
      <c r="L81" s="459"/>
      <c r="M81" s="460"/>
      <c r="N81" s="459"/>
      <c r="O81" s="460"/>
      <c r="P81" s="459"/>
      <c r="Q81" s="460"/>
      <c r="R81" s="459"/>
      <c r="S81" s="460"/>
      <c r="T81" s="459"/>
      <c r="U81" s="460"/>
      <c r="V81" s="459"/>
      <c r="W81" s="460"/>
      <c r="X81" s="459"/>
      <c r="Y81" s="460"/>
      <c r="Z81" s="459"/>
      <c r="AA81" s="460"/>
      <c r="AB81" s="459"/>
      <c r="AC81" s="460"/>
      <c r="AD81" s="459"/>
      <c r="AE81" s="460"/>
      <c r="AF81" s="459"/>
      <c r="AG81" s="460"/>
      <c r="AH81" s="459"/>
      <c r="AI81" s="460"/>
      <c r="AJ81" s="459"/>
      <c r="AK81" s="460"/>
      <c r="AL81" s="459"/>
      <c r="AM81" s="460"/>
      <c r="AN81" s="459"/>
      <c r="AO81" s="460"/>
      <c r="AP81" s="459"/>
      <c r="AQ81" s="460"/>
      <c r="AR81" s="459"/>
      <c r="AS81" s="460"/>
      <c r="AT81" s="80"/>
    </row>
    <row r="82" spans="2:46" ht="15" customHeight="1" x14ac:dyDescent="0.3">
      <c r="B82" s="479"/>
      <c r="C82" s="458"/>
      <c r="D82" s="13"/>
      <c r="E82" s="4"/>
      <c r="F82" s="459"/>
      <c r="G82" s="460"/>
      <c r="H82" s="459"/>
      <c r="I82" s="460"/>
      <c r="J82" s="459"/>
      <c r="K82" s="460"/>
      <c r="L82" s="459"/>
      <c r="M82" s="460"/>
      <c r="N82" s="459"/>
      <c r="O82" s="460"/>
      <c r="P82" s="459"/>
      <c r="Q82" s="460"/>
      <c r="R82" s="459"/>
      <c r="S82" s="460"/>
      <c r="T82" s="459"/>
      <c r="U82" s="460"/>
      <c r="V82" s="459"/>
      <c r="W82" s="460"/>
      <c r="X82" s="459"/>
      <c r="Y82" s="460"/>
      <c r="Z82" s="459"/>
      <c r="AA82" s="460"/>
      <c r="AB82" s="459"/>
      <c r="AC82" s="460"/>
      <c r="AD82" s="459"/>
      <c r="AE82" s="460"/>
      <c r="AF82" s="459"/>
      <c r="AG82" s="460"/>
      <c r="AH82" s="459"/>
      <c r="AI82" s="460"/>
      <c r="AJ82" s="459"/>
      <c r="AK82" s="460"/>
      <c r="AL82" s="459"/>
      <c r="AM82" s="460"/>
      <c r="AN82" s="459"/>
      <c r="AO82" s="460"/>
      <c r="AP82" s="459"/>
      <c r="AQ82" s="460"/>
      <c r="AR82" s="459"/>
      <c r="AS82" s="460"/>
      <c r="AT82" s="80"/>
    </row>
    <row r="83" spans="2:46" ht="15" customHeight="1" x14ac:dyDescent="0.3">
      <c r="B83" s="479"/>
      <c r="C83" s="499"/>
      <c r="D83" s="3"/>
      <c r="E83" s="8"/>
      <c r="F83" s="459"/>
      <c r="G83" s="460"/>
      <c r="H83" s="459"/>
      <c r="I83" s="460"/>
      <c r="J83" s="459"/>
      <c r="K83" s="460"/>
      <c r="L83" s="459"/>
      <c r="M83" s="460"/>
      <c r="N83" s="459"/>
      <c r="O83" s="460"/>
      <c r="P83" s="459"/>
      <c r="Q83" s="460"/>
      <c r="R83" s="459"/>
      <c r="S83" s="460"/>
      <c r="T83" s="459"/>
      <c r="U83" s="460"/>
      <c r="V83" s="459"/>
      <c r="W83" s="460"/>
      <c r="X83" s="459"/>
      <c r="Y83" s="460"/>
      <c r="Z83" s="459"/>
      <c r="AA83" s="460"/>
      <c r="AB83" s="459"/>
      <c r="AC83" s="460"/>
      <c r="AD83" s="459"/>
      <c r="AE83" s="460"/>
      <c r="AF83" s="459"/>
      <c r="AG83" s="460"/>
      <c r="AH83" s="459"/>
      <c r="AI83" s="460"/>
      <c r="AJ83" s="459"/>
      <c r="AK83" s="460"/>
      <c r="AL83" s="459"/>
      <c r="AM83" s="460"/>
      <c r="AN83" s="459"/>
      <c r="AO83" s="460"/>
      <c r="AP83" s="459"/>
      <c r="AQ83" s="460"/>
      <c r="AR83" s="459"/>
      <c r="AS83" s="460"/>
      <c r="AT83" s="76"/>
    </row>
    <row r="84" spans="2:46" ht="15.75" customHeight="1" thickBot="1" x14ac:dyDescent="0.35">
      <c r="B84" s="480"/>
      <c r="C84" s="500"/>
      <c r="D84" s="85"/>
      <c r="E84" s="86"/>
      <c r="F84" s="494"/>
      <c r="G84" s="495"/>
      <c r="H84" s="494"/>
      <c r="I84" s="495"/>
      <c r="J84" s="494"/>
      <c r="K84" s="495"/>
      <c r="L84" s="494"/>
      <c r="M84" s="495"/>
      <c r="N84" s="494"/>
      <c r="O84" s="495"/>
      <c r="P84" s="494"/>
      <c r="Q84" s="495"/>
      <c r="R84" s="494"/>
      <c r="S84" s="495"/>
      <c r="T84" s="494"/>
      <c r="U84" s="495"/>
      <c r="V84" s="494"/>
      <c r="W84" s="495"/>
      <c r="X84" s="494"/>
      <c r="Y84" s="495"/>
      <c r="Z84" s="494"/>
      <c r="AA84" s="495"/>
      <c r="AB84" s="494"/>
      <c r="AC84" s="495"/>
      <c r="AD84" s="494"/>
      <c r="AE84" s="495"/>
      <c r="AF84" s="494"/>
      <c r="AG84" s="495"/>
      <c r="AH84" s="494"/>
      <c r="AI84" s="495"/>
      <c r="AJ84" s="494"/>
      <c r="AK84" s="495"/>
      <c r="AL84" s="494"/>
      <c r="AM84" s="495"/>
      <c r="AN84" s="494"/>
      <c r="AO84" s="495"/>
      <c r="AP84" s="494"/>
      <c r="AQ84" s="495"/>
      <c r="AR84" s="494"/>
      <c r="AS84" s="495"/>
      <c r="AT84" s="87"/>
    </row>
    <row r="85" spans="2:46" s="48" customFormat="1" ht="26.4" thickTop="1" x14ac:dyDescent="0.5">
      <c r="E85" s="493">
        <v>1</v>
      </c>
      <c r="F85" s="493"/>
      <c r="G85" s="493">
        <v>2</v>
      </c>
      <c r="H85" s="493"/>
      <c r="I85" s="493">
        <v>3</v>
      </c>
      <c r="J85" s="493"/>
      <c r="K85" s="493">
        <v>4</v>
      </c>
      <c r="L85" s="493"/>
      <c r="M85" s="493">
        <v>5</v>
      </c>
      <c r="N85" s="493"/>
      <c r="O85" s="493">
        <v>6</v>
      </c>
      <c r="P85" s="493"/>
      <c r="Q85" s="493">
        <v>7</v>
      </c>
      <c r="R85" s="493"/>
      <c r="S85" s="493">
        <v>8</v>
      </c>
      <c r="T85" s="493"/>
      <c r="U85" s="493">
        <v>9</v>
      </c>
      <c r="V85" s="493"/>
      <c r="W85" s="493">
        <v>10</v>
      </c>
      <c r="X85" s="493"/>
      <c r="Y85" s="493">
        <v>11</v>
      </c>
      <c r="Z85" s="493"/>
      <c r="AA85" s="493">
        <v>12</v>
      </c>
      <c r="AB85" s="493"/>
      <c r="AC85" s="493">
        <v>13</v>
      </c>
      <c r="AD85" s="493"/>
      <c r="AE85" s="493">
        <v>14</v>
      </c>
      <c r="AF85" s="493"/>
      <c r="AG85" s="493">
        <v>15</v>
      </c>
      <c r="AH85" s="493"/>
      <c r="AI85" s="493">
        <v>16</v>
      </c>
      <c r="AJ85" s="493"/>
      <c r="AK85" s="493">
        <v>17</v>
      </c>
      <c r="AL85" s="493"/>
      <c r="AM85" s="493">
        <v>18</v>
      </c>
      <c r="AN85" s="493"/>
      <c r="AO85" s="493">
        <v>19</v>
      </c>
      <c r="AP85" s="493"/>
      <c r="AQ85" s="493">
        <v>20</v>
      </c>
      <c r="AR85" s="493"/>
      <c r="AS85" s="493">
        <v>21</v>
      </c>
      <c r="AT85" s="493"/>
    </row>
    <row r="86" spans="2:46" s="47" customFormat="1" ht="29.4" thickBot="1" x14ac:dyDescent="0.55000000000000004">
      <c r="B86" s="99" t="s">
        <v>91</v>
      </c>
      <c r="C86" s="99"/>
      <c r="D86" s="99"/>
      <c r="E86" s="99"/>
      <c r="F86" s="99"/>
      <c r="G86" s="99"/>
      <c r="H86" s="99" t="s">
        <v>88</v>
      </c>
      <c r="I86" s="99"/>
      <c r="J86" s="99"/>
      <c r="K86" s="99"/>
      <c r="L86" s="99"/>
      <c r="M86" s="99"/>
      <c r="N86" s="99"/>
      <c r="O86" s="99"/>
      <c r="P86" s="99"/>
      <c r="Q86" s="99"/>
      <c r="R86" s="99"/>
      <c r="S86" s="99"/>
      <c r="T86" s="99"/>
      <c r="U86" s="99"/>
      <c r="V86" s="99"/>
      <c r="W86" s="99"/>
      <c r="X86" s="99"/>
      <c r="Y86" s="99"/>
      <c r="Z86" s="99"/>
      <c r="AA86" s="99"/>
      <c r="AB86" s="100" t="s">
        <v>8</v>
      </c>
      <c r="AC86" s="99"/>
      <c r="AD86" s="496" t="s">
        <v>9</v>
      </c>
      <c r="AE86" s="496"/>
      <c r="AF86" s="496"/>
      <c r="AG86" s="496"/>
      <c r="AH86" s="99"/>
      <c r="AI86" s="99"/>
      <c r="AJ86" s="497" t="s">
        <v>10</v>
      </c>
      <c r="AK86" s="497"/>
      <c r="AL86" s="497"/>
      <c r="AM86" s="497"/>
      <c r="AN86" s="99"/>
      <c r="AO86" s="99"/>
      <c r="AP86" s="498" t="s">
        <v>11</v>
      </c>
      <c r="AQ86" s="498"/>
      <c r="AR86" s="498"/>
      <c r="AS86" s="498"/>
    </row>
    <row r="87" spans="2:46" s="48" customFormat="1" ht="25.8" x14ac:dyDescent="0.5"/>
    <row r="88" spans="2:46" s="48" customFormat="1" ht="25.8" x14ac:dyDescent="0.5"/>
    <row r="89" spans="2:46" x14ac:dyDescent="0.3">
      <c r="B89" s="23"/>
    </row>
  </sheetData>
  <mergeCells count="1615">
    <mergeCell ref="AM85:AN85"/>
    <mergeCell ref="AO85:AP85"/>
    <mergeCell ref="AQ85:AR85"/>
    <mergeCell ref="AS85:AT85"/>
    <mergeCell ref="AD86:AG86"/>
    <mergeCell ref="AJ86:AM86"/>
    <mergeCell ref="AP86:AS86"/>
    <mergeCell ref="AA85:AB85"/>
    <mergeCell ref="AC85:AD85"/>
    <mergeCell ref="AE85:AF85"/>
    <mergeCell ref="AG85:AH85"/>
    <mergeCell ref="AI85:AJ85"/>
    <mergeCell ref="AK85:AL85"/>
    <mergeCell ref="O85:P85"/>
    <mergeCell ref="Q85:R85"/>
    <mergeCell ref="S85:T85"/>
    <mergeCell ref="U85:V85"/>
    <mergeCell ref="W85:X85"/>
    <mergeCell ref="Y85:Z85"/>
    <mergeCell ref="AR84:AS84"/>
    <mergeCell ref="X82:Y82"/>
    <mergeCell ref="Z82:AA82"/>
    <mergeCell ref="F82:G82"/>
    <mergeCell ref="H82:I82"/>
    <mergeCell ref="J82:K82"/>
    <mergeCell ref="L82:M82"/>
    <mergeCell ref="N82:O82"/>
    <mergeCell ref="P82:Q82"/>
    <mergeCell ref="AR83:AS83"/>
    <mergeCell ref="F84:G84"/>
    <mergeCell ref="H84:I84"/>
    <mergeCell ref="J84:K84"/>
    <mergeCell ref="L84:M84"/>
    <mergeCell ref="N84:O84"/>
    <mergeCell ref="P84:Q84"/>
    <mergeCell ref="R84:S84"/>
    <mergeCell ref="T84:U84"/>
    <mergeCell ref="V84:W84"/>
    <mergeCell ref="AF83:AG83"/>
    <mergeCell ref="AH83:AI83"/>
    <mergeCell ref="AR82:AS82"/>
    <mergeCell ref="AD84:AE84"/>
    <mergeCell ref="AF84:AG84"/>
    <mergeCell ref="AH84:AI84"/>
    <mergeCell ref="R83:S83"/>
    <mergeCell ref="AD82:AE82"/>
    <mergeCell ref="AF82:AG82"/>
    <mergeCell ref="AH82:AI82"/>
    <mergeCell ref="AJ82:AK82"/>
    <mergeCell ref="AL82:AM82"/>
    <mergeCell ref="AN82:AO82"/>
    <mergeCell ref="E85:F85"/>
    <mergeCell ref="G85:H85"/>
    <mergeCell ref="I85:J85"/>
    <mergeCell ref="K85:L85"/>
    <mergeCell ref="M85:N85"/>
    <mergeCell ref="C81:C82"/>
    <mergeCell ref="F81:G81"/>
    <mergeCell ref="H81:I81"/>
    <mergeCell ref="J81:K81"/>
    <mergeCell ref="L81:M81"/>
    <mergeCell ref="X80:Y80"/>
    <mergeCell ref="Z80:AA80"/>
    <mergeCell ref="AB80:AC80"/>
    <mergeCell ref="AD80:AE80"/>
    <mergeCell ref="AF80:AG80"/>
    <mergeCell ref="AH80:AI80"/>
    <mergeCell ref="AP82:AQ82"/>
    <mergeCell ref="C83:C84"/>
    <mergeCell ref="F83:G83"/>
    <mergeCell ref="H83:I83"/>
    <mergeCell ref="J83:K83"/>
    <mergeCell ref="L83:M83"/>
    <mergeCell ref="N83:O83"/>
    <mergeCell ref="P83:Q83"/>
    <mergeCell ref="AB82:AC82"/>
    <mergeCell ref="AJ84:AK84"/>
    <mergeCell ref="AL84:AM84"/>
    <mergeCell ref="AN84:AO84"/>
    <mergeCell ref="AP84:AQ84"/>
    <mergeCell ref="X84:Y84"/>
    <mergeCell ref="Z84:AA84"/>
    <mergeCell ref="AB84:AC84"/>
    <mergeCell ref="R82:S82"/>
    <mergeCell ref="T82:U82"/>
    <mergeCell ref="V82:W82"/>
    <mergeCell ref="AP79:AQ79"/>
    <mergeCell ref="C79:C80"/>
    <mergeCell ref="F79:G79"/>
    <mergeCell ref="H79:I79"/>
    <mergeCell ref="J79:K79"/>
    <mergeCell ref="L79:M79"/>
    <mergeCell ref="N79:O79"/>
    <mergeCell ref="P79:Q79"/>
    <mergeCell ref="R79:S79"/>
    <mergeCell ref="AL81:AM81"/>
    <mergeCell ref="AN81:AO81"/>
    <mergeCell ref="AP81:AQ81"/>
    <mergeCell ref="AJ83:AK83"/>
    <mergeCell ref="AL83:AM83"/>
    <mergeCell ref="AN83:AO83"/>
    <mergeCell ref="AP83:AQ83"/>
    <mergeCell ref="T83:U83"/>
    <mergeCell ref="V83:W83"/>
    <mergeCell ref="X83:Y83"/>
    <mergeCell ref="Z83:AA83"/>
    <mergeCell ref="AB83:AC83"/>
    <mergeCell ref="AD83:AE83"/>
    <mergeCell ref="AR81:AS81"/>
    <mergeCell ref="T79:U79"/>
    <mergeCell ref="V79:W79"/>
    <mergeCell ref="X79:Y79"/>
    <mergeCell ref="Z79:AA79"/>
    <mergeCell ref="AB79:AC79"/>
    <mergeCell ref="AD79:AE79"/>
    <mergeCell ref="Z81:AA81"/>
    <mergeCell ref="AB81:AC81"/>
    <mergeCell ref="AD81:AE81"/>
    <mergeCell ref="AF81:AG81"/>
    <mergeCell ref="AH81:AI81"/>
    <mergeCell ref="AJ81:AK81"/>
    <mergeCell ref="N81:O81"/>
    <mergeCell ref="P81:Q81"/>
    <mergeCell ref="R81:S81"/>
    <mergeCell ref="T81:U81"/>
    <mergeCell ref="V81:W81"/>
    <mergeCell ref="X81:Y81"/>
    <mergeCell ref="AR80:AS80"/>
    <mergeCell ref="AP80:AQ80"/>
    <mergeCell ref="AR79:AS79"/>
    <mergeCell ref="Z78:AA78"/>
    <mergeCell ref="AB78:AC78"/>
    <mergeCell ref="AJ80:AK80"/>
    <mergeCell ref="AL80:AM80"/>
    <mergeCell ref="AN80:AO80"/>
    <mergeCell ref="AL77:AM77"/>
    <mergeCell ref="AN77:AO77"/>
    <mergeCell ref="F80:G80"/>
    <mergeCell ref="H80:I80"/>
    <mergeCell ref="J80:K80"/>
    <mergeCell ref="L80:M80"/>
    <mergeCell ref="N80:O80"/>
    <mergeCell ref="P80:Q80"/>
    <mergeCell ref="R80:S80"/>
    <mergeCell ref="T80:U80"/>
    <mergeCell ref="V80:W80"/>
    <mergeCell ref="AF79:AG79"/>
    <mergeCell ref="AH79:AI79"/>
    <mergeCell ref="AJ79:AK79"/>
    <mergeCell ref="AL79:AM79"/>
    <mergeCell ref="AN79:AO79"/>
    <mergeCell ref="AP77:AQ77"/>
    <mergeCell ref="AR77:AS77"/>
    <mergeCell ref="F78:G78"/>
    <mergeCell ref="H78:I78"/>
    <mergeCell ref="J78:K78"/>
    <mergeCell ref="L78:M78"/>
    <mergeCell ref="N78:O78"/>
    <mergeCell ref="P78:Q78"/>
    <mergeCell ref="Z77:AA77"/>
    <mergeCell ref="AB77:AC77"/>
    <mergeCell ref="AD77:AE77"/>
    <mergeCell ref="AF77:AG77"/>
    <mergeCell ref="AH77:AI77"/>
    <mergeCell ref="AJ77:AK77"/>
    <mergeCell ref="N77:O77"/>
    <mergeCell ref="P77:Q77"/>
    <mergeCell ref="R77:S77"/>
    <mergeCell ref="T77:U77"/>
    <mergeCell ref="V77:W77"/>
    <mergeCell ref="X77:Y77"/>
    <mergeCell ref="AP78:AQ78"/>
    <mergeCell ref="AR78:AS78"/>
    <mergeCell ref="AD78:AE78"/>
    <mergeCell ref="AF78:AG78"/>
    <mergeCell ref="AH78:AI78"/>
    <mergeCell ref="AJ78:AK78"/>
    <mergeCell ref="AL78:AM78"/>
    <mergeCell ref="AN78:AO78"/>
    <mergeCell ref="R78:S78"/>
    <mergeCell ref="T78:U78"/>
    <mergeCell ref="V78:W78"/>
    <mergeCell ref="X78:Y78"/>
    <mergeCell ref="AJ76:AK76"/>
    <mergeCell ref="AL76:AM76"/>
    <mergeCell ref="AN76:AO76"/>
    <mergeCell ref="AP76:AQ76"/>
    <mergeCell ref="AR76:AS76"/>
    <mergeCell ref="C77:C78"/>
    <mergeCell ref="F77:G77"/>
    <mergeCell ref="H77:I77"/>
    <mergeCell ref="J77:K77"/>
    <mergeCell ref="L77:M77"/>
    <mergeCell ref="X76:Y76"/>
    <mergeCell ref="Z76:AA76"/>
    <mergeCell ref="AB76:AC76"/>
    <mergeCell ref="AD76:AE76"/>
    <mergeCell ref="AF76:AG76"/>
    <mergeCell ref="AH76:AI76"/>
    <mergeCell ref="AR75:AS75"/>
    <mergeCell ref="F76:G76"/>
    <mergeCell ref="H76:I76"/>
    <mergeCell ref="J76:K76"/>
    <mergeCell ref="L76:M76"/>
    <mergeCell ref="N76:O76"/>
    <mergeCell ref="P76:Q76"/>
    <mergeCell ref="R76:S76"/>
    <mergeCell ref="T76:U76"/>
    <mergeCell ref="V76:W76"/>
    <mergeCell ref="AF75:AG75"/>
    <mergeCell ref="AH75:AI75"/>
    <mergeCell ref="AJ75:AK75"/>
    <mergeCell ref="AL75:AM75"/>
    <mergeCell ref="AN75:AO75"/>
    <mergeCell ref="AP75:AQ75"/>
    <mergeCell ref="T75:U75"/>
    <mergeCell ref="V75:W75"/>
    <mergeCell ref="X75:Y75"/>
    <mergeCell ref="Z75:AA75"/>
    <mergeCell ref="AB75:AC75"/>
    <mergeCell ref="AD75:AE75"/>
    <mergeCell ref="AP74:AQ74"/>
    <mergeCell ref="AR74:AS74"/>
    <mergeCell ref="C75:C76"/>
    <mergeCell ref="F75:G75"/>
    <mergeCell ref="H75:I75"/>
    <mergeCell ref="J75:K75"/>
    <mergeCell ref="L75:M75"/>
    <mergeCell ref="N75:O75"/>
    <mergeCell ref="P75:Q75"/>
    <mergeCell ref="R75:S75"/>
    <mergeCell ref="AD74:AE74"/>
    <mergeCell ref="AF74:AG74"/>
    <mergeCell ref="AH74:AI74"/>
    <mergeCell ref="AJ74:AK74"/>
    <mergeCell ref="AL74:AM74"/>
    <mergeCell ref="AN74:AO74"/>
    <mergeCell ref="R74:S74"/>
    <mergeCell ref="T74:U74"/>
    <mergeCell ref="V74:W74"/>
    <mergeCell ref="X74:Y74"/>
    <mergeCell ref="Z74:AA74"/>
    <mergeCell ref="AB74:AC74"/>
    <mergeCell ref="F74:G74"/>
    <mergeCell ref="H74:I74"/>
    <mergeCell ref="J74:K74"/>
    <mergeCell ref="L74:M74"/>
    <mergeCell ref="C73:C74"/>
    <mergeCell ref="F73:G73"/>
    <mergeCell ref="H73:I73"/>
    <mergeCell ref="J73:K73"/>
    <mergeCell ref="L73:M73"/>
    <mergeCell ref="N73:O73"/>
    <mergeCell ref="P73:Q73"/>
    <mergeCell ref="R73:S73"/>
    <mergeCell ref="T73:U73"/>
    <mergeCell ref="AF72:AG72"/>
    <mergeCell ref="AH72:AI72"/>
    <mergeCell ref="AJ72:AK72"/>
    <mergeCell ref="AL72:AM72"/>
    <mergeCell ref="AN72:AO72"/>
    <mergeCell ref="AP72:AQ72"/>
    <mergeCell ref="T72:U72"/>
    <mergeCell ref="V72:W72"/>
    <mergeCell ref="X71:Y71"/>
    <mergeCell ref="Z71:AA71"/>
    <mergeCell ref="N74:O74"/>
    <mergeCell ref="P74:Q74"/>
    <mergeCell ref="AH73:AI73"/>
    <mergeCell ref="AJ73:AK73"/>
    <mergeCell ref="AL73:AM73"/>
    <mergeCell ref="AN73:AO73"/>
    <mergeCell ref="AP73:AQ73"/>
    <mergeCell ref="AR73:AS73"/>
    <mergeCell ref="V73:W73"/>
    <mergeCell ref="X73:Y73"/>
    <mergeCell ref="Z73:AA73"/>
    <mergeCell ref="AB73:AC73"/>
    <mergeCell ref="AD73:AE73"/>
    <mergeCell ref="AF73:AG73"/>
    <mergeCell ref="AR72:AS72"/>
    <mergeCell ref="AJ69:AK69"/>
    <mergeCell ref="AL69:AM69"/>
    <mergeCell ref="AN69:AO69"/>
    <mergeCell ref="AP69:AQ69"/>
    <mergeCell ref="T69:U69"/>
    <mergeCell ref="V69:W69"/>
    <mergeCell ref="X69:Y69"/>
    <mergeCell ref="Z69:AA69"/>
    <mergeCell ref="X72:Y72"/>
    <mergeCell ref="Z72:AA72"/>
    <mergeCell ref="AB72:AC72"/>
    <mergeCell ref="AD72:AE72"/>
    <mergeCell ref="AN71:AO71"/>
    <mergeCell ref="AP71:AQ71"/>
    <mergeCell ref="AR71:AS71"/>
    <mergeCell ref="F72:G72"/>
    <mergeCell ref="H72:I72"/>
    <mergeCell ref="J72:K72"/>
    <mergeCell ref="L72:M72"/>
    <mergeCell ref="N72:O72"/>
    <mergeCell ref="P72:Q72"/>
    <mergeCell ref="R72:S72"/>
    <mergeCell ref="AB71:AC71"/>
    <mergeCell ref="AD71:AE71"/>
    <mergeCell ref="AF71:AG71"/>
    <mergeCell ref="AH71:AI71"/>
    <mergeCell ref="AJ71:AK71"/>
    <mergeCell ref="AL71:AM71"/>
    <mergeCell ref="P71:Q71"/>
    <mergeCell ref="R71:S71"/>
    <mergeCell ref="T71:U71"/>
    <mergeCell ref="V71:W71"/>
    <mergeCell ref="AJ70:AK70"/>
    <mergeCell ref="AL70:AM70"/>
    <mergeCell ref="AN70:AO70"/>
    <mergeCell ref="AP70:AQ70"/>
    <mergeCell ref="F68:G68"/>
    <mergeCell ref="H68:I68"/>
    <mergeCell ref="J68:K68"/>
    <mergeCell ref="L68:M68"/>
    <mergeCell ref="AR70:AS70"/>
    <mergeCell ref="F71:G71"/>
    <mergeCell ref="H71:I71"/>
    <mergeCell ref="J71:K71"/>
    <mergeCell ref="L71:M71"/>
    <mergeCell ref="N71:O71"/>
    <mergeCell ref="X70:Y70"/>
    <mergeCell ref="Z70:AA70"/>
    <mergeCell ref="AB70:AC70"/>
    <mergeCell ref="AD70:AE70"/>
    <mergeCell ref="AF70:AG70"/>
    <mergeCell ref="AH70:AI70"/>
    <mergeCell ref="AR69:AS69"/>
    <mergeCell ref="F70:G70"/>
    <mergeCell ref="H70:I70"/>
    <mergeCell ref="J70:K70"/>
    <mergeCell ref="L70:M70"/>
    <mergeCell ref="N70:O70"/>
    <mergeCell ref="P70:Q70"/>
    <mergeCell ref="R70:S70"/>
    <mergeCell ref="T70:U70"/>
    <mergeCell ref="V70:W70"/>
    <mergeCell ref="AF69:AG69"/>
    <mergeCell ref="AH69:AI69"/>
    <mergeCell ref="C67:C68"/>
    <mergeCell ref="F67:G67"/>
    <mergeCell ref="H67:I67"/>
    <mergeCell ref="J67:K67"/>
    <mergeCell ref="L67:M67"/>
    <mergeCell ref="X66:Y66"/>
    <mergeCell ref="Z66:AA66"/>
    <mergeCell ref="AB66:AC66"/>
    <mergeCell ref="AD66:AE66"/>
    <mergeCell ref="AF66:AG66"/>
    <mergeCell ref="AH66:AI66"/>
    <mergeCell ref="AB69:AC69"/>
    <mergeCell ref="AD69:AE69"/>
    <mergeCell ref="AP68:AQ68"/>
    <mergeCell ref="AR68:AS68"/>
    <mergeCell ref="C69:C72"/>
    <mergeCell ref="F69:G69"/>
    <mergeCell ref="H69:I69"/>
    <mergeCell ref="J69:K69"/>
    <mergeCell ref="L69:M69"/>
    <mergeCell ref="N69:O69"/>
    <mergeCell ref="P69:Q69"/>
    <mergeCell ref="R69:S69"/>
    <mergeCell ref="AD68:AE68"/>
    <mergeCell ref="AF68:AG68"/>
    <mergeCell ref="AH68:AI68"/>
    <mergeCell ref="AJ68:AK68"/>
    <mergeCell ref="AL68:AM68"/>
    <mergeCell ref="AN68:AO68"/>
    <mergeCell ref="R68:S68"/>
    <mergeCell ref="T68:U68"/>
    <mergeCell ref="V68:W68"/>
    <mergeCell ref="AR67:AS67"/>
    <mergeCell ref="T65:U65"/>
    <mergeCell ref="V65:W65"/>
    <mergeCell ref="X65:Y65"/>
    <mergeCell ref="Z65:AA65"/>
    <mergeCell ref="AB65:AC65"/>
    <mergeCell ref="AD65:AE65"/>
    <mergeCell ref="N68:O68"/>
    <mergeCell ref="P68:Q68"/>
    <mergeCell ref="Z67:AA67"/>
    <mergeCell ref="AB67:AC67"/>
    <mergeCell ref="AD67:AE67"/>
    <mergeCell ref="AF67:AG67"/>
    <mergeCell ref="AH67:AI67"/>
    <mergeCell ref="AJ67:AK67"/>
    <mergeCell ref="N67:O67"/>
    <mergeCell ref="P67:Q67"/>
    <mergeCell ref="R67:S67"/>
    <mergeCell ref="T67:U67"/>
    <mergeCell ref="V67:W67"/>
    <mergeCell ref="X67:Y67"/>
    <mergeCell ref="AR66:AS66"/>
    <mergeCell ref="X68:Y68"/>
    <mergeCell ref="Z68:AA68"/>
    <mergeCell ref="AB68:AC68"/>
    <mergeCell ref="F66:G66"/>
    <mergeCell ref="H66:I66"/>
    <mergeCell ref="J66:K66"/>
    <mergeCell ref="L66:M66"/>
    <mergeCell ref="N66:O66"/>
    <mergeCell ref="P66:Q66"/>
    <mergeCell ref="R66:S66"/>
    <mergeCell ref="T66:U66"/>
    <mergeCell ref="V66:W66"/>
    <mergeCell ref="AF65:AG65"/>
    <mergeCell ref="AH65:AI65"/>
    <mergeCell ref="AJ65:AK65"/>
    <mergeCell ref="AL65:AM65"/>
    <mergeCell ref="AN65:AO65"/>
    <mergeCell ref="AP65:AQ65"/>
    <mergeCell ref="AL67:AM67"/>
    <mergeCell ref="AN67:AO67"/>
    <mergeCell ref="AP67:AQ67"/>
    <mergeCell ref="AP64:AQ64"/>
    <mergeCell ref="AR64:AS64"/>
    <mergeCell ref="C65:C66"/>
    <mergeCell ref="F65:G65"/>
    <mergeCell ref="H65:I65"/>
    <mergeCell ref="J65:K65"/>
    <mergeCell ref="L65:M65"/>
    <mergeCell ref="N65:O65"/>
    <mergeCell ref="P65:Q65"/>
    <mergeCell ref="R65:S65"/>
    <mergeCell ref="AD64:AE64"/>
    <mergeCell ref="AF64:AG64"/>
    <mergeCell ref="AH64:AI64"/>
    <mergeCell ref="AJ64:AK64"/>
    <mergeCell ref="AL64:AM64"/>
    <mergeCell ref="AN64:AO64"/>
    <mergeCell ref="R64:S64"/>
    <mergeCell ref="T64:U64"/>
    <mergeCell ref="V64:W64"/>
    <mergeCell ref="X64:Y64"/>
    <mergeCell ref="Z64:AA64"/>
    <mergeCell ref="AB64:AC64"/>
    <mergeCell ref="AJ66:AK66"/>
    <mergeCell ref="AL66:AM66"/>
    <mergeCell ref="AN66:AO66"/>
    <mergeCell ref="AP66:AQ66"/>
    <mergeCell ref="H64:I64"/>
    <mergeCell ref="J64:K64"/>
    <mergeCell ref="L64:M64"/>
    <mergeCell ref="N64:O64"/>
    <mergeCell ref="P64:Q64"/>
    <mergeCell ref="AR65:AS65"/>
    <mergeCell ref="Z63:AA63"/>
    <mergeCell ref="AB63:AC63"/>
    <mergeCell ref="AD63:AE63"/>
    <mergeCell ref="AF63:AG63"/>
    <mergeCell ref="AH63:AI63"/>
    <mergeCell ref="AJ63:AK63"/>
    <mergeCell ref="N63:O63"/>
    <mergeCell ref="P63:Q63"/>
    <mergeCell ref="R63:S63"/>
    <mergeCell ref="T63:U63"/>
    <mergeCell ref="V63:W63"/>
    <mergeCell ref="X63:Y63"/>
    <mergeCell ref="C63:C64"/>
    <mergeCell ref="F63:G63"/>
    <mergeCell ref="H63:I63"/>
    <mergeCell ref="J63:K63"/>
    <mergeCell ref="L63:M63"/>
    <mergeCell ref="X62:Y62"/>
    <mergeCell ref="Z62:AA62"/>
    <mergeCell ref="AB62:AC62"/>
    <mergeCell ref="AD62:AE62"/>
    <mergeCell ref="AF62:AG62"/>
    <mergeCell ref="AH62:AI62"/>
    <mergeCell ref="AR61:AS61"/>
    <mergeCell ref="F62:G62"/>
    <mergeCell ref="H62:I62"/>
    <mergeCell ref="J62:K62"/>
    <mergeCell ref="L62:M62"/>
    <mergeCell ref="N62:O62"/>
    <mergeCell ref="P62:Q62"/>
    <mergeCell ref="R62:S62"/>
    <mergeCell ref="T62:U62"/>
    <mergeCell ref="V62:W62"/>
    <mergeCell ref="AF61:AG61"/>
    <mergeCell ref="AH61:AI61"/>
    <mergeCell ref="AJ61:AK61"/>
    <mergeCell ref="AL61:AM61"/>
    <mergeCell ref="AN61:AO61"/>
    <mergeCell ref="AP61:AQ61"/>
    <mergeCell ref="AL63:AM63"/>
    <mergeCell ref="AN63:AO63"/>
    <mergeCell ref="AP63:AQ63"/>
    <mergeCell ref="AR63:AS63"/>
    <mergeCell ref="F64:G64"/>
    <mergeCell ref="AP60:AQ60"/>
    <mergeCell ref="AR60:AS60"/>
    <mergeCell ref="C61:C62"/>
    <mergeCell ref="F61:G61"/>
    <mergeCell ref="H61:I61"/>
    <mergeCell ref="J61:K61"/>
    <mergeCell ref="L61:M61"/>
    <mergeCell ref="N61:O61"/>
    <mergeCell ref="P61:Q61"/>
    <mergeCell ref="R61:S61"/>
    <mergeCell ref="AD60:AE60"/>
    <mergeCell ref="AF60:AG60"/>
    <mergeCell ref="AH60:AI60"/>
    <mergeCell ref="AJ60:AK60"/>
    <mergeCell ref="AL60:AM60"/>
    <mergeCell ref="AN60:AO60"/>
    <mergeCell ref="R60:S60"/>
    <mergeCell ref="T60:U60"/>
    <mergeCell ref="V60:W60"/>
    <mergeCell ref="X60:Y60"/>
    <mergeCell ref="Z60:AA60"/>
    <mergeCell ref="AB60:AC60"/>
    <mergeCell ref="AJ62:AK62"/>
    <mergeCell ref="AL62:AM62"/>
    <mergeCell ref="AN62:AO62"/>
    <mergeCell ref="AP62:AQ62"/>
    <mergeCell ref="AR62:AS62"/>
    <mergeCell ref="Z59:AA59"/>
    <mergeCell ref="AB59:AC59"/>
    <mergeCell ref="AD59:AE59"/>
    <mergeCell ref="AF59:AG59"/>
    <mergeCell ref="AH59:AI59"/>
    <mergeCell ref="AJ59:AK59"/>
    <mergeCell ref="N59:O59"/>
    <mergeCell ref="P59:Q59"/>
    <mergeCell ref="R59:S59"/>
    <mergeCell ref="T59:U59"/>
    <mergeCell ref="V59:W59"/>
    <mergeCell ref="X59:Y59"/>
    <mergeCell ref="T61:U61"/>
    <mergeCell ref="V61:W61"/>
    <mergeCell ref="X61:Y61"/>
    <mergeCell ref="Z61:AA61"/>
    <mergeCell ref="AB61:AC61"/>
    <mergeCell ref="AD61:AE61"/>
    <mergeCell ref="AJ58:AK58"/>
    <mergeCell ref="AL58:AM58"/>
    <mergeCell ref="AN58:AO58"/>
    <mergeCell ref="AP58:AQ58"/>
    <mergeCell ref="AR58:AS58"/>
    <mergeCell ref="C59:C60"/>
    <mergeCell ref="F59:G59"/>
    <mergeCell ref="H59:I59"/>
    <mergeCell ref="J59:K59"/>
    <mergeCell ref="L59:M59"/>
    <mergeCell ref="X58:Y58"/>
    <mergeCell ref="Z58:AA58"/>
    <mergeCell ref="AB58:AC58"/>
    <mergeCell ref="AD58:AE58"/>
    <mergeCell ref="AF58:AG58"/>
    <mergeCell ref="AH58:AI58"/>
    <mergeCell ref="L58:M58"/>
    <mergeCell ref="N58:O58"/>
    <mergeCell ref="P58:Q58"/>
    <mergeCell ref="R58:S58"/>
    <mergeCell ref="T58:U58"/>
    <mergeCell ref="V58:W58"/>
    <mergeCell ref="AL59:AM59"/>
    <mergeCell ref="AN59:AO59"/>
    <mergeCell ref="AP59:AQ59"/>
    <mergeCell ref="AR59:AS59"/>
    <mergeCell ref="F60:G60"/>
    <mergeCell ref="H60:I60"/>
    <mergeCell ref="J60:K60"/>
    <mergeCell ref="L60:M60"/>
    <mergeCell ref="N60:O60"/>
    <mergeCell ref="P60:Q60"/>
    <mergeCell ref="AH57:AI57"/>
    <mergeCell ref="AJ57:AK57"/>
    <mergeCell ref="AL57:AM57"/>
    <mergeCell ref="AN57:AO57"/>
    <mergeCell ref="AP57:AQ57"/>
    <mergeCell ref="AR57:AS57"/>
    <mergeCell ref="V57:W57"/>
    <mergeCell ref="X57:Y57"/>
    <mergeCell ref="Z57:AA57"/>
    <mergeCell ref="AB57:AC57"/>
    <mergeCell ref="AD57:AE57"/>
    <mergeCell ref="AF57:AG57"/>
    <mergeCell ref="AR56:AS56"/>
    <mergeCell ref="C57:C58"/>
    <mergeCell ref="F57:G57"/>
    <mergeCell ref="H57:I57"/>
    <mergeCell ref="J57:K57"/>
    <mergeCell ref="L57:M57"/>
    <mergeCell ref="N57:O57"/>
    <mergeCell ref="P57:Q57"/>
    <mergeCell ref="R57:S57"/>
    <mergeCell ref="T57:U57"/>
    <mergeCell ref="AF56:AG56"/>
    <mergeCell ref="AH56:AI56"/>
    <mergeCell ref="AJ56:AK56"/>
    <mergeCell ref="AL56:AM56"/>
    <mergeCell ref="AN56:AO56"/>
    <mergeCell ref="AP56:AQ56"/>
    <mergeCell ref="T56:U56"/>
    <mergeCell ref="V56:W56"/>
    <mergeCell ref="X56:Y56"/>
    <mergeCell ref="Z56:AA56"/>
    <mergeCell ref="AB56:AC56"/>
    <mergeCell ref="AD56:AE56"/>
    <mergeCell ref="AN55:AO55"/>
    <mergeCell ref="AP55:AQ55"/>
    <mergeCell ref="AR55:AS55"/>
    <mergeCell ref="F56:G56"/>
    <mergeCell ref="H56:I56"/>
    <mergeCell ref="J56:K56"/>
    <mergeCell ref="L56:M56"/>
    <mergeCell ref="N56:O56"/>
    <mergeCell ref="P56:Q56"/>
    <mergeCell ref="R56:S56"/>
    <mergeCell ref="AB55:AC55"/>
    <mergeCell ref="AD55:AE55"/>
    <mergeCell ref="AF55:AG55"/>
    <mergeCell ref="AH55:AI55"/>
    <mergeCell ref="AJ55:AK55"/>
    <mergeCell ref="AL55:AM55"/>
    <mergeCell ref="P55:Q55"/>
    <mergeCell ref="R55:S55"/>
    <mergeCell ref="T55:U55"/>
    <mergeCell ref="V55:W55"/>
    <mergeCell ref="X55:Y55"/>
    <mergeCell ref="Z55:AA55"/>
    <mergeCell ref="AJ54:AK54"/>
    <mergeCell ref="AL54:AM54"/>
    <mergeCell ref="AN54:AO54"/>
    <mergeCell ref="AP54:AQ54"/>
    <mergeCell ref="AR54:AS54"/>
    <mergeCell ref="C55:C56"/>
    <mergeCell ref="F55:G55"/>
    <mergeCell ref="H55:I55"/>
    <mergeCell ref="J55:K55"/>
    <mergeCell ref="L55:M55"/>
    <mergeCell ref="X54:Y54"/>
    <mergeCell ref="Z54:AA54"/>
    <mergeCell ref="AB54:AC54"/>
    <mergeCell ref="AD54:AE54"/>
    <mergeCell ref="AF54:AG54"/>
    <mergeCell ref="AH54:AI54"/>
    <mergeCell ref="AR53:AS53"/>
    <mergeCell ref="F54:G54"/>
    <mergeCell ref="H54:I54"/>
    <mergeCell ref="J54:K54"/>
    <mergeCell ref="L54:M54"/>
    <mergeCell ref="N54:O54"/>
    <mergeCell ref="P54:Q54"/>
    <mergeCell ref="R54:S54"/>
    <mergeCell ref="T54:U54"/>
    <mergeCell ref="V54:W54"/>
    <mergeCell ref="AF53:AG53"/>
    <mergeCell ref="AH53:AI53"/>
    <mergeCell ref="AJ53:AK53"/>
    <mergeCell ref="AL53:AM53"/>
    <mergeCell ref="AN53:AO53"/>
    <mergeCell ref="AP53:AQ53"/>
    <mergeCell ref="H53:I53"/>
    <mergeCell ref="J53:K53"/>
    <mergeCell ref="L53:M53"/>
    <mergeCell ref="N53:O53"/>
    <mergeCell ref="P53:Q53"/>
    <mergeCell ref="R53:S53"/>
    <mergeCell ref="AB52:AC52"/>
    <mergeCell ref="AD52:AE52"/>
    <mergeCell ref="AF52:AG52"/>
    <mergeCell ref="AH52:AI52"/>
    <mergeCell ref="AJ52:AK52"/>
    <mergeCell ref="AL52:AM52"/>
    <mergeCell ref="P52:Q52"/>
    <mergeCell ref="R52:S52"/>
    <mergeCell ref="T52:U52"/>
    <mergeCell ref="V52:W52"/>
    <mergeCell ref="X52:Y52"/>
    <mergeCell ref="Z52:AA52"/>
    <mergeCell ref="B52:B84"/>
    <mergeCell ref="F52:G52"/>
    <mergeCell ref="H52:I52"/>
    <mergeCell ref="J52:K52"/>
    <mergeCell ref="L52:M52"/>
    <mergeCell ref="N52:O52"/>
    <mergeCell ref="N55:O55"/>
    <mergeCell ref="F58:G58"/>
    <mergeCell ref="H58:I58"/>
    <mergeCell ref="J58:K58"/>
    <mergeCell ref="AH51:AI51"/>
    <mergeCell ref="AJ51:AK51"/>
    <mergeCell ref="AL51:AM51"/>
    <mergeCell ref="AN51:AO51"/>
    <mergeCell ref="AP51:AQ51"/>
    <mergeCell ref="AR51:AS51"/>
    <mergeCell ref="V51:W51"/>
    <mergeCell ref="X51:Y51"/>
    <mergeCell ref="Z51:AA51"/>
    <mergeCell ref="AB51:AC51"/>
    <mergeCell ref="AD51:AE51"/>
    <mergeCell ref="AF51:AG51"/>
    <mergeCell ref="T53:U53"/>
    <mergeCell ref="V53:W53"/>
    <mergeCell ref="X53:Y53"/>
    <mergeCell ref="Z53:AA53"/>
    <mergeCell ref="AB53:AC53"/>
    <mergeCell ref="AD53:AE53"/>
    <mergeCell ref="AN52:AO52"/>
    <mergeCell ref="AP52:AQ52"/>
    <mergeCell ref="AR52:AS52"/>
    <mergeCell ref="F53:G53"/>
    <mergeCell ref="F51:G51"/>
    <mergeCell ref="H51:I51"/>
    <mergeCell ref="J51:K51"/>
    <mergeCell ref="L51:M51"/>
    <mergeCell ref="N51:O51"/>
    <mergeCell ref="P51:Q51"/>
    <mergeCell ref="R51:S51"/>
    <mergeCell ref="T51:U51"/>
    <mergeCell ref="AD50:AE50"/>
    <mergeCell ref="AF50:AG50"/>
    <mergeCell ref="AH50:AI50"/>
    <mergeCell ref="AJ50:AK50"/>
    <mergeCell ref="AL50:AM50"/>
    <mergeCell ref="AN50:AO50"/>
    <mergeCell ref="R50:S50"/>
    <mergeCell ref="T50:U50"/>
    <mergeCell ref="V50:W50"/>
    <mergeCell ref="X50:Y50"/>
    <mergeCell ref="Z50:AA50"/>
    <mergeCell ref="AB50:AC50"/>
    <mergeCell ref="AT49:AT50"/>
    <mergeCell ref="F50:G50"/>
    <mergeCell ref="H50:I50"/>
    <mergeCell ref="J50:K50"/>
    <mergeCell ref="L50:M50"/>
    <mergeCell ref="N50:O50"/>
    <mergeCell ref="P50:Q50"/>
    <mergeCell ref="AB49:AC49"/>
    <mergeCell ref="AD49:AE49"/>
    <mergeCell ref="AF49:AG49"/>
    <mergeCell ref="AH49:AI49"/>
    <mergeCell ref="AJ49:AK49"/>
    <mergeCell ref="AL49:AM49"/>
    <mergeCell ref="P49:Q49"/>
    <mergeCell ref="R49:S49"/>
    <mergeCell ref="T49:U49"/>
    <mergeCell ref="V49:W49"/>
    <mergeCell ref="X49:Y49"/>
    <mergeCell ref="Z49:AA49"/>
    <mergeCell ref="AP50:AQ50"/>
    <mergeCell ref="AR50:AS50"/>
    <mergeCell ref="C49:C50"/>
    <mergeCell ref="F49:G49"/>
    <mergeCell ref="H49:I49"/>
    <mergeCell ref="J49:K49"/>
    <mergeCell ref="L49:M49"/>
    <mergeCell ref="N49:O49"/>
    <mergeCell ref="AH48:AI48"/>
    <mergeCell ref="AJ48:AK48"/>
    <mergeCell ref="AL48:AM48"/>
    <mergeCell ref="AN48:AO48"/>
    <mergeCell ref="AP48:AQ48"/>
    <mergeCell ref="AR48:AS48"/>
    <mergeCell ref="V48:W48"/>
    <mergeCell ref="X48:Y48"/>
    <mergeCell ref="Z48:AA48"/>
    <mergeCell ref="AB48:AC48"/>
    <mergeCell ref="AD48:AE48"/>
    <mergeCell ref="AF48:AG48"/>
    <mergeCell ref="AN49:AO49"/>
    <mergeCell ref="AP49:AQ49"/>
    <mergeCell ref="AR49:AS49"/>
    <mergeCell ref="AP47:AQ47"/>
    <mergeCell ref="AR47:AS47"/>
    <mergeCell ref="F48:G48"/>
    <mergeCell ref="H48:I48"/>
    <mergeCell ref="J48:K48"/>
    <mergeCell ref="L48:M48"/>
    <mergeCell ref="N48:O48"/>
    <mergeCell ref="P48:Q48"/>
    <mergeCell ref="R48:S48"/>
    <mergeCell ref="T48:U48"/>
    <mergeCell ref="AD47:AE47"/>
    <mergeCell ref="AF47:AG47"/>
    <mergeCell ref="AH47:AI47"/>
    <mergeCell ref="AJ47:AK47"/>
    <mergeCell ref="AL47:AM47"/>
    <mergeCell ref="AN47:AO47"/>
    <mergeCell ref="R47:S47"/>
    <mergeCell ref="T47:U47"/>
    <mergeCell ref="V47:W47"/>
    <mergeCell ref="X47:Y47"/>
    <mergeCell ref="Z47:AA47"/>
    <mergeCell ref="AB47:AC47"/>
    <mergeCell ref="F47:G47"/>
    <mergeCell ref="H47:I47"/>
    <mergeCell ref="J47:K47"/>
    <mergeCell ref="L47:M47"/>
    <mergeCell ref="N47:O47"/>
    <mergeCell ref="P47:Q47"/>
    <mergeCell ref="AP45:AQ45"/>
    <mergeCell ref="AR45:AS45"/>
    <mergeCell ref="F46:G46"/>
    <mergeCell ref="H46:I46"/>
    <mergeCell ref="J46:K46"/>
    <mergeCell ref="L46:M46"/>
    <mergeCell ref="N46:O46"/>
    <mergeCell ref="P46:Q46"/>
    <mergeCell ref="R46:S46"/>
    <mergeCell ref="T46:U46"/>
    <mergeCell ref="AD45:AE45"/>
    <mergeCell ref="AF45:AG45"/>
    <mergeCell ref="AH45:AI45"/>
    <mergeCell ref="AJ45:AK45"/>
    <mergeCell ref="AL45:AM45"/>
    <mergeCell ref="AN45:AO45"/>
    <mergeCell ref="R45:S45"/>
    <mergeCell ref="T45:U45"/>
    <mergeCell ref="V45:W45"/>
    <mergeCell ref="X45:Y45"/>
    <mergeCell ref="Z45:AA45"/>
    <mergeCell ref="AB45:AC45"/>
    <mergeCell ref="AR44:AS44"/>
    <mergeCell ref="C45:C48"/>
    <mergeCell ref="F45:G45"/>
    <mergeCell ref="H45:I45"/>
    <mergeCell ref="J45:K45"/>
    <mergeCell ref="L45:M45"/>
    <mergeCell ref="N45:O45"/>
    <mergeCell ref="P45:Q45"/>
    <mergeCell ref="AB44:AC44"/>
    <mergeCell ref="AD44:AE44"/>
    <mergeCell ref="AF44:AG44"/>
    <mergeCell ref="AH44:AI44"/>
    <mergeCell ref="AJ44:AK44"/>
    <mergeCell ref="AL44:AM44"/>
    <mergeCell ref="P44:Q44"/>
    <mergeCell ref="R44:S44"/>
    <mergeCell ref="T44:U44"/>
    <mergeCell ref="V44:W44"/>
    <mergeCell ref="X44:Y44"/>
    <mergeCell ref="Z44:AA44"/>
    <mergeCell ref="AH46:AI46"/>
    <mergeCell ref="AJ46:AK46"/>
    <mergeCell ref="AL46:AM46"/>
    <mergeCell ref="AN46:AO46"/>
    <mergeCell ref="AP46:AQ46"/>
    <mergeCell ref="AR46:AS46"/>
    <mergeCell ref="V46:W46"/>
    <mergeCell ref="X46:Y46"/>
    <mergeCell ref="Z46:AA46"/>
    <mergeCell ref="AB46:AC46"/>
    <mergeCell ref="AD46:AE46"/>
    <mergeCell ref="AF46:AG46"/>
    <mergeCell ref="AR42:AS42"/>
    <mergeCell ref="C43:C44"/>
    <mergeCell ref="AT43:AT44"/>
    <mergeCell ref="F44:G44"/>
    <mergeCell ref="H44:I44"/>
    <mergeCell ref="J44:K44"/>
    <mergeCell ref="L44:M44"/>
    <mergeCell ref="N44:O44"/>
    <mergeCell ref="AB42:AC42"/>
    <mergeCell ref="AD42:AE42"/>
    <mergeCell ref="AF42:AG42"/>
    <mergeCell ref="AH42:AI42"/>
    <mergeCell ref="AJ42:AK42"/>
    <mergeCell ref="AL42:AM42"/>
    <mergeCell ref="P42:Q42"/>
    <mergeCell ref="R42:S42"/>
    <mergeCell ref="T42:U42"/>
    <mergeCell ref="V42:W42"/>
    <mergeCell ref="X42:Y42"/>
    <mergeCell ref="Z42:AA42"/>
    <mergeCell ref="C39:C42"/>
    <mergeCell ref="N39:O39"/>
    <mergeCell ref="AJ41:AK41"/>
    <mergeCell ref="AL41:AM41"/>
    <mergeCell ref="AN41:AO41"/>
    <mergeCell ref="AP41:AQ41"/>
    <mergeCell ref="AR41:AS41"/>
    <mergeCell ref="F42:G42"/>
    <mergeCell ref="H42:I42"/>
    <mergeCell ref="J42:K42"/>
    <mergeCell ref="AN44:AO44"/>
    <mergeCell ref="AP44:AQ44"/>
    <mergeCell ref="L42:M42"/>
    <mergeCell ref="N42:O42"/>
    <mergeCell ref="X41:Y41"/>
    <mergeCell ref="Z41:AA41"/>
    <mergeCell ref="AB41:AC41"/>
    <mergeCell ref="AD41:AE41"/>
    <mergeCell ref="AF41:AG41"/>
    <mergeCell ref="AH41:AI41"/>
    <mergeCell ref="AR40:AS40"/>
    <mergeCell ref="F41:G41"/>
    <mergeCell ref="H41:I41"/>
    <mergeCell ref="J41:K41"/>
    <mergeCell ref="L41:M41"/>
    <mergeCell ref="N41:O41"/>
    <mergeCell ref="P41:Q41"/>
    <mergeCell ref="R41:S41"/>
    <mergeCell ref="T41:U41"/>
    <mergeCell ref="V41:W41"/>
    <mergeCell ref="AF40:AG40"/>
    <mergeCell ref="AH40:AI40"/>
    <mergeCell ref="AJ40:AK40"/>
    <mergeCell ref="AL40:AM40"/>
    <mergeCell ref="AN40:AO40"/>
    <mergeCell ref="AP40:AQ40"/>
    <mergeCell ref="T40:U40"/>
    <mergeCell ref="V40:W40"/>
    <mergeCell ref="X40:Y40"/>
    <mergeCell ref="Z40:AA40"/>
    <mergeCell ref="AB40:AC40"/>
    <mergeCell ref="AD40:AE40"/>
    <mergeCell ref="AN42:AO42"/>
    <mergeCell ref="AP42:AQ42"/>
    <mergeCell ref="AN39:AO39"/>
    <mergeCell ref="AP39:AQ39"/>
    <mergeCell ref="AR39:AS39"/>
    <mergeCell ref="F40:G40"/>
    <mergeCell ref="H40:I40"/>
    <mergeCell ref="J40:K40"/>
    <mergeCell ref="L40:M40"/>
    <mergeCell ref="N40:O40"/>
    <mergeCell ref="P40:Q40"/>
    <mergeCell ref="R40:S40"/>
    <mergeCell ref="AB39:AC39"/>
    <mergeCell ref="AD39:AE39"/>
    <mergeCell ref="AF39:AG39"/>
    <mergeCell ref="AH39:AI39"/>
    <mergeCell ref="AJ39:AK39"/>
    <mergeCell ref="AL39:AM39"/>
    <mergeCell ref="P39:Q39"/>
    <mergeCell ref="R39:S39"/>
    <mergeCell ref="T39:U39"/>
    <mergeCell ref="V39:W39"/>
    <mergeCell ref="X39:Y39"/>
    <mergeCell ref="Z39:AA39"/>
    <mergeCell ref="F39:G39"/>
    <mergeCell ref="H39:I39"/>
    <mergeCell ref="J39:K39"/>
    <mergeCell ref="L39:M39"/>
    <mergeCell ref="V38:W38"/>
    <mergeCell ref="X38:Y38"/>
    <mergeCell ref="Z38:AA38"/>
    <mergeCell ref="AB38:AC38"/>
    <mergeCell ref="AD38:AE38"/>
    <mergeCell ref="AF38:AG38"/>
    <mergeCell ref="AP37:AQ37"/>
    <mergeCell ref="AR37:AS37"/>
    <mergeCell ref="F38:G38"/>
    <mergeCell ref="H38:I38"/>
    <mergeCell ref="J38:K38"/>
    <mergeCell ref="L38:M38"/>
    <mergeCell ref="N38:O38"/>
    <mergeCell ref="P38:Q38"/>
    <mergeCell ref="R38:S38"/>
    <mergeCell ref="T38:U38"/>
    <mergeCell ref="AD37:AE37"/>
    <mergeCell ref="AF37:AG37"/>
    <mergeCell ref="AH37:AI37"/>
    <mergeCell ref="AJ37:AK37"/>
    <mergeCell ref="AL37:AM37"/>
    <mergeCell ref="AN37:AO37"/>
    <mergeCell ref="R37:S37"/>
    <mergeCell ref="T37:U37"/>
    <mergeCell ref="V37:W37"/>
    <mergeCell ref="X37:Y37"/>
    <mergeCell ref="Z37:AA37"/>
    <mergeCell ref="AB37:AC37"/>
    <mergeCell ref="AN36:AO36"/>
    <mergeCell ref="AP36:AQ36"/>
    <mergeCell ref="AR36:AS36"/>
    <mergeCell ref="C37:C38"/>
    <mergeCell ref="F37:G37"/>
    <mergeCell ref="H37:I37"/>
    <mergeCell ref="J37:K37"/>
    <mergeCell ref="L37:M37"/>
    <mergeCell ref="N37:O37"/>
    <mergeCell ref="P37:Q37"/>
    <mergeCell ref="AB36:AC36"/>
    <mergeCell ref="AD36:AE36"/>
    <mergeCell ref="AF36:AG36"/>
    <mergeCell ref="AH36:AI36"/>
    <mergeCell ref="AJ36:AK36"/>
    <mergeCell ref="AL36:AM36"/>
    <mergeCell ref="P36:Q36"/>
    <mergeCell ref="R36:S36"/>
    <mergeCell ref="T36:U36"/>
    <mergeCell ref="V36:W36"/>
    <mergeCell ref="X36:Y36"/>
    <mergeCell ref="Z36:AA36"/>
    <mergeCell ref="C33:C36"/>
    <mergeCell ref="N33:O33"/>
    <mergeCell ref="AH38:AI38"/>
    <mergeCell ref="AJ38:AK38"/>
    <mergeCell ref="AL38:AM38"/>
    <mergeCell ref="AN38:AO38"/>
    <mergeCell ref="AP38:AQ38"/>
    <mergeCell ref="AR38:AS38"/>
    <mergeCell ref="AJ35:AK35"/>
    <mergeCell ref="AL35:AM35"/>
    <mergeCell ref="AN35:AO35"/>
    <mergeCell ref="AP35:AQ35"/>
    <mergeCell ref="AR35:AS35"/>
    <mergeCell ref="F36:G36"/>
    <mergeCell ref="H36:I36"/>
    <mergeCell ref="J36:K36"/>
    <mergeCell ref="L36:M36"/>
    <mergeCell ref="N36:O36"/>
    <mergeCell ref="X35:Y35"/>
    <mergeCell ref="Z35:AA35"/>
    <mergeCell ref="AB35:AC35"/>
    <mergeCell ref="AD35:AE35"/>
    <mergeCell ref="AF35:AG35"/>
    <mergeCell ref="AH35:AI35"/>
    <mergeCell ref="AR34:AS34"/>
    <mergeCell ref="F35:G35"/>
    <mergeCell ref="H35:I35"/>
    <mergeCell ref="J35:K35"/>
    <mergeCell ref="L35:M35"/>
    <mergeCell ref="N35:O35"/>
    <mergeCell ref="P35:Q35"/>
    <mergeCell ref="R35:S35"/>
    <mergeCell ref="T35:U35"/>
    <mergeCell ref="V35:W35"/>
    <mergeCell ref="AF34:AG34"/>
    <mergeCell ref="AH34:AI34"/>
    <mergeCell ref="AJ34:AK34"/>
    <mergeCell ref="AL34:AM34"/>
    <mergeCell ref="AN34:AO34"/>
    <mergeCell ref="AP34:AQ34"/>
    <mergeCell ref="T34:U34"/>
    <mergeCell ref="V34:W34"/>
    <mergeCell ref="X34:Y34"/>
    <mergeCell ref="Z34:AA34"/>
    <mergeCell ref="AB34:AC34"/>
    <mergeCell ref="AD34:AE34"/>
    <mergeCell ref="AN33:AO33"/>
    <mergeCell ref="AP33:AQ33"/>
    <mergeCell ref="AR33:AS33"/>
    <mergeCell ref="F34:G34"/>
    <mergeCell ref="H34:I34"/>
    <mergeCell ref="J34:K34"/>
    <mergeCell ref="L34:M34"/>
    <mergeCell ref="N34:O34"/>
    <mergeCell ref="P34:Q34"/>
    <mergeCell ref="R34:S34"/>
    <mergeCell ref="AB33:AC33"/>
    <mergeCell ref="AD33:AE33"/>
    <mergeCell ref="AF33:AG33"/>
    <mergeCell ref="AH33:AI33"/>
    <mergeCell ref="AJ33:AK33"/>
    <mergeCell ref="AL33:AM33"/>
    <mergeCell ref="P33:Q33"/>
    <mergeCell ref="R33:S33"/>
    <mergeCell ref="T33:U33"/>
    <mergeCell ref="V33:W33"/>
    <mergeCell ref="X33:Y33"/>
    <mergeCell ref="Z33:AA33"/>
    <mergeCell ref="F33:G33"/>
    <mergeCell ref="H33:I33"/>
    <mergeCell ref="J33:K33"/>
    <mergeCell ref="L33:M33"/>
    <mergeCell ref="AL32:AM32"/>
    <mergeCell ref="AN32:AO32"/>
    <mergeCell ref="AP32:AQ32"/>
    <mergeCell ref="AR32:AS32"/>
    <mergeCell ref="V32:W32"/>
    <mergeCell ref="X32:Y32"/>
    <mergeCell ref="Z32:AA32"/>
    <mergeCell ref="AB32:AC32"/>
    <mergeCell ref="AD32:AE32"/>
    <mergeCell ref="AF32:AG32"/>
    <mergeCell ref="AR31:AS31"/>
    <mergeCell ref="AT31:AT32"/>
    <mergeCell ref="F32:G32"/>
    <mergeCell ref="H32:I32"/>
    <mergeCell ref="J32:K32"/>
    <mergeCell ref="L32:M32"/>
    <mergeCell ref="N32:O32"/>
    <mergeCell ref="P32:Q32"/>
    <mergeCell ref="R32:S32"/>
    <mergeCell ref="T32:U32"/>
    <mergeCell ref="AF31:AG31"/>
    <mergeCell ref="AH31:AI31"/>
    <mergeCell ref="AJ31:AK31"/>
    <mergeCell ref="AL31:AM31"/>
    <mergeCell ref="AN31:AO31"/>
    <mergeCell ref="AP31:AQ31"/>
    <mergeCell ref="T31:U31"/>
    <mergeCell ref="V31:W31"/>
    <mergeCell ref="X31:Y31"/>
    <mergeCell ref="Z31:AA31"/>
    <mergeCell ref="AB31:AC31"/>
    <mergeCell ref="AD31:AE31"/>
    <mergeCell ref="AP30:AQ30"/>
    <mergeCell ref="AR30:AS30"/>
    <mergeCell ref="C31:C32"/>
    <mergeCell ref="F31:G31"/>
    <mergeCell ref="H31:I31"/>
    <mergeCell ref="J31:K31"/>
    <mergeCell ref="L31:M31"/>
    <mergeCell ref="N31:O31"/>
    <mergeCell ref="P31:Q31"/>
    <mergeCell ref="R31:S31"/>
    <mergeCell ref="AD30:AE30"/>
    <mergeCell ref="AF30:AG30"/>
    <mergeCell ref="AH30:AI30"/>
    <mergeCell ref="AJ30:AK30"/>
    <mergeCell ref="AL30:AM30"/>
    <mergeCell ref="AN30:AO30"/>
    <mergeCell ref="R30:S30"/>
    <mergeCell ref="T30:U30"/>
    <mergeCell ref="V30:W30"/>
    <mergeCell ref="X30:Y30"/>
    <mergeCell ref="Z30:AA30"/>
    <mergeCell ref="AB30:AC30"/>
    <mergeCell ref="F30:G30"/>
    <mergeCell ref="H30:I30"/>
    <mergeCell ref="J30:K30"/>
    <mergeCell ref="L30:M30"/>
    <mergeCell ref="N30:O30"/>
    <mergeCell ref="P30:Q30"/>
    <mergeCell ref="AH32:AI32"/>
    <mergeCell ref="AJ32:AK32"/>
    <mergeCell ref="C27:C30"/>
    <mergeCell ref="F27:G27"/>
    <mergeCell ref="F29:G29"/>
    <mergeCell ref="H29:I29"/>
    <mergeCell ref="J29:K29"/>
    <mergeCell ref="L29:M29"/>
    <mergeCell ref="N29:O29"/>
    <mergeCell ref="P29:Q29"/>
    <mergeCell ref="R29:S29"/>
    <mergeCell ref="T29:U29"/>
    <mergeCell ref="AD28:AE28"/>
    <mergeCell ref="AF28:AG28"/>
    <mergeCell ref="AH28:AI28"/>
    <mergeCell ref="AJ28:AK28"/>
    <mergeCell ref="AL28:AM28"/>
    <mergeCell ref="AN28:AO28"/>
    <mergeCell ref="R28:S28"/>
    <mergeCell ref="T28:U28"/>
    <mergeCell ref="V28:W28"/>
    <mergeCell ref="X28:Y28"/>
    <mergeCell ref="AR27:AS27"/>
    <mergeCell ref="V27:W27"/>
    <mergeCell ref="X27:Y27"/>
    <mergeCell ref="Z27:AA27"/>
    <mergeCell ref="AB27:AC27"/>
    <mergeCell ref="AD27:AE27"/>
    <mergeCell ref="AF27:AG27"/>
    <mergeCell ref="AH29:AI29"/>
    <mergeCell ref="AJ29:AK29"/>
    <mergeCell ref="AL29:AM29"/>
    <mergeCell ref="AN29:AO29"/>
    <mergeCell ref="AP29:AQ29"/>
    <mergeCell ref="AR29:AS29"/>
    <mergeCell ref="V29:W29"/>
    <mergeCell ref="X29:Y29"/>
    <mergeCell ref="Z29:AA29"/>
    <mergeCell ref="AB29:AC29"/>
    <mergeCell ref="AD29:AE29"/>
    <mergeCell ref="AF29:AG29"/>
    <mergeCell ref="AP28:AQ28"/>
    <mergeCell ref="AR28:AS28"/>
    <mergeCell ref="H27:I27"/>
    <mergeCell ref="J27:K27"/>
    <mergeCell ref="L27:M27"/>
    <mergeCell ref="N27:O27"/>
    <mergeCell ref="P27:Q27"/>
    <mergeCell ref="R27:S27"/>
    <mergeCell ref="T27:U27"/>
    <mergeCell ref="AF26:AG26"/>
    <mergeCell ref="AH26:AI26"/>
    <mergeCell ref="AJ26:AK26"/>
    <mergeCell ref="AL26:AM26"/>
    <mergeCell ref="AN26:AO26"/>
    <mergeCell ref="AP26:AQ26"/>
    <mergeCell ref="T26:U26"/>
    <mergeCell ref="V26:W26"/>
    <mergeCell ref="X26:Y26"/>
    <mergeCell ref="Z26:AA26"/>
    <mergeCell ref="AB26:AC26"/>
    <mergeCell ref="AD26:AE26"/>
    <mergeCell ref="AL27:AM27"/>
    <mergeCell ref="AN27:AO27"/>
    <mergeCell ref="AP27:AQ27"/>
    <mergeCell ref="C25:C26"/>
    <mergeCell ref="Z28:AA28"/>
    <mergeCell ref="AB28:AC28"/>
    <mergeCell ref="F28:G28"/>
    <mergeCell ref="H28:I28"/>
    <mergeCell ref="J28:K28"/>
    <mergeCell ref="L28:M28"/>
    <mergeCell ref="N28:O28"/>
    <mergeCell ref="P28:Q28"/>
    <mergeCell ref="AH27:AI27"/>
    <mergeCell ref="AJ27:AK27"/>
    <mergeCell ref="AN25:AO25"/>
    <mergeCell ref="AP25:AQ25"/>
    <mergeCell ref="AR25:AS25"/>
    <mergeCell ref="F26:G26"/>
    <mergeCell ref="H26:I26"/>
    <mergeCell ref="J26:K26"/>
    <mergeCell ref="L26:M26"/>
    <mergeCell ref="N26:O26"/>
    <mergeCell ref="P26:Q26"/>
    <mergeCell ref="R26:S26"/>
    <mergeCell ref="AB25:AC25"/>
    <mergeCell ref="AD25:AE25"/>
    <mergeCell ref="AF25:AG25"/>
    <mergeCell ref="AH25:AI25"/>
    <mergeCell ref="AJ25:AK25"/>
    <mergeCell ref="AL25:AM25"/>
    <mergeCell ref="P25:Q25"/>
    <mergeCell ref="R25:S25"/>
    <mergeCell ref="T25:U25"/>
    <mergeCell ref="V25:W25"/>
    <mergeCell ref="X25:Y25"/>
    <mergeCell ref="Z25:AA25"/>
    <mergeCell ref="F25:G25"/>
    <mergeCell ref="H25:I25"/>
    <mergeCell ref="J25:K25"/>
    <mergeCell ref="L25:M25"/>
    <mergeCell ref="N25:O25"/>
    <mergeCell ref="AR26:AS26"/>
    <mergeCell ref="AN24:AO24"/>
    <mergeCell ref="AP24:AQ24"/>
    <mergeCell ref="AR24:AS24"/>
    <mergeCell ref="V24:W24"/>
    <mergeCell ref="X24:Y24"/>
    <mergeCell ref="Z24:AA24"/>
    <mergeCell ref="AB24:AC24"/>
    <mergeCell ref="AD24:AE24"/>
    <mergeCell ref="AF24:AG24"/>
    <mergeCell ref="AP23:AQ23"/>
    <mergeCell ref="AR23:AS23"/>
    <mergeCell ref="F24:G24"/>
    <mergeCell ref="H24:I24"/>
    <mergeCell ref="J24:K24"/>
    <mergeCell ref="L24:M24"/>
    <mergeCell ref="N24:O24"/>
    <mergeCell ref="P24:Q24"/>
    <mergeCell ref="R24:S24"/>
    <mergeCell ref="T24:U24"/>
    <mergeCell ref="AD23:AE23"/>
    <mergeCell ref="AF23:AG23"/>
    <mergeCell ref="AH23:AI23"/>
    <mergeCell ref="AJ23:AK23"/>
    <mergeCell ref="AL23:AM23"/>
    <mergeCell ref="AN23:AO23"/>
    <mergeCell ref="T23:U23"/>
    <mergeCell ref="V23:W23"/>
    <mergeCell ref="X23:Y23"/>
    <mergeCell ref="AP21:AQ21"/>
    <mergeCell ref="AR21:AS21"/>
    <mergeCell ref="F22:G22"/>
    <mergeCell ref="H22:I22"/>
    <mergeCell ref="J22:K22"/>
    <mergeCell ref="L22:M22"/>
    <mergeCell ref="N22:O22"/>
    <mergeCell ref="P22:Q22"/>
    <mergeCell ref="R22:S22"/>
    <mergeCell ref="T22:U22"/>
    <mergeCell ref="AD21:AE21"/>
    <mergeCell ref="AF21:AG21"/>
    <mergeCell ref="AH21:AI21"/>
    <mergeCell ref="AJ21:AK21"/>
    <mergeCell ref="AL21:AM21"/>
    <mergeCell ref="AN21:AO21"/>
    <mergeCell ref="R21:S21"/>
    <mergeCell ref="T21:U21"/>
    <mergeCell ref="V21:W21"/>
    <mergeCell ref="X21:Y21"/>
    <mergeCell ref="Z21:AA21"/>
    <mergeCell ref="AB21:AC21"/>
    <mergeCell ref="AH22:AI22"/>
    <mergeCell ref="AJ22:AK22"/>
    <mergeCell ref="AL22:AM22"/>
    <mergeCell ref="AN22:AO22"/>
    <mergeCell ref="AP22:AQ22"/>
    <mergeCell ref="AR22:AS22"/>
    <mergeCell ref="X22:Y22"/>
    <mergeCell ref="Z22:AA22"/>
    <mergeCell ref="AB22:AC22"/>
    <mergeCell ref="C21:C24"/>
    <mergeCell ref="F21:G21"/>
    <mergeCell ref="H21:I21"/>
    <mergeCell ref="J21:K21"/>
    <mergeCell ref="L21:M21"/>
    <mergeCell ref="N21:O21"/>
    <mergeCell ref="P21:Q21"/>
    <mergeCell ref="AB20:AC20"/>
    <mergeCell ref="AD20:AE20"/>
    <mergeCell ref="AF20:AG20"/>
    <mergeCell ref="AH20:AI20"/>
    <mergeCell ref="AJ20:AK20"/>
    <mergeCell ref="AL20:AM20"/>
    <mergeCell ref="P20:Q20"/>
    <mergeCell ref="R20:S20"/>
    <mergeCell ref="T20:U20"/>
    <mergeCell ref="V20:W20"/>
    <mergeCell ref="X20:Y20"/>
    <mergeCell ref="Z20:AA20"/>
    <mergeCell ref="Z23:AA23"/>
    <mergeCell ref="AB23:AC23"/>
    <mergeCell ref="F23:G23"/>
    <mergeCell ref="H23:I23"/>
    <mergeCell ref="J23:K23"/>
    <mergeCell ref="L23:M23"/>
    <mergeCell ref="N23:O23"/>
    <mergeCell ref="P23:Q23"/>
    <mergeCell ref="AD22:AE22"/>
    <mergeCell ref="R23:S23"/>
    <mergeCell ref="AH24:AI24"/>
    <mergeCell ref="AJ24:AK24"/>
    <mergeCell ref="AL24:AM24"/>
    <mergeCell ref="AN18:AO18"/>
    <mergeCell ref="AP18:AQ18"/>
    <mergeCell ref="AR18:AS18"/>
    <mergeCell ref="C19:C20"/>
    <mergeCell ref="AT19:AT20"/>
    <mergeCell ref="F20:G20"/>
    <mergeCell ref="H20:I20"/>
    <mergeCell ref="J20:K20"/>
    <mergeCell ref="L20:M20"/>
    <mergeCell ref="N20:O20"/>
    <mergeCell ref="AB18:AC18"/>
    <mergeCell ref="AD18:AE18"/>
    <mergeCell ref="AF18:AG18"/>
    <mergeCell ref="AH18:AI18"/>
    <mergeCell ref="AJ18:AK18"/>
    <mergeCell ref="AL18:AM18"/>
    <mergeCell ref="P18:Q18"/>
    <mergeCell ref="R18:S18"/>
    <mergeCell ref="T18:U18"/>
    <mergeCell ref="V18:W18"/>
    <mergeCell ref="X18:Y18"/>
    <mergeCell ref="Z18:AA18"/>
    <mergeCell ref="C15:C18"/>
    <mergeCell ref="N15:O15"/>
    <mergeCell ref="AN20:AO20"/>
    <mergeCell ref="AP20:AQ20"/>
    <mergeCell ref="AR20:AS20"/>
    <mergeCell ref="AJ17:AK17"/>
    <mergeCell ref="V22:W22"/>
    <mergeCell ref="AP17:AQ17"/>
    <mergeCell ref="AR17:AS17"/>
    <mergeCell ref="F18:G18"/>
    <mergeCell ref="H18:I18"/>
    <mergeCell ref="J18:K18"/>
    <mergeCell ref="L18:M18"/>
    <mergeCell ref="N18:O18"/>
    <mergeCell ref="X17:Y17"/>
    <mergeCell ref="Z17:AA17"/>
    <mergeCell ref="AB17:AC17"/>
    <mergeCell ref="AD17:AE17"/>
    <mergeCell ref="AF17:AG17"/>
    <mergeCell ref="AH17:AI17"/>
    <mergeCell ref="AR16:AS16"/>
    <mergeCell ref="F17:G17"/>
    <mergeCell ref="H17:I17"/>
    <mergeCell ref="J17:K17"/>
    <mergeCell ref="L17:M17"/>
    <mergeCell ref="N17:O17"/>
    <mergeCell ref="P17:Q17"/>
    <mergeCell ref="R17:S17"/>
    <mergeCell ref="T17:U17"/>
    <mergeCell ref="V17:W17"/>
    <mergeCell ref="AF16:AG16"/>
    <mergeCell ref="AH16:AI16"/>
    <mergeCell ref="AJ16:AK16"/>
    <mergeCell ref="AL16:AM16"/>
    <mergeCell ref="AN16:AO16"/>
    <mergeCell ref="AP16:AQ16"/>
    <mergeCell ref="T16:U16"/>
    <mergeCell ref="AP15:AQ15"/>
    <mergeCell ref="AR15:AS15"/>
    <mergeCell ref="F16:G16"/>
    <mergeCell ref="H16:I16"/>
    <mergeCell ref="J16:K16"/>
    <mergeCell ref="L16:M16"/>
    <mergeCell ref="N16:O16"/>
    <mergeCell ref="P16:Q16"/>
    <mergeCell ref="R16:S16"/>
    <mergeCell ref="AB15:AC15"/>
    <mergeCell ref="AD15:AE15"/>
    <mergeCell ref="AF15:AG15"/>
    <mergeCell ref="AH15:AI15"/>
    <mergeCell ref="AJ15:AK15"/>
    <mergeCell ref="AL15:AM15"/>
    <mergeCell ref="P15:Q15"/>
    <mergeCell ref="R15:S15"/>
    <mergeCell ref="T15:U15"/>
    <mergeCell ref="V15:W15"/>
    <mergeCell ref="X15:Y15"/>
    <mergeCell ref="Z15:AA15"/>
    <mergeCell ref="F15:G15"/>
    <mergeCell ref="H15:I15"/>
    <mergeCell ref="J15:K15"/>
    <mergeCell ref="L15:M15"/>
    <mergeCell ref="AR13:AS13"/>
    <mergeCell ref="AT13:AT14"/>
    <mergeCell ref="F14:G14"/>
    <mergeCell ref="H14:I14"/>
    <mergeCell ref="J14:K14"/>
    <mergeCell ref="L14:M14"/>
    <mergeCell ref="N14:O14"/>
    <mergeCell ref="P14:Q14"/>
    <mergeCell ref="R14:S14"/>
    <mergeCell ref="T14:U14"/>
    <mergeCell ref="AF13:AG13"/>
    <mergeCell ref="AH13:AI13"/>
    <mergeCell ref="AJ13:AK13"/>
    <mergeCell ref="AL13:AM13"/>
    <mergeCell ref="AN13:AO13"/>
    <mergeCell ref="AP13:AQ13"/>
    <mergeCell ref="T13:U13"/>
    <mergeCell ref="V13:W13"/>
    <mergeCell ref="X13:Y13"/>
    <mergeCell ref="Z13:AA13"/>
    <mergeCell ref="P13:Q13"/>
    <mergeCell ref="R13:S13"/>
    <mergeCell ref="AP12:AQ12"/>
    <mergeCell ref="AR12:AS12"/>
    <mergeCell ref="C13:C14"/>
    <mergeCell ref="F13:G13"/>
    <mergeCell ref="H13:I13"/>
    <mergeCell ref="J13:K13"/>
    <mergeCell ref="L13:M13"/>
    <mergeCell ref="N13:O13"/>
    <mergeCell ref="B11:D11"/>
    <mergeCell ref="AD12:AE12"/>
    <mergeCell ref="AF12:AG12"/>
    <mergeCell ref="AH12:AI12"/>
    <mergeCell ref="AJ12:AK12"/>
    <mergeCell ref="AL12:AM12"/>
    <mergeCell ref="AN12:AO12"/>
    <mergeCell ref="R12:S12"/>
    <mergeCell ref="T12:U12"/>
    <mergeCell ref="V12:W12"/>
    <mergeCell ref="X12:Y12"/>
    <mergeCell ref="Z12:AA12"/>
    <mergeCell ref="AB12:AC12"/>
    <mergeCell ref="AH14:AI14"/>
    <mergeCell ref="AJ14:AK14"/>
    <mergeCell ref="AL14:AM14"/>
    <mergeCell ref="AN14:AO14"/>
    <mergeCell ref="AO11:AP11"/>
    <mergeCell ref="AP14:AQ14"/>
    <mergeCell ref="AR14:AS14"/>
    <mergeCell ref="V14:W14"/>
    <mergeCell ref="X14:Y14"/>
    <mergeCell ref="Z14:AA14"/>
    <mergeCell ref="AB14:AC14"/>
    <mergeCell ref="B12:B50"/>
    <mergeCell ref="F12:G12"/>
    <mergeCell ref="H12:I12"/>
    <mergeCell ref="J12:K12"/>
    <mergeCell ref="L12:M12"/>
    <mergeCell ref="N12:O12"/>
    <mergeCell ref="P12:Q12"/>
    <mergeCell ref="AC11:AD11"/>
    <mergeCell ref="AE11:AF11"/>
    <mergeCell ref="AG11:AH11"/>
    <mergeCell ref="AI11:AJ11"/>
    <mergeCell ref="AK11:AL11"/>
    <mergeCell ref="AM11:AN11"/>
    <mergeCell ref="Q11:R11"/>
    <mergeCell ref="S11:T11"/>
    <mergeCell ref="U11:V11"/>
    <mergeCell ref="W11:X11"/>
    <mergeCell ref="Y11:Z11"/>
    <mergeCell ref="AA11:AB11"/>
    <mergeCell ref="AB13:AC13"/>
    <mergeCell ref="AD13:AE13"/>
    <mergeCell ref="AD14:AE14"/>
    <mergeCell ref="AF14:AG14"/>
    <mergeCell ref="V16:W16"/>
    <mergeCell ref="X16:Y16"/>
    <mergeCell ref="Z16:AA16"/>
    <mergeCell ref="AB16:AC16"/>
    <mergeCell ref="AD16:AE16"/>
    <mergeCell ref="AN15:AO15"/>
    <mergeCell ref="AL17:AM17"/>
    <mergeCell ref="AN17:AO17"/>
    <mergeCell ref="AF22:AG22"/>
    <mergeCell ref="AQ10:AR10"/>
    <mergeCell ref="AS10:AT10"/>
    <mergeCell ref="B9:D9"/>
    <mergeCell ref="E9:F9"/>
    <mergeCell ref="G9:H9"/>
    <mergeCell ref="I9:J9"/>
    <mergeCell ref="K9:L9"/>
    <mergeCell ref="M9:N9"/>
    <mergeCell ref="E11:F11"/>
    <mergeCell ref="G11:H11"/>
    <mergeCell ref="I11:J11"/>
    <mergeCell ref="M11:N11"/>
    <mergeCell ref="O11:P11"/>
    <mergeCell ref="AA10:AB10"/>
    <mergeCell ref="AC10:AD10"/>
    <mergeCell ref="AE10:AF10"/>
    <mergeCell ref="AG10:AH10"/>
    <mergeCell ref="AI10:AJ10"/>
    <mergeCell ref="AK10:AL10"/>
    <mergeCell ref="O10:P10"/>
    <mergeCell ref="Q10:R10"/>
    <mergeCell ref="S10:T10"/>
    <mergeCell ref="U10:V10"/>
    <mergeCell ref="W10:X10"/>
    <mergeCell ref="Y10:Z10"/>
    <mergeCell ref="AQ11:AR11"/>
    <mergeCell ref="AS11:AT11"/>
    <mergeCell ref="U8:V8"/>
    <mergeCell ref="W8:X8"/>
    <mergeCell ref="Y8:Z8"/>
    <mergeCell ref="K6:L6"/>
    <mergeCell ref="M6:N6"/>
    <mergeCell ref="AM7:AN7"/>
    <mergeCell ref="AO7:AP7"/>
    <mergeCell ref="AQ7:AR7"/>
    <mergeCell ref="AM9:AN9"/>
    <mergeCell ref="AO9:AP9"/>
    <mergeCell ref="AQ9:AR9"/>
    <mergeCell ref="AS9:AT9"/>
    <mergeCell ref="B10:D10"/>
    <mergeCell ref="E10:F10"/>
    <mergeCell ref="G10:H10"/>
    <mergeCell ref="I10:J10"/>
    <mergeCell ref="K10:L10"/>
    <mergeCell ref="M10:N10"/>
    <mergeCell ref="AA9:AB9"/>
    <mergeCell ref="AC9:AD9"/>
    <mergeCell ref="AE9:AF9"/>
    <mergeCell ref="AG9:AH9"/>
    <mergeCell ref="AI9:AJ9"/>
    <mergeCell ref="AK9:AL9"/>
    <mergeCell ref="O9:P9"/>
    <mergeCell ref="Q9:R9"/>
    <mergeCell ref="S9:T9"/>
    <mergeCell ref="U9:V9"/>
    <mergeCell ref="W9:X9"/>
    <mergeCell ref="Y9:Z9"/>
    <mergeCell ref="AM10:AN10"/>
    <mergeCell ref="AO10:AP10"/>
    <mergeCell ref="AS7:AT7"/>
    <mergeCell ref="B8:D8"/>
    <mergeCell ref="E8:F8"/>
    <mergeCell ref="G8:H8"/>
    <mergeCell ref="I8:J8"/>
    <mergeCell ref="K8:L8"/>
    <mergeCell ref="M8:N8"/>
    <mergeCell ref="AA7:AB7"/>
    <mergeCell ref="AC7:AD7"/>
    <mergeCell ref="AE7:AF7"/>
    <mergeCell ref="AG7:AH7"/>
    <mergeCell ref="AI7:AJ7"/>
    <mergeCell ref="AK7:AL7"/>
    <mergeCell ref="O7:P7"/>
    <mergeCell ref="Q7:R7"/>
    <mergeCell ref="S7:T7"/>
    <mergeCell ref="U7:V7"/>
    <mergeCell ref="W7:X7"/>
    <mergeCell ref="Y7:Z7"/>
    <mergeCell ref="AM8:AN8"/>
    <mergeCell ref="AO8:AP8"/>
    <mergeCell ref="AQ8:AR8"/>
    <mergeCell ref="AS8:AT8"/>
    <mergeCell ref="AA8:AB8"/>
    <mergeCell ref="AC8:AD8"/>
    <mergeCell ref="AE8:AF8"/>
    <mergeCell ref="AG8:AH8"/>
    <mergeCell ref="AI8:AJ8"/>
    <mergeCell ref="AK8:AL8"/>
    <mergeCell ref="O8:P8"/>
    <mergeCell ref="Q8:R8"/>
    <mergeCell ref="S8:T8"/>
    <mergeCell ref="L2:W2"/>
    <mergeCell ref="AC2:AJ2"/>
    <mergeCell ref="AK2:AT2"/>
    <mergeCell ref="L4:AC4"/>
    <mergeCell ref="AD4:AJ4"/>
    <mergeCell ref="AK4:AT4"/>
    <mergeCell ref="AM6:AN6"/>
    <mergeCell ref="AO6:AP6"/>
    <mergeCell ref="AQ6:AR6"/>
    <mergeCell ref="AS6:AT6"/>
    <mergeCell ref="B7:D7"/>
    <mergeCell ref="E7:F7"/>
    <mergeCell ref="G7:H7"/>
    <mergeCell ref="I7:J7"/>
    <mergeCell ref="K7:L7"/>
    <mergeCell ref="M7:N7"/>
    <mergeCell ref="AA6:AB6"/>
    <mergeCell ref="AC6:AD6"/>
    <mergeCell ref="AE6:AF6"/>
    <mergeCell ref="AG6:AH6"/>
    <mergeCell ref="AI6:AJ6"/>
    <mergeCell ref="AK6:AL6"/>
    <mergeCell ref="O6:P6"/>
    <mergeCell ref="Q6:R6"/>
    <mergeCell ref="S6:T6"/>
    <mergeCell ref="U6:V6"/>
    <mergeCell ref="W6:X6"/>
    <mergeCell ref="Y6:Z6"/>
    <mergeCell ref="B6:D6"/>
    <mergeCell ref="E6:F6"/>
    <mergeCell ref="G6:H6"/>
    <mergeCell ref="I6:J6"/>
  </mergeCells>
  <pageMargins left="0.7" right="0.7" top="0.75" bottom="0.75" header="0.3" footer="0.3"/>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B1:S68"/>
  <sheetViews>
    <sheetView topLeftCell="A20" workbookViewId="0">
      <selection activeCell="F30" sqref="F30:F54"/>
    </sheetView>
  </sheetViews>
  <sheetFormatPr defaultColWidth="9.21875" defaultRowHeight="14.4" x14ac:dyDescent="0.3"/>
  <cols>
    <col min="1" max="1" width="3" customWidth="1"/>
    <col min="2" max="2" width="26.21875" customWidth="1"/>
    <col min="3" max="3" width="9.5546875" bestFit="1" customWidth="1"/>
    <col min="4" max="4" width="10.5546875" bestFit="1" customWidth="1"/>
    <col min="5" max="5" width="13" customWidth="1"/>
    <col min="6" max="6" width="10.44140625" customWidth="1"/>
    <col min="7" max="7" width="12.21875" customWidth="1"/>
    <col min="8" max="8" width="9.77734375" customWidth="1"/>
    <col min="10" max="10" width="10.21875" customWidth="1"/>
  </cols>
  <sheetData>
    <row r="1" spans="2:19" ht="15" thickBot="1" x14ac:dyDescent="0.35"/>
    <row r="2" spans="2:19" ht="43.5" customHeight="1" thickBot="1" x14ac:dyDescent="0.35">
      <c r="B2" s="647" t="s">
        <v>12</v>
      </c>
      <c r="C2" s="648"/>
      <c r="D2" s="648"/>
      <c r="E2" s="648"/>
      <c r="F2" s="648"/>
      <c r="G2" s="648"/>
      <c r="H2" s="649"/>
      <c r="J2" s="2"/>
      <c r="K2" s="25"/>
      <c r="L2" s="25"/>
      <c r="M2" s="25"/>
      <c r="N2" s="25"/>
      <c r="O2" s="25"/>
      <c r="P2" s="25"/>
      <c r="Q2" s="25"/>
    </row>
    <row r="3" spans="2:19" ht="15.6" x14ac:dyDescent="0.3">
      <c r="B3" s="24"/>
      <c r="C3" s="24"/>
      <c r="D3" s="24"/>
      <c r="E3" s="24"/>
      <c r="F3" s="24"/>
      <c r="G3" s="24"/>
      <c r="H3" s="24"/>
      <c r="J3" s="25"/>
      <c r="K3" s="25"/>
      <c r="L3" s="25"/>
      <c r="M3" s="25"/>
      <c r="N3" s="25"/>
      <c r="O3" s="25"/>
      <c r="P3" s="25"/>
      <c r="Q3" s="25"/>
    </row>
    <row r="4" spans="2:19" ht="21.75" customHeight="1" x14ac:dyDescent="0.3">
      <c r="B4" s="101"/>
      <c r="C4" s="24"/>
      <c r="D4" s="24"/>
      <c r="E4" s="25"/>
      <c r="F4" s="25"/>
      <c r="G4" s="25"/>
      <c r="H4" s="25"/>
      <c r="K4" s="25"/>
      <c r="L4" s="25"/>
      <c r="M4" s="25"/>
      <c r="N4" s="25"/>
      <c r="O4" s="25"/>
      <c r="P4" s="25"/>
      <c r="Q4" s="25"/>
    </row>
    <row r="5" spans="2:19" ht="15" thickBot="1" x14ac:dyDescent="0.35">
      <c r="K5" s="25"/>
      <c r="L5" s="25"/>
      <c r="M5" s="25"/>
      <c r="N5" s="25"/>
      <c r="O5" s="25"/>
      <c r="P5" s="25"/>
      <c r="Q5" s="25"/>
    </row>
    <row r="6" spans="2:19" ht="32.25" customHeight="1" thickBot="1" x14ac:dyDescent="0.35">
      <c r="C6" s="650" t="s">
        <v>191</v>
      </c>
      <c r="D6" s="651"/>
      <c r="E6" s="651"/>
      <c r="F6" s="651"/>
      <c r="G6" s="651"/>
      <c r="H6" s="652"/>
    </row>
    <row r="7" spans="2:19" ht="53.4" thickBot="1" x14ac:dyDescent="0.35">
      <c r="B7" s="26" t="s">
        <v>13</v>
      </c>
      <c r="C7" s="55" t="s">
        <v>14</v>
      </c>
      <c r="D7" s="55" t="s">
        <v>297</v>
      </c>
      <c r="E7" s="55" t="s">
        <v>71</v>
      </c>
      <c r="F7" s="55" t="s">
        <v>100</v>
      </c>
      <c r="G7" s="55" t="s">
        <v>72</v>
      </c>
      <c r="H7" s="55" t="s">
        <v>73</v>
      </c>
      <c r="I7" s="55" t="s">
        <v>296</v>
      </c>
      <c r="J7" s="55" t="s">
        <v>308</v>
      </c>
      <c r="K7" s="55" t="s">
        <v>300</v>
      </c>
      <c r="L7" s="653" t="s">
        <v>305</v>
      </c>
      <c r="M7" s="654"/>
      <c r="N7" s="654"/>
      <c r="O7" s="655"/>
      <c r="P7" s="55" t="s">
        <v>14</v>
      </c>
      <c r="Q7" s="55" t="s">
        <v>14</v>
      </c>
    </row>
    <row r="8" spans="2:19" ht="15" customHeight="1" x14ac:dyDescent="0.3">
      <c r="B8" s="49">
        <v>1</v>
      </c>
      <c r="C8" s="102">
        <v>23.64</v>
      </c>
      <c r="D8" s="406">
        <v>0.45</v>
      </c>
      <c r="E8" s="102">
        <v>3.5</v>
      </c>
      <c r="F8" s="102">
        <v>28.95</v>
      </c>
      <c r="G8" s="102">
        <v>13.6</v>
      </c>
      <c r="H8" s="102">
        <v>22.18</v>
      </c>
      <c r="I8" s="102" t="e">
        <f>IF('Data Input'!#REF!="","",IF(AND('Data Input'!#REF!="No",'Data Input'!#REF!="Pass",'Data Input'!#REF!="PASS",'Data Input'!#REF!="PASS"),'Data Input'!#REF!,""))</f>
        <v>#REF!</v>
      </c>
      <c r="J8" s="385">
        <v>1082</v>
      </c>
      <c r="K8" s="385">
        <v>1445</v>
      </c>
      <c r="L8" s="385">
        <v>1260</v>
      </c>
      <c r="M8" s="385">
        <v>1290</v>
      </c>
      <c r="N8" s="385">
        <v>1310</v>
      </c>
      <c r="O8" s="385">
        <v>1360</v>
      </c>
      <c r="P8" s="102">
        <v>26.431999999999999</v>
      </c>
      <c r="Q8" s="102">
        <v>23.15</v>
      </c>
      <c r="R8">
        <v>30.3</v>
      </c>
      <c r="S8" s="421">
        <f>R8-E8</f>
        <v>26.8</v>
      </c>
    </row>
    <row r="9" spans="2:19" ht="15" customHeight="1" x14ac:dyDescent="0.3">
      <c r="B9" s="50">
        <v>2</v>
      </c>
      <c r="C9" s="102">
        <v>23.74</v>
      </c>
      <c r="D9" s="406">
        <v>0.43</v>
      </c>
      <c r="E9" s="102">
        <v>3.85</v>
      </c>
      <c r="F9" s="406">
        <v>28.67</v>
      </c>
      <c r="G9" s="102">
        <v>13.9</v>
      </c>
      <c r="H9" s="102">
        <v>22.15</v>
      </c>
      <c r="I9" s="102" t="e">
        <f>IF('Data Input'!#REF!="","",IF(AND('Data Input'!#REF!="No",'Data Input'!#REF!="Pass",'Data Input'!#REF!="PASS",'Data Input'!#REF!="PASS"),'Data Input'!#REF!,""))</f>
        <v>#REF!</v>
      </c>
      <c r="J9" s="102">
        <v>28.95</v>
      </c>
      <c r="K9" s="385">
        <v>1447</v>
      </c>
      <c r="L9" s="385"/>
      <c r="M9" s="385"/>
      <c r="N9" s="385"/>
      <c r="O9" s="385"/>
      <c r="P9" s="102">
        <v>26.431999999999999</v>
      </c>
      <c r="Q9" s="102">
        <v>23.15</v>
      </c>
      <c r="R9">
        <v>30.45</v>
      </c>
      <c r="S9" s="421">
        <f t="shared" ref="S9:S33" si="0">R9-E9</f>
        <v>26.599999999999998</v>
      </c>
    </row>
    <row r="10" spans="2:19" ht="15" customHeight="1" x14ac:dyDescent="0.3">
      <c r="B10" s="50">
        <v>3</v>
      </c>
      <c r="C10" s="102">
        <v>23.71</v>
      </c>
      <c r="D10" s="406">
        <v>0.43</v>
      </c>
      <c r="E10" s="102">
        <v>3.6</v>
      </c>
      <c r="F10" s="406">
        <v>28.67</v>
      </c>
      <c r="G10" s="102">
        <v>13.4</v>
      </c>
      <c r="H10" s="102">
        <v>22.14</v>
      </c>
      <c r="I10" s="102" t="e">
        <f>IF('Data Input'!#REF!="","",IF(AND('Data Input'!#REF!="No",'Data Input'!#REF!="Pass",'Data Input'!#REF!="PASS",'Data Input'!#REF!="PASS"),'Data Input'!#REF!,""))</f>
        <v>#REF!</v>
      </c>
      <c r="J10" s="406">
        <v>29.01</v>
      </c>
      <c r="K10" s="385">
        <v>1457</v>
      </c>
      <c r="L10" s="385"/>
      <c r="M10" s="385"/>
      <c r="N10" s="385"/>
      <c r="O10" s="385"/>
      <c r="P10" s="102">
        <v>26.431999999999999</v>
      </c>
      <c r="Q10" s="102">
        <v>23.15</v>
      </c>
      <c r="R10">
        <v>30.6</v>
      </c>
      <c r="S10" s="421">
        <f t="shared" si="0"/>
        <v>27</v>
      </c>
    </row>
    <row r="11" spans="2:19" ht="15" customHeight="1" x14ac:dyDescent="0.3">
      <c r="B11" s="50">
        <v>4</v>
      </c>
      <c r="C11" s="102">
        <v>23.71</v>
      </c>
      <c r="D11" s="406">
        <v>0.41</v>
      </c>
      <c r="E11" s="102">
        <v>3.6</v>
      </c>
      <c r="F11" s="406">
        <v>28.71</v>
      </c>
      <c r="G11" s="102">
        <v>14</v>
      </c>
      <c r="H11" s="102">
        <v>22.21</v>
      </c>
      <c r="I11" s="102" t="e">
        <f>IF('Data Input'!#REF!="","",IF(AND('Data Input'!#REF!="No",'Data Input'!#REF!="Pass",'Data Input'!#REF!="PASS",'Data Input'!#REF!="PASS"),'Data Input'!#REF!,""))</f>
        <v>#REF!</v>
      </c>
      <c r="J11" s="406">
        <v>29.09</v>
      </c>
      <c r="K11" s="385">
        <v>1448</v>
      </c>
      <c r="L11" s="385"/>
      <c r="M11" s="385"/>
      <c r="N11" s="385"/>
      <c r="O11" s="385"/>
      <c r="P11" s="102">
        <v>26.431999999999999</v>
      </c>
      <c r="Q11" s="102">
        <v>23.15</v>
      </c>
      <c r="R11">
        <v>30.4</v>
      </c>
      <c r="S11" s="421">
        <f t="shared" si="0"/>
        <v>26.799999999999997</v>
      </c>
    </row>
    <row r="12" spans="2:19" ht="15" customHeight="1" x14ac:dyDescent="0.3">
      <c r="B12" s="50">
        <v>5</v>
      </c>
      <c r="C12" s="102">
        <v>23.82</v>
      </c>
      <c r="D12" s="406">
        <v>0.4</v>
      </c>
      <c r="E12" s="102">
        <v>3.88</v>
      </c>
      <c r="F12" s="406">
        <v>28.81</v>
      </c>
      <c r="G12" s="102">
        <v>13.7</v>
      </c>
      <c r="H12" s="102">
        <v>22.3</v>
      </c>
      <c r="I12" s="102" t="e">
        <f>IF('Data Input'!#REF!="","",IF(AND('Data Input'!#REF!="No",'Data Input'!#REF!="Pass",'Data Input'!#REF!="PASS",'Data Input'!#REF!="PASS"),'Data Input'!#REF!,""))</f>
        <v>#REF!</v>
      </c>
      <c r="J12" s="406">
        <v>28.95</v>
      </c>
      <c r="K12" s="385">
        <v>1444</v>
      </c>
      <c r="L12" s="385"/>
      <c r="M12" s="385"/>
      <c r="N12" s="385"/>
      <c r="O12" s="385"/>
      <c r="P12" s="102">
        <v>26.431999999999999</v>
      </c>
      <c r="Q12" s="102">
        <v>23.15</v>
      </c>
      <c r="R12">
        <v>30.2</v>
      </c>
      <c r="S12" s="421">
        <f t="shared" si="0"/>
        <v>26.32</v>
      </c>
    </row>
    <row r="13" spans="2:19" ht="15" customHeight="1" x14ac:dyDescent="0.3">
      <c r="B13" s="50">
        <v>6</v>
      </c>
      <c r="C13" s="102">
        <v>23.66</v>
      </c>
      <c r="D13" s="406">
        <v>0.42</v>
      </c>
      <c r="E13" s="102">
        <v>3.88</v>
      </c>
      <c r="F13" s="406">
        <v>28.71</v>
      </c>
      <c r="G13" s="102">
        <v>13.6</v>
      </c>
      <c r="H13" s="102">
        <v>21.99</v>
      </c>
      <c r="I13" s="102" t="e">
        <f>IF('Data Input'!#REF!="","",IF(AND('Data Input'!#REF!="No",'Data Input'!#REF!="Pass",'Data Input'!#REF!="PASS",'Data Input'!#REF!="PASS"),'Data Input'!#REF!,""))</f>
        <v>#REF!</v>
      </c>
      <c r="J13" s="406">
        <v>29.01</v>
      </c>
      <c r="K13" s="385">
        <v>1458</v>
      </c>
      <c r="L13" s="385"/>
      <c r="M13" s="385"/>
      <c r="N13" s="385"/>
      <c r="O13" s="385"/>
      <c r="P13" s="102">
        <v>26.431999999999999</v>
      </c>
      <c r="Q13" s="102">
        <v>23.15</v>
      </c>
      <c r="R13">
        <v>30.8</v>
      </c>
      <c r="S13" s="421">
        <f t="shared" si="0"/>
        <v>26.92</v>
      </c>
    </row>
    <row r="14" spans="2:19" ht="15" customHeight="1" x14ac:dyDescent="0.3">
      <c r="B14" s="50">
        <v>7</v>
      </c>
      <c r="C14" s="102">
        <v>23.66</v>
      </c>
      <c r="D14" s="406">
        <v>0.53</v>
      </c>
      <c r="E14" s="102">
        <v>3.95</v>
      </c>
      <c r="F14" s="406">
        <v>28.84</v>
      </c>
      <c r="G14" s="102">
        <v>13.5</v>
      </c>
      <c r="H14" s="102">
        <v>22.3</v>
      </c>
      <c r="I14" s="102" t="e">
        <f>IF('Data Input'!#REF!="","",IF(AND('Data Input'!#REF!="No",'Data Input'!#REF!="Pass",'Data Input'!#REF!="PASS",'Data Input'!#REF!="PASS"),'Data Input'!#REF!,""))</f>
        <v>#REF!</v>
      </c>
      <c r="J14" s="406">
        <v>29.33</v>
      </c>
      <c r="K14" s="385">
        <v>1456</v>
      </c>
      <c r="L14" s="385"/>
      <c r="M14" s="385"/>
      <c r="N14" s="385"/>
      <c r="O14" s="385"/>
      <c r="P14" s="102">
        <v>26.431999999999999</v>
      </c>
      <c r="Q14" s="102">
        <v>23.15</v>
      </c>
      <c r="R14">
        <v>30.21</v>
      </c>
      <c r="S14" s="421">
        <f t="shared" si="0"/>
        <v>26.26</v>
      </c>
    </row>
    <row r="15" spans="2:19" ht="15" customHeight="1" x14ac:dyDescent="0.3">
      <c r="B15" s="50">
        <v>8</v>
      </c>
      <c r="C15" s="102">
        <v>23.73</v>
      </c>
      <c r="D15" s="406">
        <v>0.44</v>
      </c>
      <c r="E15" s="102">
        <v>3.6</v>
      </c>
      <c r="F15" s="406">
        <v>28.71</v>
      </c>
      <c r="G15" s="102">
        <v>13.4</v>
      </c>
      <c r="H15" s="102">
        <v>22.43</v>
      </c>
      <c r="I15" s="102" t="e">
        <f>IF('Data Input'!#REF!="","",IF(AND('Data Input'!#REF!="No",'Data Input'!#REF!="Pass",'Data Input'!#REF!="PASS",'Data Input'!#REF!="PASS"),'Data Input'!#REF!,""))</f>
        <v>#REF!</v>
      </c>
      <c r="J15" s="406">
        <v>29.01</v>
      </c>
      <c r="K15" s="385">
        <v>1452</v>
      </c>
      <c r="L15" s="385"/>
      <c r="M15" s="385"/>
      <c r="N15" s="385"/>
      <c r="O15" s="385"/>
      <c r="P15" s="102">
        <v>26.431999999999999</v>
      </c>
      <c r="Q15" s="102">
        <v>23.15</v>
      </c>
      <c r="R15">
        <v>30.3</v>
      </c>
      <c r="S15" s="421">
        <f t="shared" si="0"/>
        <v>26.7</v>
      </c>
    </row>
    <row r="16" spans="2:19" ht="15" customHeight="1" x14ac:dyDescent="0.3">
      <c r="B16" s="50">
        <v>9</v>
      </c>
      <c r="C16" s="102">
        <v>23.84</v>
      </c>
      <c r="D16" s="406">
        <v>0.53</v>
      </c>
      <c r="E16" s="102">
        <v>3.89</v>
      </c>
      <c r="F16" s="406">
        <v>28.88</v>
      </c>
      <c r="G16" s="102">
        <v>13.7</v>
      </c>
      <c r="H16" s="102">
        <v>22.28</v>
      </c>
      <c r="I16" s="102" t="e">
        <f>IF('Data Input'!#REF!="","",IF(AND('Data Input'!#REF!="No",'Data Input'!#REF!="Pass",'Data Input'!#REF!="PASS",'Data Input'!#REF!="PASS"),'Data Input'!#REF!,""))</f>
        <v>#REF!</v>
      </c>
      <c r="J16" s="406">
        <v>28.91</v>
      </c>
      <c r="K16" s="385">
        <v>1447</v>
      </c>
      <c r="L16" s="385"/>
      <c r="M16" s="385"/>
      <c r="N16" s="385"/>
      <c r="O16" s="385"/>
      <c r="P16" s="102">
        <v>26.431999999999999</v>
      </c>
      <c r="Q16" s="102">
        <v>23.15</v>
      </c>
      <c r="R16">
        <v>30.7</v>
      </c>
      <c r="S16" s="421">
        <f t="shared" si="0"/>
        <v>26.81</v>
      </c>
    </row>
    <row r="17" spans="2:19" ht="15" customHeight="1" x14ac:dyDescent="0.3">
      <c r="B17" s="50">
        <v>10</v>
      </c>
      <c r="C17" s="102">
        <v>23.7</v>
      </c>
      <c r="D17" s="406">
        <v>0.43</v>
      </c>
      <c r="E17" s="102">
        <v>3.8</v>
      </c>
      <c r="F17" s="422">
        <v>28.9</v>
      </c>
      <c r="G17" s="102">
        <v>13.6</v>
      </c>
      <c r="H17" s="102">
        <v>22.17</v>
      </c>
      <c r="I17" s="102" t="e">
        <f>IF('Data Input'!#REF!="","",IF(AND('Data Input'!#REF!="No",'Data Input'!#REF!="Pass",'Data Input'!#REF!="PASS",'Data Input'!#REF!="PASS"),'Data Input'!#REF!,""))</f>
        <v>#REF!</v>
      </c>
      <c r="J17" s="406">
        <v>28.91</v>
      </c>
      <c r="K17" s="385">
        <v>1449</v>
      </c>
      <c r="L17" s="385"/>
      <c r="M17" s="385"/>
      <c r="N17" s="385"/>
      <c r="O17" s="385"/>
      <c r="P17" s="102">
        <v>26.431999999999999</v>
      </c>
      <c r="Q17" s="102">
        <v>23.15</v>
      </c>
      <c r="R17">
        <v>30.6</v>
      </c>
      <c r="S17" s="421">
        <f t="shared" si="0"/>
        <v>26.8</v>
      </c>
    </row>
    <row r="18" spans="2:19" x14ac:dyDescent="0.3">
      <c r="B18" s="50">
        <v>11</v>
      </c>
      <c r="C18" s="102">
        <v>23.7</v>
      </c>
      <c r="D18" s="406">
        <v>0.4</v>
      </c>
      <c r="E18" s="102">
        <v>3.6</v>
      </c>
      <c r="F18" s="422">
        <v>28.84</v>
      </c>
      <c r="G18" s="102">
        <v>13.2</v>
      </c>
      <c r="H18" s="102">
        <v>22.47</v>
      </c>
      <c r="I18" s="102" t="e">
        <f>IF('Data Input'!#REF!="","",IF(AND('Data Input'!#REF!="No",'Data Input'!#REF!="Pass",'Data Input'!#REF!="PASS",'Data Input'!#REF!="PASS"),'Data Input'!#REF!,""))</f>
        <v>#REF!</v>
      </c>
      <c r="J18" s="102">
        <v>28.94</v>
      </c>
      <c r="K18" s="385">
        <v>1459</v>
      </c>
      <c r="L18" s="385"/>
      <c r="M18" s="385"/>
      <c r="N18" s="385"/>
      <c r="O18" s="385"/>
      <c r="P18" s="102">
        <v>26.431999999999999</v>
      </c>
      <c r="Q18" s="102">
        <v>23.15</v>
      </c>
      <c r="R18">
        <v>30.5</v>
      </c>
      <c r="S18" s="421">
        <f t="shared" si="0"/>
        <v>26.9</v>
      </c>
    </row>
    <row r="19" spans="2:19" x14ac:dyDescent="0.3">
      <c r="B19" s="50">
        <v>12</v>
      </c>
      <c r="C19" s="102">
        <v>23.64</v>
      </c>
      <c r="D19" s="406">
        <v>0.52</v>
      </c>
      <c r="E19" s="102">
        <v>3.6</v>
      </c>
      <c r="F19" s="422">
        <v>28.76</v>
      </c>
      <c r="G19" s="102">
        <v>13.2</v>
      </c>
      <c r="H19" s="102">
        <v>22.23</v>
      </c>
      <c r="I19" s="102" t="e">
        <f>IF('Data Input'!#REF!="","",IF(AND('Data Input'!#REF!="No",'Data Input'!#REF!="Pass",'Data Input'!#REF!="PASS",'Data Input'!#REF!="PASS"),'Data Input'!#REF!,""))</f>
        <v>#REF!</v>
      </c>
      <c r="J19" s="385"/>
      <c r="K19" s="385">
        <v>1455</v>
      </c>
      <c r="L19" s="385"/>
      <c r="M19" s="385"/>
      <c r="N19" s="385"/>
      <c r="O19" s="385"/>
      <c r="P19" s="102">
        <v>26.431999999999999</v>
      </c>
      <c r="Q19" s="102">
        <v>23.15</v>
      </c>
      <c r="R19">
        <v>30.3</v>
      </c>
      <c r="S19" s="421">
        <f t="shared" si="0"/>
        <v>26.7</v>
      </c>
    </row>
    <row r="20" spans="2:19" s="2" customFormat="1" x14ac:dyDescent="0.3">
      <c r="B20" s="50">
        <v>13</v>
      </c>
      <c r="C20" s="102">
        <v>23.55</v>
      </c>
      <c r="D20" s="406">
        <v>0.46</v>
      </c>
      <c r="E20" s="102">
        <v>3.89</v>
      </c>
      <c r="F20" s="422">
        <v>28.73</v>
      </c>
      <c r="G20" s="102">
        <v>13.5</v>
      </c>
      <c r="H20" s="102">
        <v>22.03</v>
      </c>
      <c r="I20" s="102" t="e">
        <f>IF('Data Input'!#REF!="","",IF(AND('Data Input'!#REF!="No",'Data Input'!#REF!="Pass",'Data Input'!#REF!="PASS",'Data Input'!#REF!="PASS"),'Data Input'!#REF!,""))</f>
        <v>#REF!</v>
      </c>
      <c r="J20" s="385"/>
      <c r="K20" s="385">
        <v>1458</v>
      </c>
      <c r="L20" s="385"/>
      <c r="M20" s="385"/>
      <c r="N20" s="385"/>
      <c r="O20" s="385"/>
      <c r="P20" s="102">
        <v>26.431999999999999</v>
      </c>
      <c r="Q20" s="102">
        <v>23.15</v>
      </c>
      <c r="R20" s="2">
        <v>30.3</v>
      </c>
      <c r="S20" s="421">
        <f t="shared" si="0"/>
        <v>26.41</v>
      </c>
    </row>
    <row r="21" spans="2:19" x14ac:dyDescent="0.3">
      <c r="B21" s="50">
        <v>14</v>
      </c>
      <c r="C21" s="102">
        <v>23.59</v>
      </c>
      <c r="D21" s="406">
        <v>0.47</v>
      </c>
      <c r="E21" s="102">
        <v>3.6</v>
      </c>
      <c r="F21" s="422">
        <v>28.72</v>
      </c>
      <c r="G21" s="102">
        <v>14.2</v>
      </c>
      <c r="H21" s="102">
        <v>22.34</v>
      </c>
      <c r="I21" s="102" t="e">
        <f>IF('Data Input'!#REF!="","",IF(AND('Data Input'!#REF!="No",'Data Input'!#REF!="Pass",'Data Input'!#REF!="PASS",'Data Input'!#REF!="PASS"),'Data Input'!#REF!,""))</f>
        <v>#REF!</v>
      </c>
      <c r="J21" s="385"/>
      <c r="K21" s="385">
        <v>1456</v>
      </c>
      <c r="L21" s="385"/>
      <c r="M21" s="385"/>
      <c r="N21" s="385"/>
      <c r="O21" s="385"/>
      <c r="P21" s="102">
        <v>26.431999999999999</v>
      </c>
      <c r="Q21" s="102">
        <v>23.15</v>
      </c>
      <c r="R21">
        <v>30.6</v>
      </c>
      <c r="S21" s="421">
        <f t="shared" si="0"/>
        <v>27</v>
      </c>
    </row>
    <row r="22" spans="2:19" x14ac:dyDescent="0.3">
      <c r="B22" s="50">
        <v>15</v>
      </c>
      <c r="C22" s="102">
        <v>23.77</v>
      </c>
      <c r="D22" s="406">
        <v>0.5</v>
      </c>
      <c r="E22" s="102">
        <v>3.6</v>
      </c>
      <c r="F22" s="422">
        <v>28.82</v>
      </c>
      <c r="G22" s="102">
        <v>14.3</v>
      </c>
      <c r="H22" s="102">
        <v>21.77</v>
      </c>
      <c r="I22" s="102" t="e">
        <f>IF('Data Input'!#REF!="","",IF(AND('Data Input'!#REF!="No",'Data Input'!#REF!="Pass",'Data Input'!#REF!="PASS",'Data Input'!#REF!="PASS"),'Data Input'!#REF!,""))</f>
        <v>#REF!</v>
      </c>
      <c r="J22" s="385"/>
      <c r="K22" s="385">
        <v>1460</v>
      </c>
      <c r="L22" s="385"/>
      <c r="M22" s="385"/>
      <c r="N22" s="385"/>
      <c r="O22" s="385"/>
      <c r="P22" s="102">
        <v>26.431999999999999</v>
      </c>
      <c r="Q22" s="102">
        <v>23.15</v>
      </c>
      <c r="R22">
        <v>30.6</v>
      </c>
      <c r="S22" s="421">
        <f t="shared" si="0"/>
        <v>27</v>
      </c>
    </row>
    <row r="23" spans="2:19" x14ac:dyDescent="0.3">
      <c r="B23" s="50">
        <v>16</v>
      </c>
      <c r="C23" s="102">
        <v>23.93</v>
      </c>
      <c r="D23" s="406">
        <v>0.51</v>
      </c>
      <c r="E23" s="102">
        <v>3.6</v>
      </c>
      <c r="F23" s="422">
        <v>28.77</v>
      </c>
      <c r="G23" s="102">
        <v>14.4</v>
      </c>
      <c r="H23" s="102">
        <v>22.1</v>
      </c>
      <c r="I23" s="102" t="e">
        <f>IF('Data Input'!#REF!="","",IF(AND('Data Input'!#REF!="No",'Data Input'!#REF!="Pass",'Data Input'!#REF!="PASS",'Data Input'!#REF!="PASS"),'Data Input'!#REF!,""))</f>
        <v>#REF!</v>
      </c>
      <c r="J23" s="385"/>
      <c r="K23" s="385">
        <v>1460</v>
      </c>
      <c r="L23" s="385"/>
      <c r="M23" s="385"/>
      <c r="N23" s="385"/>
      <c r="O23" s="385"/>
      <c r="P23" s="102">
        <v>26.431999999999999</v>
      </c>
      <c r="Q23" s="102">
        <v>23.15</v>
      </c>
      <c r="R23">
        <v>30</v>
      </c>
      <c r="S23" s="421">
        <f t="shared" si="0"/>
        <v>26.4</v>
      </c>
    </row>
    <row r="24" spans="2:19" x14ac:dyDescent="0.3">
      <c r="B24" s="50">
        <v>17</v>
      </c>
      <c r="C24" s="102">
        <v>23.91</v>
      </c>
      <c r="D24" s="406">
        <v>0.43</v>
      </c>
      <c r="E24" s="102">
        <v>3.84</v>
      </c>
      <c r="F24" s="422">
        <v>28.56</v>
      </c>
      <c r="G24" s="102">
        <v>14.3</v>
      </c>
      <c r="H24" s="102">
        <v>22.03</v>
      </c>
      <c r="I24" s="102" t="e">
        <f>IF('Data Input'!#REF!="","",IF(AND('Data Input'!#REF!="No",'Data Input'!#REF!="Pass",'Data Input'!#REF!="PASS",'Data Input'!#REF!="PASS"),'Data Input'!#REF!,""))</f>
        <v>#REF!</v>
      </c>
      <c r="J24" s="385"/>
      <c r="K24" s="385">
        <v>1458</v>
      </c>
      <c r="L24" s="385"/>
      <c r="M24" s="385"/>
      <c r="N24" s="385"/>
      <c r="O24" s="385"/>
      <c r="P24" s="102">
        <v>26.431999999999999</v>
      </c>
      <c r="Q24" s="102">
        <v>23.15</v>
      </c>
      <c r="R24">
        <v>30.7</v>
      </c>
      <c r="S24" s="421">
        <f t="shared" si="0"/>
        <v>26.86</v>
      </c>
    </row>
    <row r="25" spans="2:19" x14ac:dyDescent="0.3">
      <c r="B25" s="50">
        <v>18</v>
      </c>
      <c r="C25" s="102">
        <v>23.88</v>
      </c>
      <c r="D25" s="406">
        <v>0.46</v>
      </c>
      <c r="E25" s="102">
        <v>3.6</v>
      </c>
      <c r="F25" s="422">
        <v>28.69</v>
      </c>
      <c r="G25" s="102">
        <v>14.3</v>
      </c>
      <c r="H25" s="102">
        <v>22.31</v>
      </c>
      <c r="I25" s="102" t="e">
        <f>IF('Data Input'!#REF!="","",IF(AND('Data Input'!#REF!="No",'Data Input'!#REF!="Pass",'Data Input'!#REF!="PASS",'Data Input'!#REF!="PASS"),'Data Input'!#REF!,""))</f>
        <v>#REF!</v>
      </c>
      <c r="J25" s="385"/>
      <c r="K25" s="385">
        <v>1456</v>
      </c>
      <c r="L25" s="385"/>
      <c r="M25" s="385"/>
      <c r="N25" s="385"/>
      <c r="O25" s="385"/>
      <c r="P25" s="102">
        <v>26.431999999999999</v>
      </c>
      <c r="Q25" s="102">
        <v>23.15</v>
      </c>
      <c r="R25">
        <v>30.9</v>
      </c>
      <c r="S25" s="421">
        <f t="shared" si="0"/>
        <v>27.299999999999997</v>
      </c>
    </row>
    <row r="26" spans="2:19" x14ac:dyDescent="0.3">
      <c r="B26" s="50">
        <v>19</v>
      </c>
      <c r="C26" s="102">
        <v>23.81</v>
      </c>
      <c r="D26" s="406">
        <v>0.47</v>
      </c>
      <c r="E26" s="102">
        <v>3.6</v>
      </c>
      <c r="F26" s="422">
        <v>28.35</v>
      </c>
      <c r="G26" s="102">
        <v>13.9</v>
      </c>
      <c r="H26" s="102">
        <v>22.27</v>
      </c>
      <c r="I26" s="102" t="e">
        <f>IF('Data Input'!#REF!="","",IF(AND('Data Input'!#REF!="No",'Data Input'!#REF!="Pass",'Data Input'!#REF!="PASS",'Data Input'!#REF!="PASS"),'Data Input'!#REF!,""))</f>
        <v>#REF!</v>
      </c>
      <c r="J26" s="385"/>
      <c r="K26" s="385">
        <v>1452</v>
      </c>
      <c r="L26" s="385"/>
      <c r="M26" s="385"/>
      <c r="N26" s="385"/>
      <c r="O26" s="385"/>
      <c r="P26" s="102">
        <v>26.431999999999999</v>
      </c>
      <c r="Q26" s="102">
        <v>23.15</v>
      </c>
      <c r="R26">
        <v>30.8</v>
      </c>
      <c r="S26" s="421">
        <f t="shared" si="0"/>
        <v>27.2</v>
      </c>
    </row>
    <row r="27" spans="2:19" x14ac:dyDescent="0.3">
      <c r="B27" s="50">
        <v>20</v>
      </c>
      <c r="C27" s="102">
        <v>23.86</v>
      </c>
      <c r="D27" s="406">
        <v>0.49</v>
      </c>
      <c r="E27" s="102">
        <v>3.6</v>
      </c>
      <c r="F27" s="422">
        <v>28.35</v>
      </c>
      <c r="G27" s="102">
        <v>14.1</v>
      </c>
      <c r="H27" s="102">
        <v>22.28</v>
      </c>
      <c r="I27" s="102" t="e">
        <f>IF('Data Input'!#REF!="","",IF(AND('Data Input'!#REF!="No",'Data Input'!#REF!="Pass",'Data Input'!#REF!="PASS",'Data Input'!#REF!="PASS"),'Data Input'!#REF!,""))</f>
        <v>#REF!</v>
      </c>
      <c r="J27" s="385"/>
      <c r="K27" s="385">
        <v>1456</v>
      </c>
      <c r="L27" s="385"/>
      <c r="M27" s="385"/>
      <c r="N27" s="385"/>
      <c r="O27" s="385"/>
      <c r="P27" s="102">
        <v>26.431999999999999</v>
      </c>
      <c r="Q27" s="102">
        <v>23.15</v>
      </c>
      <c r="R27">
        <v>30.1</v>
      </c>
      <c r="S27" s="421">
        <f t="shared" si="0"/>
        <v>26.5</v>
      </c>
    </row>
    <row r="28" spans="2:19" x14ac:dyDescent="0.3">
      <c r="B28" s="50">
        <v>21</v>
      </c>
      <c r="C28" s="102">
        <v>23.83</v>
      </c>
      <c r="D28" s="406">
        <v>0.45</v>
      </c>
      <c r="E28" s="420">
        <v>3.6</v>
      </c>
      <c r="F28" s="422">
        <v>28.2</v>
      </c>
      <c r="G28" s="102">
        <v>14.2</v>
      </c>
      <c r="H28" s="102">
        <v>21.98</v>
      </c>
      <c r="I28" s="102"/>
      <c r="J28" s="102"/>
      <c r="K28" s="102"/>
      <c r="L28" s="102"/>
      <c r="M28" s="102"/>
      <c r="N28" s="102"/>
      <c r="O28" s="102"/>
      <c r="P28" s="102" t="str">
        <f>IF('Data Input'!U58="","",IF(AND('Data Input'!$F$31="No",'Data Input'!$F$35="PASS",'Data Input'!$F$24="PASS",'Data Input'!$F$26="PASS"),'Data Input'!U58,""))</f>
        <v/>
      </c>
      <c r="Q28" s="102" t="str">
        <f>IF('Data Input'!V58="","",IF(AND('Data Input'!$F$31="No",'Data Input'!$F$35="PASS",'Data Input'!$F$24="PASS",'Data Input'!$F$26="PASS"),'Data Input'!V58,""))</f>
        <v/>
      </c>
      <c r="R28">
        <v>30.1</v>
      </c>
      <c r="S28" s="421">
        <f t="shared" si="0"/>
        <v>26.5</v>
      </c>
    </row>
    <row r="29" spans="2:19" x14ac:dyDescent="0.3">
      <c r="B29" s="50">
        <v>22</v>
      </c>
      <c r="C29" s="102">
        <v>23.85</v>
      </c>
      <c r="D29" s="406">
        <v>0.52</v>
      </c>
      <c r="E29" s="102">
        <v>3.5</v>
      </c>
      <c r="F29" s="422"/>
      <c r="G29" s="102">
        <v>14.2</v>
      </c>
      <c r="H29" s="102"/>
      <c r="I29" s="102"/>
      <c r="J29" s="102"/>
      <c r="K29" s="102"/>
      <c r="L29" s="102"/>
      <c r="M29" s="102"/>
      <c r="N29" s="102"/>
      <c r="O29" s="102"/>
      <c r="P29" s="102" t="str">
        <f>IF('Data Input'!U59="","",IF(AND('Data Input'!$F$31="No",'Data Input'!$F$35="PASS",'Data Input'!$F$24="PASS",'Data Input'!$F$26="PASS"),'Data Input'!U59,""))</f>
        <v/>
      </c>
      <c r="Q29" s="102" t="str">
        <f>IF('Data Input'!V59="","",IF(AND('Data Input'!$F$31="No",'Data Input'!$F$35="PASS",'Data Input'!$F$24="PASS",'Data Input'!$F$26="PASS"),'Data Input'!V59,""))</f>
        <v/>
      </c>
      <c r="R29">
        <v>30</v>
      </c>
      <c r="S29" s="421">
        <f t="shared" si="0"/>
        <v>26.5</v>
      </c>
    </row>
    <row r="30" spans="2:19" x14ac:dyDescent="0.3">
      <c r="B30" s="50">
        <v>23</v>
      </c>
      <c r="C30" s="102"/>
      <c r="D30" s="406">
        <v>0.46</v>
      </c>
      <c r="E30" s="102">
        <v>3.5</v>
      </c>
      <c r="F30" s="422"/>
      <c r="G30" s="102">
        <v>14.1</v>
      </c>
      <c r="H30" s="102"/>
      <c r="I30" s="102"/>
      <c r="J30" s="102"/>
      <c r="K30" s="102"/>
      <c r="L30" s="102"/>
      <c r="M30" s="102"/>
      <c r="N30" s="102"/>
      <c r="O30" s="102"/>
      <c r="P30" s="102" t="str">
        <f>IF('Data Input'!U60="","",IF(AND('Data Input'!$F$31="No",'Data Input'!$F$35="PASS",'Data Input'!$F$24="PASS",'Data Input'!$F$26="PASS"),'Data Input'!U60,""))</f>
        <v/>
      </c>
      <c r="Q30" s="102" t="str">
        <f>IF('Data Input'!V60="","",IF(AND('Data Input'!$F$31="No",'Data Input'!$F$35="PASS",'Data Input'!$F$24="PASS",'Data Input'!$F$26="PASS"),'Data Input'!V60,""))</f>
        <v/>
      </c>
      <c r="R30">
        <v>30.2</v>
      </c>
      <c r="S30" s="421">
        <f t="shared" si="0"/>
        <v>26.7</v>
      </c>
    </row>
    <row r="31" spans="2:19" x14ac:dyDescent="0.3">
      <c r="B31" s="50">
        <v>24</v>
      </c>
      <c r="C31" s="102"/>
      <c r="D31" s="406">
        <v>0.46</v>
      </c>
      <c r="E31" s="102">
        <v>3.5</v>
      </c>
      <c r="F31" s="422"/>
      <c r="G31" s="102">
        <v>14.1</v>
      </c>
      <c r="H31" s="102"/>
      <c r="I31" s="102"/>
      <c r="J31" s="102"/>
      <c r="K31" s="102"/>
      <c r="L31" s="102"/>
      <c r="M31" s="102"/>
      <c r="N31" s="102"/>
      <c r="O31" s="102"/>
      <c r="P31" s="102" t="str">
        <f>IF('Data Input'!U61="","",IF(AND('Data Input'!$F$31="No",'Data Input'!$F$35="PASS",'Data Input'!$F$24="PASS",'Data Input'!$F$26="PASS"),'Data Input'!U61,""))</f>
        <v/>
      </c>
      <c r="Q31" s="102" t="str">
        <f>IF('Data Input'!V61="","",IF(AND('Data Input'!$F$31="No",'Data Input'!$F$35="PASS",'Data Input'!$F$24="PASS",'Data Input'!$F$26="PASS"),'Data Input'!V61,""))</f>
        <v/>
      </c>
      <c r="R31">
        <v>30.23</v>
      </c>
      <c r="S31" s="421">
        <f t="shared" si="0"/>
        <v>26.73</v>
      </c>
    </row>
    <row r="32" spans="2:19" x14ac:dyDescent="0.3">
      <c r="B32" s="50">
        <v>25</v>
      </c>
      <c r="C32" s="102"/>
      <c r="D32" s="406">
        <v>0.47</v>
      </c>
      <c r="E32" s="102">
        <v>3.5</v>
      </c>
      <c r="F32" s="422"/>
      <c r="G32" s="102">
        <v>14.1</v>
      </c>
      <c r="H32" s="102"/>
      <c r="I32" s="102"/>
      <c r="J32" s="102"/>
      <c r="K32" s="102"/>
      <c r="L32" s="102"/>
      <c r="M32" s="102"/>
      <c r="N32" s="102"/>
      <c r="O32" s="102"/>
      <c r="P32" s="102" t="str">
        <f>IF('Data Input'!U62="","",IF(AND('Data Input'!$F$31="No",'Data Input'!$F$35="PASS",'Data Input'!$F$24="PASS",'Data Input'!$F$26="PASS"),'Data Input'!U62,""))</f>
        <v/>
      </c>
      <c r="Q32" s="102" t="str">
        <f>IF('Data Input'!V62="","",IF(AND('Data Input'!$F$31="No",'Data Input'!$F$35="PASS",'Data Input'!$F$24="PASS",'Data Input'!$F$26="PASS"),'Data Input'!V62,""))</f>
        <v/>
      </c>
      <c r="R32">
        <v>30.6</v>
      </c>
      <c r="S32" s="421">
        <f t="shared" si="0"/>
        <v>27.1</v>
      </c>
    </row>
    <row r="33" spans="2:19" x14ac:dyDescent="0.3">
      <c r="B33" s="50">
        <v>26</v>
      </c>
      <c r="C33" s="102"/>
      <c r="D33" s="406">
        <v>0.41</v>
      </c>
      <c r="E33" s="102">
        <v>3.5</v>
      </c>
      <c r="F33" s="422"/>
      <c r="G33" s="102">
        <v>14</v>
      </c>
      <c r="H33" s="102"/>
      <c r="I33" s="102"/>
      <c r="J33" s="102"/>
      <c r="K33" s="102"/>
      <c r="L33" s="102"/>
      <c r="M33" s="102"/>
      <c r="N33" s="102"/>
      <c r="O33" s="102"/>
      <c r="P33" s="102" t="str">
        <f>IF('Data Input'!U63="","",IF(AND('Data Input'!$F$31="No",'Data Input'!$F$35="PASS",'Data Input'!$F$24="PASS",'Data Input'!$F$26="PASS"),'Data Input'!U63,""))</f>
        <v/>
      </c>
      <c r="Q33" s="102" t="str">
        <f>IF('Data Input'!V63="","",IF(AND('Data Input'!$F$31="No",'Data Input'!$F$35="PASS",'Data Input'!$F$24="PASS",'Data Input'!$F$26="PASS"),'Data Input'!V63,""))</f>
        <v/>
      </c>
      <c r="R33">
        <v>30.1</v>
      </c>
      <c r="S33" s="421">
        <f t="shared" si="0"/>
        <v>26.6</v>
      </c>
    </row>
    <row r="34" spans="2:19" x14ac:dyDescent="0.3">
      <c r="B34" s="50">
        <v>27</v>
      </c>
      <c r="C34" s="102"/>
      <c r="D34" s="406"/>
      <c r="E34" s="102"/>
      <c r="F34" s="422"/>
      <c r="G34" s="102"/>
      <c r="H34" s="102"/>
      <c r="I34" s="102"/>
      <c r="J34" s="102"/>
      <c r="K34" s="102"/>
      <c r="L34" s="102"/>
      <c r="M34" s="102"/>
      <c r="N34" s="102"/>
      <c r="O34" s="102"/>
      <c r="P34" s="102" t="str">
        <f>IF('Data Input'!U64="","",IF(AND('Data Input'!$F$31="No",'Data Input'!$F$35="PASS",'Data Input'!$F$24="PASS",'Data Input'!$F$26="PASS"),'Data Input'!U64,""))</f>
        <v/>
      </c>
      <c r="Q34" s="102" t="str">
        <f>IF('Data Input'!V64="","",IF(AND('Data Input'!$F$31="No",'Data Input'!$F$35="PASS",'Data Input'!$F$24="PASS",'Data Input'!$F$26="PASS"),'Data Input'!V64,""))</f>
        <v/>
      </c>
    </row>
    <row r="35" spans="2:19" x14ac:dyDescent="0.3">
      <c r="B35" s="50">
        <v>28</v>
      </c>
      <c r="C35" s="102"/>
      <c r="D35" s="406"/>
      <c r="E35" s="102"/>
      <c r="F35" s="422"/>
      <c r="G35" s="102"/>
      <c r="H35" s="102"/>
      <c r="I35" s="102"/>
      <c r="J35" s="102"/>
      <c r="K35" s="102"/>
      <c r="L35" s="102"/>
      <c r="M35" s="102"/>
      <c r="N35" s="102"/>
      <c r="O35" s="102"/>
      <c r="P35" s="102" t="str">
        <f>IF('Data Input'!U65="","",IF(AND('Data Input'!$F$31="No",'Data Input'!$F$35="PASS",'Data Input'!$F$24="PASS",'Data Input'!$F$26="PASS"),'Data Input'!U65,""))</f>
        <v/>
      </c>
      <c r="Q35" s="102" t="str">
        <f>IF('Data Input'!V65="","",IF(AND('Data Input'!$F$31="No",'Data Input'!$F$35="PASS",'Data Input'!$F$24="PASS",'Data Input'!$F$26="PASS"),'Data Input'!V65,""))</f>
        <v/>
      </c>
    </row>
    <row r="36" spans="2:19" x14ac:dyDescent="0.3">
      <c r="B36" s="50">
        <v>29</v>
      </c>
      <c r="C36" s="102"/>
      <c r="D36" s="406"/>
      <c r="E36" s="102"/>
      <c r="F36" s="422"/>
      <c r="G36" s="102"/>
      <c r="H36" s="102"/>
      <c r="I36" s="102"/>
      <c r="J36" s="102"/>
      <c r="K36" s="102"/>
      <c r="L36" s="102"/>
      <c r="M36" s="102"/>
      <c r="N36" s="102"/>
      <c r="O36" s="102"/>
      <c r="P36" s="102" t="str">
        <f>IF('Data Input'!U66="","",IF(AND('Data Input'!$F$31="No",'Data Input'!$F$35="PASS",'Data Input'!$F$24="PASS",'Data Input'!$F$26="PASS"),'Data Input'!U66,""))</f>
        <v/>
      </c>
      <c r="Q36" s="102" t="str">
        <f>IF('Data Input'!V66="","",IF(AND('Data Input'!$F$31="No",'Data Input'!$F$35="PASS",'Data Input'!$F$24="PASS",'Data Input'!$F$26="PASS"),'Data Input'!V66,""))</f>
        <v/>
      </c>
    </row>
    <row r="37" spans="2:19" x14ac:dyDescent="0.3">
      <c r="B37" s="50">
        <v>30</v>
      </c>
      <c r="C37" s="102"/>
      <c r="D37" s="406"/>
      <c r="E37" s="102"/>
      <c r="F37" s="422"/>
      <c r="G37" s="102"/>
      <c r="H37" s="102"/>
      <c r="I37" s="102"/>
      <c r="J37" s="102"/>
      <c r="K37" s="102"/>
      <c r="L37" s="102"/>
      <c r="M37" s="102"/>
      <c r="N37" s="102"/>
      <c r="O37" s="102"/>
      <c r="P37" s="102" t="str">
        <f>IF('Data Input'!U67="","",IF(AND('Data Input'!$F$31="No",'Data Input'!$F$35="PASS",'Data Input'!$F$24="PASS",'Data Input'!$F$26="PASS"),'Data Input'!U67,""))</f>
        <v/>
      </c>
      <c r="Q37" s="102" t="str">
        <f>IF('Data Input'!V67="","",IF(AND('Data Input'!$F$31="No",'Data Input'!$F$35="PASS",'Data Input'!$F$24="PASS",'Data Input'!$F$26="PASS"),'Data Input'!V67,""))</f>
        <v/>
      </c>
    </row>
    <row r="38" spans="2:19" x14ac:dyDescent="0.3">
      <c r="B38" s="50">
        <v>31</v>
      </c>
      <c r="C38" s="102"/>
      <c r="D38" s="406"/>
      <c r="E38" s="102"/>
      <c r="F38" s="422"/>
      <c r="G38" s="102"/>
      <c r="H38" s="102"/>
      <c r="I38" s="102" t="str">
        <f>IF('Data Input'!AW68="","",IF(AND('Data Input'!$AT$31="No",'Data Input'!$AT$35="Pass",'Data Input'!$AT$24="PASS",'Data Input'!$AT$26="PASS"),'Data Input'!AW68,""))</f>
        <v/>
      </c>
      <c r="J38" s="102"/>
      <c r="K38" s="102"/>
      <c r="L38" s="102"/>
      <c r="M38" s="102"/>
      <c r="N38" s="102"/>
      <c r="O38" s="102"/>
      <c r="P38" s="102" t="str">
        <f>IF('Data Input'!U68="","",IF(AND('Data Input'!$F$31="No",'Data Input'!$F$35="PASS",'Data Input'!$F$24="PASS",'Data Input'!$F$26="PASS"),'Data Input'!U68,""))</f>
        <v/>
      </c>
      <c r="Q38" s="102" t="str">
        <f>IF('Data Input'!V68="","",IF(AND('Data Input'!$F$31="No",'Data Input'!$F$35="PASS",'Data Input'!$F$24="PASS",'Data Input'!$F$26="PASS"),'Data Input'!V68,""))</f>
        <v/>
      </c>
    </row>
    <row r="39" spans="2:19" x14ac:dyDescent="0.3">
      <c r="B39" s="50">
        <v>32</v>
      </c>
      <c r="C39" s="102"/>
      <c r="D39" s="406"/>
      <c r="E39" s="102"/>
      <c r="F39" s="422"/>
      <c r="G39" s="102"/>
      <c r="H39" s="102"/>
      <c r="I39" s="102"/>
      <c r="J39" s="102"/>
      <c r="K39" s="102"/>
      <c r="L39" s="102"/>
      <c r="M39" s="102"/>
      <c r="N39" s="102"/>
      <c r="O39" s="102"/>
      <c r="P39" s="102" t="str">
        <f>IF('Data Input'!U69="","",IF(AND('Data Input'!$F$31="No",'Data Input'!$F$35="PASS",'Data Input'!$F$24="PASS",'Data Input'!$F$26="PASS"),'Data Input'!U69,""))</f>
        <v/>
      </c>
      <c r="Q39" s="102" t="str">
        <f>IF('Data Input'!V69="","",IF(AND('Data Input'!$F$31="No",'Data Input'!$F$35="PASS",'Data Input'!$F$24="PASS",'Data Input'!$F$26="PASS"),'Data Input'!V69,""))</f>
        <v/>
      </c>
    </row>
    <row r="40" spans="2:19" x14ac:dyDescent="0.3">
      <c r="B40" s="50">
        <v>33</v>
      </c>
      <c r="C40" s="102"/>
      <c r="D40" s="406"/>
      <c r="E40" s="102"/>
      <c r="F40" s="422"/>
      <c r="G40" s="102"/>
      <c r="H40" s="102"/>
      <c r="I40" s="102"/>
      <c r="J40" s="102"/>
      <c r="K40" s="102"/>
      <c r="L40" s="102"/>
      <c r="M40" s="102"/>
      <c r="N40" s="102"/>
      <c r="O40" s="102"/>
      <c r="P40" s="102" t="str">
        <f>IF('Data Input'!U70="","",IF(AND('Data Input'!$F$31="No",'Data Input'!$F$35="PASS",'Data Input'!$F$24="PASS",'Data Input'!$F$26="PASS"),'Data Input'!U70,""))</f>
        <v/>
      </c>
      <c r="Q40" s="102" t="str">
        <f>IF('Data Input'!V70="","",IF(AND('Data Input'!$F$31="No",'Data Input'!$F$35="PASS",'Data Input'!$F$24="PASS",'Data Input'!$F$26="PASS"),'Data Input'!V70,""))</f>
        <v/>
      </c>
    </row>
    <row r="41" spans="2:19" x14ac:dyDescent="0.3">
      <c r="B41" s="50">
        <v>34</v>
      </c>
      <c r="C41" s="102"/>
      <c r="D41" s="406"/>
      <c r="E41" s="102"/>
      <c r="F41" s="422"/>
      <c r="G41" s="102"/>
      <c r="H41" s="102"/>
      <c r="I41" s="102"/>
      <c r="J41" s="102"/>
      <c r="K41" s="102"/>
      <c r="L41" s="102"/>
      <c r="M41" s="102"/>
      <c r="N41" s="102"/>
      <c r="O41" s="102"/>
      <c r="P41" s="102" t="str">
        <f>IF('Data Input'!U71="","",IF(AND('Data Input'!$F$31="No",'Data Input'!$F$35="PASS",'Data Input'!$F$24="PASS",'Data Input'!$F$26="PASS"),'Data Input'!U71,""))</f>
        <v/>
      </c>
      <c r="Q41" s="102" t="str">
        <f>IF('Data Input'!V71="","",IF(AND('Data Input'!$F$31="No",'Data Input'!$F$35="PASS",'Data Input'!$F$24="PASS",'Data Input'!$F$26="PASS"),'Data Input'!V71,""))</f>
        <v/>
      </c>
    </row>
    <row r="42" spans="2:19" x14ac:dyDescent="0.3">
      <c r="B42" s="50">
        <v>35</v>
      </c>
      <c r="C42" s="102"/>
      <c r="D42" s="102"/>
      <c r="E42" s="102"/>
      <c r="F42" s="422"/>
      <c r="G42" s="102"/>
      <c r="H42" s="102"/>
      <c r="I42" s="102"/>
      <c r="J42" s="102"/>
      <c r="K42" s="102"/>
      <c r="L42" s="102"/>
      <c r="M42" s="102"/>
      <c r="N42" s="102"/>
      <c r="O42" s="102"/>
      <c r="P42" s="102" t="str">
        <f>IF('Data Input'!U72="","",IF(AND('Data Input'!$F$31="No",'Data Input'!$F$35="PASS",'Data Input'!$F$24="PASS",'Data Input'!$F$26="PASS"),'Data Input'!U72,""))</f>
        <v/>
      </c>
      <c r="Q42" s="102" t="str">
        <f>IF('Data Input'!V72="","",IF(AND('Data Input'!$F$31="No",'Data Input'!$F$35="PASS",'Data Input'!$F$24="PASS",'Data Input'!$F$26="PASS"),'Data Input'!V72,""))</f>
        <v/>
      </c>
    </row>
    <row r="43" spans="2:19" x14ac:dyDescent="0.3">
      <c r="B43" s="50">
        <v>36</v>
      </c>
      <c r="C43" s="102"/>
      <c r="D43" s="102"/>
      <c r="E43" s="102"/>
      <c r="F43" s="422"/>
      <c r="G43" s="102"/>
      <c r="H43" s="102"/>
      <c r="I43" s="102"/>
      <c r="J43" s="102"/>
      <c r="K43" s="102"/>
      <c r="L43" s="102"/>
      <c r="M43" s="102"/>
      <c r="N43" s="102"/>
      <c r="O43" s="102"/>
      <c r="P43" s="102" t="str">
        <f>IF('Data Input'!U73="","",IF(AND('Data Input'!$F$31="No",'Data Input'!$F$35="PASS",'Data Input'!$F$24="PASS",'Data Input'!$F$26="PASS"),'Data Input'!U73,""))</f>
        <v/>
      </c>
      <c r="Q43" s="102" t="str">
        <f>IF('Data Input'!V73="","",IF(AND('Data Input'!$F$31="No",'Data Input'!$F$35="PASS",'Data Input'!$F$24="PASS",'Data Input'!$F$26="PASS"),'Data Input'!V73,""))</f>
        <v/>
      </c>
    </row>
    <row r="44" spans="2:19" x14ac:dyDescent="0.3">
      <c r="B44" s="50">
        <v>37</v>
      </c>
      <c r="C44" s="102"/>
      <c r="D44" s="102"/>
      <c r="E44" s="102"/>
      <c r="F44" s="422"/>
      <c r="G44" s="102"/>
      <c r="H44" s="102"/>
      <c r="I44" s="102"/>
      <c r="J44" s="102"/>
      <c r="K44" s="102"/>
      <c r="L44" s="102"/>
      <c r="M44" s="102"/>
      <c r="N44" s="102"/>
      <c r="O44" s="102"/>
      <c r="P44" s="102" t="str">
        <f>IF('Data Input'!U74="","",IF(AND('Data Input'!$F$31="No",'Data Input'!$F$35="PASS",'Data Input'!$F$24="PASS",'Data Input'!$F$26="PASS"),'Data Input'!U74,""))</f>
        <v/>
      </c>
      <c r="Q44" s="102" t="str">
        <f>IF('Data Input'!V74="","",IF(AND('Data Input'!$F$31="No",'Data Input'!$F$35="PASS",'Data Input'!$F$24="PASS",'Data Input'!$F$26="PASS"),'Data Input'!V74,""))</f>
        <v/>
      </c>
    </row>
    <row r="45" spans="2:19" x14ac:dyDescent="0.3">
      <c r="B45" s="50">
        <v>38</v>
      </c>
      <c r="C45" s="102"/>
      <c r="D45" s="102"/>
      <c r="E45" s="102"/>
      <c r="F45" s="422"/>
      <c r="G45" s="102"/>
      <c r="H45" s="102"/>
      <c r="I45" s="102"/>
      <c r="J45" s="102"/>
      <c r="K45" s="102"/>
      <c r="L45" s="102"/>
      <c r="M45" s="102"/>
      <c r="N45" s="102"/>
      <c r="O45" s="102"/>
      <c r="P45" s="102" t="str">
        <f>IF('Data Input'!U75="","",IF(AND('Data Input'!$F$31="No",'Data Input'!$F$35="PASS",'Data Input'!$F$24="PASS",'Data Input'!$F$26="PASS"),'Data Input'!U75,""))</f>
        <v/>
      </c>
      <c r="Q45" s="102" t="str">
        <f>IF('Data Input'!V75="","",IF(AND('Data Input'!$F$31="No",'Data Input'!$F$35="PASS",'Data Input'!$F$24="PASS",'Data Input'!$F$26="PASS"),'Data Input'!V75,""))</f>
        <v/>
      </c>
    </row>
    <row r="46" spans="2:19" x14ac:dyDescent="0.3">
      <c r="B46" s="50">
        <v>39</v>
      </c>
      <c r="C46" s="102"/>
      <c r="D46" s="102"/>
      <c r="E46" s="102"/>
      <c r="F46" s="422"/>
      <c r="G46" s="102"/>
      <c r="H46" s="102"/>
      <c r="I46" s="102"/>
      <c r="J46" s="102"/>
      <c r="K46" s="102"/>
      <c r="L46" s="102"/>
      <c r="M46" s="102"/>
      <c r="N46" s="102"/>
      <c r="O46" s="102"/>
      <c r="P46" s="102" t="str">
        <f>IF('Data Input'!U76="","",IF(AND('Data Input'!$F$31="No",'Data Input'!$F$35="PASS",'Data Input'!$F$24="PASS",'Data Input'!$F$26="PASS"),'Data Input'!U76,""))</f>
        <v/>
      </c>
      <c r="Q46" s="102" t="str">
        <f>IF('Data Input'!V76="","",IF(AND('Data Input'!$F$31="No",'Data Input'!$F$35="PASS",'Data Input'!$F$24="PASS",'Data Input'!$F$26="PASS"),'Data Input'!V76,""))</f>
        <v/>
      </c>
    </row>
    <row r="47" spans="2:19" x14ac:dyDescent="0.3">
      <c r="B47" s="50">
        <v>40</v>
      </c>
      <c r="C47" s="102"/>
      <c r="D47" s="102"/>
      <c r="E47" s="102"/>
      <c r="F47" s="422"/>
      <c r="G47" s="102"/>
      <c r="H47" s="102"/>
      <c r="I47" s="102"/>
      <c r="J47" s="102"/>
      <c r="K47" s="102"/>
      <c r="L47" s="102"/>
      <c r="M47" s="102"/>
      <c r="N47" s="102"/>
      <c r="O47" s="102"/>
      <c r="P47" s="102" t="str">
        <f>IF('Data Input'!U77="","",IF(AND('Data Input'!$F$31="No",'Data Input'!$F$35="PASS",'Data Input'!$F$24="PASS",'Data Input'!$F$26="PASS"),'Data Input'!U77,""))</f>
        <v/>
      </c>
      <c r="Q47" s="102" t="str">
        <f>IF('Data Input'!V77="","",IF(AND('Data Input'!$F$31="No",'Data Input'!$F$35="PASS",'Data Input'!$F$24="PASS",'Data Input'!$F$26="PASS"),'Data Input'!V77,""))</f>
        <v/>
      </c>
    </row>
    <row r="48" spans="2:19" x14ac:dyDescent="0.3">
      <c r="B48" s="50">
        <v>41</v>
      </c>
      <c r="C48" s="102"/>
      <c r="D48" s="102"/>
      <c r="E48" s="102"/>
      <c r="F48" s="102"/>
      <c r="G48" s="102"/>
      <c r="H48" s="102"/>
      <c r="I48" s="102"/>
      <c r="J48" s="102"/>
      <c r="K48" s="102"/>
      <c r="L48" s="102"/>
      <c r="M48" s="102"/>
      <c r="N48" s="102"/>
      <c r="O48" s="102"/>
      <c r="P48" s="102" t="str">
        <f>IF('Data Input'!U78="","",IF(AND('Data Input'!$F$31="No",'Data Input'!$F$35="PASS",'Data Input'!$F$24="PASS",'Data Input'!$F$26="PASS"),'Data Input'!U78,""))</f>
        <v/>
      </c>
      <c r="Q48" s="102" t="str">
        <f>IF('Data Input'!V78="","",IF(AND('Data Input'!$F$31="No",'Data Input'!$F$35="PASS",'Data Input'!$F$24="PASS",'Data Input'!$F$26="PASS"),'Data Input'!V78,""))</f>
        <v/>
      </c>
    </row>
    <row r="49" spans="2:18" x14ac:dyDescent="0.3">
      <c r="B49" s="50">
        <v>42</v>
      </c>
      <c r="C49" s="102"/>
      <c r="D49" s="102"/>
      <c r="E49" s="102"/>
      <c r="F49" s="102"/>
      <c r="G49" s="102"/>
      <c r="H49" s="102"/>
      <c r="I49" s="102"/>
      <c r="J49" s="102"/>
      <c r="K49" s="102"/>
      <c r="L49" s="102"/>
      <c r="M49" s="102"/>
      <c r="N49" s="102"/>
      <c r="O49" s="102"/>
      <c r="P49" s="102" t="str">
        <f>IF('Data Input'!U79="","",IF(AND('Data Input'!$F$31="No",'Data Input'!$F$35="PASS",'Data Input'!$F$24="PASS",'Data Input'!$F$26="PASS"),'Data Input'!U79,""))</f>
        <v/>
      </c>
      <c r="Q49" s="102" t="str">
        <f>IF('Data Input'!V79="","",IF(AND('Data Input'!$F$31="No",'Data Input'!$F$35="PASS",'Data Input'!$F$24="PASS",'Data Input'!$F$26="PASS"),'Data Input'!V79,""))</f>
        <v/>
      </c>
    </row>
    <row r="50" spans="2:18" x14ac:dyDescent="0.3">
      <c r="B50" s="50">
        <v>43</v>
      </c>
      <c r="C50" s="102"/>
      <c r="D50" s="102"/>
      <c r="E50" s="102"/>
      <c r="F50" s="102"/>
      <c r="G50" s="102"/>
      <c r="H50" s="102"/>
      <c r="I50" s="102"/>
      <c r="J50" s="102"/>
      <c r="K50" s="102"/>
      <c r="L50" s="102"/>
      <c r="M50" s="102"/>
      <c r="N50" s="102"/>
      <c r="O50" s="102"/>
      <c r="P50" s="102" t="str">
        <f>IF('Data Input'!U80="","",IF(AND('Data Input'!$F$31="No",'Data Input'!$F$35="PASS",'Data Input'!$F$24="PASS",'Data Input'!$F$26="PASS"),'Data Input'!U80,""))</f>
        <v/>
      </c>
      <c r="Q50" s="102" t="str">
        <f>IF('Data Input'!V80="","",IF(AND('Data Input'!$F$31="No",'Data Input'!$F$35="PASS",'Data Input'!$F$24="PASS",'Data Input'!$F$26="PASS"),'Data Input'!V80,""))</f>
        <v/>
      </c>
    </row>
    <row r="51" spans="2:18" x14ac:dyDescent="0.3">
      <c r="B51" s="50">
        <v>44</v>
      </c>
      <c r="C51" s="102"/>
      <c r="D51" s="102"/>
      <c r="E51" s="102" t="str">
        <f>IF('Data Input'!X81="","",IF('Data Input'!$V$31="No",'Data Input'!X81,""))</f>
        <v/>
      </c>
      <c r="F51" s="102"/>
      <c r="G51" s="102" t="str">
        <f>IF('Data Input'!AN81="","",IF(AND('Data Input'!$AL$31="No",'Data Input'!$AL$35="Pass",'Data Input'!$AL$24="PASS",'Data Input'!$AL$26="PASS"),'Data Input'!AN81,""))</f>
        <v/>
      </c>
      <c r="H51" s="102"/>
      <c r="I51" s="102"/>
      <c r="J51" s="102"/>
      <c r="K51" s="102"/>
      <c r="L51" s="102"/>
      <c r="M51" s="102"/>
      <c r="N51" s="102"/>
      <c r="O51" s="102"/>
      <c r="P51" s="102" t="str">
        <f>IF('Data Input'!U81="","",IF(AND('Data Input'!$F$31="No",'Data Input'!$F$35="PASS",'Data Input'!$F$24="PASS",'Data Input'!$F$26="PASS"),'Data Input'!U81,""))</f>
        <v/>
      </c>
      <c r="Q51" s="102" t="str">
        <f>IF('Data Input'!V81="","",IF(AND('Data Input'!$F$31="No",'Data Input'!$F$35="PASS",'Data Input'!$F$24="PASS",'Data Input'!$F$26="PASS"),'Data Input'!V81,""))</f>
        <v/>
      </c>
    </row>
    <row r="52" spans="2:18" x14ac:dyDescent="0.3">
      <c r="B52" s="50">
        <v>45</v>
      </c>
      <c r="C52" s="102"/>
      <c r="D52" s="102" t="str">
        <f>IF('Data Input'!P82="","",IF(AND('Data Input'!$N$31="No",'Data Input'!$N$35="PASS",'Data Input'!$N$24="PASS",'Data Input'!$N$26="PASS"),'Data Input'!P82,""))</f>
        <v/>
      </c>
      <c r="E52" s="102" t="str">
        <f>IF('Data Input'!X82="","",IF('Data Input'!$V$31="No",'Data Input'!X82,""))</f>
        <v/>
      </c>
      <c r="F52" s="102"/>
      <c r="G52" s="102" t="str">
        <f>IF('Data Input'!AN82="","",IF(AND('Data Input'!$AL$31="No",'Data Input'!$AL$35="Pass",'Data Input'!$AL$24="PASS",'Data Input'!$AL$26="PASS"),'Data Input'!AN82,""))</f>
        <v/>
      </c>
      <c r="H52" s="102"/>
      <c r="I52" s="102"/>
      <c r="J52" s="102"/>
      <c r="K52" s="102"/>
      <c r="L52" s="102"/>
      <c r="M52" s="102"/>
      <c r="N52" s="102"/>
      <c r="O52" s="102"/>
      <c r="P52" s="102" t="str">
        <f>IF('Data Input'!U82="","",IF(AND('Data Input'!$F$31="No",'Data Input'!$F$35="PASS",'Data Input'!$F$24="PASS",'Data Input'!$F$26="PASS"),'Data Input'!U82,""))</f>
        <v/>
      </c>
      <c r="Q52" s="102" t="str">
        <f>IF('Data Input'!V82="","",IF(AND('Data Input'!$F$31="No",'Data Input'!$F$35="PASS",'Data Input'!$F$24="PASS",'Data Input'!$F$26="PASS"),'Data Input'!V82,""))</f>
        <v/>
      </c>
    </row>
    <row r="53" spans="2:18" x14ac:dyDescent="0.3">
      <c r="B53" s="50">
        <v>46</v>
      </c>
      <c r="C53" s="102"/>
      <c r="D53" s="102" t="str">
        <f>IF('Data Input'!P83="","",IF(AND('Data Input'!$N$31="No",'Data Input'!$N$35="PASS",'Data Input'!$N$24="PASS",'Data Input'!$N$26="PASS"),'Data Input'!P83,""))</f>
        <v/>
      </c>
      <c r="E53" s="102" t="str">
        <f>IF('Data Input'!X83="","",IF('Data Input'!$V$31="No",'Data Input'!X83,""))</f>
        <v/>
      </c>
      <c r="F53" s="102"/>
      <c r="G53" s="102" t="str">
        <f>IF('Data Input'!AN83="","",IF(AND('Data Input'!$AL$31="No",'Data Input'!$AL$35="Pass",'Data Input'!$AL$24="PASS",'Data Input'!$AL$26="PASS"),'Data Input'!AN83,""))</f>
        <v/>
      </c>
      <c r="H53" s="102"/>
      <c r="I53" s="102"/>
      <c r="J53" s="102"/>
      <c r="K53" s="102"/>
      <c r="L53" s="102"/>
      <c r="M53" s="102"/>
      <c r="N53" s="102"/>
      <c r="O53" s="102"/>
      <c r="P53" s="102" t="str">
        <f>IF('Data Input'!U83="","",IF(AND('Data Input'!$F$31="No",'Data Input'!$F$35="PASS",'Data Input'!$F$24="PASS",'Data Input'!$F$26="PASS"),'Data Input'!U83,""))</f>
        <v/>
      </c>
      <c r="Q53" s="102" t="str">
        <f>IF('Data Input'!V83="","",IF(AND('Data Input'!$F$31="No",'Data Input'!$F$35="PASS",'Data Input'!$F$24="PASS",'Data Input'!$F$26="PASS"),'Data Input'!V83,""))</f>
        <v/>
      </c>
    </row>
    <row r="54" spans="2:18" x14ac:dyDescent="0.3">
      <c r="B54" s="50">
        <v>47</v>
      </c>
      <c r="C54" s="102"/>
      <c r="D54" s="102" t="str">
        <f>IF('Data Input'!P84="","",IF(AND('Data Input'!$N$31="No",'Data Input'!$N$35="PASS",'Data Input'!$N$24="PASS",'Data Input'!$N$26="PASS"),'Data Input'!P84,""))</f>
        <v/>
      </c>
      <c r="E54" s="102" t="str">
        <f>IF('Data Input'!X84="","",IF('Data Input'!$V$31="No",'Data Input'!X84,""))</f>
        <v/>
      </c>
      <c r="F54" s="102"/>
      <c r="G54" s="102" t="str">
        <f>IF('Data Input'!AN84="","",IF(AND('Data Input'!$AL$31="No",'Data Input'!$AL$35="Pass",'Data Input'!$AL$24="PASS",'Data Input'!$AL$26="PASS"),'Data Input'!AN84,""))</f>
        <v/>
      </c>
      <c r="H54" s="102"/>
      <c r="I54" s="102"/>
      <c r="J54" s="102"/>
      <c r="K54" s="102"/>
      <c r="L54" s="102"/>
      <c r="M54" s="102"/>
      <c r="N54" s="102"/>
      <c r="O54" s="102"/>
      <c r="P54" s="102" t="str">
        <f>IF('Data Input'!U84="","",IF(AND('Data Input'!$F$31="No",'Data Input'!$F$35="PASS",'Data Input'!$F$24="PASS",'Data Input'!$F$26="PASS"),'Data Input'!U84,""))</f>
        <v/>
      </c>
      <c r="Q54" s="102" t="str">
        <f>IF('Data Input'!V84="","",IF(AND('Data Input'!$F$31="No",'Data Input'!$F$35="PASS",'Data Input'!$F$24="PASS",'Data Input'!$F$26="PASS"),'Data Input'!V84,""))</f>
        <v/>
      </c>
    </row>
    <row r="55" spans="2:18" x14ac:dyDescent="0.3">
      <c r="B55" s="50">
        <v>48</v>
      </c>
      <c r="C55" s="102"/>
      <c r="D55" s="102" t="str">
        <f>IF('Data Input'!P85="","",IF(AND('Data Input'!$N$31="No",'Data Input'!$N$35="PASS",'Data Input'!$N$24="PASS",'Data Input'!$N$26="PASS"),'Data Input'!P85,""))</f>
        <v/>
      </c>
      <c r="E55" s="102" t="str">
        <f>IF('Data Input'!X85="","",IF('Data Input'!$V$31="No",'Data Input'!X85,""))</f>
        <v/>
      </c>
      <c r="F55" s="102" t="str">
        <f>IF('Data Input'!AF85="","",IF(AND('Data Input'!$AD$31="No",'Data Input'!$AD$35="Pass",'Data Input'!$AD$24="PASS",'Data Input'!$AD$26="PASS"),'Data Input'!AF85,""))</f>
        <v/>
      </c>
      <c r="G55" s="102" t="str">
        <f>IF('Data Input'!AN85="","",IF(AND('Data Input'!$AL$31="No",'Data Input'!$AL$35="Pass",'Data Input'!$AL$24="PASS",'Data Input'!$AL$26="PASS"),'Data Input'!AN85,""))</f>
        <v/>
      </c>
      <c r="H55" s="102"/>
      <c r="I55" s="102"/>
      <c r="J55" s="102"/>
      <c r="K55" s="102"/>
      <c r="L55" s="102"/>
      <c r="M55" s="102"/>
      <c r="N55" s="102"/>
      <c r="O55" s="102"/>
      <c r="P55" s="102" t="str">
        <f>IF('Data Input'!U85="","",IF(AND('Data Input'!$F$31="No",'Data Input'!$F$35="PASS",'Data Input'!$F$24="PASS",'Data Input'!$F$26="PASS"),'Data Input'!U85,""))</f>
        <v/>
      </c>
      <c r="Q55" s="102" t="str">
        <f>IF('Data Input'!V85="","",IF(AND('Data Input'!$F$31="No",'Data Input'!$F$35="PASS",'Data Input'!$F$24="PASS",'Data Input'!$F$26="PASS"),'Data Input'!V85,""))</f>
        <v/>
      </c>
    </row>
    <row r="56" spans="2:18" x14ac:dyDescent="0.3">
      <c r="B56" s="50">
        <v>49</v>
      </c>
      <c r="C56" s="102"/>
      <c r="D56" s="102" t="str">
        <f>IF('Data Input'!P86="","",IF(AND('Data Input'!$N$31="No",'Data Input'!$N$35="PASS",'Data Input'!$N$24="PASS",'Data Input'!$N$26="PASS"),'Data Input'!P86,""))</f>
        <v/>
      </c>
      <c r="E56" s="102" t="str">
        <f>IF('Data Input'!X86="","",IF('Data Input'!$V$31="No",'Data Input'!X86,""))</f>
        <v/>
      </c>
      <c r="F56" s="102" t="str">
        <f>IF('Data Input'!AF86="","",IF(AND('Data Input'!$AD$31="No",'Data Input'!$AD$35="Pass",'Data Input'!$AD$24="PASS",'Data Input'!$AD$26="PASS"),'Data Input'!AF86,""))</f>
        <v/>
      </c>
      <c r="G56" s="102" t="str">
        <f>IF('Data Input'!AN86="","",IF(AND('Data Input'!$AL$31="No",'Data Input'!$AL$35="Pass",'Data Input'!$AL$24="PASS",'Data Input'!$AL$26="PASS"),'Data Input'!AN86,""))</f>
        <v/>
      </c>
      <c r="H56" s="102" t="str">
        <f>IF('Data Input'!AV86="","",IF(AND('Data Input'!$AT$31="No",'Data Input'!$AT$35="Pass",'Data Input'!$AT$24="PASS",'Data Input'!$AT$26="PASS"),'Data Input'!AV86,""))</f>
        <v/>
      </c>
      <c r="I56" s="102"/>
      <c r="J56" s="102"/>
      <c r="K56" s="102"/>
      <c r="L56" s="102"/>
      <c r="M56" s="102"/>
      <c r="N56" s="102"/>
      <c r="O56" s="102"/>
      <c r="P56" s="102" t="str">
        <f>IF('Data Input'!U86="","",IF(AND('Data Input'!$F$31="No",'Data Input'!$F$35="PASS",'Data Input'!$F$24="PASS",'Data Input'!$F$26="PASS"),'Data Input'!U86,""))</f>
        <v/>
      </c>
      <c r="Q56" s="102" t="str">
        <f>IF('Data Input'!V86="","",IF(AND('Data Input'!$F$31="No",'Data Input'!$F$35="PASS",'Data Input'!$F$24="PASS",'Data Input'!$F$26="PASS"),'Data Input'!V86,""))</f>
        <v/>
      </c>
    </row>
    <row r="57" spans="2:18" x14ac:dyDescent="0.3">
      <c r="B57" s="50">
        <v>50</v>
      </c>
      <c r="C57" s="102"/>
      <c r="D57" s="102" t="str">
        <f>IF('Data Input'!P87="","",IF(AND('Data Input'!$N$31="No",'Data Input'!$N$35="PASS",'Data Input'!$N$24="PASS",'Data Input'!$N$26="PASS"),'Data Input'!P87,""))</f>
        <v/>
      </c>
      <c r="E57" s="102" t="str">
        <f>IF('Data Input'!X87="","",IF('Data Input'!$V$31="No",'Data Input'!X87,""))</f>
        <v/>
      </c>
      <c r="F57" s="102" t="str">
        <f>IF('Data Input'!AF87="","",IF(AND('Data Input'!$AD$31="No",'Data Input'!$AD$35="Pass",'Data Input'!$AD$24="PASS",'Data Input'!$AD$26="PASS"),'Data Input'!AF87,""))</f>
        <v/>
      </c>
      <c r="G57" s="102" t="str">
        <f>IF('Data Input'!AN87="","",IF(AND('Data Input'!$AL$31="No",'Data Input'!$AL$35="Pass",'Data Input'!$AL$24="PASS",'Data Input'!$AL$26="PASS"),'Data Input'!AN87,""))</f>
        <v/>
      </c>
      <c r="H57" s="102" t="str">
        <f>IF('Data Input'!AV87="","",IF(AND('Data Input'!$AT$31="No",'Data Input'!$AT$35="Pass",'Data Input'!$AT$24="PASS",'Data Input'!$AT$26="PASS"),'Data Input'!AV87,""))</f>
        <v/>
      </c>
      <c r="I57" s="102"/>
      <c r="J57" s="102"/>
      <c r="K57" s="102"/>
      <c r="L57" s="102"/>
      <c r="M57" s="102"/>
      <c r="N57" s="102"/>
      <c r="O57" s="102"/>
      <c r="P57" s="102" t="str">
        <f>IF('Data Input'!U87="","",IF(AND('Data Input'!$F$31="No",'Data Input'!$F$35="PASS",'Data Input'!$F$24="PASS",'Data Input'!$F$26="PASS"),'Data Input'!U87,""))</f>
        <v/>
      </c>
      <c r="Q57" s="102" t="str">
        <f>IF('Data Input'!V87="","",IF(AND('Data Input'!$F$31="No",'Data Input'!$F$35="PASS",'Data Input'!$F$24="PASS",'Data Input'!$F$26="PASS"),'Data Input'!V87,""))</f>
        <v/>
      </c>
    </row>
    <row r="58" spans="2:18" x14ac:dyDescent="0.3">
      <c r="B58" s="51" t="s">
        <v>16</v>
      </c>
      <c r="C58" s="56">
        <f>AVERAGE(C8:C32)</f>
        <v>23.751363636363635</v>
      </c>
      <c r="D58" s="56">
        <f>AVERAGE(D9:D57)</f>
        <v>0.46</v>
      </c>
      <c r="E58" s="56">
        <f>AVERAGE(E8:E57)</f>
        <v>3.6607692307692301</v>
      </c>
      <c r="F58" s="56">
        <f>AVERAGE(F8:F54)</f>
        <v>28.697142857142861</v>
      </c>
      <c r="G58" s="56">
        <f t="shared" ref="G58" si="1">AVERAGE(G8:G57)</f>
        <v>13.865384615384617</v>
      </c>
      <c r="H58" s="56">
        <f>AVERAGE(H8:H29)</f>
        <v>22.188571428571429</v>
      </c>
      <c r="I58" s="56" t="e">
        <f t="shared" ref="I58:J58" si="2">AVERAGE(I8:I57)</f>
        <v>#REF!</v>
      </c>
      <c r="J58" s="386">
        <f t="shared" si="2"/>
        <v>124.73727272727274</v>
      </c>
      <c r="K58" s="386">
        <f t="shared" ref="K58:L58" si="3">AVERAGE(K8:K57)</f>
        <v>1453.65</v>
      </c>
      <c r="L58" s="386">
        <f t="shared" si="3"/>
        <v>1260</v>
      </c>
      <c r="M58" s="386">
        <f t="shared" ref="M58:P58" si="4">AVERAGE(M8:M57)</f>
        <v>1290</v>
      </c>
      <c r="N58" s="386">
        <f t="shared" si="4"/>
        <v>1310</v>
      </c>
      <c r="O58" s="386">
        <f t="shared" si="4"/>
        <v>1360</v>
      </c>
      <c r="P58" s="56">
        <f t="shared" si="4"/>
        <v>26.432000000000006</v>
      </c>
      <c r="Q58" s="56">
        <f t="shared" ref="Q58" si="5">AVERAGE(Q8:Q57)</f>
        <v>23.149999999999991</v>
      </c>
    </row>
    <row r="59" spans="2:18" x14ac:dyDescent="0.3">
      <c r="B59" s="52" t="s">
        <v>17</v>
      </c>
      <c r="C59" s="57">
        <f>MEDIAN(C8:C32)</f>
        <v>23.734999999999999</v>
      </c>
      <c r="D59" s="57">
        <f>MEDIAN(D9:D57)</f>
        <v>0.46</v>
      </c>
      <c r="E59" s="57">
        <f t="shared" ref="E59:G59" si="6">MEDIAN(E8:E57)</f>
        <v>3.6</v>
      </c>
      <c r="F59" s="57">
        <f>MEDIAN(F8:F28)</f>
        <v>28.72</v>
      </c>
      <c r="G59" s="57">
        <f t="shared" si="6"/>
        <v>13.95</v>
      </c>
      <c r="H59" s="57">
        <f>MEDIAN(H8:H29)</f>
        <v>22.21</v>
      </c>
      <c r="I59" s="57" t="e">
        <f t="shared" ref="I59:J59" si="7">MEDIAN(I8:I57)</f>
        <v>#REF!</v>
      </c>
      <c r="J59" s="387">
        <f t="shared" si="7"/>
        <v>29.01</v>
      </c>
      <c r="K59" s="387">
        <f t="shared" ref="K59:L59" si="8">MEDIAN(K8:K57)</f>
        <v>1456</v>
      </c>
      <c r="L59" s="387">
        <f t="shared" si="8"/>
        <v>1260</v>
      </c>
      <c r="M59" s="387">
        <f t="shared" ref="M59:P59" si="9">MEDIAN(M8:M57)</f>
        <v>1290</v>
      </c>
      <c r="N59" s="387">
        <f t="shared" si="9"/>
        <v>1310</v>
      </c>
      <c r="O59" s="387">
        <f t="shared" si="9"/>
        <v>1360</v>
      </c>
      <c r="P59" s="57">
        <f t="shared" si="9"/>
        <v>26.431999999999999</v>
      </c>
      <c r="Q59" s="57">
        <f t="shared" ref="Q59" si="10">MEDIAN(Q8:Q57)</f>
        <v>23.15</v>
      </c>
    </row>
    <row r="60" spans="2:18" x14ac:dyDescent="0.3">
      <c r="B60" s="52" t="s">
        <v>294</v>
      </c>
      <c r="C60" s="384">
        <f>STDEV(C8:C32)</f>
        <v>0.10579834612738513</v>
      </c>
      <c r="D60" s="384">
        <f t="shared" ref="D60:G60" si="11">STDEV(D8:D57)</f>
        <v>4.0147803848357068E-2</v>
      </c>
      <c r="E60" s="57">
        <f t="shared" si="11"/>
        <v>0.15120643046968807</v>
      </c>
      <c r="F60" s="57">
        <f>STDEV(F8:F54)</f>
        <v>0.19066050606097854</v>
      </c>
      <c r="G60" s="57">
        <f t="shared" si="11"/>
        <v>0.36325451979823487</v>
      </c>
      <c r="H60" s="57">
        <f>STDEV(H8:H29)</f>
        <v>0.16523576229998491</v>
      </c>
      <c r="I60" s="57" t="e">
        <f t="shared" ref="I60" si="12">STDEV(I8:I57)</f>
        <v>#REF!</v>
      </c>
      <c r="J60" s="387">
        <v>5.5</v>
      </c>
      <c r="K60" s="387">
        <f t="shared" ref="K60" si="13">STDEV(K8:K57)</f>
        <v>5.2141003159953838</v>
      </c>
      <c r="L60" s="387">
        <v>10</v>
      </c>
      <c r="M60" s="387">
        <v>10</v>
      </c>
      <c r="N60" s="387">
        <v>10</v>
      </c>
      <c r="O60" s="387">
        <v>10</v>
      </c>
      <c r="P60" s="57">
        <f>P68</f>
        <v>0.04</v>
      </c>
      <c r="Q60" s="57">
        <v>0.1</v>
      </c>
    </row>
    <row r="61" spans="2:18" x14ac:dyDescent="0.3">
      <c r="B61" s="53" t="s">
        <v>18</v>
      </c>
      <c r="C61" s="58">
        <f t="shared" ref="C61:H61" si="14">C60/C58</f>
        <v>4.4544114496822629E-3</v>
      </c>
      <c r="D61" s="58">
        <f t="shared" si="14"/>
        <v>8.7277834452950148E-2</v>
      </c>
      <c r="E61" s="58">
        <f t="shared" si="14"/>
        <v>4.1304551294514505E-2</v>
      </c>
      <c r="F61" s="58">
        <f t="shared" si="14"/>
        <v>6.6438846198070963E-3</v>
      </c>
      <c r="G61" s="58">
        <f t="shared" si="14"/>
        <v>2.6198661622064093E-2</v>
      </c>
      <c r="H61" s="58">
        <f t="shared" si="14"/>
        <v>7.4468860166101878E-3</v>
      </c>
      <c r="I61" s="58" t="e">
        <f t="shared" ref="I61:J61" si="15">I60/I58</f>
        <v>#REF!</v>
      </c>
      <c r="J61" s="58">
        <f t="shared" si="15"/>
        <v>4.4092674785549263E-2</v>
      </c>
      <c r="K61" s="58">
        <f t="shared" ref="K61:L61" si="16">K60/K58</f>
        <v>3.5869021538853119E-3</v>
      </c>
      <c r="L61" s="58">
        <f t="shared" si="16"/>
        <v>7.9365079365079361E-3</v>
      </c>
      <c r="M61" s="58">
        <f t="shared" ref="M61:P61" si="17">M60/M58</f>
        <v>7.7519379844961239E-3</v>
      </c>
      <c r="N61" s="58">
        <f t="shared" si="17"/>
        <v>7.6335877862595417E-3</v>
      </c>
      <c r="O61" s="58">
        <f t="shared" si="17"/>
        <v>7.3529411764705881E-3</v>
      </c>
      <c r="P61" s="58">
        <f t="shared" si="17"/>
        <v>1.5133171912832927E-3</v>
      </c>
      <c r="Q61" s="58">
        <f t="shared" ref="Q61" si="18">Q60/Q58</f>
        <v>4.3196544276457903E-3</v>
      </c>
    </row>
    <row r="62" spans="2:18" x14ac:dyDescent="0.3">
      <c r="B62" s="52" t="s">
        <v>94</v>
      </c>
      <c r="C62" s="57">
        <f t="shared" ref="C62:H62" si="19">C58+(2*C60)</f>
        <v>23.962960328618404</v>
      </c>
      <c r="D62" s="57">
        <f t="shared" si="19"/>
        <v>0.54029560769671414</v>
      </c>
      <c r="E62" s="57">
        <f t="shared" si="19"/>
        <v>3.9631820917086062</v>
      </c>
      <c r="F62" s="57">
        <f>F58+(2.5*F60)</f>
        <v>29.173794122295309</v>
      </c>
      <c r="G62" s="57">
        <f t="shared" si="19"/>
        <v>14.591893654981087</v>
      </c>
      <c r="H62" s="57">
        <f t="shared" si="19"/>
        <v>22.519042953171397</v>
      </c>
      <c r="I62" s="57" t="e">
        <f t="shared" ref="I62:J62" si="20">I58+(2*I60)</f>
        <v>#REF!</v>
      </c>
      <c r="J62" s="387">
        <f t="shared" si="20"/>
        <v>135.73727272727274</v>
      </c>
      <c r="K62" s="387">
        <f t="shared" ref="K62:L62" si="21">K58+(2*K60)</f>
        <v>1464.078200631991</v>
      </c>
      <c r="L62" s="387">
        <f t="shared" si="21"/>
        <v>1280</v>
      </c>
      <c r="M62" s="387">
        <f t="shared" ref="M62:P62" si="22">M58+(2*M60)</f>
        <v>1310</v>
      </c>
      <c r="N62" s="387">
        <f t="shared" si="22"/>
        <v>1330</v>
      </c>
      <c r="O62" s="387">
        <f t="shared" si="22"/>
        <v>1380</v>
      </c>
      <c r="P62" s="57">
        <f t="shared" si="22"/>
        <v>26.512000000000004</v>
      </c>
      <c r="Q62" s="57">
        <f t="shared" ref="Q62" si="23">Q58+(2*Q60)</f>
        <v>23.349999999999991</v>
      </c>
      <c r="R62" s="405">
        <f>0.12*3</f>
        <v>0.36</v>
      </c>
    </row>
    <row r="63" spans="2:18" x14ac:dyDescent="0.3">
      <c r="B63" s="52" t="s">
        <v>95</v>
      </c>
      <c r="C63" s="57">
        <f t="shared" ref="C63:H63" si="24">C58+C60</f>
        <v>23.857161982491021</v>
      </c>
      <c r="D63" s="57">
        <f t="shared" si="24"/>
        <v>0.50014780384835711</v>
      </c>
      <c r="E63" s="57">
        <f t="shared" si="24"/>
        <v>3.8119756612389182</v>
      </c>
      <c r="F63" s="57">
        <f t="shared" si="24"/>
        <v>28.88780336320384</v>
      </c>
      <c r="G63" s="57">
        <f t="shared" si="24"/>
        <v>14.228639135182851</v>
      </c>
      <c r="H63" s="57">
        <f t="shared" si="24"/>
        <v>22.353807190871414</v>
      </c>
      <c r="I63" s="57" t="e">
        <f t="shared" ref="I63:J63" si="25">I58+I60</f>
        <v>#REF!</v>
      </c>
      <c r="J63" s="387">
        <f t="shared" si="25"/>
        <v>130.23727272727274</v>
      </c>
      <c r="K63" s="387">
        <f t="shared" ref="K63:L63" si="26">K58+K60</f>
        <v>1458.8641003159955</v>
      </c>
      <c r="L63" s="387">
        <f t="shared" si="26"/>
        <v>1270</v>
      </c>
      <c r="M63" s="387">
        <f t="shared" ref="M63:P63" si="27">M58+M60</f>
        <v>1300</v>
      </c>
      <c r="N63" s="387">
        <f t="shared" si="27"/>
        <v>1320</v>
      </c>
      <c r="O63" s="387">
        <f t="shared" si="27"/>
        <v>1370</v>
      </c>
      <c r="P63" s="57">
        <f t="shared" si="27"/>
        <v>26.472000000000005</v>
      </c>
      <c r="Q63" s="57">
        <f t="shared" ref="Q63" si="28">Q58+Q60</f>
        <v>23.249999999999993</v>
      </c>
    </row>
    <row r="64" spans="2:18" x14ac:dyDescent="0.3">
      <c r="B64" s="52" t="s">
        <v>96</v>
      </c>
      <c r="C64" s="57">
        <f t="shared" ref="C64:H64" si="29">C58+(3*C60)</f>
        <v>24.068758674745791</v>
      </c>
      <c r="D64" s="57">
        <f t="shared" si="29"/>
        <v>0.58044341154507118</v>
      </c>
      <c r="E64" s="57">
        <f t="shared" si="29"/>
        <v>4.1143885221782943</v>
      </c>
      <c r="F64" s="57">
        <f>F58+(4*F60)</f>
        <v>29.459784881386774</v>
      </c>
      <c r="G64" s="57">
        <f t="shared" si="29"/>
        <v>14.955148174779321</v>
      </c>
      <c r="H64" s="57">
        <f t="shared" si="29"/>
        <v>22.684278715471383</v>
      </c>
      <c r="I64" s="57" t="e">
        <f t="shared" ref="I64:J64" si="30">I58+(3*I60)</f>
        <v>#REF!</v>
      </c>
      <c r="J64" s="387">
        <f t="shared" si="30"/>
        <v>141.23727272727274</v>
      </c>
      <c r="K64" s="387">
        <f t="shared" ref="K64:L64" si="31">K58+(3*K60)</f>
        <v>1469.2923009479862</v>
      </c>
      <c r="L64" s="387">
        <f t="shared" si="31"/>
        <v>1290</v>
      </c>
      <c r="M64" s="387">
        <f t="shared" ref="M64:P64" si="32">M58+(3*M60)</f>
        <v>1320</v>
      </c>
      <c r="N64" s="387">
        <f t="shared" si="32"/>
        <v>1340</v>
      </c>
      <c r="O64" s="387">
        <f t="shared" si="32"/>
        <v>1390</v>
      </c>
      <c r="P64" s="57">
        <f t="shared" si="32"/>
        <v>26.552000000000007</v>
      </c>
      <c r="Q64" s="57">
        <f t="shared" ref="Q64" si="33">Q58+(3*Q60)</f>
        <v>23.449999999999992</v>
      </c>
    </row>
    <row r="65" spans="2:17" x14ac:dyDescent="0.3">
      <c r="B65" s="52" t="s">
        <v>97</v>
      </c>
      <c r="C65" s="57">
        <f t="shared" ref="C65:H65" si="34">C58-(2*C60)</f>
        <v>23.539766944108866</v>
      </c>
      <c r="D65" s="57">
        <f t="shared" si="34"/>
        <v>0.3797043923032859</v>
      </c>
      <c r="E65" s="57">
        <f t="shared" si="34"/>
        <v>3.358356369829854</v>
      </c>
      <c r="F65" s="57">
        <f>F58-(2.5*F60)</f>
        <v>28.220491591990413</v>
      </c>
      <c r="G65" s="57">
        <f t="shared" si="34"/>
        <v>13.138875575788147</v>
      </c>
      <c r="H65" s="57">
        <f t="shared" si="34"/>
        <v>21.858099903971461</v>
      </c>
      <c r="I65" s="57" t="e">
        <f t="shared" ref="I65:J65" si="35">I58-(2*I60)</f>
        <v>#REF!</v>
      </c>
      <c r="J65" s="387">
        <f t="shared" si="35"/>
        <v>113.73727272727274</v>
      </c>
      <c r="K65" s="387">
        <f t="shared" ref="K65:L65" si="36">K58-(2*K60)</f>
        <v>1443.2217993680092</v>
      </c>
      <c r="L65" s="387">
        <f t="shared" si="36"/>
        <v>1240</v>
      </c>
      <c r="M65" s="387">
        <f t="shared" ref="M65:P65" si="37">M58-(2*M60)</f>
        <v>1270</v>
      </c>
      <c r="N65" s="387">
        <f t="shared" si="37"/>
        <v>1290</v>
      </c>
      <c r="O65" s="387">
        <f t="shared" si="37"/>
        <v>1340</v>
      </c>
      <c r="P65" s="57">
        <f t="shared" si="37"/>
        <v>26.352000000000007</v>
      </c>
      <c r="Q65" s="57">
        <f t="shared" ref="Q65" si="38">Q58-(2*Q60)</f>
        <v>22.949999999999992</v>
      </c>
    </row>
    <row r="66" spans="2:17" x14ac:dyDescent="0.3">
      <c r="B66" s="52" t="s">
        <v>98</v>
      </c>
      <c r="C66" s="57">
        <f t="shared" ref="C66:H66" si="39">C58-C60</f>
        <v>23.645565290236249</v>
      </c>
      <c r="D66" s="57">
        <f t="shared" si="39"/>
        <v>0.41985219615164293</v>
      </c>
      <c r="E66" s="57">
        <f t="shared" si="39"/>
        <v>3.509562800299542</v>
      </c>
      <c r="F66" s="57">
        <f t="shared" si="39"/>
        <v>28.506482351081882</v>
      </c>
      <c r="G66" s="57">
        <f t="shared" si="39"/>
        <v>13.502130095586383</v>
      </c>
      <c r="H66" s="57">
        <f t="shared" si="39"/>
        <v>22.023335666271443</v>
      </c>
      <c r="I66" s="57" t="e">
        <f t="shared" ref="I66:J66" si="40">I58-I60</f>
        <v>#REF!</v>
      </c>
      <c r="J66" s="387">
        <f t="shared" si="40"/>
        <v>119.23727272727274</v>
      </c>
      <c r="K66" s="387">
        <f t="shared" ref="K66:L66" si="41">K58-K60</f>
        <v>1448.4358996840047</v>
      </c>
      <c r="L66" s="387">
        <f t="shared" si="41"/>
        <v>1250</v>
      </c>
      <c r="M66" s="387">
        <f t="shared" ref="M66:P66" si="42">M58-M60</f>
        <v>1280</v>
      </c>
      <c r="N66" s="387">
        <f t="shared" si="42"/>
        <v>1300</v>
      </c>
      <c r="O66" s="387">
        <f t="shared" si="42"/>
        <v>1350</v>
      </c>
      <c r="P66" s="57">
        <f t="shared" si="42"/>
        <v>26.392000000000007</v>
      </c>
      <c r="Q66" s="57">
        <f t="shared" ref="Q66" si="43">Q58-Q60</f>
        <v>23.04999999999999</v>
      </c>
    </row>
    <row r="67" spans="2:17" x14ac:dyDescent="0.3">
      <c r="B67" s="52" t="s">
        <v>99</v>
      </c>
      <c r="C67" s="57">
        <f t="shared" ref="C67:H67" si="44">C58-(3*C60)</f>
        <v>23.43396859798148</v>
      </c>
      <c r="D67" s="57">
        <f t="shared" si="44"/>
        <v>0.33955658845492881</v>
      </c>
      <c r="E67" s="57">
        <f t="shared" si="44"/>
        <v>3.2071499393601659</v>
      </c>
      <c r="F67" s="57">
        <f>F58-(4*F60)</f>
        <v>27.934500832898948</v>
      </c>
      <c r="G67" s="57">
        <f t="shared" si="44"/>
        <v>12.775621055989912</v>
      </c>
      <c r="H67" s="57">
        <f t="shared" si="44"/>
        <v>21.692864141671475</v>
      </c>
      <c r="I67" s="57" t="e">
        <f t="shared" ref="I67:J67" si="45">I58-(3*I60)</f>
        <v>#REF!</v>
      </c>
      <c r="J67" s="387">
        <f t="shared" si="45"/>
        <v>108.23727272727274</v>
      </c>
      <c r="K67" s="387">
        <f t="shared" ref="K67:L67" si="46">K58-(3*K60)</f>
        <v>1438.007699052014</v>
      </c>
      <c r="L67" s="387">
        <f t="shared" si="46"/>
        <v>1230</v>
      </c>
      <c r="M67" s="387">
        <f t="shared" ref="M67:P67" si="47">M58-(3*M60)</f>
        <v>1260</v>
      </c>
      <c r="N67" s="387">
        <f t="shared" si="47"/>
        <v>1280</v>
      </c>
      <c r="O67" s="387">
        <f t="shared" si="47"/>
        <v>1330</v>
      </c>
      <c r="P67" s="57">
        <f t="shared" si="47"/>
        <v>26.312000000000005</v>
      </c>
      <c r="Q67" s="57">
        <f t="shared" ref="Q67" si="48">Q58-(3*Q60)</f>
        <v>22.849999999999991</v>
      </c>
    </row>
    <row r="68" spans="2:17" ht="15" thickBot="1" x14ac:dyDescent="0.35">
      <c r="B68" s="54" t="s">
        <v>19</v>
      </c>
      <c r="C68" s="59">
        <v>0.12</v>
      </c>
      <c r="D68" s="59">
        <f>0.02+(0.03*D58)</f>
        <v>3.3799999999999997E-2</v>
      </c>
      <c r="E68" s="59">
        <f>IF(E58&gt;=5,0.15,0.1)</f>
        <v>0.1</v>
      </c>
      <c r="F68" s="59">
        <f>IF(F58&gt;=10,F58*0.03,0.3)</f>
        <v>0.86091428571428585</v>
      </c>
      <c r="G68" s="59">
        <f>IF(G58&gt;=10,0.02*G58,0.2)</f>
        <v>0.27730769230769237</v>
      </c>
      <c r="H68" s="59">
        <f>IF(H58&gt;=10,0.02*H58,0.2)</f>
        <v>0.44377142857142859</v>
      </c>
      <c r="I68" s="59" t="e">
        <f>0.02+(0.03*I58)</f>
        <v>#REF!</v>
      </c>
      <c r="J68" s="388">
        <v>30</v>
      </c>
      <c r="K68" s="388">
        <v>30</v>
      </c>
      <c r="L68" s="388">
        <v>30</v>
      </c>
      <c r="M68" s="388">
        <v>30</v>
      </c>
      <c r="N68" s="388">
        <v>30</v>
      </c>
      <c r="O68" s="388">
        <v>30</v>
      </c>
      <c r="P68" s="59">
        <v>0.04</v>
      </c>
      <c r="Q68" s="59">
        <v>0.12</v>
      </c>
    </row>
  </sheetData>
  <mergeCells count="3">
    <mergeCell ref="B2:H2"/>
    <mergeCell ref="C6:H6"/>
    <mergeCell ref="L7:O7"/>
  </mergeCells>
  <conditionalFormatting sqref="D8:D41">
    <cfRule type="cellIs" dxfId="263" priority="11" operator="equal">
      <formula>""</formula>
    </cfRule>
    <cfRule type="cellIs" dxfId="262" priority="12" operator="equal">
      <formula>$N$33</formula>
    </cfRule>
    <cfRule type="cellIs" dxfId="261" priority="13" operator="equal">
      <formula>$N$32</formula>
    </cfRule>
    <cfRule type="cellIs" dxfId="260" priority="14" operator="equal">
      <formula>$P$93</formula>
    </cfRule>
    <cfRule type="cellIs" dxfId="259" priority="15" operator="equal">
      <formula>$P$94</formula>
    </cfRule>
  </conditionalFormatting>
  <conditionalFormatting sqref="F9:F16">
    <cfRule type="cellIs" dxfId="258" priority="26" operator="equal">
      <formula>""</formula>
    </cfRule>
    <cfRule type="cellIs" dxfId="257" priority="27" operator="equal">
      <formula>$AD$33</formula>
    </cfRule>
    <cfRule type="cellIs" dxfId="256" priority="28" operator="equal">
      <formula>$AD$32</formula>
    </cfRule>
    <cfRule type="cellIs" dxfId="255" priority="29" operator="equal">
      <formula>$AF$93</formula>
    </cfRule>
    <cfRule type="cellIs" dxfId="254" priority="30" operator="equal">
      <formula>$AF$94</formula>
    </cfRule>
  </conditionalFormatting>
  <conditionalFormatting sqref="J10:J17">
    <cfRule type="cellIs" dxfId="253" priority="1" operator="equal">
      <formula>""</formula>
    </cfRule>
    <cfRule type="cellIs" dxfId="252" priority="2" operator="equal">
      <formula>$AD$33</formula>
    </cfRule>
    <cfRule type="cellIs" dxfId="251" priority="3" operator="equal">
      <formula>$AD$32</formula>
    </cfRule>
    <cfRule type="cellIs" dxfId="250" priority="4" operator="equal">
      <formula>$AF$93</formula>
    </cfRule>
    <cfRule type="cellIs" dxfId="249" priority="5" operator="equal">
      <formula>$AF$94</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pageSetUpPr fitToPage="1"/>
  </sheetPr>
  <dimension ref="B1:AT89"/>
  <sheetViews>
    <sheetView topLeftCell="A6" zoomScale="44" zoomScaleNormal="95" workbookViewId="0">
      <selection activeCell="H21" sqref="H21:I21"/>
    </sheetView>
  </sheetViews>
  <sheetFormatPr defaultColWidth="9.21875" defaultRowHeight="14.4" x14ac:dyDescent="0.3"/>
  <cols>
    <col min="1" max="1" width="0.21875" customWidth="1"/>
    <col min="2" max="2" width="10.77734375" customWidth="1"/>
    <col min="3" max="4" width="13.77734375" customWidth="1"/>
    <col min="5" max="46" width="8.77734375" customWidth="1"/>
    <col min="47" max="49" width="3" customWidth="1"/>
  </cols>
  <sheetData>
    <row r="1" spans="2:46" x14ac:dyDescent="0.3">
      <c r="B1" s="1"/>
      <c r="AQ1" s="1"/>
    </row>
    <row r="2" spans="2:46" ht="50.1" customHeight="1" thickBot="1" x14ac:dyDescent="0.8">
      <c r="B2" s="65" t="s">
        <v>85</v>
      </c>
      <c r="C2" s="62"/>
      <c r="D2" s="63"/>
      <c r="E2" s="63"/>
      <c r="F2" s="64"/>
      <c r="G2" s="63"/>
      <c r="H2" s="64"/>
      <c r="I2" s="64"/>
      <c r="J2" s="64"/>
      <c r="K2" s="64"/>
      <c r="L2" s="423" t="str">
        <f>'Plot Data'!C7</f>
        <v>Calorific Value (MJ/kg)</v>
      </c>
      <c r="M2" s="423"/>
      <c r="N2" s="423"/>
      <c r="O2" s="423"/>
      <c r="P2" s="423"/>
      <c r="Q2" s="423"/>
      <c r="R2" s="423"/>
      <c r="S2" s="423"/>
      <c r="T2" s="423"/>
      <c r="U2" s="423"/>
      <c r="V2" s="423"/>
      <c r="W2" s="423"/>
      <c r="X2" s="63"/>
      <c r="Y2" s="63"/>
      <c r="Z2" s="63"/>
      <c r="AA2" s="63"/>
      <c r="AB2" s="65"/>
      <c r="AC2" s="424" t="s">
        <v>92</v>
      </c>
      <c r="AD2" s="424"/>
      <c r="AE2" s="424"/>
      <c r="AF2" s="424"/>
      <c r="AG2" s="424"/>
      <c r="AH2" s="424"/>
      <c r="AI2" s="424"/>
      <c r="AJ2" s="424"/>
      <c r="AK2" s="644" t="str">
        <f>'Data Input'!F11</f>
        <v>AS CRM 002</v>
      </c>
      <c r="AL2" s="644"/>
      <c r="AM2" s="644"/>
      <c r="AN2" s="644"/>
      <c r="AO2" s="644"/>
      <c r="AP2" s="644"/>
      <c r="AQ2" s="644"/>
      <c r="AR2" s="644"/>
      <c r="AS2" s="644"/>
      <c r="AT2" s="644"/>
    </row>
    <row r="3" spans="2:46" ht="22.05" customHeight="1" x14ac:dyDescent="0.85">
      <c r="B3" s="61"/>
      <c r="C3" s="66"/>
      <c r="D3" s="66"/>
      <c r="E3" s="66"/>
      <c r="F3" s="67"/>
      <c r="G3" s="66"/>
      <c r="H3" s="67"/>
      <c r="I3" s="67"/>
      <c r="J3" s="66"/>
      <c r="K3" s="66"/>
      <c r="L3" s="66"/>
      <c r="M3" s="66"/>
      <c r="N3" s="66"/>
      <c r="O3" s="66"/>
      <c r="P3" s="66"/>
      <c r="Q3" s="66"/>
      <c r="R3" s="66"/>
      <c r="S3" s="66"/>
      <c r="T3" s="66"/>
      <c r="U3" s="66"/>
      <c r="V3" s="66"/>
      <c r="W3" s="66"/>
      <c r="X3" s="66"/>
      <c r="Y3" s="66"/>
      <c r="Z3" s="66"/>
      <c r="AA3" s="66"/>
      <c r="AB3" s="66"/>
      <c r="AC3" s="66"/>
      <c r="AD3" s="66"/>
      <c r="AE3" s="66"/>
      <c r="AF3" s="66"/>
      <c r="AG3" s="66"/>
      <c r="AH3" s="68"/>
      <c r="AI3" s="66"/>
      <c r="AJ3" s="68"/>
      <c r="AK3" s="66"/>
      <c r="AL3" s="66"/>
      <c r="AM3" s="66"/>
      <c r="AN3" s="66"/>
      <c r="AO3" s="67"/>
      <c r="AP3" s="66"/>
      <c r="AQ3" s="67"/>
      <c r="AR3" s="66"/>
      <c r="AS3" s="66"/>
    </row>
    <row r="4" spans="2:46" ht="50.1" customHeight="1" x14ac:dyDescent="0.85">
      <c r="B4" s="60"/>
      <c r="C4" s="66"/>
      <c r="D4" s="66"/>
      <c r="E4" s="66"/>
      <c r="F4" s="66"/>
      <c r="G4" s="66"/>
      <c r="H4" s="66"/>
      <c r="I4" s="66"/>
      <c r="J4" s="66"/>
      <c r="K4" s="66"/>
      <c r="L4" s="426" t="s">
        <v>87</v>
      </c>
      <c r="M4" s="426"/>
      <c r="N4" s="426"/>
      <c r="O4" s="426"/>
      <c r="P4" s="426"/>
      <c r="Q4" s="426"/>
      <c r="R4" s="426"/>
      <c r="S4" s="426"/>
      <c r="T4" s="426"/>
      <c r="U4" s="426"/>
      <c r="V4" s="426"/>
      <c r="W4" s="426"/>
      <c r="X4" s="426"/>
      <c r="Y4" s="426"/>
      <c r="Z4" s="426"/>
      <c r="AA4" s="426"/>
      <c r="AB4" s="426"/>
      <c r="AC4" s="426"/>
      <c r="AD4" s="645" t="s">
        <v>224</v>
      </c>
      <c r="AE4" s="645"/>
      <c r="AF4" s="645"/>
      <c r="AG4" s="645"/>
      <c r="AH4" s="645"/>
      <c r="AI4" s="645"/>
      <c r="AJ4" s="645"/>
      <c r="AK4" s="646" t="s">
        <v>89</v>
      </c>
      <c r="AL4" s="646"/>
      <c r="AM4" s="646"/>
      <c r="AN4" s="646"/>
      <c r="AO4" s="646"/>
      <c r="AP4" s="646"/>
      <c r="AQ4" s="646"/>
      <c r="AR4" s="646"/>
      <c r="AS4" s="646"/>
      <c r="AT4" s="646"/>
    </row>
    <row r="5" spans="2:46" ht="22.05" customHeight="1" thickBot="1" x14ac:dyDescent="0.35">
      <c r="K5" s="2"/>
    </row>
    <row r="6" spans="2:46" ht="50.1" customHeight="1" x14ac:dyDescent="0.3">
      <c r="B6" s="428" t="s">
        <v>0</v>
      </c>
      <c r="C6" s="429"/>
      <c r="D6" s="430"/>
      <c r="E6" s="431"/>
      <c r="F6" s="432"/>
      <c r="G6" s="431"/>
      <c r="H6" s="432"/>
      <c r="I6" s="431"/>
      <c r="J6" s="432"/>
      <c r="K6" s="431"/>
      <c r="L6" s="432"/>
      <c r="M6" s="431"/>
      <c r="N6" s="432"/>
      <c r="O6" s="431"/>
      <c r="P6" s="432"/>
      <c r="Q6" s="431"/>
      <c r="R6" s="432"/>
      <c r="S6" s="431"/>
      <c r="T6" s="432"/>
      <c r="U6" s="431"/>
      <c r="V6" s="432"/>
      <c r="W6" s="431"/>
      <c r="X6" s="432"/>
      <c r="Y6" s="431"/>
      <c r="Z6" s="432"/>
      <c r="AA6" s="431"/>
      <c r="AB6" s="432"/>
      <c r="AC6" s="431"/>
      <c r="AD6" s="432"/>
      <c r="AE6" s="431"/>
      <c r="AF6" s="432"/>
      <c r="AG6" s="431"/>
      <c r="AH6" s="432"/>
      <c r="AI6" s="431"/>
      <c r="AJ6" s="432"/>
      <c r="AK6" s="431"/>
      <c r="AL6" s="432"/>
      <c r="AM6" s="431"/>
      <c r="AN6" s="432"/>
      <c r="AO6" s="431"/>
      <c r="AP6" s="432"/>
      <c r="AQ6" s="431"/>
      <c r="AR6" s="432"/>
      <c r="AS6" s="431"/>
      <c r="AT6" s="432"/>
    </row>
    <row r="7" spans="2:46" ht="50.1" customHeight="1" thickBot="1" x14ac:dyDescent="0.35">
      <c r="B7" s="433" t="s">
        <v>1</v>
      </c>
      <c r="C7" s="434"/>
      <c r="D7" s="435"/>
      <c r="E7" s="436"/>
      <c r="F7" s="437"/>
      <c r="G7" s="436"/>
      <c r="H7" s="437"/>
      <c r="I7" s="436"/>
      <c r="J7" s="437"/>
      <c r="K7" s="436"/>
      <c r="L7" s="437"/>
      <c r="M7" s="436"/>
      <c r="N7" s="437"/>
      <c r="O7" s="436"/>
      <c r="P7" s="437"/>
      <c r="Q7" s="436"/>
      <c r="R7" s="437"/>
      <c r="S7" s="436"/>
      <c r="T7" s="437"/>
      <c r="U7" s="436"/>
      <c r="V7" s="437"/>
      <c r="W7" s="436"/>
      <c r="X7" s="437"/>
      <c r="Y7" s="436"/>
      <c r="Z7" s="437"/>
      <c r="AA7" s="436"/>
      <c r="AB7" s="437"/>
      <c r="AC7" s="436"/>
      <c r="AD7" s="437"/>
      <c r="AE7" s="436"/>
      <c r="AF7" s="437"/>
      <c r="AG7" s="436"/>
      <c r="AH7" s="437"/>
      <c r="AI7" s="436"/>
      <c r="AJ7" s="437"/>
      <c r="AK7" s="436"/>
      <c r="AL7" s="437"/>
      <c r="AM7" s="436"/>
      <c r="AN7" s="437"/>
      <c r="AO7" s="436"/>
      <c r="AP7" s="437"/>
      <c r="AQ7" s="436"/>
      <c r="AR7" s="437"/>
      <c r="AS7" s="436"/>
      <c r="AT7" s="437"/>
    </row>
    <row r="8" spans="2:46" ht="50.1" customHeight="1" thickBot="1" x14ac:dyDescent="0.35">
      <c r="B8" s="438" t="s">
        <v>2</v>
      </c>
      <c r="C8" s="439"/>
      <c r="D8" s="440"/>
      <c r="E8" s="441"/>
      <c r="F8" s="442"/>
      <c r="G8" s="441"/>
      <c r="H8" s="442"/>
      <c r="I8" s="441"/>
      <c r="J8" s="442"/>
      <c r="K8" s="441"/>
      <c r="L8" s="442"/>
      <c r="M8" s="441"/>
      <c r="N8" s="442"/>
      <c r="O8" s="441"/>
      <c r="P8" s="442"/>
      <c r="Q8" s="441"/>
      <c r="R8" s="442"/>
      <c r="S8" s="441"/>
      <c r="T8" s="442"/>
      <c r="U8" s="441"/>
      <c r="V8" s="442"/>
      <c r="W8" s="441"/>
      <c r="X8" s="442"/>
      <c r="Y8" s="441"/>
      <c r="Z8" s="442"/>
      <c r="AA8" s="441"/>
      <c r="AB8" s="442"/>
      <c r="AC8" s="441"/>
      <c r="AD8" s="442"/>
      <c r="AE8" s="441"/>
      <c r="AF8" s="442"/>
      <c r="AG8" s="441"/>
      <c r="AH8" s="442"/>
      <c r="AI8" s="441"/>
      <c r="AJ8" s="442"/>
      <c r="AK8" s="441"/>
      <c r="AL8" s="442"/>
      <c r="AM8" s="441"/>
      <c r="AN8" s="442"/>
      <c r="AO8" s="441"/>
      <c r="AP8" s="442"/>
      <c r="AQ8" s="441"/>
      <c r="AR8" s="442"/>
      <c r="AS8" s="441"/>
      <c r="AT8" s="442"/>
    </row>
    <row r="9" spans="2:46" ht="50.1" customHeight="1" thickBot="1" x14ac:dyDescent="0.35">
      <c r="B9" s="447" t="s">
        <v>3</v>
      </c>
      <c r="C9" s="448"/>
      <c r="D9" s="449"/>
      <c r="E9" s="443"/>
      <c r="F9" s="444"/>
      <c r="G9" s="443"/>
      <c r="H9" s="444"/>
      <c r="I9" s="443"/>
      <c r="J9" s="444"/>
      <c r="K9" s="443"/>
      <c r="L9" s="444"/>
      <c r="M9" s="443"/>
      <c r="N9" s="444"/>
      <c r="O9" s="443"/>
      <c r="P9" s="444"/>
      <c r="Q9" s="443"/>
      <c r="R9" s="444"/>
      <c r="S9" s="443"/>
      <c r="T9" s="444"/>
      <c r="U9" s="443"/>
      <c r="V9" s="444"/>
      <c r="W9" s="443"/>
      <c r="X9" s="444"/>
      <c r="Y9" s="443"/>
      <c r="Z9" s="444"/>
      <c r="AA9" s="443"/>
      <c r="AB9" s="444"/>
      <c r="AC9" s="443"/>
      <c r="AD9" s="444"/>
      <c r="AE9" s="443"/>
      <c r="AF9" s="444"/>
      <c r="AG9" s="443"/>
      <c r="AH9" s="444"/>
      <c r="AI9" s="443"/>
      <c r="AJ9" s="444"/>
      <c r="AK9" s="443"/>
      <c r="AL9" s="444"/>
      <c r="AM9" s="443"/>
      <c r="AN9" s="444"/>
      <c r="AO9" s="443"/>
      <c r="AP9" s="444"/>
      <c r="AQ9" s="443"/>
      <c r="AR9" s="444"/>
      <c r="AS9" s="443"/>
      <c r="AT9" s="444"/>
    </row>
    <row r="10" spans="2:46" ht="50.1" customHeight="1" thickBot="1" x14ac:dyDescent="0.35">
      <c r="B10" s="428" t="s">
        <v>4</v>
      </c>
      <c r="C10" s="429"/>
      <c r="D10" s="430"/>
      <c r="E10" s="441"/>
      <c r="F10" s="442"/>
      <c r="G10" s="441"/>
      <c r="H10" s="442"/>
      <c r="I10" s="441"/>
      <c r="J10" s="442"/>
      <c r="K10" s="445"/>
      <c r="L10" s="446"/>
      <c r="M10" s="441"/>
      <c r="N10" s="442"/>
      <c r="O10" s="441"/>
      <c r="P10" s="442"/>
      <c r="Q10" s="441"/>
      <c r="R10" s="442"/>
      <c r="S10" s="441"/>
      <c r="T10" s="442"/>
      <c r="U10" s="441"/>
      <c r="V10" s="442"/>
      <c r="W10" s="441"/>
      <c r="X10" s="442"/>
      <c r="Y10" s="441"/>
      <c r="Z10" s="442"/>
      <c r="AA10" s="441"/>
      <c r="AB10" s="442"/>
      <c r="AC10" s="441"/>
      <c r="AD10" s="442"/>
      <c r="AE10" s="441"/>
      <c r="AF10" s="442"/>
      <c r="AG10" s="441"/>
      <c r="AH10" s="442"/>
      <c r="AI10" s="441"/>
      <c r="AJ10" s="442"/>
      <c r="AK10" s="441"/>
      <c r="AL10" s="442"/>
      <c r="AM10" s="441"/>
      <c r="AN10" s="442"/>
      <c r="AO10" s="441"/>
      <c r="AP10" s="442"/>
      <c r="AQ10" s="441"/>
      <c r="AR10" s="442"/>
      <c r="AS10" s="441"/>
      <c r="AT10" s="442"/>
    </row>
    <row r="11" spans="2:46" ht="50.1" customHeight="1" thickBot="1" x14ac:dyDescent="0.35">
      <c r="B11" s="450" t="s">
        <v>5</v>
      </c>
      <c r="C11" s="451"/>
      <c r="D11" s="452"/>
      <c r="E11" s="441"/>
      <c r="F11" s="442"/>
      <c r="G11" s="441"/>
      <c r="H11" s="442"/>
      <c r="I11" s="441"/>
      <c r="J11" s="442"/>
      <c r="K11" s="72"/>
      <c r="L11" s="72"/>
      <c r="M11" s="441"/>
      <c r="N11" s="442"/>
      <c r="O11" s="441"/>
      <c r="P11" s="442"/>
      <c r="Q11" s="441"/>
      <c r="R11" s="442"/>
      <c r="S11" s="441"/>
      <c r="T11" s="442"/>
      <c r="U11" s="441"/>
      <c r="V11" s="442"/>
      <c r="W11" s="441"/>
      <c r="X11" s="442"/>
      <c r="Y11" s="441"/>
      <c r="Z11" s="442"/>
      <c r="AA11" s="441"/>
      <c r="AB11" s="442"/>
      <c r="AC11" s="441"/>
      <c r="AD11" s="442"/>
      <c r="AE11" s="441"/>
      <c r="AF11" s="442"/>
      <c r="AG11" s="441"/>
      <c r="AH11" s="442"/>
      <c r="AI11" s="441"/>
      <c r="AJ11" s="442"/>
      <c r="AK11" s="441"/>
      <c r="AL11" s="442"/>
      <c r="AM11" s="441"/>
      <c r="AN11" s="442"/>
      <c r="AO11" s="441"/>
      <c r="AP11" s="442"/>
      <c r="AQ11" s="441"/>
      <c r="AR11" s="442"/>
      <c r="AS11" s="441"/>
      <c r="AT11" s="442"/>
    </row>
    <row r="12" spans="2:46" ht="18" customHeight="1" thickTop="1" x14ac:dyDescent="0.6">
      <c r="B12" s="453" t="s">
        <v>6</v>
      </c>
      <c r="C12" s="98"/>
      <c r="D12" s="73"/>
      <c r="E12" s="74"/>
      <c r="F12" s="456"/>
      <c r="G12" s="457"/>
      <c r="H12" s="456"/>
      <c r="I12" s="457"/>
      <c r="J12" s="456"/>
      <c r="K12" s="457"/>
      <c r="L12" s="456"/>
      <c r="M12" s="457"/>
      <c r="N12" s="456"/>
      <c r="O12" s="457"/>
      <c r="P12" s="456"/>
      <c r="Q12" s="457"/>
      <c r="R12" s="456"/>
      <c r="S12" s="457"/>
      <c r="T12" s="456"/>
      <c r="U12" s="457"/>
      <c r="V12" s="456"/>
      <c r="W12" s="457"/>
      <c r="X12" s="456"/>
      <c r="Y12" s="457"/>
      <c r="Z12" s="456"/>
      <c r="AA12" s="457"/>
      <c r="AB12" s="456"/>
      <c r="AC12" s="457"/>
      <c r="AD12" s="456"/>
      <c r="AE12" s="457"/>
      <c r="AF12" s="456"/>
      <c r="AG12" s="457"/>
      <c r="AH12" s="456"/>
      <c r="AI12" s="457"/>
      <c r="AJ12" s="456"/>
      <c r="AK12" s="457"/>
      <c r="AL12" s="456"/>
      <c r="AM12" s="457"/>
      <c r="AN12" s="456"/>
      <c r="AO12" s="457"/>
      <c r="AP12" s="456"/>
      <c r="AQ12" s="457"/>
      <c r="AR12" s="456"/>
      <c r="AS12" s="457"/>
      <c r="AT12" s="93"/>
    </row>
    <row r="13" spans="2:46" ht="18" customHeight="1" thickBot="1" x14ac:dyDescent="0.35">
      <c r="B13" s="454"/>
      <c r="C13" s="458">
        <f>'Plot Data'!C64</f>
        <v>24.068758674745791</v>
      </c>
      <c r="D13" s="5"/>
      <c r="E13" s="6"/>
      <c r="F13" s="461"/>
      <c r="G13" s="462"/>
      <c r="H13" s="461"/>
      <c r="I13" s="462"/>
      <c r="J13" s="461"/>
      <c r="K13" s="462"/>
      <c r="L13" s="461"/>
      <c r="M13" s="462"/>
      <c r="N13" s="461"/>
      <c r="O13" s="462"/>
      <c r="P13" s="461"/>
      <c r="Q13" s="462"/>
      <c r="R13" s="461"/>
      <c r="S13" s="462"/>
      <c r="T13" s="461"/>
      <c r="U13" s="462"/>
      <c r="V13" s="461"/>
      <c r="W13" s="462"/>
      <c r="X13" s="461"/>
      <c r="Y13" s="462"/>
      <c r="Z13" s="461"/>
      <c r="AA13" s="462"/>
      <c r="AB13" s="461"/>
      <c r="AC13" s="462"/>
      <c r="AD13" s="461"/>
      <c r="AE13" s="462"/>
      <c r="AF13" s="461"/>
      <c r="AG13" s="462"/>
      <c r="AH13" s="461"/>
      <c r="AI13" s="462"/>
      <c r="AJ13" s="461"/>
      <c r="AK13" s="462"/>
      <c r="AL13" s="461"/>
      <c r="AM13" s="462"/>
      <c r="AN13" s="461"/>
      <c r="AO13" s="462"/>
      <c r="AP13" s="461"/>
      <c r="AQ13" s="462"/>
      <c r="AR13" s="461"/>
      <c r="AS13" s="462"/>
      <c r="AT13" s="463" t="s">
        <v>48</v>
      </c>
    </row>
    <row r="14" spans="2:46" ht="18" customHeight="1" thickTop="1" x14ac:dyDescent="0.3">
      <c r="B14" s="454"/>
      <c r="C14" s="458"/>
      <c r="D14" s="7"/>
      <c r="E14" s="8"/>
      <c r="F14" s="459"/>
      <c r="G14" s="460"/>
      <c r="H14" s="459"/>
      <c r="I14" s="460"/>
      <c r="J14" s="459"/>
      <c r="K14" s="460"/>
      <c r="L14" s="459"/>
      <c r="M14" s="460"/>
      <c r="N14" s="459"/>
      <c r="O14" s="460"/>
      <c r="P14" s="459"/>
      <c r="Q14" s="460"/>
      <c r="R14" s="459"/>
      <c r="S14" s="460"/>
      <c r="T14" s="459"/>
      <c r="U14" s="460"/>
      <c r="V14" s="459"/>
      <c r="W14" s="460"/>
      <c r="X14" s="459"/>
      <c r="Y14" s="460"/>
      <c r="Z14" s="459"/>
      <c r="AA14" s="460"/>
      <c r="AB14" s="459"/>
      <c r="AC14" s="460"/>
      <c r="AD14" s="459"/>
      <c r="AE14" s="460"/>
      <c r="AF14" s="459"/>
      <c r="AG14" s="460"/>
      <c r="AH14" s="459"/>
      <c r="AI14" s="460"/>
      <c r="AJ14" s="459"/>
      <c r="AK14" s="460"/>
      <c r="AL14" s="459"/>
      <c r="AM14" s="460"/>
      <c r="AN14" s="459"/>
      <c r="AO14" s="460"/>
      <c r="AP14" s="459"/>
      <c r="AQ14" s="460"/>
      <c r="AR14" s="459"/>
      <c r="AS14" s="460"/>
      <c r="AT14" s="464"/>
    </row>
    <row r="15" spans="2:46" ht="18" customHeight="1" x14ac:dyDescent="0.6">
      <c r="B15" s="454"/>
      <c r="C15" s="458">
        <f>C19+(C13-C19)/2</f>
        <v>24.015859501682097</v>
      </c>
      <c r="D15" s="13"/>
      <c r="E15" s="8"/>
      <c r="F15" s="459"/>
      <c r="G15" s="460"/>
      <c r="H15" s="459"/>
      <c r="I15" s="460"/>
      <c r="J15" s="459"/>
      <c r="K15" s="460"/>
      <c r="L15" s="459"/>
      <c r="M15" s="460"/>
      <c r="N15" s="459"/>
      <c r="O15" s="460"/>
      <c r="P15" s="459"/>
      <c r="Q15" s="460"/>
      <c r="R15" s="459"/>
      <c r="S15" s="460"/>
      <c r="T15" s="459"/>
      <c r="U15" s="460"/>
      <c r="V15" s="459"/>
      <c r="W15" s="460"/>
      <c r="X15" s="459"/>
      <c r="Y15" s="460"/>
      <c r="Z15" s="459"/>
      <c r="AA15" s="460"/>
      <c r="AB15" s="459"/>
      <c r="AC15" s="460"/>
      <c r="AD15" s="459"/>
      <c r="AE15" s="460"/>
      <c r="AF15" s="459"/>
      <c r="AG15" s="460"/>
      <c r="AH15" s="459"/>
      <c r="AI15" s="460"/>
      <c r="AJ15" s="459"/>
      <c r="AK15" s="460"/>
      <c r="AL15" s="459"/>
      <c r="AM15" s="460"/>
      <c r="AN15" s="459"/>
      <c r="AO15" s="460"/>
      <c r="AP15" s="459"/>
      <c r="AQ15" s="460"/>
      <c r="AR15" s="459"/>
      <c r="AS15" s="460"/>
      <c r="AT15" s="94"/>
    </row>
    <row r="16" spans="2:46" ht="18" customHeight="1" x14ac:dyDescent="0.6">
      <c r="B16" s="454"/>
      <c r="C16" s="458"/>
      <c r="D16" s="3"/>
      <c r="E16" s="8"/>
      <c r="F16" s="459"/>
      <c r="G16" s="460"/>
      <c r="H16" s="459"/>
      <c r="I16" s="460"/>
      <c r="J16" s="459"/>
      <c r="K16" s="460"/>
      <c r="L16" s="459"/>
      <c r="M16" s="460"/>
      <c r="N16" s="459"/>
      <c r="O16" s="460"/>
      <c r="P16" s="459"/>
      <c r="Q16" s="460"/>
      <c r="R16" s="459"/>
      <c r="S16" s="460"/>
      <c r="T16" s="459"/>
      <c r="U16" s="460"/>
      <c r="V16" s="459"/>
      <c r="W16" s="460"/>
      <c r="X16" s="459"/>
      <c r="Y16" s="460"/>
      <c r="Z16" s="459"/>
      <c r="AA16" s="460"/>
      <c r="AB16" s="459"/>
      <c r="AC16" s="460"/>
      <c r="AD16" s="459"/>
      <c r="AE16" s="460"/>
      <c r="AF16" s="459"/>
      <c r="AG16" s="460"/>
      <c r="AH16" s="459"/>
      <c r="AI16" s="460"/>
      <c r="AJ16" s="459"/>
      <c r="AK16" s="460"/>
      <c r="AL16" s="459"/>
      <c r="AM16" s="460"/>
      <c r="AN16" s="459"/>
      <c r="AO16" s="460"/>
      <c r="AP16" s="459"/>
      <c r="AQ16" s="460"/>
      <c r="AR16" s="459"/>
      <c r="AS16" s="460"/>
      <c r="AT16" s="94"/>
    </row>
    <row r="17" spans="2:46" ht="18" customHeight="1" x14ac:dyDescent="0.6">
      <c r="B17" s="454"/>
      <c r="C17" s="458"/>
      <c r="D17" s="3"/>
      <c r="E17" s="8"/>
      <c r="F17" s="459"/>
      <c r="G17" s="460"/>
      <c r="H17" s="459"/>
      <c r="I17" s="460"/>
      <c r="J17" s="459"/>
      <c r="K17" s="460"/>
      <c r="L17" s="459"/>
      <c r="M17" s="460"/>
      <c r="N17" s="459"/>
      <c r="O17" s="460"/>
      <c r="P17" s="459"/>
      <c r="Q17" s="460"/>
      <c r="R17" s="459"/>
      <c r="S17" s="460"/>
      <c r="T17" s="459"/>
      <c r="U17" s="460"/>
      <c r="V17" s="459"/>
      <c r="W17" s="460"/>
      <c r="X17" s="459"/>
      <c r="Y17" s="460"/>
      <c r="Z17" s="459"/>
      <c r="AA17" s="460"/>
      <c r="AB17" s="459"/>
      <c r="AC17" s="460"/>
      <c r="AD17" s="459"/>
      <c r="AE17" s="460"/>
      <c r="AF17" s="459"/>
      <c r="AG17" s="460"/>
      <c r="AH17" s="459"/>
      <c r="AI17" s="460"/>
      <c r="AJ17" s="459"/>
      <c r="AK17" s="460"/>
      <c r="AL17" s="459"/>
      <c r="AM17" s="460"/>
      <c r="AN17" s="459"/>
      <c r="AO17" s="460"/>
      <c r="AP17" s="459"/>
      <c r="AQ17" s="460"/>
      <c r="AR17" s="459"/>
      <c r="AS17" s="460"/>
      <c r="AT17" s="94"/>
    </row>
    <row r="18" spans="2:46" ht="18" customHeight="1" x14ac:dyDescent="0.6">
      <c r="B18" s="454"/>
      <c r="C18" s="458"/>
      <c r="D18" s="7"/>
      <c r="E18" s="8"/>
      <c r="F18" s="459"/>
      <c r="G18" s="460"/>
      <c r="H18" s="459"/>
      <c r="I18" s="460"/>
      <c r="J18" s="459"/>
      <c r="K18" s="460"/>
      <c r="L18" s="459"/>
      <c r="M18" s="460"/>
      <c r="N18" s="459"/>
      <c r="O18" s="460"/>
      <c r="P18" s="459"/>
      <c r="Q18" s="460"/>
      <c r="R18" s="459"/>
      <c r="S18" s="460"/>
      <c r="T18" s="459"/>
      <c r="U18" s="460"/>
      <c r="V18" s="459"/>
      <c r="W18" s="460"/>
      <c r="X18" s="459"/>
      <c r="Y18" s="460"/>
      <c r="Z18" s="459"/>
      <c r="AA18" s="460"/>
      <c r="AB18" s="459"/>
      <c r="AC18" s="460"/>
      <c r="AD18" s="459"/>
      <c r="AE18" s="460"/>
      <c r="AF18" s="459"/>
      <c r="AG18" s="460"/>
      <c r="AH18" s="459"/>
      <c r="AI18" s="460"/>
      <c r="AJ18" s="459"/>
      <c r="AK18" s="460"/>
      <c r="AL18" s="459"/>
      <c r="AM18" s="460"/>
      <c r="AN18" s="459"/>
      <c r="AO18" s="460"/>
      <c r="AP18" s="459"/>
      <c r="AQ18" s="460"/>
      <c r="AR18" s="459"/>
      <c r="AS18" s="460"/>
      <c r="AT18" s="94"/>
    </row>
    <row r="19" spans="2:46" ht="18" customHeight="1" thickBot="1" x14ac:dyDescent="0.35">
      <c r="B19" s="454"/>
      <c r="C19" s="458">
        <f>'Plot Data'!C62</f>
        <v>23.962960328618404</v>
      </c>
      <c r="D19" s="9"/>
      <c r="E19" s="10"/>
      <c r="F19" s="11"/>
      <c r="G19" s="12"/>
      <c r="H19" s="11"/>
      <c r="I19" s="12"/>
      <c r="J19" s="11"/>
      <c r="K19" s="12"/>
      <c r="L19" s="11"/>
      <c r="M19" s="12"/>
      <c r="N19" s="11"/>
      <c r="O19" s="12"/>
      <c r="P19" s="11"/>
      <c r="Q19" s="12"/>
      <c r="R19" s="11"/>
      <c r="S19" s="12"/>
      <c r="T19" s="11"/>
      <c r="U19" s="12"/>
      <c r="V19" s="11"/>
      <c r="W19" s="12"/>
      <c r="X19" s="11"/>
      <c r="Y19" s="12"/>
      <c r="Z19" s="11"/>
      <c r="AA19" s="12"/>
      <c r="AB19" s="11"/>
      <c r="AC19" s="12"/>
      <c r="AD19" s="11"/>
      <c r="AE19" s="12"/>
      <c r="AF19" s="11"/>
      <c r="AG19" s="12"/>
      <c r="AH19" s="11"/>
      <c r="AI19" s="12"/>
      <c r="AJ19" s="11"/>
      <c r="AK19" s="12"/>
      <c r="AL19" s="11"/>
      <c r="AM19" s="12"/>
      <c r="AN19" s="11"/>
      <c r="AO19" s="12"/>
      <c r="AP19" s="11"/>
      <c r="AQ19" s="12"/>
      <c r="AR19" s="11"/>
      <c r="AS19" s="12"/>
      <c r="AT19" s="463" t="s">
        <v>47</v>
      </c>
    </row>
    <row r="20" spans="2:46" ht="18" customHeight="1" x14ac:dyDescent="0.3">
      <c r="B20" s="454"/>
      <c r="C20" s="458"/>
      <c r="D20" s="7"/>
      <c r="E20" s="8"/>
      <c r="F20" s="459"/>
      <c r="G20" s="460"/>
      <c r="H20" s="459"/>
      <c r="I20" s="460"/>
      <c r="J20" s="459"/>
      <c r="K20" s="460"/>
      <c r="L20" s="459"/>
      <c r="M20" s="460"/>
      <c r="N20" s="459"/>
      <c r="O20" s="460"/>
      <c r="P20" s="459"/>
      <c r="Q20" s="460"/>
      <c r="R20" s="459"/>
      <c r="S20" s="460"/>
      <c r="T20" s="459"/>
      <c r="U20" s="460"/>
      <c r="V20" s="459"/>
      <c r="W20" s="460"/>
      <c r="X20" s="459"/>
      <c r="Y20" s="460"/>
      <c r="Z20" s="459"/>
      <c r="AA20" s="460"/>
      <c r="AB20" s="459"/>
      <c r="AC20" s="460"/>
      <c r="AD20" s="459"/>
      <c r="AE20" s="460"/>
      <c r="AF20" s="459"/>
      <c r="AG20" s="460"/>
      <c r="AH20" s="459"/>
      <c r="AI20" s="460"/>
      <c r="AJ20" s="459"/>
      <c r="AK20" s="460"/>
      <c r="AL20" s="459"/>
      <c r="AM20" s="460"/>
      <c r="AN20" s="459"/>
      <c r="AO20" s="460"/>
      <c r="AP20" s="459"/>
      <c r="AQ20" s="460"/>
      <c r="AR20" s="459"/>
      <c r="AS20" s="460"/>
      <c r="AT20" s="464"/>
    </row>
    <row r="21" spans="2:46" ht="18" customHeight="1" x14ac:dyDescent="0.6">
      <c r="B21" s="454"/>
      <c r="C21" s="458">
        <f>C25+(C19-C25)/2</f>
        <v>23.910061155554715</v>
      </c>
      <c r="D21" s="13"/>
      <c r="E21" s="8"/>
      <c r="F21" s="459"/>
      <c r="G21" s="460"/>
      <c r="H21" s="459"/>
      <c r="I21" s="460"/>
      <c r="J21" s="459"/>
      <c r="K21" s="460"/>
      <c r="L21" s="459"/>
      <c r="M21" s="460"/>
      <c r="N21" s="459"/>
      <c r="O21" s="460"/>
      <c r="P21" s="459"/>
      <c r="Q21" s="460"/>
      <c r="R21" s="459"/>
      <c r="S21" s="460"/>
      <c r="T21" s="459"/>
      <c r="U21" s="460"/>
      <c r="V21" s="459"/>
      <c r="W21" s="460"/>
      <c r="X21" s="459"/>
      <c r="Y21" s="460"/>
      <c r="Z21" s="459"/>
      <c r="AA21" s="460"/>
      <c r="AB21" s="459"/>
      <c r="AC21" s="460"/>
      <c r="AD21" s="459"/>
      <c r="AE21" s="460"/>
      <c r="AF21" s="459"/>
      <c r="AG21" s="460"/>
      <c r="AH21" s="459"/>
      <c r="AI21" s="460"/>
      <c r="AJ21" s="459"/>
      <c r="AK21" s="460"/>
      <c r="AL21" s="459"/>
      <c r="AM21" s="460"/>
      <c r="AN21" s="459"/>
      <c r="AO21" s="460"/>
      <c r="AP21" s="459"/>
      <c r="AQ21" s="460"/>
      <c r="AR21" s="459"/>
      <c r="AS21" s="460"/>
      <c r="AT21" s="94"/>
    </row>
    <row r="22" spans="2:46" ht="18" customHeight="1" x14ac:dyDescent="0.6">
      <c r="B22" s="454"/>
      <c r="C22" s="458"/>
      <c r="D22" s="3"/>
      <c r="E22" s="8"/>
      <c r="F22" s="459"/>
      <c r="G22" s="460"/>
      <c r="H22" s="459"/>
      <c r="I22" s="460"/>
      <c r="J22" s="459"/>
      <c r="K22" s="460"/>
      <c r="L22" s="459"/>
      <c r="M22" s="460"/>
      <c r="N22" s="459"/>
      <c r="O22" s="460"/>
      <c r="P22" s="459"/>
      <c r="Q22" s="460"/>
      <c r="R22" s="459"/>
      <c r="S22" s="460"/>
      <c r="T22" s="459"/>
      <c r="U22" s="460"/>
      <c r="V22" s="459"/>
      <c r="W22" s="460"/>
      <c r="X22" s="459"/>
      <c r="Y22" s="460"/>
      <c r="Z22" s="459"/>
      <c r="AA22" s="460"/>
      <c r="AB22" s="459"/>
      <c r="AC22" s="460"/>
      <c r="AD22" s="459"/>
      <c r="AE22" s="460"/>
      <c r="AF22" s="459"/>
      <c r="AG22" s="460"/>
      <c r="AH22" s="459"/>
      <c r="AI22" s="460"/>
      <c r="AJ22" s="459"/>
      <c r="AK22" s="460"/>
      <c r="AL22" s="459"/>
      <c r="AM22" s="460"/>
      <c r="AN22" s="459"/>
      <c r="AO22" s="460"/>
      <c r="AP22" s="459"/>
      <c r="AQ22" s="460"/>
      <c r="AR22" s="459"/>
      <c r="AS22" s="460"/>
      <c r="AT22" s="94"/>
    </row>
    <row r="23" spans="2:46" ht="18" customHeight="1" x14ac:dyDescent="0.6">
      <c r="B23" s="454"/>
      <c r="C23" s="458"/>
      <c r="D23" s="3"/>
      <c r="E23" s="8"/>
      <c r="F23" s="459"/>
      <c r="G23" s="460"/>
      <c r="H23" s="459"/>
      <c r="I23" s="460"/>
      <c r="J23" s="459"/>
      <c r="K23" s="460"/>
      <c r="L23" s="459"/>
      <c r="M23" s="460"/>
      <c r="N23" s="459"/>
      <c r="O23" s="460"/>
      <c r="P23" s="459"/>
      <c r="Q23" s="460"/>
      <c r="R23" s="459"/>
      <c r="S23" s="460"/>
      <c r="T23" s="459"/>
      <c r="U23" s="460"/>
      <c r="V23" s="459"/>
      <c r="W23" s="460"/>
      <c r="X23" s="459"/>
      <c r="Y23" s="460"/>
      <c r="Z23" s="459"/>
      <c r="AA23" s="460"/>
      <c r="AB23" s="459"/>
      <c r="AC23" s="460"/>
      <c r="AD23" s="459"/>
      <c r="AE23" s="460"/>
      <c r="AF23" s="459"/>
      <c r="AG23" s="460"/>
      <c r="AH23" s="459"/>
      <c r="AI23" s="460"/>
      <c r="AJ23" s="459"/>
      <c r="AK23" s="460"/>
      <c r="AL23" s="459"/>
      <c r="AM23" s="460"/>
      <c r="AN23" s="459"/>
      <c r="AO23" s="460"/>
      <c r="AP23" s="459"/>
      <c r="AQ23" s="460"/>
      <c r="AR23" s="459"/>
      <c r="AS23" s="460"/>
      <c r="AT23" s="94"/>
    </row>
    <row r="24" spans="2:46" ht="18" customHeight="1" x14ac:dyDescent="0.6">
      <c r="B24" s="454"/>
      <c r="C24" s="458"/>
      <c r="D24" s="7"/>
      <c r="E24" s="8"/>
      <c r="F24" s="459"/>
      <c r="G24" s="460"/>
      <c r="H24" s="459"/>
      <c r="I24" s="460"/>
      <c r="J24" s="459"/>
      <c r="K24" s="460"/>
      <c r="L24" s="459"/>
      <c r="M24" s="460"/>
      <c r="N24" s="459"/>
      <c r="O24" s="460"/>
      <c r="P24" s="459"/>
      <c r="Q24" s="460"/>
      <c r="R24" s="459"/>
      <c r="S24" s="460"/>
      <c r="T24" s="459"/>
      <c r="U24" s="460"/>
      <c r="V24" s="459"/>
      <c r="W24" s="460"/>
      <c r="X24" s="459"/>
      <c r="Y24" s="460"/>
      <c r="Z24" s="459"/>
      <c r="AA24" s="460"/>
      <c r="AB24" s="459"/>
      <c r="AC24" s="460"/>
      <c r="AD24" s="459"/>
      <c r="AE24" s="460"/>
      <c r="AF24" s="459"/>
      <c r="AG24" s="460"/>
      <c r="AH24" s="459"/>
      <c r="AI24" s="460"/>
      <c r="AJ24" s="459"/>
      <c r="AK24" s="460"/>
      <c r="AL24" s="459"/>
      <c r="AM24" s="460"/>
      <c r="AN24" s="459"/>
      <c r="AO24" s="460"/>
      <c r="AP24" s="459"/>
      <c r="AQ24" s="460"/>
      <c r="AR24" s="459"/>
      <c r="AS24" s="460"/>
      <c r="AT24" s="94"/>
    </row>
    <row r="25" spans="2:46" ht="18" customHeight="1" x14ac:dyDescent="0.6">
      <c r="B25" s="454"/>
      <c r="C25" s="458">
        <f>'Plot Data'!C63</f>
        <v>23.857161982491021</v>
      </c>
      <c r="D25" s="13"/>
      <c r="E25" s="8"/>
      <c r="F25" s="459"/>
      <c r="G25" s="460"/>
      <c r="H25" s="459"/>
      <c r="I25" s="460"/>
      <c r="J25" s="459"/>
      <c r="K25" s="460"/>
      <c r="L25" s="459"/>
      <c r="M25" s="460"/>
      <c r="N25" s="459"/>
      <c r="O25" s="460"/>
      <c r="P25" s="459"/>
      <c r="Q25" s="460"/>
      <c r="R25" s="459"/>
      <c r="S25" s="460"/>
      <c r="T25" s="459"/>
      <c r="U25" s="460"/>
      <c r="V25" s="459"/>
      <c r="W25" s="460"/>
      <c r="X25" s="459"/>
      <c r="Y25" s="460"/>
      <c r="Z25" s="459"/>
      <c r="AA25" s="460"/>
      <c r="AB25" s="459"/>
      <c r="AC25" s="460"/>
      <c r="AD25" s="459"/>
      <c r="AE25" s="460"/>
      <c r="AF25" s="459"/>
      <c r="AG25" s="460"/>
      <c r="AH25" s="459"/>
      <c r="AI25" s="460"/>
      <c r="AJ25" s="459"/>
      <c r="AK25" s="460"/>
      <c r="AL25" s="459"/>
      <c r="AM25" s="460"/>
      <c r="AN25" s="459"/>
      <c r="AO25" s="460"/>
      <c r="AP25" s="459"/>
      <c r="AQ25" s="460"/>
      <c r="AR25" s="459"/>
      <c r="AS25" s="460"/>
      <c r="AT25" s="94"/>
    </row>
    <row r="26" spans="2:46" ht="18" customHeight="1" x14ac:dyDescent="0.6">
      <c r="B26" s="454"/>
      <c r="C26" s="458"/>
      <c r="D26" s="7"/>
      <c r="E26" s="8"/>
      <c r="F26" s="459"/>
      <c r="G26" s="460"/>
      <c r="H26" s="459"/>
      <c r="I26" s="460"/>
      <c r="J26" s="459"/>
      <c r="K26" s="460"/>
      <c r="L26" s="459"/>
      <c r="M26" s="460"/>
      <c r="N26" s="459"/>
      <c r="O26" s="460"/>
      <c r="P26" s="459"/>
      <c r="Q26" s="460"/>
      <c r="R26" s="459"/>
      <c r="S26" s="460"/>
      <c r="T26" s="459"/>
      <c r="U26" s="460"/>
      <c r="V26" s="459"/>
      <c r="W26" s="460"/>
      <c r="X26" s="459"/>
      <c r="Y26" s="460"/>
      <c r="Z26" s="459"/>
      <c r="AA26" s="460"/>
      <c r="AB26" s="459"/>
      <c r="AC26" s="460"/>
      <c r="AD26" s="459"/>
      <c r="AE26" s="460"/>
      <c r="AF26" s="459"/>
      <c r="AG26" s="460"/>
      <c r="AH26" s="459"/>
      <c r="AI26" s="460"/>
      <c r="AJ26" s="459"/>
      <c r="AK26" s="460"/>
      <c r="AL26" s="459"/>
      <c r="AM26" s="460"/>
      <c r="AN26" s="459"/>
      <c r="AO26" s="460"/>
      <c r="AP26" s="459"/>
      <c r="AQ26" s="460"/>
      <c r="AR26" s="459"/>
      <c r="AS26" s="460"/>
      <c r="AT26" s="94"/>
    </row>
    <row r="27" spans="2:46" ht="18" customHeight="1" x14ac:dyDescent="0.6">
      <c r="B27" s="454"/>
      <c r="C27" s="458">
        <f>C31+(C25-C31)/2</f>
        <v>23.804262809427328</v>
      </c>
      <c r="D27" s="13"/>
      <c r="E27" s="8"/>
      <c r="F27" s="459"/>
      <c r="G27" s="460"/>
      <c r="H27" s="459"/>
      <c r="I27" s="460"/>
      <c r="J27" s="459"/>
      <c r="K27" s="460"/>
      <c r="L27" s="459"/>
      <c r="M27" s="460"/>
      <c r="N27" s="459"/>
      <c r="O27" s="460"/>
      <c r="P27" s="459"/>
      <c r="Q27" s="460"/>
      <c r="R27" s="459"/>
      <c r="S27" s="460"/>
      <c r="T27" s="459"/>
      <c r="U27" s="460"/>
      <c r="V27" s="459"/>
      <c r="W27" s="460"/>
      <c r="X27" s="459"/>
      <c r="Y27" s="460"/>
      <c r="Z27" s="459"/>
      <c r="AA27" s="460"/>
      <c r="AB27" s="459"/>
      <c r="AC27" s="460"/>
      <c r="AD27" s="459"/>
      <c r="AE27" s="460"/>
      <c r="AF27" s="459"/>
      <c r="AG27" s="460"/>
      <c r="AH27" s="459"/>
      <c r="AI27" s="460"/>
      <c r="AJ27" s="459"/>
      <c r="AK27" s="460"/>
      <c r="AL27" s="459"/>
      <c r="AM27" s="460"/>
      <c r="AN27" s="459"/>
      <c r="AO27" s="460"/>
      <c r="AP27" s="459"/>
      <c r="AQ27" s="460"/>
      <c r="AR27" s="459"/>
      <c r="AS27" s="460"/>
      <c r="AT27" s="94"/>
    </row>
    <row r="28" spans="2:46" ht="18" customHeight="1" x14ac:dyDescent="0.6">
      <c r="B28" s="454"/>
      <c r="C28" s="458"/>
      <c r="D28" s="3"/>
      <c r="E28" s="8"/>
      <c r="F28" s="459"/>
      <c r="G28" s="460"/>
      <c r="H28" s="459"/>
      <c r="I28" s="460"/>
      <c r="J28" s="459"/>
      <c r="K28" s="460"/>
      <c r="L28" s="459"/>
      <c r="M28" s="460"/>
      <c r="N28" s="459"/>
      <c r="O28" s="460"/>
      <c r="P28" s="459"/>
      <c r="Q28" s="460"/>
      <c r="R28" s="459"/>
      <c r="S28" s="460"/>
      <c r="T28" s="459"/>
      <c r="U28" s="460"/>
      <c r="V28" s="459"/>
      <c r="W28" s="460"/>
      <c r="X28" s="459"/>
      <c r="Y28" s="460"/>
      <c r="Z28" s="459"/>
      <c r="AA28" s="460"/>
      <c r="AB28" s="459"/>
      <c r="AC28" s="460"/>
      <c r="AD28" s="459"/>
      <c r="AE28" s="460"/>
      <c r="AF28" s="459"/>
      <c r="AG28" s="460"/>
      <c r="AH28" s="459"/>
      <c r="AI28" s="460"/>
      <c r="AJ28" s="459"/>
      <c r="AK28" s="460"/>
      <c r="AL28" s="459"/>
      <c r="AM28" s="460"/>
      <c r="AN28" s="459"/>
      <c r="AO28" s="460"/>
      <c r="AP28" s="459"/>
      <c r="AQ28" s="460"/>
      <c r="AR28" s="459"/>
      <c r="AS28" s="460"/>
      <c r="AT28" s="94"/>
    </row>
    <row r="29" spans="2:46" ht="18" customHeight="1" x14ac:dyDescent="0.6">
      <c r="B29" s="454"/>
      <c r="C29" s="458"/>
      <c r="D29" s="3"/>
      <c r="E29" s="8"/>
      <c r="F29" s="459"/>
      <c r="G29" s="460"/>
      <c r="H29" s="459"/>
      <c r="I29" s="460"/>
      <c r="J29" s="459"/>
      <c r="K29" s="460"/>
      <c r="L29" s="459"/>
      <c r="M29" s="460"/>
      <c r="N29" s="459"/>
      <c r="O29" s="460"/>
      <c r="P29" s="459"/>
      <c r="Q29" s="460"/>
      <c r="R29" s="459"/>
      <c r="S29" s="460"/>
      <c r="T29" s="459"/>
      <c r="U29" s="460"/>
      <c r="V29" s="459"/>
      <c r="W29" s="460"/>
      <c r="X29" s="459"/>
      <c r="Y29" s="460"/>
      <c r="Z29" s="459"/>
      <c r="AA29" s="460"/>
      <c r="AB29" s="459"/>
      <c r="AC29" s="460"/>
      <c r="AD29" s="459"/>
      <c r="AE29" s="460"/>
      <c r="AF29" s="459"/>
      <c r="AG29" s="460"/>
      <c r="AH29" s="459"/>
      <c r="AI29" s="460"/>
      <c r="AJ29" s="459"/>
      <c r="AK29" s="460"/>
      <c r="AL29" s="459"/>
      <c r="AM29" s="460"/>
      <c r="AN29" s="459"/>
      <c r="AO29" s="460"/>
      <c r="AP29" s="459"/>
      <c r="AQ29" s="460"/>
      <c r="AR29" s="459"/>
      <c r="AS29" s="460"/>
      <c r="AT29" s="94"/>
    </row>
    <row r="30" spans="2:46" ht="18" customHeight="1" x14ac:dyDescent="0.6">
      <c r="B30" s="454"/>
      <c r="C30" s="458"/>
      <c r="D30" s="7"/>
      <c r="E30" s="8"/>
      <c r="F30" s="459"/>
      <c r="G30" s="460"/>
      <c r="H30" s="459"/>
      <c r="I30" s="460"/>
      <c r="J30" s="459"/>
      <c r="K30" s="460"/>
      <c r="L30" s="459"/>
      <c r="M30" s="460"/>
      <c r="N30" s="459"/>
      <c r="O30" s="460"/>
      <c r="P30" s="459"/>
      <c r="Q30" s="460"/>
      <c r="R30" s="459"/>
      <c r="S30" s="460"/>
      <c r="T30" s="459"/>
      <c r="U30" s="460"/>
      <c r="V30" s="459"/>
      <c r="W30" s="460"/>
      <c r="X30" s="459"/>
      <c r="Y30" s="460"/>
      <c r="Z30" s="459"/>
      <c r="AA30" s="460"/>
      <c r="AB30" s="459"/>
      <c r="AC30" s="460"/>
      <c r="AD30" s="459"/>
      <c r="AE30" s="460"/>
      <c r="AF30" s="459"/>
      <c r="AG30" s="460"/>
      <c r="AH30" s="459"/>
      <c r="AI30" s="460"/>
      <c r="AJ30" s="459"/>
      <c r="AK30" s="460"/>
      <c r="AL30" s="459"/>
      <c r="AM30" s="460"/>
      <c r="AN30" s="459"/>
      <c r="AO30" s="460"/>
      <c r="AP30" s="459"/>
      <c r="AQ30" s="460"/>
      <c r="AR30" s="459"/>
      <c r="AS30" s="460"/>
      <c r="AT30" s="94"/>
    </row>
    <row r="31" spans="2:46" ht="18" customHeight="1" thickBot="1" x14ac:dyDescent="0.35">
      <c r="B31" s="454"/>
      <c r="C31" s="458">
        <f>'Plot Data'!C58</f>
        <v>23.751363636363635</v>
      </c>
      <c r="D31" s="14"/>
      <c r="E31" s="15"/>
      <c r="F31" s="465"/>
      <c r="G31" s="466"/>
      <c r="H31" s="465"/>
      <c r="I31" s="466"/>
      <c r="J31" s="465"/>
      <c r="K31" s="466"/>
      <c r="L31" s="465"/>
      <c r="M31" s="466"/>
      <c r="N31" s="465"/>
      <c r="O31" s="466"/>
      <c r="P31" s="465"/>
      <c r="Q31" s="466"/>
      <c r="R31" s="465"/>
      <c r="S31" s="466"/>
      <c r="T31" s="465"/>
      <c r="U31" s="466"/>
      <c r="V31" s="465"/>
      <c r="W31" s="466"/>
      <c r="X31" s="465"/>
      <c r="Y31" s="466"/>
      <c r="Z31" s="465"/>
      <c r="AA31" s="466"/>
      <c r="AB31" s="465"/>
      <c r="AC31" s="466"/>
      <c r="AD31" s="465"/>
      <c r="AE31" s="466"/>
      <c r="AF31" s="465"/>
      <c r="AG31" s="466"/>
      <c r="AH31" s="465"/>
      <c r="AI31" s="466"/>
      <c r="AJ31" s="465"/>
      <c r="AK31" s="466"/>
      <c r="AL31" s="465"/>
      <c r="AM31" s="466"/>
      <c r="AN31" s="465"/>
      <c r="AO31" s="466"/>
      <c r="AP31" s="465"/>
      <c r="AQ31" s="466"/>
      <c r="AR31" s="465"/>
      <c r="AS31" s="466"/>
      <c r="AT31" s="469" t="s">
        <v>90</v>
      </c>
    </row>
    <row r="32" spans="2:46" ht="18" customHeight="1" x14ac:dyDescent="0.3">
      <c r="B32" s="454"/>
      <c r="C32" s="458"/>
      <c r="D32" s="16"/>
      <c r="E32" s="17"/>
      <c r="F32" s="467"/>
      <c r="G32" s="468"/>
      <c r="H32" s="467"/>
      <c r="I32" s="468"/>
      <c r="J32" s="467"/>
      <c r="K32" s="468"/>
      <c r="L32" s="467"/>
      <c r="M32" s="468"/>
      <c r="N32" s="467"/>
      <c r="O32" s="468"/>
      <c r="P32" s="467"/>
      <c r="Q32" s="468"/>
      <c r="R32" s="467"/>
      <c r="S32" s="468"/>
      <c r="T32" s="467"/>
      <c r="U32" s="468"/>
      <c r="V32" s="467"/>
      <c r="W32" s="468"/>
      <c r="X32" s="467"/>
      <c r="Y32" s="468"/>
      <c r="Z32" s="467"/>
      <c r="AA32" s="468"/>
      <c r="AB32" s="467"/>
      <c r="AC32" s="468"/>
      <c r="AD32" s="467"/>
      <c r="AE32" s="468"/>
      <c r="AF32" s="467"/>
      <c r="AG32" s="468"/>
      <c r="AH32" s="467"/>
      <c r="AI32" s="468"/>
      <c r="AJ32" s="467"/>
      <c r="AK32" s="468"/>
      <c r="AL32" s="467"/>
      <c r="AM32" s="468"/>
      <c r="AN32" s="467"/>
      <c r="AO32" s="468"/>
      <c r="AP32" s="467"/>
      <c r="AQ32" s="468"/>
      <c r="AR32" s="467"/>
      <c r="AS32" s="468"/>
      <c r="AT32" s="464"/>
    </row>
    <row r="33" spans="2:46" ht="18" customHeight="1" x14ac:dyDescent="0.6">
      <c r="B33" s="454"/>
      <c r="C33" s="458">
        <f>C37+(C31-C37)/2</f>
        <v>23.698464463299942</v>
      </c>
      <c r="D33" s="13"/>
      <c r="E33" s="8"/>
      <c r="F33" s="459"/>
      <c r="G33" s="460"/>
      <c r="H33" s="459"/>
      <c r="I33" s="460"/>
      <c r="J33" s="459"/>
      <c r="K33" s="460"/>
      <c r="L33" s="459"/>
      <c r="M33" s="460"/>
      <c r="N33" s="459"/>
      <c r="O33" s="460"/>
      <c r="P33" s="459"/>
      <c r="Q33" s="460"/>
      <c r="R33" s="459"/>
      <c r="S33" s="460"/>
      <c r="T33" s="459"/>
      <c r="U33" s="460"/>
      <c r="V33" s="459"/>
      <c r="W33" s="460"/>
      <c r="X33" s="459"/>
      <c r="Y33" s="460"/>
      <c r="Z33" s="459"/>
      <c r="AA33" s="460"/>
      <c r="AB33" s="459"/>
      <c r="AC33" s="460"/>
      <c r="AD33" s="459"/>
      <c r="AE33" s="460"/>
      <c r="AF33" s="459"/>
      <c r="AG33" s="460"/>
      <c r="AH33" s="459"/>
      <c r="AI33" s="460"/>
      <c r="AJ33" s="459"/>
      <c r="AK33" s="460"/>
      <c r="AL33" s="459"/>
      <c r="AM33" s="460"/>
      <c r="AN33" s="459"/>
      <c r="AO33" s="460"/>
      <c r="AP33" s="459"/>
      <c r="AQ33" s="460"/>
      <c r="AR33" s="459"/>
      <c r="AS33" s="460"/>
      <c r="AT33" s="94"/>
    </row>
    <row r="34" spans="2:46" ht="18" customHeight="1" x14ac:dyDescent="0.6">
      <c r="B34" s="454"/>
      <c r="C34" s="458"/>
      <c r="D34" s="13"/>
      <c r="E34" s="8"/>
      <c r="F34" s="459"/>
      <c r="G34" s="460"/>
      <c r="H34" s="459"/>
      <c r="I34" s="460"/>
      <c r="J34" s="459"/>
      <c r="K34" s="460"/>
      <c r="L34" s="459"/>
      <c r="M34" s="460"/>
      <c r="N34" s="459"/>
      <c r="O34" s="460"/>
      <c r="P34" s="459"/>
      <c r="Q34" s="460"/>
      <c r="R34" s="459"/>
      <c r="S34" s="460"/>
      <c r="T34" s="459"/>
      <c r="U34" s="460"/>
      <c r="V34" s="459"/>
      <c r="W34" s="460"/>
      <c r="X34" s="459"/>
      <c r="Y34" s="460"/>
      <c r="Z34" s="459"/>
      <c r="AA34" s="460"/>
      <c r="AB34" s="459"/>
      <c r="AC34" s="460"/>
      <c r="AD34" s="459"/>
      <c r="AE34" s="460"/>
      <c r="AF34" s="459"/>
      <c r="AG34" s="460"/>
      <c r="AH34" s="459"/>
      <c r="AI34" s="460"/>
      <c r="AJ34" s="459"/>
      <c r="AK34" s="460"/>
      <c r="AL34" s="459"/>
      <c r="AM34" s="460"/>
      <c r="AN34" s="459"/>
      <c r="AO34" s="460"/>
      <c r="AP34" s="459"/>
      <c r="AQ34" s="460"/>
      <c r="AR34" s="459"/>
      <c r="AS34" s="460"/>
      <c r="AT34" s="94"/>
    </row>
    <row r="35" spans="2:46" ht="18" customHeight="1" x14ac:dyDescent="0.6">
      <c r="B35" s="454"/>
      <c r="C35" s="458"/>
      <c r="D35" s="13"/>
      <c r="E35" s="8"/>
      <c r="F35" s="459"/>
      <c r="G35" s="460"/>
      <c r="H35" s="459"/>
      <c r="I35" s="460"/>
      <c r="J35" s="459"/>
      <c r="K35" s="460"/>
      <c r="L35" s="459"/>
      <c r="M35" s="460"/>
      <c r="N35" s="459"/>
      <c r="O35" s="460"/>
      <c r="P35" s="459"/>
      <c r="Q35" s="460"/>
      <c r="R35" s="459"/>
      <c r="S35" s="460"/>
      <c r="T35" s="459"/>
      <c r="U35" s="460"/>
      <c r="V35" s="459"/>
      <c r="W35" s="460"/>
      <c r="X35" s="459"/>
      <c r="Y35" s="460"/>
      <c r="Z35" s="459"/>
      <c r="AA35" s="460"/>
      <c r="AB35" s="459"/>
      <c r="AC35" s="460"/>
      <c r="AD35" s="459"/>
      <c r="AE35" s="460"/>
      <c r="AF35" s="459"/>
      <c r="AG35" s="460"/>
      <c r="AH35" s="459"/>
      <c r="AI35" s="460"/>
      <c r="AJ35" s="459"/>
      <c r="AK35" s="460"/>
      <c r="AL35" s="459"/>
      <c r="AM35" s="460"/>
      <c r="AN35" s="459"/>
      <c r="AO35" s="460"/>
      <c r="AP35" s="459"/>
      <c r="AQ35" s="460"/>
      <c r="AR35" s="459"/>
      <c r="AS35" s="460"/>
      <c r="AT35" s="94"/>
    </row>
    <row r="36" spans="2:46" ht="18" customHeight="1" x14ac:dyDescent="0.6">
      <c r="B36" s="454"/>
      <c r="C36" s="458"/>
      <c r="D36" s="92"/>
      <c r="E36" s="8"/>
      <c r="F36" s="459"/>
      <c r="G36" s="460"/>
      <c r="H36" s="459"/>
      <c r="I36" s="460"/>
      <c r="J36" s="459"/>
      <c r="K36" s="460"/>
      <c r="L36" s="459"/>
      <c r="M36" s="460"/>
      <c r="N36" s="459"/>
      <c r="O36" s="460"/>
      <c r="P36" s="459"/>
      <c r="Q36" s="460"/>
      <c r="R36" s="459"/>
      <c r="S36" s="460"/>
      <c r="T36" s="459"/>
      <c r="U36" s="460"/>
      <c r="V36" s="459"/>
      <c r="W36" s="460"/>
      <c r="X36" s="459"/>
      <c r="Y36" s="460"/>
      <c r="Z36" s="459"/>
      <c r="AA36" s="460"/>
      <c r="AB36" s="459"/>
      <c r="AC36" s="460"/>
      <c r="AD36" s="459"/>
      <c r="AE36" s="460"/>
      <c r="AF36" s="459"/>
      <c r="AG36" s="460"/>
      <c r="AH36" s="459"/>
      <c r="AI36" s="460"/>
      <c r="AJ36" s="459"/>
      <c r="AK36" s="460"/>
      <c r="AL36" s="459"/>
      <c r="AM36" s="460"/>
      <c r="AN36" s="459"/>
      <c r="AO36" s="460"/>
      <c r="AP36" s="459"/>
      <c r="AQ36" s="460"/>
      <c r="AR36" s="459"/>
      <c r="AS36" s="460"/>
      <c r="AT36" s="94"/>
    </row>
    <row r="37" spans="2:46" ht="18" customHeight="1" x14ac:dyDescent="0.6">
      <c r="B37" s="454"/>
      <c r="C37" s="458">
        <f>'Plot Data'!C66</f>
        <v>23.645565290236249</v>
      </c>
      <c r="D37" s="13"/>
      <c r="E37" s="8"/>
      <c r="F37" s="470"/>
      <c r="G37" s="471"/>
      <c r="H37" s="459"/>
      <c r="I37" s="460"/>
      <c r="J37" s="459"/>
      <c r="K37" s="460"/>
      <c r="L37" s="459"/>
      <c r="M37" s="460"/>
      <c r="N37" s="459"/>
      <c r="O37" s="460"/>
      <c r="P37" s="459"/>
      <c r="Q37" s="460"/>
      <c r="R37" s="459"/>
      <c r="S37" s="460"/>
      <c r="T37" s="459"/>
      <c r="U37" s="460"/>
      <c r="V37" s="459"/>
      <c r="W37" s="460"/>
      <c r="X37" s="459"/>
      <c r="Y37" s="460"/>
      <c r="Z37" s="459"/>
      <c r="AA37" s="460"/>
      <c r="AB37" s="459"/>
      <c r="AC37" s="460"/>
      <c r="AD37" s="459"/>
      <c r="AE37" s="460"/>
      <c r="AF37" s="459"/>
      <c r="AG37" s="460"/>
      <c r="AH37" s="459"/>
      <c r="AI37" s="460"/>
      <c r="AJ37" s="459"/>
      <c r="AK37" s="460"/>
      <c r="AL37" s="459"/>
      <c r="AM37" s="460"/>
      <c r="AN37" s="459"/>
      <c r="AO37" s="460"/>
      <c r="AP37" s="459"/>
      <c r="AQ37" s="460"/>
      <c r="AR37" s="459"/>
      <c r="AS37" s="460"/>
      <c r="AT37" s="94"/>
    </row>
    <row r="38" spans="2:46" ht="18" customHeight="1" x14ac:dyDescent="0.6">
      <c r="B38" s="454"/>
      <c r="C38" s="458"/>
      <c r="D38" s="7"/>
      <c r="E38" s="8"/>
      <c r="F38" s="459"/>
      <c r="G38" s="460"/>
      <c r="H38" s="459"/>
      <c r="I38" s="460"/>
      <c r="J38" s="459"/>
      <c r="K38" s="460"/>
      <c r="L38" s="459"/>
      <c r="M38" s="460"/>
      <c r="N38" s="459"/>
      <c r="O38" s="460"/>
      <c r="P38" s="459"/>
      <c r="Q38" s="460"/>
      <c r="R38" s="459"/>
      <c r="S38" s="460"/>
      <c r="T38" s="459"/>
      <c r="U38" s="460"/>
      <c r="V38" s="459"/>
      <c r="W38" s="460"/>
      <c r="X38" s="459"/>
      <c r="Y38" s="460"/>
      <c r="Z38" s="459"/>
      <c r="AA38" s="460"/>
      <c r="AB38" s="459"/>
      <c r="AC38" s="460"/>
      <c r="AD38" s="459"/>
      <c r="AE38" s="460"/>
      <c r="AF38" s="459"/>
      <c r="AG38" s="460"/>
      <c r="AH38" s="459"/>
      <c r="AI38" s="460"/>
      <c r="AJ38" s="459"/>
      <c r="AK38" s="460"/>
      <c r="AL38" s="459"/>
      <c r="AM38" s="460"/>
      <c r="AN38" s="459"/>
      <c r="AO38" s="460"/>
      <c r="AP38" s="459"/>
      <c r="AQ38" s="460"/>
      <c r="AR38" s="459"/>
      <c r="AS38" s="460"/>
      <c r="AT38" s="94"/>
    </row>
    <row r="39" spans="2:46" ht="18" customHeight="1" x14ac:dyDescent="0.6">
      <c r="B39" s="454"/>
      <c r="C39" s="458">
        <f>C43+(C37-C43)/2</f>
        <v>23.592666117172556</v>
      </c>
      <c r="D39" s="13"/>
      <c r="E39" s="8"/>
      <c r="F39" s="459"/>
      <c r="G39" s="460"/>
      <c r="H39" s="459"/>
      <c r="I39" s="460"/>
      <c r="J39" s="459"/>
      <c r="K39" s="460"/>
      <c r="L39" s="459"/>
      <c r="M39" s="460"/>
      <c r="N39" s="459"/>
      <c r="O39" s="460"/>
      <c r="P39" s="459"/>
      <c r="Q39" s="460"/>
      <c r="R39" s="459"/>
      <c r="S39" s="460"/>
      <c r="T39" s="459"/>
      <c r="U39" s="460"/>
      <c r="V39" s="459"/>
      <c r="W39" s="460"/>
      <c r="X39" s="459"/>
      <c r="Y39" s="460"/>
      <c r="Z39" s="459"/>
      <c r="AA39" s="460"/>
      <c r="AB39" s="459"/>
      <c r="AC39" s="460"/>
      <c r="AD39" s="459"/>
      <c r="AE39" s="460"/>
      <c r="AF39" s="459"/>
      <c r="AG39" s="460"/>
      <c r="AH39" s="459"/>
      <c r="AI39" s="460"/>
      <c r="AJ39" s="459"/>
      <c r="AK39" s="460"/>
      <c r="AL39" s="459"/>
      <c r="AM39" s="460"/>
      <c r="AN39" s="459"/>
      <c r="AO39" s="460"/>
      <c r="AP39" s="459"/>
      <c r="AQ39" s="460"/>
      <c r="AR39" s="459"/>
      <c r="AS39" s="460"/>
      <c r="AT39" s="94"/>
    </row>
    <row r="40" spans="2:46" ht="18" customHeight="1" x14ac:dyDescent="0.6">
      <c r="B40" s="454"/>
      <c r="C40" s="458"/>
      <c r="D40" s="3"/>
      <c r="E40" s="8"/>
      <c r="F40" s="459"/>
      <c r="G40" s="460"/>
      <c r="H40" s="459"/>
      <c r="I40" s="460"/>
      <c r="J40" s="459"/>
      <c r="K40" s="460"/>
      <c r="L40" s="459"/>
      <c r="M40" s="460"/>
      <c r="N40" s="459"/>
      <c r="O40" s="460"/>
      <c r="P40" s="459"/>
      <c r="Q40" s="460"/>
      <c r="R40" s="459"/>
      <c r="S40" s="460"/>
      <c r="T40" s="459"/>
      <c r="U40" s="460"/>
      <c r="V40" s="459"/>
      <c r="W40" s="460"/>
      <c r="X40" s="459"/>
      <c r="Y40" s="460"/>
      <c r="Z40" s="459"/>
      <c r="AA40" s="460"/>
      <c r="AB40" s="459"/>
      <c r="AC40" s="460"/>
      <c r="AD40" s="459"/>
      <c r="AE40" s="460"/>
      <c r="AF40" s="459"/>
      <c r="AG40" s="460"/>
      <c r="AH40" s="459"/>
      <c r="AI40" s="460"/>
      <c r="AJ40" s="459"/>
      <c r="AK40" s="460"/>
      <c r="AL40" s="459"/>
      <c r="AM40" s="460"/>
      <c r="AN40" s="459"/>
      <c r="AO40" s="460"/>
      <c r="AP40" s="459"/>
      <c r="AQ40" s="460"/>
      <c r="AR40" s="459"/>
      <c r="AS40" s="460"/>
      <c r="AT40" s="94"/>
    </row>
    <row r="41" spans="2:46" ht="18" customHeight="1" x14ac:dyDescent="0.6">
      <c r="B41" s="454"/>
      <c r="C41" s="458"/>
      <c r="D41" s="3"/>
      <c r="E41" s="8"/>
      <c r="F41" s="459"/>
      <c r="G41" s="460"/>
      <c r="H41" s="459"/>
      <c r="I41" s="460"/>
      <c r="J41" s="459"/>
      <c r="K41" s="460"/>
      <c r="L41" s="459"/>
      <c r="M41" s="460"/>
      <c r="N41" s="459"/>
      <c r="O41" s="460"/>
      <c r="P41" s="459"/>
      <c r="Q41" s="460"/>
      <c r="R41" s="459"/>
      <c r="S41" s="460"/>
      <c r="T41" s="459"/>
      <c r="U41" s="460"/>
      <c r="V41" s="459"/>
      <c r="W41" s="460"/>
      <c r="X41" s="459"/>
      <c r="Y41" s="460"/>
      <c r="Z41" s="459"/>
      <c r="AA41" s="460"/>
      <c r="AB41" s="459"/>
      <c r="AC41" s="460"/>
      <c r="AD41" s="459"/>
      <c r="AE41" s="460"/>
      <c r="AF41" s="459"/>
      <c r="AG41" s="460"/>
      <c r="AH41" s="459"/>
      <c r="AI41" s="460"/>
      <c r="AJ41" s="459"/>
      <c r="AK41" s="460"/>
      <c r="AL41" s="459"/>
      <c r="AM41" s="460"/>
      <c r="AN41" s="459"/>
      <c r="AO41" s="460"/>
      <c r="AP41" s="459"/>
      <c r="AQ41" s="460"/>
      <c r="AR41" s="459"/>
      <c r="AS41" s="460"/>
      <c r="AT41" s="94"/>
    </row>
    <row r="42" spans="2:46" ht="18" customHeight="1" x14ac:dyDescent="0.6">
      <c r="B42" s="454"/>
      <c r="C42" s="458"/>
      <c r="D42" s="7"/>
      <c r="E42" s="8"/>
      <c r="F42" s="459"/>
      <c r="G42" s="460"/>
      <c r="H42" s="459"/>
      <c r="I42" s="460"/>
      <c r="J42" s="459"/>
      <c r="K42" s="460"/>
      <c r="L42" s="459"/>
      <c r="M42" s="460"/>
      <c r="N42" s="459"/>
      <c r="O42" s="460"/>
      <c r="P42" s="459"/>
      <c r="Q42" s="460"/>
      <c r="R42" s="459"/>
      <c r="S42" s="460"/>
      <c r="T42" s="459"/>
      <c r="U42" s="460"/>
      <c r="V42" s="459"/>
      <c r="W42" s="460"/>
      <c r="X42" s="459"/>
      <c r="Y42" s="460"/>
      <c r="Z42" s="459"/>
      <c r="AA42" s="460"/>
      <c r="AB42" s="459"/>
      <c r="AC42" s="460"/>
      <c r="AD42" s="459"/>
      <c r="AE42" s="460"/>
      <c r="AF42" s="459"/>
      <c r="AG42" s="460"/>
      <c r="AH42" s="459"/>
      <c r="AI42" s="460"/>
      <c r="AJ42" s="459"/>
      <c r="AK42" s="460"/>
      <c r="AL42" s="459"/>
      <c r="AM42" s="460"/>
      <c r="AN42" s="459"/>
      <c r="AO42" s="460"/>
      <c r="AP42" s="459"/>
      <c r="AQ42" s="460"/>
      <c r="AR42" s="459"/>
      <c r="AS42" s="460"/>
      <c r="AT42" s="94"/>
    </row>
    <row r="43" spans="2:46" ht="18" customHeight="1" thickBot="1" x14ac:dyDescent="0.35">
      <c r="B43" s="454"/>
      <c r="C43" s="458">
        <f>'Plot Data'!C65</f>
        <v>23.539766944108866</v>
      </c>
      <c r="D43" s="9"/>
      <c r="E43" s="10"/>
      <c r="F43" s="11"/>
      <c r="G43" s="12"/>
      <c r="H43" s="11"/>
      <c r="I43" s="12"/>
      <c r="J43" s="11"/>
      <c r="K43" s="12"/>
      <c r="L43" s="11"/>
      <c r="M43" s="12"/>
      <c r="N43" s="11"/>
      <c r="O43" s="12"/>
      <c r="P43" s="11"/>
      <c r="Q43" s="12"/>
      <c r="R43" s="11"/>
      <c r="S43" s="12"/>
      <c r="T43" s="11"/>
      <c r="U43" s="12"/>
      <c r="V43" s="11"/>
      <c r="W43" s="12"/>
      <c r="X43" s="11"/>
      <c r="Y43" s="12"/>
      <c r="Z43" s="11"/>
      <c r="AA43" s="12"/>
      <c r="AB43" s="11"/>
      <c r="AC43" s="12"/>
      <c r="AD43" s="11"/>
      <c r="AE43" s="12"/>
      <c r="AF43" s="11"/>
      <c r="AG43" s="12"/>
      <c r="AH43" s="11"/>
      <c r="AI43" s="12"/>
      <c r="AJ43" s="11"/>
      <c r="AK43" s="12"/>
      <c r="AL43" s="11"/>
      <c r="AM43" s="12"/>
      <c r="AN43" s="11"/>
      <c r="AO43" s="12"/>
      <c r="AP43" s="11"/>
      <c r="AQ43" s="12"/>
      <c r="AR43" s="11"/>
      <c r="AS43" s="12"/>
      <c r="AT43" s="463" t="s">
        <v>46</v>
      </c>
    </row>
    <row r="44" spans="2:46" ht="18" customHeight="1" x14ac:dyDescent="0.3">
      <c r="B44" s="454"/>
      <c r="C44" s="458"/>
      <c r="D44" s="7"/>
      <c r="E44" s="8"/>
      <c r="F44" s="459"/>
      <c r="G44" s="460"/>
      <c r="H44" s="459"/>
      <c r="I44" s="460"/>
      <c r="J44" s="459"/>
      <c r="K44" s="460"/>
      <c r="L44" s="459"/>
      <c r="M44" s="460"/>
      <c r="N44" s="459"/>
      <c r="O44" s="460"/>
      <c r="P44" s="459"/>
      <c r="Q44" s="460"/>
      <c r="R44" s="459"/>
      <c r="S44" s="460"/>
      <c r="T44" s="459"/>
      <c r="U44" s="460"/>
      <c r="V44" s="459"/>
      <c r="W44" s="460"/>
      <c r="X44" s="459"/>
      <c r="Y44" s="460"/>
      <c r="Z44" s="459"/>
      <c r="AA44" s="460"/>
      <c r="AB44" s="459"/>
      <c r="AC44" s="460"/>
      <c r="AD44" s="459"/>
      <c r="AE44" s="460"/>
      <c r="AF44" s="459"/>
      <c r="AG44" s="460"/>
      <c r="AH44" s="459"/>
      <c r="AI44" s="460"/>
      <c r="AJ44" s="459"/>
      <c r="AK44" s="460"/>
      <c r="AL44" s="459"/>
      <c r="AM44" s="460"/>
      <c r="AN44" s="459"/>
      <c r="AO44" s="460"/>
      <c r="AP44" s="459"/>
      <c r="AQ44" s="460"/>
      <c r="AR44" s="459"/>
      <c r="AS44" s="460"/>
      <c r="AT44" s="464"/>
    </row>
    <row r="45" spans="2:46" ht="18" customHeight="1" x14ac:dyDescent="0.6">
      <c r="B45" s="454"/>
      <c r="C45" s="458">
        <f>C49+(C43-C49)/2</f>
        <v>23.486867771045173</v>
      </c>
      <c r="D45" s="13"/>
      <c r="E45" s="8"/>
      <c r="F45" s="459"/>
      <c r="G45" s="460"/>
      <c r="H45" s="459"/>
      <c r="I45" s="460"/>
      <c r="J45" s="459"/>
      <c r="K45" s="460"/>
      <c r="L45" s="459"/>
      <c r="M45" s="460"/>
      <c r="N45" s="459"/>
      <c r="O45" s="460"/>
      <c r="P45" s="459"/>
      <c r="Q45" s="460"/>
      <c r="R45" s="459"/>
      <c r="S45" s="460"/>
      <c r="T45" s="459"/>
      <c r="U45" s="460"/>
      <c r="V45" s="459"/>
      <c r="W45" s="460"/>
      <c r="X45" s="459"/>
      <c r="Y45" s="460"/>
      <c r="Z45" s="459"/>
      <c r="AA45" s="460"/>
      <c r="AB45" s="459"/>
      <c r="AC45" s="460"/>
      <c r="AD45" s="459"/>
      <c r="AE45" s="460"/>
      <c r="AF45" s="459"/>
      <c r="AG45" s="460"/>
      <c r="AH45" s="459"/>
      <c r="AI45" s="460"/>
      <c r="AJ45" s="459"/>
      <c r="AK45" s="460"/>
      <c r="AL45" s="459"/>
      <c r="AM45" s="460"/>
      <c r="AN45" s="459"/>
      <c r="AO45" s="460"/>
      <c r="AP45" s="459"/>
      <c r="AQ45" s="460"/>
      <c r="AR45" s="459"/>
      <c r="AS45" s="460"/>
      <c r="AT45" s="94"/>
    </row>
    <row r="46" spans="2:46" ht="18" customHeight="1" x14ac:dyDescent="0.6">
      <c r="B46" s="454"/>
      <c r="C46" s="458"/>
      <c r="D46" s="3"/>
      <c r="E46" s="8"/>
      <c r="F46" s="459"/>
      <c r="G46" s="460"/>
      <c r="H46" s="459"/>
      <c r="I46" s="460"/>
      <c r="J46" s="459"/>
      <c r="K46" s="460"/>
      <c r="L46" s="459"/>
      <c r="M46" s="460"/>
      <c r="N46" s="459"/>
      <c r="O46" s="460"/>
      <c r="P46" s="459"/>
      <c r="Q46" s="460"/>
      <c r="R46" s="459"/>
      <c r="S46" s="460"/>
      <c r="T46" s="459"/>
      <c r="U46" s="460"/>
      <c r="V46" s="459"/>
      <c r="W46" s="460"/>
      <c r="X46" s="459"/>
      <c r="Y46" s="460"/>
      <c r="Z46" s="459"/>
      <c r="AA46" s="460"/>
      <c r="AB46" s="459"/>
      <c r="AC46" s="460"/>
      <c r="AD46" s="459"/>
      <c r="AE46" s="460"/>
      <c r="AF46" s="459"/>
      <c r="AG46" s="460"/>
      <c r="AH46" s="459"/>
      <c r="AI46" s="460"/>
      <c r="AJ46" s="459"/>
      <c r="AK46" s="460"/>
      <c r="AL46" s="459"/>
      <c r="AM46" s="460"/>
      <c r="AN46" s="459"/>
      <c r="AO46" s="460"/>
      <c r="AP46" s="459"/>
      <c r="AQ46" s="460"/>
      <c r="AR46" s="459"/>
      <c r="AS46" s="460"/>
      <c r="AT46" s="94"/>
    </row>
    <row r="47" spans="2:46" ht="18" customHeight="1" x14ac:dyDescent="0.6">
      <c r="B47" s="454"/>
      <c r="C47" s="458"/>
      <c r="D47" s="3"/>
      <c r="E47" s="8"/>
      <c r="F47" s="459"/>
      <c r="G47" s="460"/>
      <c r="H47" s="459"/>
      <c r="I47" s="460"/>
      <c r="J47" s="459"/>
      <c r="K47" s="460"/>
      <c r="L47" s="459"/>
      <c r="M47" s="460"/>
      <c r="N47" s="459"/>
      <c r="O47" s="460"/>
      <c r="P47" s="459"/>
      <c r="Q47" s="460"/>
      <c r="R47" s="459"/>
      <c r="S47" s="460"/>
      <c r="T47" s="459"/>
      <c r="U47" s="460"/>
      <c r="V47" s="459"/>
      <c r="W47" s="460"/>
      <c r="X47" s="459"/>
      <c r="Y47" s="460"/>
      <c r="Z47" s="459"/>
      <c r="AA47" s="460"/>
      <c r="AB47" s="459"/>
      <c r="AC47" s="460"/>
      <c r="AD47" s="459"/>
      <c r="AE47" s="460"/>
      <c r="AF47" s="459"/>
      <c r="AG47" s="460"/>
      <c r="AH47" s="459"/>
      <c r="AI47" s="460"/>
      <c r="AJ47" s="459"/>
      <c r="AK47" s="460"/>
      <c r="AL47" s="459"/>
      <c r="AM47" s="460"/>
      <c r="AN47" s="459"/>
      <c r="AO47" s="460"/>
      <c r="AP47" s="459"/>
      <c r="AQ47" s="460"/>
      <c r="AR47" s="459"/>
      <c r="AS47" s="460"/>
      <c r="AT47" s="94"/>
    </row>
    <row r="48" spans="2:46" ht="18" customHeight="1" x14ac:dyDescent="0.6">
      <c r="B48" s="454"/>
      <c r="C48" s="458"/>
      <c r="D48" s="7"/>
      <c r="E48" s="8"/>
      <c r="F48" s="459"/>
      <c r="G48" s="460"/>
      <c r="H48" s="459"/>
      <c r="I48" s="460"/>
      <c r="J48" s="459"/>
      <c r="K48" s="460"/>
      <c r="L48" s="459"/>
      <c r="M48" s="460"/>
      <c r="N48" s="459"/>
      <c r="O48" s="460"/>
      <c r="P48" s="459"/>
      <c r="Q48" s="460"/>
      <c r="R48" s="459"/>
      <c r="S48" s="460"/>
      <c r="T48" s="459"/>
      <c r="U48" s="460"/>
      <c r="V48" s="459"/>
      <c r="W48" s="460"/>
      <c r="X48" s="459"/>
      <c r="Y48" s="460"/>
      <c r="Z48" s="459"/>
      <c r="AA48" s="460"/>
      <c r="AB48" s="459"/>
      <c r="AC48" s="460"/>
      <c r="AD48" s="459"/>
      <c r="AE48" s="460"/>
      <c r="AF48" s="459"/>
      <c r="AG48" s="460"/>
      <c r="AH48" s="459"/>
      <c r="AI48" s="460"/>
      <c r="AJ48" s="459"/>
      <c r="AK48" s="460"/>
      <c r="AL48" s="459"/>
      <c r="AM48" s="460"/>
      <c r="AN48" s="459"/>
      <c r="AO48" s="460"/>
      <c r="AP48" s="459"/>
      <c r="AQ48" s="460"/>
      <c r="AR48" s="459"/>
      <c r="AS48" s="460"/>
      <c r="AT48" s="94"/>
    </row>
    <row r="49" spans="2:46" ht="18" customHeight="1" thickBot="1" x14ac:dyDescent="0.35">
      <c r="B49" s="454"/>
      <c r="C49" s="458">
        <f>'Plot Data'!C67</f>
        <v>23.43396859798148</v>
      </c>
      <c r="D49" s="5"/>
      <c r="E49" s="6"/>
      <c r="F49" s="461"/>
      <c r="G49" s="462"/>
      <c r="H49" s="461"/>
      <c r="I49" s="462"/>
      <c r="J49" s="461"/>
      <c r="K49" s="462"/>
      <c r="L49" s="461"/>
      <c r="M49" s="462"/>
      <c r="N49" s="461"/>
      <c r="O49" s="462"/>
      <c r="P49" s="461"/>
      <c r="Q49" s="462"/>
      <c r="R49" s="461"/>
      <c r="S49" s="462"/>
      <c r="T49" s="461"/>
      <c r="U49" s="462"/>
      <c r="V49" s="461"/>
      <c r="W49" s="462"/>
      <c r="X49" s="461"/>
      <c r="Y49" s="462"/>
      <c r="Z49" s="461"/>
      <c r="AA49" s="462"/>
      <c r="AB49" s="461"/>
      <c r="AC49" s="462"/>
      <c r="AD49" s="461"/>
      <c r="AE49" s="462"/>
      <c r="AF49" s="461"/>
      <c r="AG49" s="462"/>
      <c r="AH49" s="461"/>
      <c r="AI49" s="462"/>
      <c r="AJ49" s="461"/>
      <c r="AK49" s="462"/>
      <c r="AL49" s="461"/>
      <c r="AM49" s="462"/>
      <c r="AN49" s="461"/>
      <c r="AO49" s="462"/>
      <c r="AP49" s="461"/>
      <c r="AQ49" s="462"/>
      <c r="AR49" s="461"/>
      <c r="AS49" s="462"/>
      <c r="AT49" s="463" t="s">
        <v>45</v>
      </c>
    </row>
    <row r="50" spans="2:46" ht="18" customHeight="1" thickTop="1" thickBot="1" x14ac:dyDescent="0.35">
      <c r="B50" s="455"/>
      <c r="C50" s="472"/>
      <c r="D50" s="77"/>
      <c r="E50" s="78"/>
      <c r="F50" s="473"/>
      <c r="G50" s="474"/>
      <c r="H50" s="473"/>
      <c r="I50" s="474"/>
      <c r="J50" s="473"/>
      <c r="K50" s="474"/>
      <c r="L50" s="473"/>
      <c r="M50" s="474"/>
      <c r="N50" s="473"/>
      <c r="O50" s="474"/>
      <c r="P50" s="473"/>
      <c r="Q50" s="474"/>
      <c r="R50" s="473"/>
      <c r="S50" s="474"/>
      <c r="T50" s="473"/>
      <c r="U50" s="474"/>
      <c r="V50" s="473"/>
      <c r="W50" s="474"/>
      <c r="X50" s="473"/>
      <c r="Y50" s="474"/>
      <c r="Z50" s="473"/>
      <c r="AA50" s="474"/>
      <c r="AB50" s="473"/>
      <c r="AC50" s="474"/>
      <c r="AD50" s="473"/>
      <c r="AE50" s="474"/>
      <c r="AF50" s="473"/>
      <c r="AG50" s="474"/>
      <c r="AH50" s="473"/>
      <c r="AI50" s="474"/>
      <c r="AJ50" s="473"/>
      <c r="AK50" s="474"/>
      <c r="AL50" s="473"/>
      <c r="AM50" s="474"/>
      <c r="AN50" s="473"/>
      <c r="AO50" s="474"/>
      <c r="AP50" s="473"/>
      <c r="AQ50" s="474"/>
      <c r="AR50" s="473"/>
      <c r="AS50" s="474"/>
      <c r="AT50" s="477"/>
    </row>
    <row r="51" spans="2:46" ht="30" customHeight="1" thickTop="1" thickBot="1" x14ac:dyDescent="0.35">
      <c r="B51" s="88"/>
      <c r="C51" s="95"/>
      <c r="D51" s="90"/>
      <c r="E51" s="89"/>
      <c r="F51" s="475"/>
      <c r="G51" s="476"/>
      <c r="H51" s="475"/>
      <c r="I51" s="476"/>
      <c r="J51" s="475"/>
      <c r="K51" s="476"/>
      <c r="L51" s="475"/>
      <c r="M51" s="476"/>
      <c r="N51" s="475"/>
      <c r="O51" s="476"/>
      <c r="P51" s="475"/>
      <c r="Q51" s="476"/>
      <c r="R51" s="475"/>
      <c r="S51" s="476"/>
      <c r="T51" s="475"/>
      <c r="U51" s="476"/>
      <c r="V51" s="475"/>
      <c r="W51" s="476"/>
      <c r="X51" s="475"/>
      <c r="Y51" s="476"/>
      <c r="Z51" s="475"/>
      <c r="AA51" s="476"/>
      <c r="AB51" s="475"/>
      <c r="AC51" s="476"/>
      <c r="AD51" s="475"/>
      <c r="AE51" s="476"/>
      <c r="AF51" s="475"/>
      <c r="AG51" s="476"/>
      <c r="AH51" s="475"/>
      <c r="AI51" s="476"/>
      <c r="AJ51" s="475"/>
      <c r="AK51" s="476"/>
      <c r="AL51" s="475"/>
      <c r="AM51" s="476"/>
      <c r="AN51" s="475"/>
      <c r="AO51" s="476"/>
      <c r="AP51" s="475"/>
      <c r="AQ51" s="476"/>
      <c r="AR51" s="475"/>
      <c r="AS51" s="476"/>
      <c r="AT51" s="91"/>
    </row>
    <row r="52" spans="2:46" ht="9" customHeight="1" thickTop="1" x14ac:dyDescent="0.3">
      <c r="B52" s="478" t="s">
        <v>7</v>
      </c>
      <c r="C52" s="96"/>
      <c r="D52" s="79"/>
      <c r="E52" s="74"/>
      <c r="F52" s="456"/>
      <c r="G52" s="457"/>
      <c r="H52" s="456"/>
      <c r="I52" s="457"/>
      <c r="J52" s="456"/>
      <c r="K52" s="457"/>
      <c r="L52" s="456"/>
      <c r="M52" s="457"/>
      <c r="N52" s="456"/>
      <c r="O52" s="457"/>
      <c r="P52" s="456"/>
      <c r="Q52" s="457"/>
      <c r="R52" s="456"/>
      <c r="S52" s="457"/>
      <c r="T52" s="456"/>
      <c r="U52" s="457"/>
      <c r="V52" s="456"/>
      <c r="W52" s="457"/>
      <c r="X52" s="456"/>
      <c r="Y52" s="457"/>
      <c r="Z52" s="456"/>
      <c r="AA52" s="457"/>
      <c r="AB52" s="456"/>
      <c r="AC52" s="457"/>
      <c r="AD52" s="456"/>
      <c r="AE52" s="457"/>
      <c r="AF52" s="456"/>
      <c r="AG52" s="457"/>
      <c r="AH52" s="456"/>
      <c r="AI52" s="457"/>
      <c r="AJ52" s="456"/>
      <c r="AK52" s="457"/>
      <c r="AL52" s="456"/>
      <c r="AM52" s="457"/>
      <c r="AN52" s="456"/>
      <c r="AO52" s="457"/>
      <c r="AP52" s="456"/>
      <c r="AQ52" s="457"/>
      <c r="AR52" s="456"/>
      <c r="AS52" s="457"/>
      <c r="AT52" s="75"/>
    </row>
    <row r="53" spans="2:46" ht="9" customHeight="1" x14ac:dyDescent="0.3">
      <c r="B53" s="479"/>
      <c r="C53" s="97"/>
      <c r="D53" s="13"/>
      <c r="E53" s="4"/>
      <c r="F53" s="481"/>
      <c r="G53" s="482"/>
      <c r="H53" s="481"/>
      <c r="I53" s="482"/>
      <c r="J53" s="481"/>
      <c r="K53" s="482"/>
      <c r="L53" s="481"/>
      <c r="M53" s="482"/>
      <c r="N53" s="481"/>
      <c r="O53" s="482"/>
      <c r="P53" s="481"/>
      <c r="Q53" s="482"/>
      <c r="R53" s="481"/>
      <c r="S53" s="482"/>
      <c r="T53" s="481"/>
      <c r="U53" s="482"/>
      <c r="V53" s="481"/>
      <c r="W53" s="482"/>
      <c r="X53" s="481"/>
      <c r="Y53" s="482"/>
      <c r="Z53" s="481"/>
      <c r="AA53" s="482"/>
      <c r="AB53" s="481"/>
      <c r="AC53" s="482"/>
      <c r="AD53" s="481"/>
      <c r="AE53" s="482"/>
      <c r="AF53" s="481"/>
      <c r="AG53" s="482"/>
      <c r="AH53" s="481"/>
      <c r="AI53" s="482"/>
      <c r="AJ53" s="481"/>
      <c r="AK53" s="482"/>
      <c r="AL53" s="481"/>
      <c r="AM53" s="482"/>
      <c r="AN53" s="481"/>
      <c r="AO53" s="482"/>
      <c r="AP53" s="481"/>
      <c r="AQ53" s="482"/>
      <c r="AR53" s="481"/>
      <c r="AS53" s="482"/>
      <c r="AT53" s="80"/>
    </row>
    <row r="54" spans="2:46" ht="9" customHeight="1" x14ac:dyDescent="0.3">
      <c r="B54" s="479"/>
      <c r="C54" s="97"/>
      <c r="D54" s="3"/>
      <c r="E54" s="8"/>
      <c r="F54" s="459"/>
      <c r="G54" s="460"/>
      <c r="H54" s="459"/>
      <c r="I54" s="460"/>
      <c r="J54" s="459"/>
      <c r="K54" s="460"/>
      <c r="L54" s="459"/>
      <c r="M54" s="460"/>
      <c r="N54" s="459"/>
      <c r="O54" s="460"/>
      <c r="P54" s="459"/>
      <c r="Q54" s="460"/>
      <c r="R54" s="459"/>
      <c r="S54" s="460"/>
      <c r="T54" s="459"/>
      <c r="U54" s="460"/>
      <c r="V54" s="459"/>
      <c r="W54" s="460"/>
      <c r="X54" s="459"/>
      <c r="Y54" s="460"/>
      <c r="Z54" s="459"/>
      <c r="AA54" s="460"/>
      <c r="AB54" s="459"/>
      <c r="AC54" s="460"/>
      <c r="AD54" s="459"/>
      <c r="AE54" s="460"/>
      <c r="AF54" s="459"/>
      <c r="AG54" s="460"/>
      <c r="AH54" s="459"/>
      <c r="AI54" s="460"/>
      <c r="AJ54" s="459"/>
      <c r="AK54" s="460"/>
      <c r="AL54" s="459"/>
      <c r="AM54" s="460"/>
      <c r="AN54" s="459"/>
      <c r="AO54" s="460"/>
      <c r="AP54" s="459"/>
      <c r="AQ54" s="460"/>
      <c r="AR54" s="459"/>
      <c r="AS54" s="460"/>
      <c r="AT54" s="76"/>
    </row>
    <row r="55" spans="2:46" ht="9" customHeight="1" thickBot="1" x14ac:dyDescent="0.4">
      <c r="B55" s="479"/>
      <c r="C55" s="485">
        <f>'Plot Data'!C68</f>
        <v>0.12</v>
      </c>
      <c r="D55" s="70"/>
      <c r="E55" s="71"/>
      <c r="F55" s="483"/>
      <c r="G55" s="484"/>
      <c r="H55" s="483"/>
      <c r="I55" s="484"/>
      <c r="J55" s="483"/>
      <c r="K55" s="484"/>
      <c r="L55" s="483"/>
      <c r="M55" s="484"/>
      <c r="N55" s="483"/>
      <c r="O55" s="484"/>
      <c r="P55" s="483"/>
      <c r="Q55" s="484"/>
      <c r="R55" s="483"/>
      <c r="S55" s="484"/>
      <c r="T55" s="483"/>
      <c r="U55" s="484"/>
      <c r="V55" s="483"/>
      <c r="W55" s="484"/>
      <c r="X55" s="483"/>
      <c r="Y55" s="484"/>
      <c r="Z55" s="483"/>
      <c r="AA55" s="484"/>
      <c r="AB55" s="483"/>
      <c r="AC55" s="484"/>
      <c r="AD55" s="483"/>
      <c r="AE55" s="484"/>
      <c r="AF55" s="483"/>
      <c r="AG55" s="484"/>
      <c r="AH55" s="483"/>
      <c r="AI55" s="484"/>
      <c r="AJ55" s="483"/>
      <c r="AK55" s="484"/>
      <c r="AL55" s="483"/>
      <c r="AM55" s="484"/>
      <c r="AN55" s="483"/>
      <c r="AO55" s="484"/>
      <c r="AP55" s="483"/>
      <c r="AQ55" s="484"/>
      <c r="AR55" s="483"/>
      <c r="AS55" s="484"/>
      <c r="AT55" s="81"/>
    </row>
    <row r="56" spans="2:46" ht="9" customHeight="1" thickTop="1" x14ac:dyDescent="0.3">
      <c r="B56" s="479"/>
      <c r="C56" s="486"/>
      <c r="D56" s="19"/>
      <c r="E56" s="20"/>
      <c r="F56" s="487"/>
      <c r="G56" s="488"/>
      <c r="H56" s="487"/>
      <c r="I56" s="488"/>
      <c r="J56" s="487"/>
      <c r="K56" s="488"/>
      <c r="L56" s="487"/>
      <c r="M56" s="488"/>
      <c r="N56" s="487"/>
      <c r="O56" s="488"/>
      <c r="P56" s="487"/>
      <c r="Q56" s="488"/>
      <c r="R56" s="487"/>
      <c r="S56" s="488"/>
      <c r="T56" s="487"/>
      <c r="U56" s="488"/>
      <c r="V56" s="487"/>
      <c r="W56" s="488"/>
      <c r="X56" s="487"/>
      <c r="Y56" s="488"/>
      <c r="Z56" s="487"/>
      <c r="AA56" s="488"/>
      <c r="AB56" s="487"/>
      <c r="AC56" s="488"/>
      <c r="AD56" s="487"/>
      <c r="AE56" s="488"/>
      <c r="AF56" s="487"/>
      <c r="AG56" s="488"/>
      <c r="AH56" s="487"/>
      <c r="AI56" s="488"/>
      <c r="AJ56" s="487"/>
      <c r="AK56" s="488"/>
      <c r="AL56" s="487"/>
      <c r="AM56" s="488"/>
      <c r="AN56" s="487"/>
      <c r="AO56" s="488"/>
      <c r="AP56" s="487"/>
      <c r="AQ56" s="488"/>
      <c r="AR56" s="487"/>
      <c r="AS56" s="488"/>
      <c r="AT56" s="82"/>
    </row>
    <row r="57" spans="2:46" ht="9" customHeight="1" x14ac:dyDescent="0.3">
      <c r="B57" s="479"/>
      <c r="C57" s="458"/>
      <c r="D57" s="13"/>
      <c r="E57" s="8"/>
      <c r="F57" s="459"/>
      <c r="G57" s="460"/>
      <c r="H57" s="459"/>
      <c r="I57" s="460"/>
      <c r="J57" s="459"/>
      <c r="K57" s="460"/>
      <c r="L57" s="459"/>
      <c r="M57" s="460"/>
      <c r="N57" s="459"/>
      <c r="O57" s="460"/>
      <c r="P57" s="459"/>
      <c r="Q57" s="460"/>
      <c r="R57" s="459"/>
      <c r="S57" s="460"/>
      <c r="T57" s="459"/>
      <c r="U57" s="460"/>
      <c r="V57" s="459"/>
      <c r="W57" s="460"/>
      <c r="X57" s="459"/>
      <c r="Y57" s="460"/>
      <c r="Z57" s="459"/>
      <c r="AA57" s="460"/>
      <c r="AB57" s="459"/>
      <c r="AC57" s="460"/>
      <c r="AD57" s="459"/>
      <c r="AE57" s="460"/>
      <c r="AF57" s="459"/>
      <c r="AG57" s="460"/>
      <c r="AH57" s="459"/>
      <c r="AI57" s="460"/>
      <c r="AJ57" s="459"/>
      <c r="AK57" s="460"/>
      <c r="AL57" s="459"/>
      <c r="AM57" s="460"/>
      <c r="AN57" s="459"/>
      <c r="AO57" s="460"/>
      <c r="AP57" s="459"/>
      <c r="AQ57" s="460"/>
      <c r="AR57" s="459"/>
      <c r="AS57" s="460"/>
      <c r="AT57" s="76"/>
    </row>
    <row r="58" spans="2:46" ht="9" customHeight="1" x14ac:dyDescent="0.3">
      <c r="B58" s="479"/>
      <c r="C58" s="458"/>
      <c r="D58" s="3"/>
      <c r="E58" s="8"/>
      <c r="F58" s="459"/>
      <c r="G58" s="460"/>
      <c r="H58" s="459"/>
      <c r="I58" s="460"/>
      <c r="J58" s="459"/>
      <c r="K58" s="460"/>
      <c r="L58" s="459"/>
      <c r="M58" s="460"/>
      <c r="N58" s="459"/>
      <c r="O58" s="460"/>
      <c r="P58" s="459"/>
      <c r="Q58" s="460"/>
      <c r="R58" s="459"/>
      <c r="S58" s="460"/>
      <c r="T58" s="459"/>
      <c r="U58" s="460"/>
      <c r="V58" s="459"/>
      <c r="W58" s="460"/>
      <c r="X58" s="459"/>
      <c r="Y58" s="460"/>
      <c r="Z58" s="459"/>
      <c r="AA58" s="460"/>
      <c r="AB58" s="459"/>
      <c r="AC58" s="460"/>
      <c r="AD58" s="459"/>
      <c r="AE58" s="460"/>
      <c r="AF58" s="459"/>
      <c r="AG58" s="460"/>
      <c r="AH58" s="459"/>
      <c r="AI58" s="460"/>
      <c r="AJ58" s="459"/>
      <c r="AK58" s="460"/>
      <c r="AL58" s="459"/>
      <c r="AM58" s="460"/>
      <c r="AN58" s="459"/>
      <c r="AO58" s="460"/>
      <c r="AP58" s="459"/>
      <c r="AQ58" s="460"/>
      <c r="AR58" s="459"/>
      <c r="AS58" s="460"/>
      <c r="AT58" s="76"/>
    </row>
    <row r="59" spans="2:46" ht="9" customHeight="1" x14ac:dyDescent="0.3">
      <c r="B59" s="479"/>
      <c r="C59" s="458">
        <f>C63+(C55-C63)/2</f>
        <v>0.105</v>
      </c>
      <c r="D59" s="13"/>
      <c r="E59" s="4"/>
      <c r="F59" s="459"/>
      <c r="G59" s="460"/>
      <c r="H59" s="459"/>
      <c r="I59" s="460"/>
      <c r="J59" s="459"/>
      <c r="K59" s="460"/>
      <c r="L59" s="459"/>
      <c r="M59" s="460"/>
      <c r="N59" s="459"/>
      <c r="O59" s="460"/>
      <c r="P59" s="459"/>
      <c r="Q59" s="460"/>
      <c r="R59" s="459"/>
      <c r="S59" s="460"/>
      <c r="T59" s="459"/>
      <c r="U59" s="460"/>
      <c r="V59" s="459"/>
      <c r="W59" s="460"/>
      <c r="X59" s="459"/>
      <c r="Y59" s="460"/>
      <c r="Z59" s="459"/>
      <c r="AA59" s="460"/>
      <c r="AB59" s="459"/>
      <c r="AC59" s="460"/>
      <c r="AD59" s="459"/>
      <c r="AE59" s="460"/>
      <c r="AF59" s="459"/>
      <c r="AG59" s="460"/>
      <c r="AH59" s="459"/>
      <c r="AI59" s="460"/>
      <c r="AJ59" s="459"/>
      <c r="AK59" s="460"/>
      <c r="AL59" s="459"/>
      <c r="AM59" s="460"/>
      <c r="AN59" s="459"/>
      <c r="AO59" s="460"/>
      <c r="AP59" s="459"/>
      <c r="AQ59" s="460"/>
      <c r="AR59" s="459"/>
      <c r="AS59" s="460"/>
      <c r="AT59" s="80"/>
    </row>
    <row r="60" spans="2:46" ht="9" customHeight="1" x14ac:dyDescent="0.3">
      <c r="B60" s="479"/>
      <c r="C60" s="458"/>
      <c r="D60" s="13"/>
      <c r="E60" s="4"/>
      <c r="F60" s="459"/>
      <c r="G60" s="460"/>
      <c r="H60" s="459"/>
      <c r="I60" s="460"/>
      <c r="J60" s="459"/>
      <c r="K60" s="460"/>
      <c r="L60" s="459"/>
      <c r="M60" s="460"/>
      <c r="N60" s="459"/>
      <c r="O60" s="460"/>
      <c r="P60" s="459"/>
      <c r="Q60" s="460"/>
      <c r="R60" s="459"/>
      <c r="S60" s="460"/>
      <c r="T60" s="459"/>
      <c r="U60" s="460"/>
      <c r="V60" s="459"/>
      <c r="W60" s="460"/>
      <c r="X60" s="459"/>
      <c r="Y60" s="460"/>
      <c r="Z60" s="459"/>
      <c r="AA60" s="460"/>
      <c r="AB60" s="459"/>
      <c r="AC60" s="460"/>
      <c r="AD60" s="459"/>
      <c r="AE60" s="460"/>
      <c r="AF60" s="459"/>
      <c r="AG60" s="460"/>
      <c r="AH60" s="459"/>
      <c r="AI60" s="460"/>
      <c r="AJ60" s="459"/>
      <c r="AK60" s="460"/>
      <c r="AL60" s="459"/>
      <c r="AM60" s="460"/>
      <c r="AN60" s="459"/>
      <c r="AO60" s="460"/>
      <c r="AP60" s="459"/>
      <c r="AQ60" s="460"/>
      <c r="AR60" s="459"/>
      <c r="AS60" s="460"/>
      <c r="AT60" s="80"/>
    </row>
    <row r="61" spans="2:46" ht="9" customHeight="1" x14ac:dyDescent="0.3">
      <c r="B61" s="479"/>
      <c r="C61" s="458"/>
      <c r="D61" s="7"/>
      <c r="E61" s="18"/>
      <c r="F61" s="489"/>
      <c r="G61" s="490"/>
      <c r="H61" s="489"/>
      <c r="I61" s="490"/>
      <c r="J61" s="489"/>
      <c r="K61" s="490"/>
      <c r="L61" s="489"/>
      <c r="M61" s="490"/>
      <c r="N61" s="489"/>
      <c r="O61" s="490"/>
      <c r="P61" s="489"/>
      <c r="Q61" s="490"/>
      <c r="R61" s="489"/>
      <c r="S61" s="490"/>
      <c r="T61" s="489"/>
      <c r="U61" s="490"/>
      <c r="V61" s="489"/>
      <c r="W61" s="490"/>
      <c r="X61" s="489"/>
      <c r="Y61" s="490"/>
      <c r="Z61" s="489"/>
      <c r="AA61" s="490"/>
      <c r="AB61" s="489"/>
      <c r="AC61" s="490"/>
      <c r="AD61" s="489"/>
      <c r="AE61" s="490"/>
      <c r="AF61" s="489"/>
      <c r="AG61" s="490"/>
      <c r="AH61" s="489"/>
      <c r="AI61" s="490"/>
      <c r="AJ61" s="489"/>
      <c r="AK61" s="490"/>
      <c r="AL61" s="489"/>
      <c r="AM61" s="490"/>
      <c r="AN61" s="489"/>
      <c r="AO61" s="490"/>
      <c r="AP61" s="489"/>
      <c r="AQ61" s="490"/>
      <c r="AR61" s="489"/>
      <c r="AS61" s="490"/>
      <c r="AT61" s="83"/>
    </row>
    <row r="62" spans="2:46" ht="9" customHeight="1" x14ac:dyDescent="0.3">
      <c r="B62" s="479"/>
      <c r="C62" s="458"/>
      <c r="D62" s="21"/>
      <c r="E62" s="22"/>
      <c r="F62" s="491"/>
      <c r="G62" s="492"/>
      <c r="H62" s="491"/>
      <c r="I62" s="492"/>
      <c r="J62" s="491"/>
      <c r="K62" s="492"/>
      <c r="L62" s="491"/>
      <c r="M62" s="492"/>
      <c r="N62" s="491"/>
      <c r="O62" s="492"/>
      <c r="P62" s="491"/>
      <c r="Q62" s="492"/>
      <c r="R62" s="491"/>
      <c r="S62" s="492"/>
      <c r="T62" s="491"/>
      <c r="U62" s="492"/>
      <c r="V62" s="491"/>
      <c r="W62" s="492"/>
      <c r="X62" s="491"/>
      <c r="Y62" s="492"/>
      <c r="Z62" s="491"/>
      <c r="AA62" s="492"/>
      <c r="AB62" s="491"/>
      <c r="AC62" s="492"/>
      <c r="AD62" s="491"/>
      <c r="AE62" s="492"/>
      <c r="AF62" s="491"/>
      <c r="AG62" s="492"/>
      <c r="AH62" s="491"/>
      <c r="AI62" s="492"/>
      <c r="AJ62" s="491"/>
      <c r="AK62" s="492"/>
      <c r="AL62" s="491"/>
      <c r="AM62" s="492"/>
      <c r="AN62" s="491"/>
      <c r="AO62" s="492"/>
      <c r="AP62" s="491"/>
      <c r="AQ62" s="492"/>
      <c r="AR62" s="491"/>
      <c r="AS62" s="492"/>
      <c r="AT62" s="84"/>
    </row>
    <row r="63" spans="2:46" ht="9" customHeight="1" x14ac:dyDescent="0.3">
      <c r="B63" s="479"/>
      <c r="C63" s="458">
        <f>C69+(C55-C69)/2</f>
        <v>0.09</v>
      </c>
      <c r="D63" s="13"/>
      <c r="E63" s="4"/>
      <c r="F63" s="459"/>
      <c r="G63" s="460"/>
      <c r="H63" s="459"/>
      <c r="I63" s="460"/>
      <c r="J63" s="459"/>
      <c r="K63" s="460"/>
      <c r="L63" s="459"/>
      <c r="M63" s="460"/>
      <c r="N63" s="459"/>
      <c r="O63" s="460"/>
      <c r="P63" s="459"/>
      <c r="Q63" s="460"/>
      <c r="R63" s="459"/>
      <c r="S63" s="460"/>
      <c r="T63" s="459"/>
      <c r="U63" s="460"/>
      <c r="V63" s="459"/>
      <c r="W63" s="460"/>
      <c r="X63" s="459"/>
      <c r="Y63" s="460"/>
      <c r="Z63" s="459"/>
      <c r="AA63" s="460"/>
      <c r="AB63" s="459"/>
      <c r="AC63" s="460"/>
      <c r="AD63" s="459"/>
      <c r="AE63" s="460"/>
      <c r="AF63" s="459"/>
      <c r="AG63" s="460"/>
      <c r="AH63" s="459"/>
      <c r="AI63" s="460"/>
      <c r="AJ63" s="459"/>
      <c r="AK63" s="460"/>
      <c r="AL63" s="459"/>
      <c r="AM63" s="460"/>
      <c r="AN63" s="459"/>
      <c r="AO63" s="460"/>
      <c r="AP63" s="459"/>
      <c r="AQ63" s="460"/>
      <c r="AR63" s="459"/>
      <c r="AS63" s="460"/>
      <c r="AT63" s="80"/>
    </row>
    <row r="64" spans="2:46" ht="9" customHeight="1" x14ac:dyDescent="0.3">
      <c r="B64" s="479"/>
      <c r="C64" s="458"/>
      <c r="D64" s="13"/>
      <c r="E64" s="4"/>
      <c r="F64" s="459"/>
      <c r="G64" s="460"/>
      <c r="H64" s="459"/>
      <c r="I64" s="460"/>
      <c r="J64" s="459"/>
      <c r="K64" s="460"/>
      <c r="L64" s="459"/>
      <c r="M64" s="460"/>
      <c r="N64" s="459"/>
      <c r="O64" s="460"/>
      <c r="P64" s="459"/>
      <c r="Q64" s="460"/>
      <c r="R64" s="459"/>
      <c r="S64" s="460"/>
      <c r="T64" s="459"/>
      <c r="U64" s="460"/>
      <c r="V64" s="459"/>
      <c r="W64" s="460"/>
      <c r="X64" s="459"/>
      <c r="Y64" s="460"/>
      <c r="Z64" s="459"/>
      <c r="AA64" s="460"/>
      <c r="AB64" s="459"/>
      <c r="AC64" s="460"/>
      <c r="AD64" s="459"/>
      <c r="AE64" s="460"/>
      <c r="AF64" s="459"/>
      <c r="AG64" s="460"/>
      <c r="AH64" s="459"/>
      <c r="AI64" s="460"/>
      <c r="AJ64" s="459"/>
      <c r="AK64" s="460"/>
      <c r="AL64" s="459"/>
      <c r="AM64" s="460"/>
      <c r="AN64" s="459"/>
      <c r="AO64" s="460"/>
      <c r="AP64" s="459"/>
      <c r="AQ64" s="460"/>
      <c r="AR64" s="459"/>
      <c r="AS64" s="460"/>
      <c r="AT64" s="80"/>
    </row>
    <row r="65" spans="2:46" ht="15" customHeight="1" x14ac:dyDescent="0.3">
      <c r="B65" s="479"/>
      <c r="C65" s="458"/>
      <c r="D65" s="13"/>
      <c r="E65" s="4"/>
      <c r="F65" s="459"/>
      <c r="G65" s="460"/>
      <c r="H65" s="459"/>
      <c r="I65" s="460"/>
      <c r="J65" s="459"/>
      <c r="K65" s="460"/>
      <c r="L65" s="459"/>
      <c r="M65" s="460"/>
      <c r="N65" s="459"/>
      <c r="O65" s="460"/>
      <c r="P65" s="459"/>
      <c r="Q65" s="460"/>
      <c r="R65" s="459"/>
      <c r="S65" s="460"/>
      <c r="T65" s="459"/>
      <c r="U65" s="460"/>
      <c r="V65" s="459"/>
      <c r="W65" s="460"/>
      <c r="X65" s="459"/>
      <c r="Y65" s="460"/>
      <c r="Z65" s="459"/>
      <c r="AA65" s="460"/>
      <c r="AB65" s="459"/>
      <c r="AC65" s="460"/>
      <c r="AD65" s="459"/>
      <c r="AE65" s="460"/>
      <c r="AF65" s="459"/>
      <c r="AG65" s="460"/>
      <c r="AH65" s="459"/>
      <c r="AI65" s="460"/>
      <c r="AJ65" s="459"/>
      <c r="AK65" s="460"/>
      <c r="AL65" s="459"/>
      <c r="AM65" s="460"/>
      <c r="AN65" s="459"/>
      <c r="AO65" s="460"/>
      <c r="AP65" s="459"/>
      <c r="AQ65" s="460"/>
      <c r="AR65" s="459"/>
      <c r="AS65" s="460"/>
      <c r="AT65" s="80"/>
    </row>
    <row r="66" spans="2:46" ht="15" customHeight="1" x14ac:dyDescent="0.3">
      <c r="B66" s="479"/>
      <c r="C66" s="458"/>
      <c r="D66" s="13"/>
      <c r="E66" s="4"/>
      <c r="F66" s="459"/>
      <c r="G66" s="460"/>
      <c r="H66" s="459"/>
      <c r="I66" s="460"/>
      <c r="J66" s="459"/>
      <c r="K66" s="460"/>
      <c r="L66" s="459"/>
      <c r="M66" s="460"/>
      <c r="N66" s="459"/>
      <c r="O66" s="460"/>
      <c r="P66" s="459"/>
      <c r="Q66" s="460"/>
      <c r="R66" s="459"/>
      <c r="S66" s="460"/>
      <c r="T66" s="459"/>
      <c r="U66" s="460"/>
      <c r="V66" s="459"/>
      <c r="W66" s="460"/>
      <c r="X66" s="459"/>
      <c r="Y66" s="460"/>
      <c r="Z66" s="459"/>
      <c r="AA66" s="460"/>
      <c r="AB66" s="459"/>
      <c r="AC66" s="460"/>
      <c r="AD66" s="459"/>
      <c r="AE66" s="460"/>
      <c r="AF66" s="459"/>
      <c r="AG66" s="460"/>
      <c r="AH66" s="459"/>
      <c r="AI66" s="460"/>
      <c r="AJ66" s="459"/>
      <c r="AK66" s="460"/>
      <c r="AL66" s="459"/>
      <c r="AM66" s="460"/>
      <c r="AN66" s="459"/>
      <c r="AO66" s="460"/>
      <c r="AP66" s="459"/>
      <c r="AQ66" s="460"/>
      <c r="AR66" s="459"/>
      <c r="AS66" s="460"/>
      <c r="AT66" s="80"/>
    </row>
    <row r="67" spans="2:46" ht="15" customHeight="1" x14ac:dyDescent="0.3">
      <c r="B67" s="479"/>
      <c r="C67" s="458"/>
      <c r="D67" s="13"/>
      <c r="E67" s="4"/>
      <c r="F67" s="459"/>
      <c r="G67" s="460"/>
      <c r="H67" s="459"/>
      <c r="I67" s="460"/>
      <c r="J67" s="459"/>
      <c r="K67" s="460"/>
      <c r="L67" s="459"/>
      <c r="M67" s="460"/>
      <c r="N67" s="459"/>
      <c r="O67" s="460"/>
      <c r="P67" s="459"/>
      <c r="Q67" s="460"/>
      <c r="R67" s="459"/>
      <c r="S67" s="460"/>
      <c r="T67" s="459"/>
      <c r="U67" s="460"/>
      <c r="V67" s="459"/>
      <c r="W67" s="460"/>
      <c r="X67" s="459"/>
      <c r="Y67" s="460"/>
      <c r="Z67" s="459"/>
      <c r="AA67" s="460"/>
      <c r="AB67" s="459"/>
      <c r="AC67" s="460"/>
      <c r="AD67" s="459"/>
      <c r="AE67" s="460"/>
      <c r="AF67" s="459"/>
      <c r="AG67" s="460"/>
      <c r="AH67" s="459"/>
      <c r="AI67" s="460"/>
      <c r="AJ67" s="459"/>
      <c r="AK67" s="460"/>
      <c r="AL67" s="459"/>
      <c r="AM67" s="460"/>
      <c r="AN67" s="459"/>
      <c r="AO67" s="460"/>
      <c r="AP67" s="459"/>
      <c r="AQ67" s="460"/>
      <c r="AR67" s="459"/>
      <c r="AS67" s="460"/>
      <c r="AT67" s="80"/>
    </row>
    <row r="68" spans="2:46" ht="15" customHeight="1" x14ac:dyDescent="0.3">
      <c r="B68" s="479"/>
      <c r="C68" s="458"/>
      <c r="D68" s="13"/>
      <c r="E68" s="4"/>
      <c r="F68" s="459"/>
      <c r="G68" s="460"/>
      <c r="H68" s="459"/>
      <c r="I68" s="460"/>
      <c r="J68" s="459"/>
      <c r="K68" s="460"/>
      <c r="L68" s="459"/>
      <c r="M68" s="460"/>
      <c r="N68" s="459"/>
      <c r="O68" s="460"/>
      <c r="P68" s="459"/>
      <c r="Q68" s="460"/>
      <c r="R68" s="459"/>
      <c r="S68" s="460"/>
      <c r="T68" s="459"/>
      <c r="U68" s="460"/>
      <c r="V68" s="459"/>
      <c r="W68" s="460"/>
      <c r="X68" s="459"/>
      <c r="Y68" s="460"/>
      <c r="Z68" s="459"/>
      <c r="AA68" s="460"/>
      <c r="AB68" s="459"/>
      <c r="AC68" s="460"/>
      <c r="AD68" s="459"/>
      <c r="AE68" s="460"/>
      <c r="AF68" s="459"/>
      <c r="AG68" s="460"/>
      <c r="AH68" s="459"/>
      <c r="AI68" s="460"/>
      <c r="AJ68" s="459"/>
      <c r="AK68" s="460"/>
      <c r="AL68" s="459"/>
      <c r="AM68" s="460"/>
      <c r="AN68" s="459"/>
      <c r="AO68" s="460"/>
      <c r="AP68" s="459"/>
      <c r="AQ68" s="460"/>
      <c r="AR68" s="459"/>
      <c r="AS68" s="460"/>
      <c r="AT68" s="80"/>
    </row>
    <row r="69" spans="2:46" ht="15" customHeight="1" x14ac:dyDescent="0.3">
      <c r="B69" s="479"/>
      <c r="C69" s="458">
        <f>C55/2</f>
        <v>0.06</v>
      </c>
      <c r="D69" s="13"/>
      <c r="E69" s="4"/>
      <c r="F69" s="459"/>
      <c r="G69" s="460"/>
      <c r="H69" s="459"/>
      <c r="I69" s="460"/>
      <c r="J69" s="459"/>
      <c r="K69" s="460"/>
      <c r="L69" s="459"/>
      <c r="M69" s="460"/>
      <c r="N69" s="459"/>
      <c r="O69" s="460"/>
      <c r="P69" s="459"/>
      <c r="Q69" s="460"/>
      <c r="R69" s="459"/>
      <c r="S69" s="460"/>
      <c r="T69" s="459"/>
      <c r="U69" s="460"/>
      <c r="V69" s="459"/>
      <c r="W69" s="460"/>
      <c r="X69" s="459"/>
      <c r="Y69" s="460"/>
      <c r="Z69" s="459"/>
      <c r="AA69" s="460"/>
      <c r="AB69" s="459"/>
      <c r="AC69" s="460"/>
      <c r="AD69" s="459"/>
      <c r="AE69" s="460"/>
      <c r="AF69" s="459"/>
      <c r="AG69" s="460"/>
      <c r="AH69" s="459"/>
      <c r="AI69" s="460"/>
      <c r="AJ69" s="459"/>
      <c r="AK69" s="460"/>
      <c r="AL69" s="459"/>
      <c r="AM69" s="460"/>
      <c r="AN69" s="459"/>
      <c r="AO69" s="460"/>
      <c r="AP69" s="459"/>
      <c r="AQ69" s="460"/>
      <c r="AR69" s="459"/>
      <c r="AS69" s="460"/>
      <c r="AT69" s="80"/>
    </row>
    <row r="70" spans="2:46" ht="15" customHeight="1" x14ac:dyDescent="0.3">
      <c r="B70" s="479"/>
      <c r="C70" s="458"/>
      <c r="D70" s="13"/>
      <c r="E70" s="4"/>
      <c r="F70" s="459"/>
      <c r="G70" s="460"/>
      <c r="H70" s="459"/>
      <c r="I70" s="460"/>
      <c r="J70" s="459"/>
      <c r="K70" s="460"/>
      <c r="L70" s="459"/>
      <c r="M70" s="460"/>
      <c r="N70" s="459"/>
      <c r="O70" s="460"/>
      <c r="P70" s="459"/>
      <c r="Q70" s="460"/>
      <c r="R70" s="459"/>
      <c r="S70" s="460"/>
      <c r="T70" s="459"/>
      <c r="U70" s="460"/>
      <c r="V70" s="459"/>
      <c r="W70" s="460"/>
      <c r="X70" s="459"/>
      <c r="Y70" s="460"/>
      <c r="Z70" s="459"/>
      <c r="AA70" s="460"/>
      <c r="AB70" s="459"/>
      <c r="AC70" s="460"/>
      <c r="AD70" s="459"/>
      <c r="AE70" s="460"/>
      <c r="AF70" s="459"/>
      <c r="AG70" s="460"/>
      <c r="AH70" s="459"/>
      <c r="AI70" s="460"/>
      <c r="AJ70" s="459"/>
      <c r="AK70" s="460"/>
      <c r="AL70" s="459"/>
      <c r="AM70" s="460"/>
      <c r="AN70" s="459"/>
      <c r="AO70" s="460"/>
      <c r="AP70" s="459"/>
      <c r="AQ70" s="460"/>
      <c r="AR70" s="459"/>
      <c r="AS70" s="460"/>
      <c r="AT70" s="80"/>
    </row>
    <row r="71" spans="2:46" ht="15" customHeight="1" x14ac:dyDescent="0.3">
      <c r="B71" s="479"/>
      <c r="C71" s="458"/>
      <c r="D71" s="13"/>
      <c r="E71" s="4"/>
      <c r="F71" s="459"/>
      <c r="G71" s="460"/>
      <c r="H71" s="459"/>
      <c r="I71" s="460"/>
      <c r="J71" s="459"/>
      <c r="K71" s="460"/>
      <c r="L71" s="459"/>
      <c r="M71" s="460"/>
      <c r="N71" s="459"/>
      <c r="O71" s="460"/>
      <c r="P71" s="459"/>
      <c r="Q71" s="460"/>
      <c r="R71" s="459"/>
      <c r="S71" s="460"/>
      <c r="T71" s="459"/>
      <c r="U71" s="460"/>
      <c r="V71" s="459"/>
      <c r="W71" s="460"/>
      <c r="X71" s="459"/>
      <c r="Y71" s="460"/>
      <c r="Z71" s="459"/>
      <c r="AA71" s="460"/>
      <c r="AB71" s="459"/>
      <c r="AC71" s="460"/>
      <c r="AD71" s="459"/>
      <c r="AE71" s="460"/>
      <c r="AF71" s="459"/>
      <c r="AG71" s="460"/>
      <c r="AH71" s="459"/>
      <c r="AI71" s="460"/>
      <c r="AJ71" s="459"/>
      <c r="AK71" s="460"/>
      <c r="AL71" s="459"/>
      <c r="AM71" s="460"/>
      <c r="AN71" s="459"/>
      <c r="AO71" s="460"/>
      <c r="AP71" s="459"/>
      <c r="AQ71" s="460"/>
      <c r="AR71" s="459"/>
      <c r="AS71" s="460"/>
      <c r="AT71" s="80"/>
    </row>
    <row r="72" spans="2:46" ht="15" customHeight="1" x14ac:dyDescent="0.3">
      <c r="B72" s="479"/>
      <c r="C72" s="458"/>
      <c r="D72" s="13"/>
      <c r="E72" s="4"/>
      <c r="F72" s="459"/>
      <c r="G72" s="460"/>
      <c r="H72" s="459"/>
      <c r="I72" s="460"/>
      <c r="J72" s="459"/>
      <c r="K72" s="460"/>
      <c r="L72" s="459"/>
      <c r="M72" s="460"/>
      <c r="N72" s="459"/>
      <c r="O72" s="460"/>
      <c r="P72" s="459"/>
      <c r="Q72" s="460"/>
      <c r="R72" s="459"/>
      <c r="S72" s="460"/>
      <c r="T72" s="459"/>
      <c r="U72" s="460"/>
      <c r="V72" s="459"/>
      <c r="W72" s="460"/>
      <c r="X72" s="459"/>
      <c r="Y72" s="460"/>
      <c r="Z72" s="459"/>
      <c r="AA72" s="460"/>
      <c r="AB72" s="459"/>
      <c r="AC72" s="460"/>
      <c r="AD72" s="459"/>
      <c r="AE72" s="460"/>
      <c r="AF72" s="459"/>
      <c r="AG72" s="460"/>
      <c r="AH72" s="459"/>
      <c r="AI72" s="460"/>
      <c r="AJ72" s="459"/>
      <c r="AK72" s="460"/>
      <c r="AL72" s="459"/>
      <c r="AM72" s="460"/>
      <c r="AN72" s="459"/>
      <c r="AO72" s="460"/>
      <c r="AP72" s="459"/>
      <c r="AQ72" s="460"/>
      <c r="AR72" s="459"/>
      <c r="AS72" s="460"/>
      <c r="AT72" s="80"/>
    </row>
    <row r="73" spans="2:46" ht="15" customHeight="1" x14ac:dyDescent="0.3">
      <c r="B73" s="479"/>
      <c r="C73" s="458"/>
      <c r="D73" s="13"/>
      <c r="E73" s="4"/>
      <c r="F73" s="459"/>
      <c r="G73" s="460"/>
      <c r="H73" s="459"/>
      <c r="I73" s="460"/>
      <c r="J73" s="459"/>
      <c r="K73" s="460"/>
      <c r="L73" s="459"/>
      <c r="M73" s="460"/>
      <c r="N73" s="459"/>
      <c r="O73" s="460"/>
      <c r="P73" s="459"/>
      <c r="Q73" s="460"/>
      <c r="R73" s="459"/>
      <c r="S73" s="460"/>
      <c r="T73" s="459"/>
      <c r="U73" s="460"/>
      <c r="V73" s="459"/>
      <c r="W73" s="460"/>
      <c r="X73" s="459"/>
      <c r="Y73" s="460"/>
      <c r="Z73" s="459"/>
      <c r="AA73" s="460"/>
      <c r="AB73" s="459"/>
      <c r="AC73" s="460"/>
      <c r="AD73" s="459"/>
      <c r="AE73" s="460"/>
      <c r="AF73" s="459"/>
      <c r="AG73" s="460"/>
      <c r="AH73" s="459"/>
      <c r="AI73" s="460"/>
      <c r="AJ73" s="459"/>
      <c r="AK73" s="460"/>
      <c r="AL73" s="459"/>
      <c r="AM73" s="460"/>
      <c r="AN73" s="459"/>
      <c r="AO73" s="460"/>
      <c r="AP73" s="459"/>
      <c r="AQ73" s="460"/>
      <c r="AR73" s="459"/>
      <c r="AS73" s="460"/>
      <c r="AT73" s="80"/>
    </row>
    <row r="74" spans="2:46" ht="15" customHeight="1" x14ac:dyDescent="0.3">
      <c r="B74" s="479"/>
      <c r="C74" s="458"/>
      <c r="D74" s="13"/>
      <c r="E74" s="4"/>
      <c r="F74" s="459"/>
      <c r="G74" s="460"/>
      <c r="H74" s="459"/>
      <c r="I74" s="460"/>
      <c r="J74" s="459"/>
      <c r="K74" s="460"/>
      <c r="L74" s="459"/>
      <c r="M74" s="460"/>
      <c r="N74" s="459"/>
      <c r="O74" s="460"/>
      <c r="P74" s="459"/>
      <c r="Q74" s="460"/>
      <c r="R74" s="459"/>
      <c r="S74" s="460"/>
      <c r="T74" s="459"/>
      <c r="U74" s="460"/>
      <c r="V74" s="459"/>
      <c r="W74" s="460"/>
      <c r="X74" s="459"/>
      <c r="Y74" s="460"/>
      <c r="Z74" s="459"/>
      <c r="AA74" s="460"/>
      <c r="AB74" s="459"/>
      <c r="AC74" s="460"/>
      <c r="AD74" s="459"/>
      <c r="AE74" s="460"/>
      <c r="AF74" s="459"/>
      <c r="AG74" s="460"/>
      <c r="AH74" s="459"/>
      <c r="AI74" s="460"/>
      <c r="AJ74" s="459"/>
      <c r="AK74" s="460"/>
      <c r="AL74" s="459"/>
      <c r="AM74" s="460"/>
      <c r="AN74" s="459"/>
      <c r="AO74" s="460"/>
      <c r="AP74" s="459"/>
      <c r="AQ74" s="460"/>
      <c r="AR74" s="459"/>
      <c r="AS74" s="460"/>
      <c r="AT74" s="80"/>
    </row>
    <row r="75" spans="2:46" ht="15" customHeight="1" x14ac:dyDescent="0.3">
      <c r="B75" s="479"/>
      <c r="C75" s="458"/>
      <c r="D75" s="13"/>
      <c r="E75" s="4"/>
      <c r="F75" s="459"/>
      <c r="G75" s="460"/>
      <c r="H75" s="459"/>
      <c r="I75" s="460"/>
      <c r="J75" s="459"/>
      <c r="K75" s="460"/>
      <c r="L75" s="459"/>
      <c r="M75" s="460"/>
      <c r="N75" s="459"/>
      <c r="O75" s="460"/>
      <c r="P75" s="459"/>
      <c r="Q75" s="460"/>
      <c r="R75" s="459"/>
      <c r="S75" s="460"/>
      <c r="T75" s="459"/>
      <c r="U75" s="460"/>
      <c r="V75" s="459"/>
      <c r="W75" s="460"/>
      <c r="X75" s="459"/>
      <c r="Y75" s="460"/>
      <c r="Z75" s="459"/>
      <c r="AA75" s="460"/>
      <c r="AB75" s="459"/>
      <c r="AC75" s="460"/>
      <c r="AD75" s="459"/>
      <c r="AE75" s="460"/>
      <c r="AF75" s="459"/>
      <c r="AG75" s="460"/>
      <c r="AH75" s="459"/>
      <c r="AI75" s="460"/>
      <c r="AJ75" s="459"/>
      <c r="AK75" s="460"/>
      <c r="AL75" s="459"/>
      <c r="AM75" s="460"/>
      <c r="AN75" s="459"/>
      <c r="AO75" s="460"/>
      <c r="AP75" s="459"/>
      <c r="AQ75" s="460"/>
      <c r="AR75" s="459"/>
      <c r="AS75" s="460"/>
      <c r="AT75" s="80"/>
    </row>
    <row r="76" spans="2:46" ht="15" customHeight="1" x14ac:dyDescent="0.3">
      <c r="B76" s="479"/>
      <c r="C76" s="458"/>
      <c r="D76" s="13"/>
      <c r="E76" s="4"/>
      <c r="F76" s="459"/>
      <c r="G76" s="460"/>
      <c r="H76" s="459"/>
      <c r="I76" s="460"/>
      <c r="J76" s="459"/>
      <c r="K76" s="460"/>
      <c r="L76" s="459"/>
      <c r="M76" s="460"/>
      <c r="N76" s="459"/>
      <c r="O76" s="460"/>
      <c r="P76" s="459"/>
      <c r="Q76" s="460"/>
      <c r="R76" s="459"/>
      <c r="S76" s="460"/>
      <c r="T76" s="459"/>
      <c r="U76" s="460"/>
      <c r="V76" s="459"/>
      <c r="W76" s="460"/>
      <c r="X76" s="459"/>
      <c r="Y76" s="460"/>
      <c r="Z76" s="459"/>
      <c r="AA76" s="460"/>
      <c r="AB76" s="459"/>
      <c r="AC76" s="460"/>
      <c r="AD76" s="459"/>
      <c r="AE76" s="460"/>
      <c r="AF76" s="459"/>
      <c r="AG76" s="460"/>
      <c r="AH76" s="459"/>
      <c r="AI76" s="460"/>
      <c r="AJ76" s="459"/>
      <c r="AK76" s="460"/>
      <c r="AL76" s="459"/>
      <c r="AM76" s="460"/>
      <c r="AN76" s="459"/>
      <c r="AO76" s="460"/>
      <c r="AP76" s="459"/>
      <c r="AQ76" s="460"/>
      <c r="AR76" s="459"/>
      <c r="AS76" s="460"/>
      <c r="AT76" s="80"/>
    </row>
    <row r="77" spans="2:46" ht="15" customHeight="1" x14ac:dyDescent="0.3">
      <c r="B77" s="479"/>
      <c r="C77" s="458">
        <f>C69/2</f>
        <v>0.03</v>
      </c>
      <c r="D77" s="13"/>
      <c r="E77" s="4"/>
      <c r="F77" s="459"/>
      <c r="G77" s="460"/>
      <c r="H77" s="459"/>
      <c r="I77" s="460"/>
      <c r="J77" s="459"/>
      <c r="K77" s="460"/>
      <c r="L77" s="459"/>
      <c r="M77" s="460"/>
      <c r="N77" s="459"/>
      <c r="O77" s="460"/>
      <c r="P77" s="459"/>
      <c r="Q77" s="460"/>
      <c r="R77" s="459"/>
      <c r="S77" s="460"/>
      <c r="T77" s="459"/>
      <c r="U77" s="460"/>
      <c r="V77" s="459"/>
      <c r="W77" s="460"/>
      <c r="X77" s="459"/>
      <c r="Y77" s="460"/>
      <c r="Z77" s="459"/>
      <c r="AA77" s="460"/>
      <c r="AB77" s="459"/>
      <c r="AC77" s="460"/>
      <c r="AD77" s="459"/>
      <c r="AE77" s="460"/>
      <c r="AF77" s="459"/>
      <c r="AG77" s="460"/>
      <c r="AH77" s="459"/>
      <c r="AI77" s="460"/>
      <c r="AJ77" s="459"/>
      <c r="AK77" s="460"/>
      <c r="AL77" s="459"/>
      <c r="AM77" s="460"/>
      <c r="AN77" s="459"/>
      <c r="AO77" s="460"/>
      <c r="AP77" s="459"/>
      <c r="AQ77" s="460"/>
      <c r="AR77" s="459"/>
      <c r="AS77" s="460"/>
      <c r="AT77" s="80"/>
    </row>
    <row r="78" spans="2:46" ht="15" customHeight="1" x14ac:dyDescent="0.3">
      <c r="B78" s="479"/>
      <c r="C78" s="458"/>
      <c r="D78" s="13"/>
      <c r="E78" s="4"/>
      <c r="F78" s="459"/>
      <c r="G78" s="460"/>
      <c r="H78" s="459"/>
      <c r="I78" s="460"/>
      <c r="J78" s="459"/>
      <c r="K78" s="460"/>
      <c r="L78" s="459"/>
      <c r="M78" s="460"/>
      <c r="N78" s="459"/>
      <c r="O78" s="460"/>
      <c r="P78" s="459"/>
      <c r="Q78" s="460"/>
      <c r="R78" s="459"/>
      <c r="S78" s="460"/>
      <c r="T78" s="459"/>
      <c r="U78" s="460"/>
      <c r="V78" s="459"/>
      <c r="W78" s="460"/>
      <c r="X78" s="459"/>
      <c r="Y78" s="460"/>
      <c r="Z78" s="459"/>
      <c r="AA78" s="460"/>
      <c r="AB78" s="459"/>
      <c r="AC78" s="460"/>
      <c r="AD78" s="459"/>
      <c r="AE78" s="460"/>
      <c r="AF78" s="459"/>
      <c r="AG78" s="460"/>
      <c r="AH78" s="459"/>
      <c r="AI78" s="460"/>
      <c r="AJ78" s="459"/>
      <c r="AK78" s="460"/>
      <c r="AL78" s="459"/>
      <c r="AM78" s="460"/>
      <c r="AN78" s="459"/>
      <c r="AO78" s="460"/>
      <c r="AP78" s="459"/>
      <c r="AQ78" s="460"/>
      <c r="AR78" s="459"/>
      <c r="AS78" s="460"/>
      <c r="AT78" s="80"/>
    </row>
    <row r="79" spans="2:46" ht="15" customHeight="1" x14ac:dyDescent="0.3">
      <c r="B79" s="479"/>
      <c r="C79" s="458"/>
      <c r="D79" s="13"/>
      <c r="E79" s="4"/>
      <c r="F79" s="459"/>
      <c r="G79" s="460"/>
      <c r="H79" s="459"/>
      <c r="I79" s="460"/>
      <c r="J79" s="459"/>
      <c r="K79" s="460"/>
      <c r="L79" s="459"/>
      <c r="M79" s="460"/>
      <c r="N79" s="459"/>
      <c r="O79" s="460"/>
      <c r="P79" s="459"/>
      <c r="Q79" s="460"/>
      <c r="R79" s="459"/>
      <c r="S79" s="460"/>
      <c r="T79" s="459"/>
      <c r="U79" s="460"/>
      <c r="V79" s="459"/>
      <c r="W79" s="460"/>
      <c r="X79" s="459"/>
      <c r="Y79" s="460"/>
      <c r="Z79" s="459"/>
      <c r="AA79" s="460"/>
      <c r="AB79" s="459"/>
      <c r="AC79" s="460"/>
      <c r="AD79" s="459"/>
      <c r="AE79" s="460"/>
      <c r="AF79" s="459"/>
      <c r="AG79" s="460"/>
      <c r="AH79" s="459"/>
      <c r="AI79" s="460"/>
      <c r="AJ79" s="459"/>
      <c r="AK79" s="460"/>
      <c r="AL79" s="459"/>
      <c r="AM79" s="460"/>
      <c r="AN79" s="459"/>
      <c r="AO79" s="460"/>
      <c r="AP79" s="459"/>
      <c r="AQ79" s="460"/>
      <c r="AR79" s="459"/>
      <c r="AS79" s="460"/>
      <c r="AT79" s="80"/>
    </row>
    <row r="80" spans="2:46" ht="15" customHeight="1" x14ac:dyDescent="0.3">
      <c r="B80" s="479"/>
      <c r="C80" s="458"/>
      <c r="D80" s="13"/>
      <c r="E80" s="4"/>
      <c r="F80" s="459"/>
      <c r="G80" s="460"/>
      <c r="H80" s="459"/>
      <c r="I80" s="460"/>
      <c r="J80" s="459"/>
      <c r="K80" s="460"/>
      <c r="L80" s="459"/>
      <c r="M80" s="460"/>
      <c r="N80" s="459"/>
      <c r="O80" s="460"/>
      <c r="P80" s="459"/>
      <c r="Q80" s="460"/>
      <c r="R80" s="459"/>
      <c r="S80" s="460"/>
      <c r="T80" s="459"/>
      <c r="U80" s="460"/>
      <c r="V80" s="459"/>
      <c r="W80" s="460"/>
      <c r="X80" s="459"/>
      <c r="Y80" s="460"/>
      <c r="Z80" s="459"/>
      <c r="AA80" s="460"/>
      <c r="AB80" s="459"/>
      <c r="AC80" s="460"/>
      <c r="AD80" s="459"/>
      <c r="AE80" s="460"/>
      <c r="AF80" s="459"/>
      <c r="AG80" s="460"/>
      <c r="AH80" s="459"/>
      <c r="AI80" s="460"/>
      <c r="AJ80" s="459"/>
      <c r="AK80" s="460"/>
      <c r="AL80" s="459"/>
      <c r="AM80" s="460"/>
      <c r="AN80" s="459"/>
      <c r="AO80" s="460"/>
      <c r="AP80" s="459"/>
      <c r="AQ80" s="460"/>
      <c r="AR80" s="459"/>
      <c r="AS80" s="460"/>
      <c r="AT80" s="80"/>
    </row>
    <row r="81" spans="2:46" ht="15" customHeight="1" x14ac:dyDescent="0.3">
      <c r="B81" s="479"/>
      <c r="C81" s="458">
        <f>C77/2</f>
        <v>1.4999999999999999E-2</v>
      </c>
      <c r="D81" s="13"/>
      <c r="E81" s="4"/>
      <c r="F81" s="459"/>
      <c r="G81" s="460"/>
      <c r="H81" s="459"/>
      <c r="I81" s="460"/>
      <c r="J81" s="459"/>
      <c r="K81" s="460"/>
      <c r="L81" s="459"/>
      <c r="M81" s="460"/>
      <c r="N81" s="459"/>
      <c r="O81" s="460"/>
      <c r="P81" s="459"/>
      <c r="Q81" s="460"/>
      <c r="R81" s="459"/>
      <c r="S81" s="460"/>
      <c r="T81" s="459"/>
      <c r="U81" s="460"/>
      <c r="V81" s="459"/>
      <c r="W81" s="460"/>
      <c r="X81" s="459"/>
      <c r="Y81" s="460"/>
      <c r="Z81" s="459"/>
      <c r="AA81" s="460"/>
      <c r="AB81" s="459"/>
      <c r="AC81" s="460"/>
      <c r="AD81" s="459"/>
      <c r="AE81" s="460"/>
      <c r="AF81" s="459"/>
      <c r="AG81" s="460"/>
      <c r="AH81" s="459"/>
      <c r="AI81" s="460"/>
      <c r="AJ81" s="459"/>
      <c r="AK81" s="460"/>
      <c r="AL81" s="459"/>
      <c r="AM81" s="460"/>
      <c r="AN81" s="459"/>
      <c r="AO81" s="460"/>
      <c r="AP81" s="459"/>
      <c r="AQ81" s="460"/>
      <c r="AR81" s="459"/>
      <c r="AS81" s="460"/>
      <c r="AT81" s="80"/>
    </row>
    <row r="82" spans="2:46" ht="15" customHeight="1" x14ac:dyDescent="0.3">
      <c r="B82" s="479"/>
      <c r="C82" s="458"/>
      <c r="D82" s="13"/>
      <c r="E82" s="4"/>
      <c r="F82" s="459"/>
      <c r="G82" s="460"/>
      <c r="H82" s="459"/>
      <c r="I82" s="460"/>
      <c r="J82" s="459"/>
      <c r="K82" s="460"/>
      <c r="L82" s="459"/>
      <c r="M82" s="460"/>
      <c r="N82" s="459"/>
      <c r="O82" s="460"/>
      <c r="P82" s="459"/>
      <c r="Q82" s="460"/>
      <c r="R82" s="459"/>
      <c r="S82" s="460"/>
      <c r="T82" s="459"/>
      <c r="U82" s="460"/>
      <c r="V82" s="459"/>
      <c r="W82" s="460"/>
      <c r="X82" s="459"/>
      <c r="Y82" s="460"/>
      <c r="Z82" s="459"/>
      <c r="AA82" s="460"/>
      <c r="AB82" s="459"/>
      <c r="AC82" s="460"/>
      <c r="AD82" s="459"/>
      <c r="AE82" s="460"/>
      <c r="AF82" s="459"/>
      <c r="AG82" s="460"/>
      <c r="AH82" s="459"/>
      <c r="AI82" s="460"/>
      <c r="AJ82" s="459"/>
      <c r="AK82" s="460"/>
      <c r="AL82" s="459"/>
      <c r="AM82" s="460"/>
      <c r="AN82" s="459"/>
      <c r="AO82" s="460"/>
      <c r="AP82" s="459"/>
      <c r="AQ82" s="460"/>
      <c r="AR82" s="459"/>
      <c r="AS82" s="460"/>
      <c r="AT82" s="80"/>
    </row>
    <row r="83" spans="2:46" ht="15" customHeight="1" x14ac:dyDescent="0.3">
      <c r="B83" s="479"/>
      <c r="C83" s="499"/>
      <c r="D83" s="3"/>
      <c r="E83" s="8"/>
      <c r="F83" s="459"/>
      <c r="G83" s="460"/>
      <c r="H83" s="459"/>
      <c r="I83" s="460"/>
      <c r="J83" s="459"/>
      <c r="K83" s="460"/>
      <c r="L83" s="459"/>
      <c r="M83" s="460"/>
      <c r="N83" s="459"/>
      <c r="O83" s="460"/>
      <c r="P83" s="459"/>
      <c r="Q83" s="460"/>
      <c r="R83" s="459"/>
      <c r="S83" s="460"/>
      <c r="T83" s="459"/>
      <c r="U83" s="460"/>
      <c r="V83" s="459"/>
      <c r="W83" s="460"/>
      <c r="X83" s="459"/>
      <c r="Y83" s="460"/>
      <c r="Z83" s="459"/>
      <c r="AA83" s="460"/>
      <c r="AB83" s="459"/>
      <c r="AC83" s="460"/>
      <c r="AD83" s="459"/>
      <c r="AE83" s="460"/>
      <c r="AF83" s="459"/>
      <c r="AG83" s="460"/>
      <c r="AH83" s="459"/>
      <c r="AI83" s="460"/>
      <c r="AJ83" s="459"/>
      <c r="AK83" s="460"/>
      <c r="AL83" s="459"/>
      <c r="AM83" s="460"/>
      <c r="AN83" s="459"/>
      <c r="AO83" s="460"/>
      <c r="AP83" s="459"/>
      <c r="AQ83" s="460"/>
      <c r="AR83" s="459"/>
      <c r="AS83" s="460"/>
      <c r="AT83" s="76"/>
    </row>
    <row r="84" spans="2:46" ht="15.75" customHeight="1" thickBot="1" x14ac:dyDescent="0.35">
      <c r="B84" s="480"/>
      <c r="C84" s="500"/>
      <c r="D84" s="85"/>
      <c r="E84" s="86"/>
      <c r="F84" s="494"/>
      <c r="G84" s="495"/>
      <c r="H84" s="494"/>
      <c r="I84" s="495"/>
      <c r="J84" s="494"/>
      <c r="K84" s="495"/>
      <c r="L84" s="494"/>
      <c r="M84" s="495"/>
      <c r="N84" s="494"/>
      <c r="O84" s="495"/>
      <c r="P84" s="494"/>
      <c r="Q84" s="495"/>
      <c r="R84" s="494"/>
      <c r="S84" s="495"/>
      <c r="T84" s="494"/>
      <c r="U84" s="495"/>
      <c r="V84" s="494"/>
      <c r="W84" s="495"/>
      <c r="X84" s="494"/>
      <c r="Y84" s="495"/>
      <c r="Z84" s="494"/>
      <c r="AA84" s="495"/>
      <c r="AB84" s="494"/>
      <c r="AC84" s="495"/>
      <c r="AD84" s="494"/>
      <c r="AE84" s="495"/>
      <c r="AF84" s="494"/>
      <c r="AG84" s="495"/>
      <c r="AH84" s="494"/>
      <c r="AI84" s="495"/>
      <c r="AJ84" s="494"/>
      <c r="AK84" s="495"/>
      <c r="AL84" s="494"/>
      <c r="AM84" s="495"/>
      <c r="AN84" s="494"/>
      <c r="AO84" s="495"/>
      <c r="AP84" s="494"/>
      <c r="AQ84" s="495"/>
      <c r="AR84" s="494"/>
      <c r="AS84" s="495"/>
      <c r="AT84" s="87"/>
    </row>
    <row r="85" spans="2:46" s="48" customFormat="1" ht="26.4" thickTop="1" x14ac:dyDescent="0.5">
      <c r="E85" s="493">
        <v>1</v>
      </c>
      <c r="F85" s="493"/>
      <c r="G85" s="493">
        <v>2</v>
      </c>
      <c r="H85" s="493"/>
      <c r="I85" s="493">
        <v>3</v>
      </c>
      <c r="J85" s="493"/>
      <c r="K85" s="493">
        <v>4</v>
      </c>
      <c r="L85" s="493"/>
      <c r="M85" s="493">
        <v>5</v>
      </c>
      <c r="N85" s="493"/>
      <c r="O85" s="493">
        <v>6</v>
      </c>
      <c r="P85" s="493"/>
      <c r="Q85" s="493">
        <v>7</v>
      </c>
      <c r="R85" s="493"/>
      <c r="S85" s="493">
        <v>8</v>
      </c>
      <c r="T85" s="493"/>
      <c r="U85" s="493">
        <v>9</v>
      </c>
      <c r="V85" s="493"/>
      <c r="W85" s="493">
        <v>10</v>
      </c>
      <c r="X85" s="493"/>
      <c r="Y85" s="493">
        <v>11</v>
      </c>
      <c r="Z85" s="493"/>
      <c r="AA85" s="493">
        <v>12</v>
      </c>
      <c r="AB85" s="493"/>
      <c r="AC85" s="493">
        <v>13</v>
      </c>
      <c r="AD85" s="493"/>
      <c r="AE85" s="493">
        <v>14</v>
      </c>
      <c r="AF85" s="493"/>
      <c r="AG85" s="493">
        <v>15</v>
      </c>
      <c r="AH85" s="493"/>
      <c r="AI85" s="493">
        <v>16</v>
      </c>
      <c r="AJ85" s="493"/>
      <c r="AK85" s="493">
        <v>17</v>
      </c>
      <c r="AL85" s="493"/>
      <c r="AM85" s="493">
        <v>18</v>
      </c>
      <c r="AN85" s="493"/>
      <c r="AO85" s="493">
        <v>19</v>
      </c>
      <c r="AP85" s="493"/>
      <c r="AQ85" s="493">
        <v>20</v>
      </c>
      <c r="AR85" s="493"/>
      <c r="AS85" s="493">
        <v>21</v>
      </c>
      <c r="AT85" s="493"/>
    </row>
    <row r="86" spans="2:46" s="47" customFormat="1" ht="29.4" thickBot="1" x14ac:dyDescent="0.55000000000000004">
      <c r="B86" s="99" t="s">
        <v>91</v>
      </c>
      <c r="C86" s="99"/>
      <c r="D86" s="99"/>
      <c r="E86" s="99"/>
      <c r="F86" s="99"/>
      <c r="G86" s="99"/>
      <c r="H86" s="99" t="s">
        <v>88</v>
      </c>
      <c r="I86" s="99"/>
      <c r="J86" s="99"/>
      <c r="K86" s="99"/>
      <c r="L86" s="99"/>
      <c r="M86" s="99"/>
      <c r="N86" s="99"/>
      <c r="O86" s="99"/>
      <c r="P86" s="99"/>
      <c r="Q86" s="99"/>
      <c r="R86" s="99"/>
      <c r="S86" s="99"/>
      <c r="T86" s="99"/>
      <c r="U86" s="99"/>
      <c r="V86" s="99"/>
      <c r="W86" s="99"/>
      <c r="X86" s="99"/>
      <c r="Y86" s="99"/>
      <c r="Z86" s="99"/>
      <c r="AA86" s="99"/>
      <c r="AB86" s="100" t="s">
        <v>8</v>
      </c>
      <c r="AC86" s="99"/>
      <c r="AD86" s="496" t="s">
        <v>9</v>
      </c>
      <c r="AE86" s="496"/>
      <c r="AF86" s="496"/>
      <c r="AG86" s="496"/>
      <c r="AH86" s="99"/>
      <c r="AI86" s="99"/>
      <c r="AJ86" s="497" t="s">
        <v>10</v>
      </c>
      <c r="AK86" s="497"/>
      <c r="AL86" s="497"/>
      <c r="AM86" s="497"/>
      <c r="AN86" s="99"/>
      <c r="AO86" s="99"/>
      <c r="AP86" s="498" t="s">
        <v>11</v>
      </c>
      <c r="AQ86" s="498"/>
      <c r="AR86" s="498"/>
      <c r="AS86" s="498"/>
    </row>
    <row r="87" spans="2:46" s="48" customFormat="1" ht="25.8" x14ac:dyDescent="0.5"/>
    <row r="88" spans="2:46" s="48" customFormat="1" ht="25.8" x14ac:dyDescent="0.5"/>
    <row r="89" spans="2:46" x14ac:dyDescent="0.3">
      <c r="B89" s="23"/>
    </row>
  </sheetData>
  <sheetProtection password="B7E1" sheet="1" objects="1" scenarios="1"/>
  <mergeCells count="1615">
    <mergeCell ref="AS85:AT85"/>
    <mergeCell ref="AD86:AG86"/>
    <mergeCell ref="AJ86:AM86"/>
    <mergeCell ref="AP86:AS86"/>
    <mergeCell ref="AD4:AJ4"/>
    <mergeCell ref="AG85:AH85"/>
    <mergeCell ref="AI85:AJ85"/>
    <mergeCell ref="AK85:AL85"/>
    <mergeCell ref="AM85:AN85"/>
    <mergeCell ref="AO85:AP85"/>
    <mergeCell ref="AQ85:AR85"/>
    <mergeCell ref="U85:V85"/>
    <mergeCell ref="W85:X85"/>
    <mergeCell ref="Y85:Z85"/>
    <mergeCell ref="AA85:AB85"/>
    <mergeCell ref="AC85:AD85"/>
    <mergeCell ref="AE85:AF85"/>
    <mergeCell ref="AP84:AQ84"/>
    <mergeCell ref="AR84:AS84"/>
    <mergeCell ref="AL83:AM83"/>
    <mergeCell ref="AN83:AO83"/>
    <mergeCell ref="AP83:AQ83"/>
    <mergeCell ref="AR83:AS83"/>
    <mergeCell ref="Z83:AA83"/>
    <mergeCell ref="AB83:AC83"/>
    <mergeCell ref="AD83:AE83"/>
    <mergeCell ref="AF83:AG83"/>
    <mergeCell ref="AH83:AI83"/>
    <mergeCell ref="AJ83:AK83"/>
    <mergeCell ref="AR81:AS81"/>
    <mergeCell ref="AF81:AG81"/>
    <mergeCell ref="AH81:AI81"/>
    <mergeCell ref="E85:F85"/>
    <mergeCell ref="G85:H85"/>
    <mergeCell ref="I85:J85"/>
    <mergeCell ref="K85:L85"/>
    <mergeCell ref="M85:N85"/>
    <mergeCell ref="O85:P85"/>
    <mergeCell ref="Q85:R85"/>
    <mergeCell ref="S85:T85"/>
    <mergeCell ref="AD84:AE84"/>
    <mergeCell ref="AF84:AG84"/>
    <mergeCell ref="AH84:AI84"/>
    <mergeCell ref="AJ84:AK84"/>
    <mergeCell ref="AL84:AM84"/>
    <mergeCell ref="AN84:AO84"/>
    <mergeCell ref="R84:S84"/>
    <mergeCell ref="T84:U84"/>
    <mergeCell ref="V84:W84"/>
    <mergeCell ref="X84:Y84"/>
    <mergeCell ref="Z84:AA84"/>
    <mergeCell ref="AB84:AC84"/>
    <mergeCell ref="F84:G84"/>
    <mergeCell ref="H84:I84"/>
    <mergeCell ref="J84:K84"/>
    <mergeCell ref="L84:M84"/>
    <mergeCell ref="N84:O84"/>
    <mergeCell ref="P84:Q84"/>
    <mergeCell ref="N83:O83"/>
    <mergeCell ref="P83:Q83"/>
    <mergeCell ref="R83:S83"/>
    <mergeCell ref="T83:U83"/>
    <mergeCell ref="V83:W83"/>
    <mergeCell ref="X83:Y83"/>
    <mergeCell ref="AJ82:AK82"/>
    <mergeCell ref="AL82:AM82"/>
    <mergeCell ref="AN82:AO82"/>
    <mergeCell ref="AP82:AQ82"/>
    <mergeCell ref="AR82:AS82"/>
    <mergeCell ref="C83:C84"/>
    <mergeCell ref="F83:G83"/>
    <mergeCell ref="H83:I83"/>
    <mergeCell ref="J83:K83"/>
    <mergeCell ref="L83:M83"/>
    <mergeCell ref="X82:Y82"/>
    <mergeCell ref="Z82:AA82"/>
    <mergeCell ref="AB82:AC82"/>
    <mergeCell ref="AD82:AE82"/>
    <mergeCell ref="AF82:AG82"/>
    <mergeCell ref="AH82:AI82"/>
    <mergeCell ref="F82:G82"/>
    <mergeCell ref="H82:I82"/>
    <mergeCell ref="J82:K82"/>
    <mergeCell ref="L82:M82"/>
    <mergeCell ref="N82:O82"/>
    <mergeCell ref="P82:Q82"/>
    <mergeCell ref="R82:S82"/>
    <mergeCell ref="T82:U82"/>
    <mergeCell ref="V82:W82"/>
    <mergeCell ref="AJ81:AK81"/>
    <mergeCell ref="AL81:AM81"/>
    <mergeCell ref="AN81:AO81"/>
    <mergeCell ref="AP81:AQ81"/>
    <mergeCell ref="T81:U81"/>
    <mergeCell ref="V81:W81"/>
    <mergeCell ref="X81:Y81"/>
    <mergeCell ref="Z81:AA81"/>
    <mergeCell ref="AB81:AC81"/>
    <mergeCell ref="AD81:AE81"/>
    <mergeCell ref="AP80:AQ80"/>
    <mergeCell ref="AR80:AS80"/>
    <mergeCell ref="C81:C82"/>
    <mergeCell ref="F81:G81"/>
    <mergeCell ref="H81:I81"/>
    <mergeCell ref="J81:K81"/>
    <mergeCell ref="L81:M81"/>
    <mergeCell ref="N81:O81"/>
    <mergeCell ref="P81:Q81"/>
    <mergeCell ref="R81:S81"/>
    <mergeCell ref="AD80:AE80"/>
    <mergeCell ref="AF80:AG80"/>
    <mergeCell ref="AH80:AI80"/>
    <mergeCell ref="AJ80:AK80"/>
    <mergeCell ref="AL80:AM80"/>
    <mergeCell ref="AN80:AO80"/>
    <mergeCell ref="R80:S80"/>
    <mergeCell ref="T80:U80"/>
    <mergeCell ref="V80:W80"/>
    <mergeCell ref="X80:Y80"/>
    <mergeCell ref="Z80:AA80"/>
    <mergeCell ref="AB80:AC80"/>
    <mergeCell ref="F80:G80"/>
    <mergeCell ref="H80:I80"/>
    <mergeCell ref="J80:K80"/>
    <mergeCell ref="L80:M80"/>
    <mergeCell ref="N80:O80"/>
    <mergeCell ref="P80:Q80"/>
    <mergeCell ref="Z79:AA79"/>
    <mergeCell ref="AB79:AC79"/>
    <mergeCell ref="AD79:AE79"/>
    <mergeCell ref="AF79:AG79"/>
    <mergeCell ref="AH79:AI79"/>
    <mergeCell ref="AJ79:AK79"/>
    <mergeCell ref="N79:O79"/>
    <mergeCell ref="P79:Q79"/>
    <mergeCell ref="R79:S79"/>
    <mergeCell ref="T79:U79"/>
    <mergeCell ref="V79:W79"/>
    <mergeCell ref="X79:Y79"/>
    <mergeCell ref="AR78:AS78"/>
    <mergeCell ref="C79:C80"/>
    <mergeCell ref="F79:G79"/>
    <mergeCell ref="H79:I79"/>
    <mergeCell ref="J79:K79"/>
    <mergeCell ref="L79:M79"/>
    <mergeCell ref="X78:Y78"/>
    <mergeCell ref="Z78:AA78"/>
    <mergeCell ref="AB78:AC78"/>
    <mergeCell ref="AD78:AE78"/>
    <mergeCell ref="AF78:AG78"/>
    <mergeCell ref="AH78:AI78"/>
    <mergeCell ref="AR77:AS77"/>
    <mergeCell ref="F78:G78"/>
    <mergeCell ref="H78:I78"/>
    <mergeCell ref="J78:K78"/>
    <mergeCell ref="L78:M78"/>
    <mergeCell ref="N78:O78"/>
    <mergeCell ref="P78:Q78"/>
    <mergeCell ref="R78:S78"/>
    <mergeCell ref="T78:U78"/>
    <mergeCell ref="V78:W78"/>
    <mergeCell ref="AF77:AG77"/>
    <mergeCell ref="AH77:AI77"/>
    <mergeCell ref="AJ77:AK77"/>
    <mergeCell ref="AL77:AM77"/>
    <mergeCell ref="AN77:AO77"/>
    <mergeCell ref="AP77:AQ77"/>
    <mergeCell ref="AL79:AM79"/>
    <mergeCell ref="AN79:AO79"/>
    <mergeCell ref="AP79:AQ79"/>
    <mergeCell ref="AR79:AS79"/>
    <mergeCell ref="T77:U77"/>
    <mergeCell ref="V77:W77"/>
    <mergeCell ref="X77:Y77"/>
    <mergeCell ref="Z77:AA77"/>
    <mergeCell ref="AB77:AC77"/>
    <mergeCell ref="AD77:AE77"/>
    <mergeCell ref="AP76:AQ76"/>
    <mergeCell ref="AR76:AS76"/>
    <mergeCell ref="C77:C78"/>
    <mergeCell ref="F77:G77"/>
    <mergeCell ref="H77:I77"/>
    <mergeCell ref="J77:K77"/>
    <mergeCell ref="L77:M77"/>
    <mergeCell ref="N77:O77"/>
    <mergeCell ref="P77:Q77"/>
    <mergeCell ref="R77:S77"/>
    <mergeCell ref="AD76:AE76"/>
    <mergeCell ref="AF76:AG76"/>
    <mergeCell ref="AH76:AI76"/>
    <mergeCell ref="AJ76:AK76"/>
    <mergeCell ref="AL76:AM76"/>
    <mergeCell ref="AN76:AO76"/>
    <mergeCell ref="R76:S76"/>
    <mergeCell ref="T76:U76"/>
    <mergeCell ref="V76:W76"/>
    <mergeCell ref="X76:Y76"/>
    <mergeCell ref="Z76:AA76"/>
    <mergeCell ref="AB76:AC76"/>
    <mergeCell ref="AJ78:AK78"/>
    <mergeCell ref="AL78:AM78"/>
    <mergeCell ref="AN78:AO78"/>
    <mergeCell ref="AP78:AQ78"/>
    <mergeCell ref="AL75:AM75"/>
    <mergeCell ref="AN75:AO75"/>
    <mergeCell ref="AP75:AQ75"/>
    <mergeCell ref="AR75:AS75"/>
    <mergeCell ref="F76:G76"/>
    <mergeCell ref="H76:I76"/>
    <mergeCell ref="J76:K76"/>
    <mergeCell ref="L76:M76"/>
    <mergeCell ref="N76:O76"/>
    <mergeCell ref="P76:Q76"/>
    <mergeCell ref="Z75:AA75"/>
    <mergeCell ref="AB75:AC75"/>
    <mergeCell ref="AD75:AE75"/>
    <mergeCell ref="AF75:AG75"/>
    <mergeCell ref="AH75:AI75"/>
    <mergeCell ref="AJ75:AK75"/>
    <mergeCell ref="N75:O75"/>
    <mergeCell ref="P75:Q75"/>
    <mergeCell ref="R75:S75"/>
    <mergeCell ref="T75:U75"/>
    <mergeCell ref="V75:W75"/>
    <mergeCell ref="X75:Y75"/>
    <mergeCell ref="AJ74:AK74"/>
    <mergeCell ref="AL74:AM74"/>
    <mergeCell ref="AN74:AO74"/>
    <mergeCell ref="AP74:AQ74"/>
    <mergeCell ref="AR74:AS74"/>
    <mergeCell ref="C75:C76"/>
    <mergeCell ref="F75:G75"/>
    <mergeCell ref="H75:I75"/>
    <mergeCell ref="J75:K75"/>
    <mergeCell ref="L75:M75"/>
    <mergeCell ref="X74:Y74"/>
    <mergeCell ref="Z74:AA74"/>
    <mergeCell ref="AB74:AC74"/>
    <mergeCell ref="AD74:AE74"/>
    <mergeCell ref="AF74:AG74"/>
    <mergeCell ref="AH74:AI74"/>
    <mergeCell ref="AR73:AS73"/>
    <mergeCell ref="F74:G74"/>
    <mergeCell ref="H74:I74"/>
    <mergeCell ref="J74:K74"/>
    <mergeCell ref="L74:M74"/>
    <mergeCell ref="N74:O74"/>
    <mergeCell ref="P74:Q74"/>
    <mergeCell ref="R74:S74"/>
    <mergeCell ref="T74:U74"/>
    <mergeCell ref="V74:W74"/>
    <mergeCell ref="AF73:AG73"/>
    <mergeCell ref="AH73:AI73"/>
    <mergeCell ref="AJ73:AK73"/>
    <mergeCell ref="AL73:AM73"/>
    <mergeCell ref="AN73:AO73"/>
    <mergeCell ref="AP73:AQ73"/>
    <mergeCell ref="T73:U73"/>
    <mergeCell ref="V73:W73"/>
    <mergeCell ref="X73:Y73"/>
    <mergeCell ref="Z73:AA73"/>
    <mergeCell ref="AB73:AC73"/>
    <mergeCell ref="AD73:AE73"/>
    <mergeCell ref="AP72:AQ72"/>
    <mergeCell ref="AR72:AS72"/>
    <mergeCell ref="C73:C74"/>
    <mergeCell ref="F73:G73"/>
    <mergeCell ref="H73:I73"/>
    <mergeCell ref="J73:K73"/>
    <mergeCell ref="L73:M73"/>
    <mergeCell ref="N73:O73"/>
    <mergeCell ref="P73:Q73"/>
    <mergeCell ref="R73:S73"/>
    <mergeCell ref="AD72:AE72"/>
    <mergeCell ref="AF72:AG72"/>
    <mergeCell ref="AH72:AI72"/>
    <mergeCell ref="AJ72:AK72"/>
    <mergeCell ref="AL72:AM72"/>
    <mergeCell ref="AN72:AO72"/>
    <mergeCell ref="R72:S72"/>
    <mergeCell ref="T72:U72"/>
    <mergeCell ref="V72:W72"/>
    <mergeCell ref="X72:Y72"/>
    <mergeCell ref="Z72:AA72"/>
    <mergeCell ref="AB72:AC72"/>
    <mergeCell ref="F72:G72"/>
    <mergeCell ref="H72:I72"/>
    <mergeCell ref="J72:K72"/>
    <mergeCell ref="L72:M72"/>
    <mergeCell ref="N72:O72"/>
    <mergeCell ref="P72:Q72"/>
    <mergeCell ref="AH71:AI71"/>
    <mergeCell ref="AJ71:AK71"/>
    <mergeCell ref="AL71:AM71"/>
    <mergeCell ref="AN71:AO71"/>
    <mergeCell ref="AP71:AQ71"/>
    <mergeCell ref="AR71:AS71"/>
    <mergeCell ref="V71:W71"/>
    <mergeCell ref="X71:Y71"/>
    <mergeCell ref="Z71:AA71"/>
    <mergeCell ref="AB71:AC71"/>
    <mergeCell ref="AD71:AE71"/>
    <mergeCell ref="AF71:AG71"/>
    <mergeCell ref="AP70:AQ70"/>
    <mergeCell ref="AR70:AS70"/>
    <mergeCell ref="F71:G71"/>
    <mergeCell ref="H71:I71"/>
    <mergeCell ref="J71:K71"/>
    <mergeCell ref="L71:M71"/>
    <mergeCell ref="N71:O71"/>
    <mergeCell ref="P71:Q71"/>
    <mergeCell ref="R71:S71"/>
    <mergeCell ref="T71:U71"/>
    <mergeCell ref="AD70:AE70"/>
    <mergeCell ref="AF70:AG70"/>
    <mergeCell ref="AH70:AI70"/>
    <mergeCell ref="AJ70:AK70"/>
    <mergeCell ref="AL70:AM70"/>
    <mergeCell ref="AN70:AO70"/>
    <mergeCell ref="R70:S70"/>
    <mergeCell ref="T70:U70"/>
    <mergeCell ref="AL69:AM69"/>
    <mergeCell ref="AN69:AO69"/>
    <mergeCell ref="AP69:AQ69"/>
    <mergeCell ref="AR69:AS69"/>
    <mergeCell ref="F70:G70"/>
    <mergeCell ref="H70:I70"/>
    <mergeCell ref="J70:K70"/>
    <mergeCell ref="L70:M70"/>
    <mergeCell ref="N70:O70"/>
    <mergeCell ref="P70:Q70"/>
    <mergeCell ref="Z69:AA69"/>
    <mergeCell ref="AB69:AC69"/>
    <mergeCell ref="AD69:AE69"/>
    <mergeCell ref="AF69:AG69"/>
    <mergeCell ref="AH69:AI69"/>
    <mergeCell ref="AJ69:AK69"/>
    <mergeCell ref="N69:O69"/>
    <mergeCell ref="P69:Q69"/>
    <mergeCell ref="R69:S69"/>
    <mergeCell ref="T69:U69"/>
    <mergeCell ref="V69:W69"/>
    <mergeCell ref="X69:Y69"/>
    <mergeCell ref="AR68:AS68"/>
    <mergeCell ref="C69:C72"/>
    <mergeCell ref="F69:G69"/>
    <mergeCell ref="H69:I69"/>
    <mergeCell ref="J69:K69"/>
    <mergeCell ref="L69:M69"/>
    <mergeCell ref="X68:Y68"/>
    <mergeCell ref="Z68:AA68"/>
    <mergeCell ref="AB68:AC68"/>
    <mergeCell ref="AD68:AE68"/>
    <mergeCell ref="AF68:AG68"/>
    <mergeCell ref="AH68:AI68"/>
    <mergeCell ref="AR67:AS67"/>
    <mergeCell ref="F68:G68"/>
    <mergeCell ref="H68:I68"/>
    <mergeCell ref="J68:K68"/>
    <mergeCell ref="L68:M68"/>
    <mergeCell ref="N68:O68"/>
    <mergeCell ref="P68:Q68"/>
    <mergeCell ref="R68:S68"/>
    <mergeCell ref="T68:U68"/>
    <mergeCell ref="V68:W68"/>
    <mergeCell ref="AF67:AG67"/>
    <mergeCell ref="AH67:AI67"/>
    <mergeCell ref="AJ67:AK67"/>
    <mergeCell ref="AL67:AM67"/>
    <mergeCell ref="AN67:AO67"/>
    <mergeCell ref="AP67:AQ67"/>
    <mergeCell ref="V70:W70"/>
    <mergeCell ref="X70:Y70"/>
    <mergeCell ref="Z70:AA70"/>
    <mergeCell ref="AB70:AC70"/>
    <mergeCell ref="T67:U67"/>
    <mergeCell ref="V67:W67"/>
    <mergeCell ref="X67:Y67"/>
    <mergeCell ref="Z67:AA67"/>
    <mergeCell ref="AB67:AC67"/>
    <mergeCell ref="AD67:AE67"/>
    <mergeCell ref="AP66:AQ66"/>
    <mergeCell ref="AR66:AS66"/>
    <mergeCell ref="C67:C68"/>
    <mergeCell ref="F67:G67"/>
    <mergeCell ref="H67:I67"/>
    <mergeCell ref="J67:K67"/>
    <mergeCell ref="L67:M67"/>
    <mergeCell ref="N67:O67"/>
    <mergeCell ref="P67:Q67"/>
    <mergeCell ref="R67:S67"/>
    <mergeCell ref="AD66:AE66"/>
    <mergeCell ref="AF66:AG66"/>
    <mergeCell ref="AH66:AI66"/>
    <mergeCell ref="AJ66:AK66"/>
    <mergeCell ref="AL66:AM66"/>
    <mergeCell ref="AN66:AO66"/>
    <mergeCell ref="R66:S66"/>
    <mergeCell ref="T66:U66"/>
    <mergeCell ref="V66:W66"/>
    <mergeCell ref="X66:Y66"/>
    <mergeCell ref="Z66:AA66"/>
    <mergeCell ref="AB66:AC66"/>
    <mergeCell ref="AJ68:AK68"/>
    <mergeCell ref="AL68:AM68"/>
    <mergeCell ref="AN68:AO68"/>
    <mergeCell ref="AP68:AQ68"/>
    <mergeCell ref="F66:G66"/>
    <mergeCell ref="H66:I66"/>
    <mergeCell ref="J66:K66"/>
    <mergeCell ref="L66:M66"/>
    <mergeCell ref="N66:O66"/>
    <mergeCell ref="P66:Q66"/>
    <mergeCell ref="Z65:AA65"/>
    <mergeCell ref="AB65:AC65"/>
    <mergeCell ref="AD65:AE65"/>
    <mergeCell ref="AF65:AG65"/>
    <mergeCell ref="AH65:AI65"/>
    <mergeCell ref="AJ65:AK65"/>
    <mergeCell ref="N65:O65"/>
    <mergeCell ref="P65:Q65"/>
    <mergeCell ref="R65:S65"/>
    <mergeCell ref="T65:U65"/>
    <mergeCell ref="V65:W65"/>
    <mergeCell ref="X65:Y65"/>
    <mergeCell ref="AR64:AS64"/>
    <mergeCell ref="C65:C66"/>
    <mergeCell ref="F65:G65"/>
    <mergeCell ref="H65:I65"/>
    <mergeCell ref="J65:K65"/>
    <mergeCell ref="L65:M65"/>
    <mergeCell ref="X64:Y64"/>
    <mergeCell ref="Z64:AA64"/>
    <mergeCell ref="AB64:AC64"/>
    <mergeCell ref="AD64:AE64"/>
    <mergeCell ref="AF64:AG64"/>
    <mergeCell ref="AH64:AI64"/>
    <mergeCell ref="AR63:AS63"/>
    <mergeCell ref="F64:G64"/>
    <mergeCell ref="H64:I64"/>
    <mergeCell ref="J64:K64"/>
    <mergeCell ref="L64:M64"/>
    <mergeCell ref="N64:O64"/>
    <mergeCell ref="P64:Q64"/>
    <mergeCell ref="R64:S64"/>
    <mergeCell ref="T64:U64"/>
    <mergeCell ref="V64:W64"/>
    <mergeCell ref="AF63:AG63"/>
    <mergeCell ref="AH63:AI63"/>
    <mergeCell ref="AJ63:AK63"/>
    <mergeCell ref="AL63:AM63"/>
    <mergeCell ref="AN63:AO63"/>
    <mergeCell ref="AP63:AQ63"/>
    <mergeCell ref="AL65:AM65"/>
    <mergeCell ref="AN65:AO65"/>
    <mergeCell ref="AP65:AQ65"/>
    <mergeCell ref="AR65:AS65"/>
    <mergeCell ref="T63:U63"/>
    <mergeCell ref="V63:W63"/>
    <mergeCell ref="X63:Y63"/>
    <mergeCell ref="Z63:AA63"/>
    <mergeCell ref="AB63:AC63"/>
    <mergeCell ref="AD63:AE63"/>
    <mergeCell ref="AP62:AQ62"/>
    <mergeCell ref="AR62:AS62"/>
    <mergeCell ref="C63:C64"/>
    <mergeCell ref="F63:G63"/>
    <mergeCell ref="H63:I63"/>
    <mergeCell ref="J63:K63"/>
    <mergeCell ref="L63:M63"/>
    <mergeCell ref="N63:O63"/>
    <mergeCell ref="P63:Q63"/>
    <mergeCell ref="R63:S63"/>
    <mergeCell ref="AD62:AE62"/>
    <mergeCell ref="AF62:AG62"/>
    <mergeCell ref="AH62:AI62"/>
    <mergeCell ref="AJ62:AK62"/>
    <mergeCell ref="AL62:AM62"/>
    <mergeCell ref="AN62:AO62"/>
    <mergeCell ref="R62:S62"/>
    <mergeCell ref="T62:U62"/>
    <mergeCell ref="V62:W62"/>
    <mergeCell ref="X62:Y62"/>
    <mergeCell ref="Z62:AA62"/>
    <mergeCell ref="AB62:AC62"/>
    <mergeCell ref="AJ64:AK64"/>
    <mergeCell ref="AL64:AM64"/>
    <mergeCell ref="AN64:AO64"/>
    <mergeCell ref="AP64:AQ64"/>
    <mergeCell ref="F62:G62"/>
    <mergeCell ref="H62:I62"/>
    <mergeCell ref="J62:K62"/>
    <mergeCell ref="L62:M62"/>
    <mergeCell ref="N62:O62"/>
    <mergeCell ref="P62:Q62"/>
    <mergeCell ref="Z61:AA61"/>
    <mergeCell ref="AB61:AC61"/>
    <mergeCell ref="AD61:AE61"/>
    <mergeCell ref="AF61:AG61"/>
    <mergeCell ref="AH61:AI61"/>
    <mergeCell ref="AJ61:AK61"/>
    <mergeCell ref="N61:O61"/>
    <mergeCell ref="P61:Q61"/>
    <mergeCell ref="R61:S61"/>
    <mergeCell ref="T61:U61"/>
    <mergeCell ref="V61:W61"/>
    <mergeCell ref="X61:Y61"/>
    <mergeCell ref="AR60:AS60"/>
    <mergeCell ref="C61:C62"/>
    <mergeCell ref="F61:G61"/>
    <mergeCell ref="H61:I61"/>
    <mergeCell ref="J61:K61"/>
    <mergeCell ref="L61:M61"/>
    <mergeCell ref="X60:Y60"/>
    <mergeCell ref="Z60:AA60"/>
    <mergeCell ref="AB60:AC60"/>
    <mergeCell ref="AD60:AE60"/>
    <mergeCell ref="AF60:AG60"/>
    <mergeCell ref="AH60:AI60"/>
    <mergeCell ref="AR59:AS59"/>
    <mergeCell ref="F60:G60"/>
    <mergeCell ref="H60:I60"/>
    <mergeCell ref="J60:K60"/>
    <mergeCell ref="L60:M60"/>
    <mergeCell ref="N60:O60"/>
    <mergeCell ref="P60:Q60"/>
    <mergeCell ref="R60:S60"/>
    <mergeCell ref="T60:U60"/>
    <mergeCell ref="V60:W60"/>
    <mergeCell ref="AF59:AG59"/>
    <mergeCell ref="AH59:AI59"/>
    <mergeCell ref="AJ59:AK59"/>
    <mergeCell ref="AL59:AM59"/>
    <mergeCell ref="AN59:AO59"/>
    <mergeCell ref="AP59:AQ59"/>
    <mergeCell ref="AL61:AM61"/>
    <mergeCell ref="AN61:AO61"/>
    <mergeCell ref="AP61:AQ61"/>
    <mergeCell ref="AR61:AS61"/>
    <mergeCell ref="T59:U59"/>
    <mergeCell ref="V59:W59"/>
    <mergeCell ref="X59:Y59"/>
    <mergeCell ref="Z59:AA59"/>
    <mergeCell ref="AB59:AC59"/>
    <mergeCell ref="AD59:AE59"/>
    <mergeCell ref="AP58:AQ58"/>
    <mergeCell ref="AR58:AS58"/>
    <mergeCell ref="C59:C60"/>
    <mergeCell ref="F59:G59"/>
    <mergeCell ref="H59:I59"/>
    <mergeCell ref="J59:K59"/>
    <mergeCell ref="L59:M59"/>
    <mergeCell ref="N59:O59"/>
    <mergeCell ref="P59:Q59"/>
    <mergeCell ref="R59:S59"/>
    <mergeCell ref="AD58:AE58"/>
    <mergeCell ref="AF58:AG58"/>
    <mergeCell ref="AH58:AI58"/>
    <mergeCell ref="AJ58:AK58"/>
    <mergeCell ref="AL58:AM58"/>
    <mergeCell ref="AN58:AO58"/>
    <mergeCell ref="R58:S58"/>
    <mergeCell ref="T58:U58"/>
    <mergeCell ref="V58:W58"/>
    <mergeCell ref="X58:Y58"/>
    <mergeCell ref="Z58:AA58"/>
    <mergeCell ref="AB58:AC58"/>
    <mergeCell ref="AJ60:AK60"/>
    <mergeCell ref="AL60:AM60"/>
    <mergeCell ref="AN60:AO60"/>
    <mergeCell ref="AP60:AQ60"/>
    <mergeCell ref="AL57:AM57"/>
    <mergeCell ref="AN57:AO57"/>
    <mergeCell ref="AP57:AQ57"/>
    <mergeCell ref="AR57:AS57"/>
    <mergeCell ref="F58:G58"/>
    <mergeCell ref="H58:I58"/>
    <mergeCell ref="J58:K58"/>
    <mergeCell ref="L58:M58"/>
    <mergeCell ref="N58:O58"/>
    <mergeCell ref="P58:Q58"/>
    <mergeCell ref="Z57:AA57"/>
    <mergeCell ref="AB57:AC57"/>
    <mergeCell ref="AD57:AE57"/>
    <mergeCell ref="AF57:AG57"/>
    <mergeCell ref="AH57:AI57"/>
    <mergeCell ref="AJ57:AK57"/>
    <mergeCell ref="N57:O57"/>
    <mergeCell ref="P57:Q57"/>
    <mergeCell ref="R57:S57"/>
    <mergeCell ref="T57:U57"/>
    <mergeCell ref="V57:W57"/>
    <mergeCell ref="X57:Y57"/>
    <mergeCell ref="AJ56:AK56"/>
    <mergeCell ref="AL56:AM56"/>
    <mergeCell ref="AN56:AO56"/>
    <mergeCell ref="AP56:AQ56"/>
    <mergeCell ref="AR56:AS56"/>
    <mergeCell ref="C57:C58"/>
    <mergeCell ref="F57:G57"/>
    <mergeCell ref="H57:I57"/>
    <mergeCell ref="J57:K57"/>
    <mergeCell ref="L57:M57"/>
    <mergeCell ref="X56:Y56"/>
    <mergeCell ref="Z56:AA56"/>
    <mergeCell ref="AB56:AC56"/>
    <mergeCell ref="AD56:AE56"/>
    <mergeCell ref="AF56:AG56"/>
    <mergeCell ref="AH56:AI56"/>
    <mergeCell ref="AR55:AS55"/>
    <mergeCell ref="F56:G56"/>
    <mergeCell ref="H56:I56"/>
    <mergeCell ref="J56:K56"/>
    <mergeCell ref="L56:M56"/>
    <mergeCell ref="N56:O56"/>
    <mergeCell ref="P56:Q56"/>
    <mergeCell ref="R56:S56"/>
    <mergeCell ref="T56:U56"/>
    <mergeCell ref="V56:W56"/>
    <mergeCell ref="AF55:AG55"/>
    <mergeCell ref="AH55:AI55"/>
    <mergeCell ref="AJ55:AK55"/>
    <mergeCell ref="AL55:AM55"/>
    <mergeCell ref="AN55:AO55"/>
    <mergeCell ref="AP55:AQ55"/>
    <mergeCell ref="T55:U55"/>
    <mergeCell ref="V55:W55"/>
    <mergeCell ref="X55:Y55"/>
    <mergeCell ref="Z55:AA55"/>
    <mergeCell ref="AB55:AC55"/>
    <mergeCell ref="AD55:AE55"/>
    <mergeCell ref="AP54:AQ54"/>
    <mergeCell ref="AR54:AS54"/>
    <mergeCell ref="C55:C56"/>
    <mergeCell ref="F55:G55"/>
    <mergeCell ref="H55:I55"/>
    <mergeCell ref="J55:K55"/>
    <mergeCell ref="L55:M55"/>
    <mergeCell ref="N55:O55"/>
    <mergeCell ref="P55:Q55"/>
    <mergeCell ref="R55:S55"/>
    <mergeCell ref="AD54:AE54"/>
    <mergeCell ref="AF54:AG54"/>
    <mergeCell ref="AH54:AI54"/>
    <mergeCell ref="AJ54:AK54"/>
    <mergeCell ref="AL54:AM54"/>
    <mergeCell ref="AN54:AO54"/>
    <mergeCell ref="R54:S54"/>
    <mergeCell ref="T54:U54"/>
    <mergeCell ref="V54:W54"/>
    <mergeCell ref="X54:Y54"/>
    <mergeCell ref="Z54:AA54"/>
    <mergeCell ref="AB54:AC54"/>
    <mergeCell ref="F54:G54"/>
    <mergeCell ref="H54:I54"/>
    <mergeCell ref="J54:K54"/>
    <mergeCell ref="L54:M54"/>
    <mergeCell ref="Z53:AA53"/>
    <mergeCell ref="AB53:AC53"/>
    <mergeCell ref="AD53:AE53"/>
    <mergeCell ref="AF53:AG53"/>
    <mergeCell ref="AP52:AQ52"/>
    <mergeCell ref="AR52:AS52"/>
    <mergeCell ref="F53:G53"/>
    <mergeCell ref="H53:I53"/>
    <mergeCell ref="J53:K53"/>
    <mergeCell ref="L53:M53"/>
    <mergeCell ref="N53:O53"/>
    <mergeCell ref="P53:Q53"/>
    <mergeCell ref="R53:S53"/>
    <mergeCell ref="T53:U53"/>
    <mergeCell ref="AD52:AE52"/>
    <mergeCell ref="AF52:AG52"/>
    <mergeCell ref="AH52:AI52"/>
    <mergeCell ref="AJ52:AK52"/>
    <mergeCell ref="AL52:AM52"/>
    <mergeCell ref="AN52:AO52"/>
    <mergeCell ref="R52:S52"/>
    <mergeCell ref="T52:U52"/>
    <mergeCell ref="V52:W52"/>
    <mergeCell ref="X52:Y52"/>
    <mergeCell ref="Z52:AA52"/>
    <mergeCell ref="AB52:AC52"/>
    <mergeCell ref="AN51:AO51"/>
    <mergeCell ref="AP51:AQ51"/>
    <mergeCell ref="AR51:AS51"/>
    <mergeCell ref="B52:B84"/>
    <mergeCell ref="F52:G52"/>
    <mergeCell ref="H52:I52"/>
    <mergeCell ref="J52:K52"/>
    <mergeCell ref="L52:M52"/>
    <mergeCell ref="N52:O52"/>
    <mergeCell ref="P52:Q52"/>
    <mergeCell ref="AB51:AC51"/>
    <mergeCell ref="AD51:AE51"/>
    <mergeCell ref="AF51:AG51"/>
    <mergeCell ref="AH51:AI51"/>
    <mergeCell ref="AJ51:AK51"/>
    <mergeCell ref="AL51:AM51"/>
    <mergeCell ref="P51:Q51"/>
    <mergeCell ref="R51:S51"/>
    <mergeCell ref="T51:U51"/>
    <mergeCell ref="V51:W51"/>
    <mergeCell ref="X51:Y51"/>
    <mergeCell ref="Z51:AA51"/>
    <mergeCell ref="N54:O54"/>
    <mergeCell ref="P54:Q54"/>
    <mergeCell ref="AH53:AI53"/>
    <mergeCell ref="AJ53:AK53"/>
    <mergeCell ref="AL53:AM53"/>
    <mergeCell ref="AN53:AO53"/>
    <mergeCell ref="AP53:AQ53"/>
    <mergeCell ref="AR53:AS53"/>
    <mergeCell ref="V53:W53"/>
    <mergeCell ref="X53:Y53"/>
    <mergeCell ref="AR50:AS50"/>
    <mergeCell ref="F51:G51"/>
    <mergeCell ref="H51:I51"/>
    <mergeCell ref="J51:K51"/>
    <mergeCell ref="L51:M51"/>
    <mergeCell ref="N51:O51"/>
    <mergeCell ref="X50:Y50"/>
    <mergeCell ref="Z50:AA50"/>
    <mergeCell ref="AB50:AC50"/>
    <mergeCell ref="AD50:AE50"/>
    <mergeCell ref="AF50:AG50"/>
    <mergeCell ref="AH50:AI50"/>
    <mergeCell ref="AT49:AT50"/>
    <mergeCell ref="F50:G50"/>
    <mergeCell ref="H50:I50"/>
    <mergeCell ref="J50:K50"/>
    <mergeCell ref="L50:M50"/>
    <mergeCell ref="N50:O50"/>
    <mergeCell ref="P50:Q50"/>
    <mergeCell ref="R50:S50"/>
    <mergeCell ref="T50:U50"/>
    <mergeCell ref="V50:W50"/>
    <mergeCell ref="AH49:AI49"/>
    <mergeCell ref="AJ49:AK49"/>
    <mergeCell ref="AL49:AM49"/>
    <mergeCell ref="AN49:AO49"/>
    <mergeCell ref="AP49:AQ49"/>
    <mergeCell ref="AR49:AS49"/>
    <mergeCell ref="V49:W49"/>
    <mergeCell ref="X49:Y49"/>
    <mergeCell ref="Z49:AA49"/>
    <mergeCell ref="AB49:AC49"/>
    <mergeCell ref="AD49:AE49"/>
    <mergeCell ref="AF49:AG49"/>
    <mergeCell ref="AR48:AS48"/>
    <mergeCell ref="C49:C50"/>
    <mergeCell ref="F49:G49"/>
    <mergeCell ref="H49:I49"/>
    <mergeCell ref="J49:K49"/>
    <mergeCell ref="L49:M49"/>
    <mergeCell ref="N49:O49"/>
    <mergeCell ref="P49:Q49"/>
    <mergeCell ref="R49:S49"/>
    <mergeCell ref="T49:U49"/>
    <mergeCell ref="AF48:AG48"/>
    <mergeCell ref="AH48:AI48"/>
    <mergeCell ref="AJ48:AK48"/>
    <mergeCell ref="AL48:AM48"/>
    <mergeCell ref="AN48:AO48"/>
    <mergeCell ref="AP48:AQ48"/>
    <mergeCell ref="T48:U48"/>
    <mergeCell ref="V48:W48"/>
    <mergeCell ref="X48:Y48"/>
    <mergeCell ref="Z48:AA48"/>
    <mergeCell ref="AB48:AC48"/>
    <mergeCell ref="AD48:AE48"/>
    <mergeCell ref="AJ50:AK50"/>
    <mergeCell ref="AL50:AM50"/>
    <mergeCell ref="AN50:AO50"/>
    <mergeCell ref="AP50:AQ50"/>
    <mergeCell ref="F48:G48"/>
    <mergeCell ref="H48:I48"/>
    <mergeCell ref="J48:K48"/>
    <mergeCell ref="L48:M48"/>
    <mergeCell ref="N48:O48"/>
    <mergeCell ref="P48:Q48"/>
    <mergeCell ref="R48:S48"/>
    <mergeCell ref="AB47:AC47"/>
    <mergeCell ref="AD47:AE47"/>
    <mergeCell ref="AF47:AG47"/>
    <mergeCell ref="AH47:AI47"/>
    <mergeCell ref="AJ47:AK47"/>
    <mergeCell ref="AL47:AM47"/>
    <mergeCell ref="P47:Q47"/>
    <mergeCell ref="R47:S47"/>
    <mergeCell ref="T47:U47"/>
    <mergeCell ref="V47:W47"/>
    <mergeCell ref="X47:Y47"/>
    <mergeCell ref="Z47:AA47"/>
    <mergeCell ref="AR46:AS46"/>
    <mergeCell ref="N47:O47"/>
    <mergeCell ref="X46:Y46"/>
    <mergeCell ref="Z46:AA46"/>
    <mergeCell ref="AB46:AC46"/>
    <mergeCell ref="AD46:AE46"/>
    <mergeCell ref="AF46:AG46"/>
    <mergeCell ref="AH46:AI46"/>
    <mergeCell ref="AP46:AQ46"/>
    <mergeCell ref="AR45:AS45"/>
    <mergeCell ref="F46:G46"/>
    <mergeCell ref="H46:I46"/>
    <mergeCell ref="J46:K46"/>
    <mergeCell ref="L46:M46"/>
    <mergeCell ref="N46:O46"/>
    <mergeCell ref="P46:Q46"/>
    <mergeCell ref="R46:S46"/>
    <mergeCell ref="T46:U46"/>
    <mergeCell ref="V46:W46"/>
    <mergeCell ref="AF45:AG45"/>
    <mergeCell ref="AH45:AI45"/>
    <mergeCell ref="AJ45:AK45"/>
    <mergeCell ref="AL45:AM45"/>
    <mergeCell ref="AN45:AO45"/>
    <mergeCell ref="AP45:AQ45"/>
    <mergeCell ref="C45:C48"/>
    <mergeCell ref="F45:G45"/>
    <mergeCell ref="H45:I45"/>
    <mergeCell ref="J45:K45"/>
    <mergeCell ref="L45:M45"/>
    <mergeCell ref="N45:O45"/>
    <mergeCell ref="P45:Q45"/>
    <mergeCell ref="R45:S45"/>
    <mergeCell ref="AP47:AQ47"/>
    <mergeCell ref="AR47:AS47"/>
    <mergeCell ref="T45:U45"/>
    <mergeCell ref="V45:W45"/>
    <mergeCell ref="X45:Y45"/>
    <mergeCell ref="Z45:AA45"/>
    <mergeCell ref="AB45:AC45"/>
    <mergeCell ref="AD45:AE45"/>
    <mergeCell ref="AH44:AI44"/>
    <mergeCell ref="AJ44:AK44"/>
    <mergeCell ref="AL44:AM44"/>
    <mergeCell ref="AN44:AO44"/>
    <mergeCell ref="R44:S44"/>
    <mergeCell ref="T44:U44"/>
    <mergeCell ref="V44:W44"/>
    <mergeCell ref="X44:Y44"/>
    <mergeCell ref="Z44:AA44"/>
    <mergeCell ref="AB44:AC44"/>
    <mergeCell ref="AJ46:AK46"/>
    <mergeCell ref="AL46:AM46"/>
    <mergeCell ref="AN46:AO46"/>
    <mergeCell ref="AN47:AO47"/>
    <mergeCell ref="F47:G47"/>
    <mergeCell ref="H47:I47"/>
    <mergeCell ref="J47:K47"/>
    <mergeCell ref="L47:M47"/>
    <mergeCell ref="AP42:AQ42"/>
    <mergeCell ref="AR42:AS42"/>
    <mergeCell ref="C43:C44"/>
    <mergeCell ref="AT43:AT44"/>
    <mergeCell ref="F44:G44"/>
    <mergeCell ref="H44:I44"/>
    <mergeCell ref="J44:K44"/>
    <mergeCell ref="L44:M44"/>
    <mergeCell ref="N44:O44"/>
    <mergeCell ref="P44:Q44"/>
    <mergeCell ref="AD42:AE42"/>
    <mergeCell ref="AF42:AG42"/>
    <mergeCell ref="AH42:AI42"/>
    <mergeCell ref="AJ42:AK42"/>
    <mergeCell ref="AL42:AM42"/>
    <mergeCell ref="AN42:AO42"/>
    <mergeCell ref="R42:S42"/>
    <mergeCell ref="T42:U42"/>
    <mergeCell ref="V42:W42"/>
    <mergeCell ref="X42:Y42"/>
    <mergeCell ref="Z42:AA42"/>
    <mergeCell ref="AB42:AC42"/>
    <mergeCell ref="F42:G42"/>
    <mergeCell ref="H42:I42"/>
    <mergeCell ref="J42:K42"/>
    <mergeCell ref="L42:M42"/>
    <mergeCell ref="N42:O42"/>
    <mergeCell ref="P42:Q42"/>
    <mergeCell ref="AP44:AQ44"/>
    <mergeCell ref="AR44:AS44"/>
    <mergeCell ref="AD44:AE44"/>
    <mergeCell ref="AF44:AG44"/>
    <mergeCell ref="AH41:AI41"/>
    <mergeCell ref="AJ41:AK41"/>
    <mergeCell ref="AL41:AM41"/>
    <mergeCell ref="AN41:AO41"/>
    <mergeCell ref="AP41:AQ41"/>
    <mergeCell ref="AR41:AS41"/>
    <mergeCell ref="V41:W41"/>
    <mergeCell ref="X41:Y41"/>
    <mergeCell ref="Z41:AA41"/>
    <mergeCell ref="AB41:AC41"/>
    <mergeCell ref="AD41:AE41"/>
    <mergeCell ref="AF41:AG41"/>
    <mergeCell ref="AP40:AQ40"/>
    <mergeCell ref="AR40:AS40"/>
    <mergeCell ref="F41:G41"/>
    <mergeCell ref="H41:I41"/>
    <mergeCell ref="J41:K41"/>
    <mergeCell ref="L41:M41"/>
    <mergeCell ref="N41:O41"/>
    <mergeCell ref="P41:Q41"/>
    <mergeCell ref="R41:S41"/>
    <mergeCell ref="T41:U41"/>
    <mergeCell ref="AD40:AE40"/>
    <mergeCell ref="AF40:AG40"/>
    <mergeCell ref="AH40:AI40"/>
    <mergeCell ref="AJ40:AK40"/>
    <mergeCell ref="AL40:AM40"/>
    <mergeCell ref="AN40:AO40"/>
    <mergeCell ref="R40:S40"/>
    <mergeCell ref="T40:U40"/>
    <mergeCell ref="V40:W40"/>
    <mergeCell ref="X40:Y40"/>
    <mergeCell ref="Z40:AA40"/>
    <mergeCell ref="AB40:AC40"/>
    <mergeCell ref="AL39:AM39"/>
    <mergeCell ref="AN39:AO39"/>
    <mergeCell ref="AP39:AQ39"/>
    <mergeCell ref="AR39:AS39"/>
    <mergeCell ref="F40:G40"/>
    <mergeCell ref="H40:I40"/>
    <mergeCell ref="J40:K40"/>
    <mergeCell ref="L40:M40"/>
    <mergeCell ref="N40:O40"/>
    <mergeCell ref="P40:Q40"/>
    <mergeCell ref="Z39:AA39"/>
    <mergeCell ref="AB39:AC39"/>
    <mergeCell ref="AD39:AE39"/>
    <mergeCell ref="AF39:AG39"/>
    <mergeCell ref="AH39:AI39"/>
    <mergeCell ref="AJ39:AK39"/>
    <mergeCell ref="N39:O39"/>
    <mergeCell ref="P39:Q39"/>
    <mergeCell ref="R39:S39"/>
    <mergeCell ref="T39:U39"/>
    <mergeCell ref="V39:W39"/>
    <mergeCell ref="X39:Y39"/>
    <mergeCell ref="AJ38:AK38"/>
    <mergeCell ref="AL38:AM38"/>
    <mergeCell ref="AN38:AO38"/>
    <mergeCell ref="AP38:AQ38"/>
    <mergeCell ref="AR38:AS38"/>
    <mergeCell ref="C39:C42"/>
    <mergeCell ref="F39:G39"/>
    <mergeCell ref="H39:I39"/>
    <mergeCell ref="J39:K39"/>
    <mergeCell ref="L39:M39"/>
    <mergeCell ref="X38:Y38"/>
    <mergeCell ref="Z38:AA38"/>
    <mergeCell ref="AB38:AC38"/>
    <mergeCell ref="AD38:AE38"/>
    <mergeCell ref="AF38:AG38"/>
    <mergeCell ref="AH38:AI38"/>
    <mergeCell ref="AR37:AS37"/>
    <mergeCell ref="F38:G38"/>
    <mergeCell ref="H38:I38"/>
    <mergeCell ref="J38:K38"/>
    <mergeCell ref="L38:M38"/>
    <mergeCell ref="N38:O38"/>
    <mergeCell ref="P38:Q38"/>
    <mergeCell ref="R38:S38"/>
    <mergeCell ref="T38:U38"/>
    <mergeCell ref="V38:W38"/>
    <mergeCell ref="AF37:AG37"/>
    <mergeCell ref="AH37:AI37"/>
    <mergeCell ref="AJ37:AK37"/>
    <mergeCell ref="AL37:AM37"/>
    <mergeCell ref="AN37:AO37"/>
    <mergeCell ref="AP37:AQ37"/>
    <mergeCell ref="T37:U37"/>
    <mergeCell ref="V37:W37"/>
    <mergeCell ref="X37:Y37"/>
    <mergeCell ref="Z37:AA37"/>
    <mergeCell ref="AB37:AC37"/>
    <mergeCell ref="AD37:AE37"/>
    <mergeCell ref="AP36:AQ36"/>
    <mergeCell ref="AR36:AS36"/>
    <mergeCell ref="C37:C38"/>
    <mergeCell ref="F37:G37"/>
    <mergeCell ref="H37:I37"/>
    <mergeCell ref="J37:K37"/>
    <mergeCell ref="L37:M37"/>
    <mergeCell ref="N37:O37"/>
    <mergeCell ref="P37:Q37"/>
    <mergeCell ref="R37:S37"/>
    <mergeCell ref="AD36:AE36"/>
    <mergeCell ref="AF36:AG36"/>
    <mergeCell ref="AH36:AI36"/>
    <mergeCell ref="AJ36:AK36"/>
    <mergeCell ref="AL36:AM36"/>
    <mergeCell ref="AN36:AO36"/>
    <mergeCell ref="R36:S36"/>
    <mergeCell ref="T36:U36"/>
    <mergeCell ref="V36:W36"/>
    <mergeCell ref="X36:Y36"/>
    <mergeCell ref="Z36:AA36"/>
    <mergeCell ref="AB36:AC36"/>
    <mergeCell ref="F36:G36"/>
    <mergeCell ref="H36:I36"/>
    <mergeCell ref="J36:K36"/>
    <mergeCell ref="L36:M36"/>
    <mergeCell ref="N36:O36"/>
    <mergeCell ref="P36:Q36"/>
    <mergeCell ref="AH35:AI35"/>
    <mergeCell ref="AJ35:AK35"/>
    <mergeCell ref="AL35:AM35"/>
    <mergeCell ref="AN35:AO35"/>
    <mergeCell ref="AP35:AQ35"/>
    <mergeCell ref="AR35:AS35"/>
    <mergeCell ref="V35:W35"/>
    <mergeCell ref="X35:Y35"/>
    <mergeCell ref="Z35:AA35"/>
    <mergeCell ref="AB35:AC35"/>
    <mergeCell ref="AD35:AE35"/>
    <mergeCell ref="AF35:AG35"/>
    <mergeCell ref="AP34:AQ34"/>
    <mergeCell ref="AR34:AS34"/>
    <mergeCell ref="F35:G35"/>
    <mergeCell ref="H35:I35"/>
    <mergeCell ref="J35:K35"/>
    <mergeCell ref="L35:M35"/>
    <mergeCell ref="N35:O35"/>
    <mergeCell ref="P35:Q35"/>
    <mergeCell ref="R35:S35"/>
    <mergeCell ref="T35:U35"/>
    <mergeCell ref="AD34:AE34"/>
    <mergeCell ref="AF34:AG34"/>
    <mergeCell ref="AH34:AI34"/>
    <mergeCell ref="AJ34:AK34"/>
    <mergeCell ref="AL34:AM34"/>
    <mergeCell ref="AN34:AO34"/>
    <mergeCell ref="R34:S34"/>
    <mergeCell ref="T34:U34"/>
    <mergeCell ref="AL33:AM33"/>
    <mergeCell ref="AN33:AO33"/>
    <mergeCell ref="AP33:AQ33"/>
    <mergeCell ref="AR33:AS33"/>
    <mergeCell ref="F34:G34"/>
    <mergeCell ref="H34:I34"/>
    <mergeCell ref="J34:K34"/>
    <mergeCell ref="L34:M34"/>
    <mergeCell ref="N34:O34"/>
    <mergeCell ref="P34:Q34"/>
    <mergeCell ref="Z33:AA33"/>
    <mergeCell ref="AB33:AC33"/>
    <mergeCell ref="AD33:AE33"/>
    <mergeCell ref="AF33:AG33"/>
    <mergeCell ref="AH33:AI33"/>
    <mergeCell ref="AJ33:AK33"/>
    <mergeCell ref="N33:O33"/>
    <mergeCell ref="P33:Q33"/>
    <mergeCell ref="R33:S33"/>
    <mergeCell ref="T33:U33"/>
    <mergeCell ref="V33:W33"/>
    <mergeCell ref="X33:Y33"/>
    <mergeCell ref="AR32:AS32"/>
    <mergeCell ref="C33:C36"/>
    <mergeCell ref="F33:G33"/>
    <mergeCell ref="H33:I33"/>
    <mergeCell ref="J33:K33"/>
    <mergeCell ref="L33:M33"/>
    <mergeCell ref="X32:Y32"/>
    <mergeCell ref="Z32:AA32"/>
    <mergeCell ref="AB32:AC32"/>
    <mergeCell ref="AD32:AE32"/>
    <mergeCell ref="AF32:AG32"/>
    <mergeCell ref="AH32:AI32"/>
    <mergeCell ref="AT31:AT32"/>
    <mergeCell ref="F32:G32"/>
    <mergeCell ref="H32:I32"/>
    <mergeCell ref="J32:K32"/>
    <mergeCell ref="L32:M32"/>
    <mergeCell ref="N32:O32"/>
    <mergeCell ref="P32:Q32"/>
    <mergeCell ref="R32:S32"/>
    <mergeCell ref="T32:U32"/>
    <mergeCell ref="V32:W32"/>
    <mergeCell ref="AH31:AI31"/>
    <mergeCell ref="AJ31:AK31"/>
    <mergeCell ref="AL31:AM31"/>
    <mergeCell ref="AN31:AO31"/>
    <mergeCell ref="AP31:AQ31"/>
    <mergeCell ref="AR31:AS31"/>
    <mergeCell ref="V34:W34"/>
    <mergeCell ref="X34:Y34"/>
    <mergeCell ref="Z34:AA34"/>
    <mergeCell ref="AB34:AC34"/>
    <mergeCell ref="V31:W31"/>
    <mergeCell ref="X31:Y31"/>
    <mergeCell ref="Z31:AA31"/>
    <mergeCell ref="AB31:AC31"/>
    <mergeCell ref="AD31:AE31"/>
    <mergeCell ref="AF31:AG31"/>
    <mergeCell ref="AR30:AS30"/>
    <mergeCell ref="C31:C32"/>
    <mergeCell ref="F31:G31"/>
    <mergeCell ref="H31:I31"/>
    <mergeCell ref="J31:K31"/>
    <mergeCell ref="L31:M31"/>
    <mergeCell ref="N31:O31"/>
    <mergeCell ref="P31:Q31"/>
    <mergeCell ref="R31:S31"/>
    <mergeCell ref="T31:U31"/>
    <mergeCell ref="AF30:AG30"/>
    <mergeCell ref="AH30:AI30"/>
    <mergeCell ref="AJ30:AK30"/>
    <mergeCell ref="AL30:AM30"/>
    <mergeCell ref="AN30:AO30"/>
    <mergeCell ref="AP30:AQ30"/>
    <mergeCell ref="T30:U30"/>
    <mergeCell ref="V30:W30"/>
    <mergeCell ref="X30:Y30"/>
    <mergeCell ref="Z30:AA30"/>
    <mergeCell ref="AB30:AC30"/>
    <mergeCell ref="AD30:AE30"/>
    <mergeCell ref="AJ32:AK32"/>
    <mergeCell ref="AL32:AM32"/>
    <mergeCell ref="AN32:AO32"/>
    <mergeCell ref="AP32:AQ32"/>
    <mergeCell ref="AN29:AO29"/>
    <mergeCell ref="AP29:AQ29"/>
    <mergeCell ref="AR29:AS29"/>
    <mergeCell ref="F30:G30"/>
    <mergeCell ref="H30:I30"/>
    <mergeCell ref="J30:K30"/>
    <mergeCell ref="L30:M30"/>
    <mergeCell ref="N30:O30"/>
    <mergeCell ref="P30:Q30"/>
    <mergeCell ref="R30:S30"/>
    <mergeCell ref="AB29:AC29"/>
    <mergeCell ref="AD29:AE29"/>
    <mergeCell ref="AF29:AG29"/>
    <mergeCell ref="AH29:AI29"/>
    <mergeCell ref="AJ29:AK29"/>
    <mergeCell ref="AL29:AM29"/>
    <mergeCell ref="P29:Q29"/>
    <mergeCell ref="R29:S29"/>
    <mergeCell ref="T29:U29"/>
    <mergeCell ref="V29:W29"/>
    <mergeCell ref="X29:Y29"/>
    <mergeCell ref="Z29:AA29"/>
    <mergeCell ref="AJ28:AK28"/>
    <mergeCell ref="AL28:AM28"/>
    <mergeCell ref="AN28:AO28"/>
    <mergeCell ref="AP28:AQ28"/>
    <mergeCell ref="AR28:AS28"/>
    <mergeCell ref="F29:G29"/>
    <mergeCell ref="H29:I29"/>
    <mergeCell ref="J29:K29"/>
    <mergeCell ref="L29:M29"/>
    <mergeCell ref="N29:O29"/>
    <mergeCell ref="X28:Y28"/>
    <mergeCell ref="Z28:AA28"/>
    <mergeCell ref="AB28:AC28"/>
    <mergeCell ref="AD28:AE28"/>
    <mergeCell ref="AF28:AG28"/>
    <mergeCell ref="AH28:AI28"/>
    <mergeCell ref="AR27:AS27"/>
    <mergeCell ref="F28:G28"/>
    <mergeCell ref="H28:I28"/>
    <mergeCell ref="J28:K28"/>
    <mergeCell ref="L28:M28"/>
    <mergeCell ref="N28:O28"/>
    <mergeCell ref="P28:Q28"/>
    <mergeCell ref="R28:S28"/>
    <mergeCell ref="T28:U28"/>
    <mergeCell ref="V28:W28"/>
    <mergeCell ref="AF27:AG27"/>
    <mergeCell ref="AH27:AI27"/>
    <mergeCell ref="AJ27:AK27"/>
    <mergeCell ref="AL27:AM27"/>
    <mergeCell ref="AN27:AO27"/>
    <mergeCell ref="AP27:AQ27"/>
    <mergeCell ref="T27:U27"/>
    <mergeCell ref="V27:W27"/>
    <mergeCell ref="X27:Y27"/>
    <mergeCell ref="Z27:AA27"/>
    <mergeCell ref="AB27:AC27"/>
    <mergeCell ref="AD27:AE27"/>
    <mergeCell ref="AP26:AQ26"/>
    <mergeCell ref="AR26:AS26"/>
    <mergeCell ref="C27:C30"/>
    <mergeCell ref="F27:G27"/>
    <mergeCell ref="H27:I27"/>
    <mergeCell ref="J27:K27"/>
    <mergeCell ref="L27:M27"/>
    <mergeCell ref="N27:O27"/>
    <mergeCell ref="P27:Q27"/>
    <mergeCell ref="R27:S27"/>
    <mergeCell ref="AD26:AE26"/>
    <mergeCell ref="AF26:AG26"/>
    <mergeCell ref="AH26:AI26"/>
    <mergeCell ref="AJ26:AK26"/>
    <mergeCell ref="AL26:AM26"/>
    <mergeCell ref="AN26:AO26"/>
    <mergeCell ref="R26:S26"/>
    <mergeCell ref="T26:U26"/>
    <mergeCell ref="V26:W26"/>
    <mergeCell ref="X26:Y26"/>
    <mergeCell ref="Z26:AA26"/>
    <mergeCell ref="AB26:AC26"/>
    <mergeCell ref="F26:G26"/>
    <mergeCell ref="H26:I26"/>
    <mergeCell ref="J26:K26"/>
    <mergeCell ref="L26:M26"/>
    <mergeCell ref="N26:O26"/>
    <mergeCell ref="P26:Q26"/>
    <mergeCell ref="AH25:AI25"/>
    <mergeCell ref="AJ25:AK25"/>
    <mergeCell ref="AL25:AM25"/>
    <mergeCell ref="AN25:AO25"/>
    <mergeCell ref="AP25:AQ25"/>
    <mergeCell ref="AR25:AS25"/>
    <mergeCell ref="V25:W25"/>
    <mergeCell ref="X25:Y25"/>
    <mergeCell ref="Z25:AA25"/>
    <mergeCell ref="AB25:AC25"/>
    <mergeCell ref="AD25:AE25"/>
    <mergeCell ref="AF25:AG25"/>
    <mergeCell ref="AR24:AS24"/>
    <mergeCell ref="C25:C26"/>
    <mergeCell ref="F25:G25"/>
    <mergeCell ref="H25:I25"/>
    <mergeCell ref="J25:K25"/>
    <mergeCell ref="L25:M25"/>
    <mergeCell ref="N25:O25"/>
    <mergeCell ref="P25:Q25"/>
    <mergeCell ref="R25:S25"/>
    <mergeCell ref="T25:U25"/>
    <mergeCell ref="AF24:AG24"/>
    <mergeCell ref="AH24:AI24"/>
    <mergeCell ref="AJ24:AK24"/>
    <mergeCell ref="AL24:AM24"/>
    <mergeCell ref="AN24:AO24"/>
    <mergeCell ref="AP24:AQ24"/>
    <mergeCell ref="T24:U24"/>
    <mergeCell ref="V24:W24"/>
    <mergeCell ref="AP23:AQ23"/>
    <mergeCell ref="AR23:AS23"/>
    <mergeCell ref="F24:G24"/>
    <mergeCell ref="H24:I24"/>
    <mergeCell ref="J24:K24"/>
    <mergeCell ref="L24:M24"/>
    <mergeCell ref="N24:O24"/>
    <mergeCell ref="P24:Q24"/>
    <mergeCell ref="R24:S24"/>
    <mergeCell ref="AB23:AC23"/>
    <mergeCell ref="AD23:AE23"/>
    <mergeCell ref="AF23:AG23"/>
    <mergeCell ref="AH23:AI23"/>
    <mergeCell ref="AJ23:AK23"/>
    <mergeCell ref="AL23:AM23"/>
    <mergeCell ref="P23:Q23"/>
    <mergeCell ref="R23:S23"/>
    <mergeCell ref="T23:U23"/>
    <mergeCell ref="V23:W23"/>
    <mergeCell ref="X23:Y23"/>
    <mergeCell ref="Z23:AA23"/>
    <mergeCell ref="L23:M23"/>
    <mergeCell ref="N23:O23"/>
    <mergeCell ref="AP22:AQ22"/>
    <mergeCell ref="AR22:AS22"/>
    <mergeCell ref="F23:G23"/>
    <mergeCell ref="H23:I23"/>
    <mergeCell ref="J23:K23"/>
    <mergeCell ref="X22:Y22"/>
    <mergeCell ref="Z22:AA22"/>
    <mergeCell ref="AB22:AC22"/>
    <mergeCell ref="AD22:AE22"/>
    <mergeCell ref="AF22:AG22"/>
    <mergeCell ref="AH22:AI22"/>
    <mergeCell ref="AR21:AS21"/>
    <mergeCell ref="F22:G22"/>
    <mergeCell ref="H22:I22"/>
    <mergeCell ref="J22:K22"/>
    <mergeCell ref="L22:M22"/>
    <mergeCell ref="N22:O22"/>
    <mergeCell ref="P22:Q22"/>
    <mergeCell ref="R22:S22"/>
    <mergeCell ref="T22:U22"/>
    <mergeCell ref="V22:W22"/>
    <mergeCell ref="AF21:AG21"/>
    <mergeCell ref="AH21:AI21"/>
    <mergeCell ref="AJ21:AK21"/>
    <mergeCell ref="AL21:AM21"/>
    <mergeCell ref="AN21:AO21"/>
    <mergeCell ref="AP21:AQ21"/>
    <mergeCell ref="T21:U21"/>
    <mergeCell ref="V21:W21"/>
    <mergeCell ref="X21:Y21"/>
    <mergeCell ref="Z21:AA21"/>
    <mergeCell ref="AB21:AC21"/>
    <mergeCell ref="C21:C24"/>
    <mergeCell ref="F21:G21"/>
    <mergeCell ref="H21:I21"/>
    <mergeCell ref="J21:K21"/>
    <mergeCell ref="L21:M21"/>
    <mergeCell ref="N21:O21"/>
    <mergeCell ref="P21:Q21"/>
    <mergeCell ref="R21:S21"/>
    <mergeCell ref="AD20:AE20"/>
    <mergeCell ref="AF20:AG20"/>
    <mergeCell ref="AH20:AI20"/>
    <mergeCell ref="AJ20:AK20"/>
    <mergeCell ref="AL20:AM20"/>
    <mergeCell ref="AN20:AO20"/>
    <mergeCell ref="R20:S20"/>
    <mergeCell ref="T20:U20"/>
    <mergeCell ref="V20:W20"/>
    <mergeCell ref="X20:Y20"/>
    <mergeCell ref="Z20:AA20"/>
    <mergeCell ref="AB20:AC20"/>
    <mergeCell ref="AJ22:AK22"/>
    <mergeCell ref="AL22:AM22"/>
    <mergeCell ref="AN22:AO22"/>
    <mergeCell ref="AD21:AE21"/>
    <mergeCell ref="X24:Y24"/>
    <mergeCell ref="Z24:AA24"/>
    <mergeCell ref="AB24:AC24"/>
    <mergeCell ref="AD24:AE24"/>
    <mergeCell ref="AN23:AO23"/>
    <mergeCell ref="AP18:AQ18"/>
    <mergeCell ref="AR18:AS18"/>
    <mergeCell ref="C19:C20"/>
    <mergeCell ref="AT19:AT20"/>
    <mergeCell ref="F20:G20"/>
    <mergeCell ref="H20:I20"/>
    <mergeCell ref="J20:K20"/>
    <mergeCell ref="L20:M20"/>
    <mergeCell ref="N20:O20"/>
    <mergeCell ref="P20:Q20"/>
    <mergeCell ref="AD18:AE18"/>
    <mergeCell ref="AF18:AG18"/>
    <mergeCell ref="AH18:AI18"/>
    <mergeCell ref="AJ18:AK18"/>
    <mergeCell ref="AL18:AM18"/>
    <mergeCell ref="AN18:AO18"/>
    <mergeCell ref="R18:S18"/>
    <mergeCell ref="T18:U18"/>
    <mergeCell ref="V18:W18"/>
    <mergeCell ref="X18:Y18"/>
    <mergeCell ref="Z18:AA18"/>
    <mergeCell ref="AB18:AC18"/>
    <mergeCell ref="F18:G18"/>
    <mergeCell ref="H18:I18"/>
    <mergeCell ref="J18:K18"/>
    <mergeCell ref="L18:M18"/>
    <mergeCell ref="N18:O18"/>
    <mergeCell ref="P18:Q18"/>
    <mergeCell ref="AP20:AQ20"/>
    <mergeCell ref="AR20:AS20"/>
    <mergeCell ref="F17:G17"/>
    <mergeCell ref="H17:I17"/>
    <mergeCell ref="J17:K17"/>
    <mergeCell ref="L17:M17"/>
    <mergeCell ref="N17:O17"/>
    <mergeCell ref="P17:Q17"/>
    <mergeCell ref="R17:S17"/>
    <mergeCell ref="T17:U17"/>
    <mergeCell ref="AD16:AE16"/>
    <mergeCell ref="AF16:AG16"/>
    <mergeCell ref="AH16:AI16"/>
    <mergeCell ref="AJ16:AK16"/>
    <mergeCell ref="AL16:AM16"/>
    <mergeCell ref="AN16:AO16"/>
    <mergeCell ref="R16:S16"/>
    <mergeCell ref="T16:U16"/>
    <mergeCell ref="V16:W16"/>
    <mergeCell ref="X16:Y16"/>
    <mergeCell ref="L16:M16"/>
    <mergeCell ref="N16:O16"/>
    <mergeCell ref="P16:Q16"/>
    <mergeCell ref="AH15:AI15"/>
    <mergeCell ref="AJ15:AK15"/>
    <mergeCell ref="AL15:AM15"/>
    <mergeCell ref="AN15:AO15"/>
    <mergeCell ref="AP15:AQ15"/>
    <mergeCell ref="AR15:AS15"/>
    <mergeCell ref="V15:W15"/>
    <mergeCell ref="X15:Y15"/>
    <mergeCell ref="Z15:AA15"/>
    <mergeCell ref="AB15:AC15"/>
    <mergeCell ref="AD15:AE15"/>
    <mergeCell ref="AF15:AG15"/>
    <mergeCell ref="AH17:AI17"/>
    <mergeCell ref="AJ17:AK17"/>
    <mergeCell ref="AL17:AM17"/>
    <mergeCell ref="AN17:AO17"/>
    <mergeCell ref="AP17:AQ17"/>
    <mergeCell ref="AR17:AS17"/>
    <mergeCell ref="V17:W17"/>
    <mergeCell ref="X17:Y17"/>
    <mergeCell ref="Z17:AA17"/>
    <mergeCell ref="AB17:AC17"/>
    <mergeCell ref="AD17:AE17"/>
    <mergeCell ref="AF17:AG17"/>
    <mergeCell ref="AP16:AQ16"/>
    <mergeCell ref="AR16:AS16"/>
    <mergeCell ref="AT13:AT14"/>
    <mergeCell ref="F14:G14"/>
    <mergeCell ref="H14:I14"/>
    <mergeCell ref="J14:K14"/>
    <mergeCell ref="L14:M14"/>
    <mergeCell ref="N14:O14"/>
    <mergeCell ref="P14:Q14"/>
    <mergeCell ref="R14:S14"/>
    <mergeCell ref="AD13:AE13"/>
    <mergeCell ref="AF13:AG13"/>
    <mergeCell ref="AH13:AI13"/>
    <mergeCell ref="AJ13:AK13"/>
    <mergeCell ref="AL13:AM13"/>
    <mergeCell ref="AN13:AO13"/>
    <mergeCell ref="R13:S13"/>
    <mergeCell ref="T13:U13"/>
    <mergeCell ref="V13:W13"/>
    <mergeCell ref="X13:Y13"/>
    <mergeCell ref="Z13:AA13"/>
    <mergeCell ref="AB13:AC13"/>
    <mergeCell ref="AR14:AS14"/>
    <mergeCell ref="AF14:AG14"/>
    <mergeCell ref="AH14:AI14"/>
    <mergeCell ref="AJ14:AK14"/>
    <mergeCell ref="AL14:AM14"/>
    <mergeCell ref="AN14:AO14"/>
    <mergeCell ref="AP14:AQ14"/>
    <mergeCell ref="T14:U14"/>
    <mergeCell ref="V14:W14"/>
    <mergeCell ref="X14:Y14"/>
    <mergeCell ref="Z14:AA14"/>
    <mergeCell ref="AB14:AC14"/>
    <mergeCell ref="AN12:AO12"/>
    <mergeCell ref="AP12:AQ12"/>
    <mergeCell ref="AR12:AS12"/>
    <mergeCell ref="C13:C14"/>
    <mergeCell ref="F13:G13"/>
    <mergeCell ref="H13:I13"/>
    <mergeCell ref="J13:K13"/>
    <mergeCell ref="L13:M13"/>
    <mergeCell ref="N13:O13"/>
    <mergeCell ref="P13:Q13"/>
    <mergeCell ref="AB12:AC12"/>
    <mergeCell ref="AD12:AE12"/>
    <mergeCell ref="AF12:AG12"/>
    <mergeCell ref="AH12:AI12"/>
    <mergeCell ref="AJ12:AK12"/>
    <mergeCell ref="AL12:AM12"/>
    <mergeCell ref="P12:Q12"/>
    <mergeCell ref="R12:S12"/>
    <mergeCell ref="T12:U12"/>
    <mergeCell ref="V12:W12"/>
    <mergeCell ref="X12:Y12"/>
    <mergeCell ref="Z12:AA12"/>
    <mergeCell ref="AP13:AQ13"/>
    <mergeCell ref="AR13:AS13"/>
    <mergeCell ref="AD14:AE14"/>
    <mergeCell ref="B12:B50"/>
    <mergeCell ref="F12:G12"/>
    <mergeCell ref="H12:I12"/>
    <mergeCell ref="J12:K12"/>
    <mergeCell ref="L12:M12"/>
    <mergeCell ref="N12:O12"/>
    <mergeCell ref="AA11:AB11"/>
    <mergeCell ref="AC11:AD11"/>
    <mergeCell ref="AE11:AF11"/>
    <mergeCell ref="AG11:AH11"/>
    <mergeCell ref="AI11:AJ11"/>
    <mergeCell ref="AK11:AL11"/>
    <mergeCell ref="O11:P11"/>
    <mergeCell ref="Q11:R11"/>
    <mergeCell ref="S11:T11"/>
    <mergeCell ref="U11:V11"/>
    <mergeCell ref="W11:X11"/>
    <mergeCell ref="Y11:Z11"/>
    <mergeCell ref="C15:C18"/>
    <mergeCell ref="F15:G15"/>
    <mergeCell ref="H15:I15"/>
    <mergeCell ref="J15:K15"/>
    <mergeCell ref="L15:M15"/>
    <mergeCell ref="N15:O15"/>
    <mergeCell ref="P15:Q15"/>
    <mergeCell ref="R15:S15"/>
    <mergeCell ref="T15:U15"/>
    <mergeCell ref="Z16:AA16"/>
    <mergeCell ref="AB16:AC16"/>
    <mergeCell ref="F16:G16"/>
    <mergeCell ref="H16:I16"/>
    <mergeCell ref="J16:K16"/>
    <mergeCell ref="AK10:AL10"/>
    <mergeCell ref="AM10:AN10"/>
    <mergeCell ref="AO10:AP10"/>
    <mergeCell ref="AQ10:AR10"/>
    <mergeCell ref="AS10:AT10"/>
    <mergeCell ref="B9:D9"/>
    <mergeCell ref="E9:F9"/>
    <mergeCell ref="G9:H9"/>
    <mergeCell ref="I9:J9"/>
    <mergeCell ref="K9:L9"/>
    <mergeCell ref="B11:D11"/>
    <mergeCell ref="E11:F11"/>
    <mergeCell ref="G11:H11"/>
    <mergeCell ref="I11:J11"/>
    <mergeCell ref="M11:N11"/>
    <mergeCell ref="Y10:Z10"/>
    <mergeCell ref="AA10:AB10"/>
    <mergeCell ref="AC10:AD10"/>
    <mergeCell ref="AE10:AF10"/>
    <mergeCell ref="AG10:AH10"/>
    <mergeCell ref="AI10:AJ10"/>
    <mergeCell ref="M10:N10"/>
    <mergeCell ref="O10:P10"/>
    <mergeCell ref="Q10:R10"/>
    <mergeCell ref="S10:T10"/>
    <mergeCell ref="U10:V10"/>
    <mergeCell ref="W10:X10"/>
    <mergeCell ref="AM11:AN11"/>
    <mergeCell ref="AO11:AP11"/>
    <mergeCell ref="AQ11:AR11"/>
    <mergeCell ref="AS11:AT11"/>
    <mergeCell ref="AK7:AL7"/>
    <mergeCell ref="AM7:AN7"/>
    <mergeCell ref="AO7:AP7"/>
    <mergeCell ref="AQ7:AR7"/>
    <mergeCell ref="AS7:AT7"/>
    <mergeCell ref="AK8:AL8"/>
    <mergeCell ref="AM8:AN8"/>
    <mergeCell ref="AO8:AP8"/>
    <mergeCell ref="AQ8:AR8"/>
    <mergeCell ref="AS8:AT8"/>
    <mergeCell ref="AK9:AL9"/>
    <mergeCell ref="AM9:AN9"/>
    <mergeCell ref="AO9:AP9"/>
    <mergeCell ref="AQ9:AR9"/>
    <mergeCell ref="AS9:AT9"/>
    <mergeCell ref="B10:D10"/>
    <mergeCell ref="E10:F10"/>
    <mergeCell ref="G10:H10"/>
    <mergeCell ref="I10:J10"/>
    <mergeCell ref="K10:L10"/>
    <mergeCell ref="Y9:Z9"/>
    <mergeCell ref="AA9:AB9"/>
    <mergeCell ref="AC9:AD9"/>
    <mergeCell ref="AE9:AF9"/>
    <mergeCell ref="AG9:AH9"/>
    <mergeCell ref="AI9:AJ9"/>
    <mergeCell ref="M9:N9"/>
    <mergeCell ref="O9:P9"/>
    <mergeCell ref="Q9:R9"/>
    <mergeCell ref="S9:T9"/>
    <mergeCell ref="U9:V9"/>
    <mergeCell ref="W9:X9"/>
    <mergeCell ref="B8:D8"/>
    <mergeCell ref="E8:F8"/>
    <mergeCell ref="G8:H8"/>
    <mergeCell ref="I8:J8"/>
    <mergeCell ref="K8:L8"/>
    <mergeCell ref="Y7:Z7"/>
    <mergeCell ref="AA7:AB7"/>
    <mergeCell ref="AC7:AD7"/>
    <mergeCell ref="AE7:AF7"/>
    <mergeCell ref="AG7:AH7"/>
    <mergeCell ref="AI7:AJ7"/>
    <mergeCell ref="M7:N7"/>
    <mergeCell ref="O7:P7"/>
    <mergeCell ref="Q7:R7"/>
    <mergeCell ref="S7:T7"/>
    <mergeCell ref="U7:V7"/>
    <mergeCell ref="W7:X7"/>
    <mergeCell ref="Y8:Z8"/>
    <mergeCell ref="AA8:AB8"/>
    <mergeCell ref="AC8:AD8"/>
    <mergeCell ref="AE8:AF8"/>
    <mergeCell ref="AG8:AH8"/>
    <mergeCell ref="AI8:AJ8"/>
    <mergeCell ref="M8:N8"/>
    <mergeCell ref="O8:P8"/>
    <mergeCell ref="Q8:R8"/>
    <mergeCell ref="S8:T8"/>
    <mergeCell ref="U8:V8"/>
    <mergeCell ref="W8:X8"/>
    <mergeCell ref="L2:W2"/>
    <mergeCell ref="AC2:AJ2"/>
    <mergeCell ref="AK2:AT2"/>
    <mergeCell ref="L4:AC4"/>
    <mergeCell ref="AK4:AT4"/>
    <mergeCell ref="B6:D6"/>
    <mergeCell ref="E6:F6"/>
    <mergeCell ref="G6:H6"/>
    <mergeCell ref="I6:J6"/>
    <mergeCell ref="K6:L6"/>
    <mergeCell ref="AK6:AL6"/>
    <mergeCell ref="AM6:AN6"/>
    <mergeCell ref="AO6:AP6"/>
    <mergeCell ref="AQ6:AR6"/>
    <mergeCell ref="AS6:AT6"/>
    <mergeCell ref="B7:D7"/>
    <mergeCell ref="E7:F7"/>
    <mergeCell ref="G7:H7"/>
    <mergeCell ref="I7:J7"/>
    <mergeCell ref="K7:L7"/>
    <mergeCell ref="Y6:Z6"/>
    <mergeCell ref="AA6:AB6"/>
    <mergeCell ref="AC6:AD6"/>
    <mergeCell ref="AE6:AF6"/>
    <mergeCell ref="AG6:AH6"/>
    <mergeCell ref="AI6:AJ6"/>
    <mergeCell ref="M6:N6"/>
    <mergeCell ref="O6:P6"/>
    <mergeCell ref="Q6:R6"/>
    <mergeCell ref="S6:T6"/>
    <mergeCell ref="U6:V6"/>
    <mergeCell ref="W6:X6"/>
  </mergeCells>
  <pageMargins left="0.39370078740157483" right="0.39370078740157483" top="0.35433070866141736" bottom="0.35433070866141736" header="0.31496062992125984" footer="0.31496062992125984"/>
  <pageSetup paperSize="9" scale="32" orientation="landscape" horizont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B1:AT89"/>
  <sheetViews>
    <sheetView view="pageBreakPreview" zoomScale="40" zoomScaleNormal="40" zoomScaleSheetLayoutView="40" workbookViewId="0">
      <selection activeCell="AC8" sqref="AC8:AD8"/>
    </sheetView>
  </sheetViews>
  <sheetFormatPr defaultColWidth="9.21875" defaultRowHeight="14.4" x14ac:dyDescent="0.3"/>
  <cols>
    <col min="1" max="1" width="0.21875" customWidth="1"/>
    <col min="2" max="2" width="10.77734375" customWidth="1"/>
    <col min="3" max="4" width="13.77734375" customWidth="1"/>
    <col min="5" max="46" width="8.77734375" customWidth="1"/>
    <col min="47" max="49" width="3" customWidth="1"/>
  </cols>
  <sheetData>
    <row r="1" spans="2:46" x14ac:dyDescent="0.3">
      <c r="B1" s="1"/>
      <c r="AQ1" s="1"/>
    </row>
    <row r="2" spans="2:46" ht="50.1" customHeight="1" thickBot="1" x14ac:dyDescent="0.8">
      <c r="B2" s="65" t="s">
        <v>85</v>
      </c>
      <c r="C2" s="62"/>
      <c r="D2" s="63"/>
      <c r="E2" s="63"/>
      <c r="F2" s="64"/>
      <c r="G2" s="63"/>
      <c r="H2" s="64"/>
      <c r="I2" s="64"/>
      <c r="J2" s="64"/>
      <c r="K2" s="64"/>
      <c r="L2" s="423" t="str">
        <f>'Plot Data'!C7</f>
        <v>Calorific Value (MJ/kg)</v>
      </c>
      <c r="M2" s="423"/>
      <c r="N2" s="423"/>
      <c r="O2" s="423"/>
      <c r="P2" s="423"/>
      <c r="Q2" s="423"/>
      <c r="R2" s="423"/>
      <c r="S2" s="423"/>
      <c r="T2" s="423"/>
      <c r="U2" s="423"/>
      <c r="V2" s="423"/>
      <c r="W2" s="423"/>
      <c r="X2" s="63"/>
      <c r="Y2" s="63"/>
      <c r="Z2" s="63"/>
      <c r="AA2" s="63"/>
      <c r="AB2" s="65"/>
      <c r="AC2" s="424" t="s">
        <v>92</v>
      </c>
      <c r="AD2" s="424"/>
      <c r="AE2" s="424"/>
      <c r="AF2" s="424"/>
      <c r="AG2" s="424"/>
      <c r="AH2" s="424"/>
      <c r="AI2" s="424"/>
      <c r="AJ2" s="424"/>
      <c r="AK2" s="644" t="str">
        <f>'Data Input'!BC11</f>
        <v>Benzoic Acid</v>
      </c>
      <c r="AL2" s="644"/>
      <c r="AM2" s="644"/>
      <c r="AN2" s="644"/>
      <c r="AO2" s="644"/>
      <c r="AP2" s="644"/>
      <c r="AQ2" s="644"/>
      <c r="AR2" s="644"/>
      <c r="AS2" s="644"/>
      <c r="AT2" s="644"/>
    </row>
    <row r="3" spans="2:46" ht="22.05" customHeight="1" x14ac:dyDescent="0.85">
      <c r="B3" s="61"/>
      <c r="C3" s="66"/>
      <c r="D3" s="66"/>
      <c r="E3" s="66"/>
      <c r="F3" s="67"/>
      <c r="G3" s="66"/>
      <c r="H3" s="67"/>
      <c r="I3" s="67"/>
      <c r="J3" s="66"/>
      <c r="K3" s="66"/>
      <c r="L3" s="66"/>
      <c r="M3" s="66"/>
      <c r="N3" s="66"/>
      <c r="O3" s="66"/>
      <c r="P3" s="66"/>
      <c r="Q3" s="66"/>
      <c r="R3" s="66"/>
      <c r="S3" s="66"/>
      <c r="T3" s="66"/>
      <c r="U3" s="66"/>
      <c r="V3" s="66"/>
      <c r="W3" s="66"/>
      <c r="X3" s="66"/>
      <c r="Y3" s="66"/>
      <c r="Z3" s="66"/>
      <c r="AA3" s="66"/>
      <c r="AB3" s="66"/>
      <c r="AC3" s="66"/>
      <c r="AD3" s="66"/>
      <c r="AE3" s="66"/>
      <c r="AF3" s="66"/>
      <c r="AG3" s="66"/>
      <c r="AH3" s="68"/>
      <c r="AI3" s="66"/>
      <c r="AJ3" s="68"/>
      <c r="AK3" s="66"/>
      <c r="AL3" s="66"/>
      <c r="AM3" s="66"/>
      <c r="AN3" s="66"/>
      <c r="AO3" s="67"/>
      <c r="AP3" s="66"/>
      <c r="AQ3" s="67"/>
      <c r="AR3" s="66"/>
      <c r="AS3" s="66"/>
    </row>
    <row r="4" spans="2:46" ht="50.1" customHeight="1" x14ac:dyDescent="0.85">
      <c r="B4" s="60"/>
      <c r="C4" s="66"/>
      <c r="D4" s="66"/>
      <c r="E4" s="66"/>
      <c r="F4" s="66"/>
      <c r="G4" s="66"/>
      <c r="H4" s="66"/>
      <c r="I4" s="66"/>
      <c r="J4" s="66"/>
      <c r="K4" s="66"/>
      <c r="L4" s="426" t="s">
        <v>87</v>
      </c>
      <c r="M4" s="426"/>
      <c r="N4" s="426"/>
      <c r="O4" s="426"/>
      <c r="P4" s="426"/>
      <c r="Q4" s="426"/>
      <c r="R4" s="426"/>
      <c r="S4" s="426"/>
      <c r="T4" s="426"/>
      <c r="U4" s="426"/>
      <c r="V4" s="426"/>
      <c r="W4" s="426"/>
      <c r="X4" s="426"/>
      <c r="Y4" s="426"/>
      <c r="Z4" s="426"/>
      <c r="AA4" s="426"/>
      <c r="AB4" s="426"/>
      <c r="AC4" s="426"/>
      <c r="AD4" s="645" t="s">
        <v>224</v>
      </c>
      <c r="AE4" s="645"/>
      <c r="AF4" s="645"/>
      <c r="AG4" s="645"/>
      <c r="AH4" s="645"/>
      <c r="AI4" s="645"/>
      <c r="AJ4" s="645"/>
      <c r="AK4" s="646">
        <v>2</v>
      </c>
      <c r="AL4" s="646"/>
      <c r="AM4" s="646"/>
      <c r="AN4" s="646"/>
      <c r="AO4" s="646"/>
      <c r="AP4" s="646"/>
      <c r="AQ4" s="646"/>
      <c r="AR4" s="646"/>
      <c r="AS4" s="646"/>
      <c r="AT4" s="646"/>
    </row>
    <row r="5" spans="2:46" ht="22.05" customHeight="1" thickBot="1" x14ac:dyDescent="0.35">
      <c r="K5" s="2"/>
    </row>
    <row r="6" spans="2:46" ht="50.1" customHeight="1" x14ac:dyDescent="0.3">
      <c r="B6" s="428" t="s">
        <v>0</v>
      </c>
      <c r="C6" s="429"/>
      <c r="D6" s="430"/>
      <c r="E6" s="431"/>
      <c r="F6" s="432"/>
      <c r="G6" s="431"/>
      <c r="H6" s="432"/>
      <c r="I6" s="431"/>
      <c r="J6" s="432"/>
      <c r="K6" s="431"/>
      <c r="L6" s="432"/>
      <c r="M6" s="431"/>
      <c r="N6" s="432"/>
      <c r="O6" s="431"/>
      <c r="P6" s="432"/>
      <c r="Q6" s="431"/>
      <c r="R6" s="432"/>
      <c r="S6" s="431"/>
      <c r="T6" s="432"/>
      <c r="U6" s="431"/>
      <c r="V6" s="432"/>
      <c r="W6" s="431"/>
      <c r="X6" s="432"/>
      <c r="Y6" s="431"/>
      <c r="Z6" s="432"/>
      <c r="AA6" s="431"/>
      <c r="AB6" s="432"/>
      <c r="AC6" s="431"/>
      <c r="AD6" s="432"/>
      <c r="AE6" s="431"/>
      <c r="AF6" s="432"/>
      <c r="AG6" s="431"/>
      <c r="AH6" s="432"/>
      <c r="AI6" s="431"/>
      <c r="AJ6" s="432"/>
      <c r="AK6" s="431"/>
      <c r="AL6" s="432"/>
      <c r="AM6" s="431"/>
      <c r="AN6" s="432"/>
      <c r="AO6" s="431"/>
      <c r="AP6" s="432"/>
      <c r="AQ6" s="431"/>
      <c r="AR6" s="432"/>
      <c r="AS6" s="431"/>
      <c r="AT6" s="432"/>
    </row>
    <row r="7" spans="2:46" ht="50.1" customHeight="1" thickBot="1" x14ac:dyDescent="0.35">
      <c r="B7" s="433" t="s">
        <v>1</v>
      </c>
      <c r="C7" s="434"/>
      <c r="D7" s="435"/>
      <c r="E7" s="436"/>
      <c r="F7" s="437"/>
      <c r="G7" s="436"/>
      <c r="H7" s="437"/>
      <c r="I7" s="436"/>
      <c r="J7" s="437"/>
      <c r="K7" s="436"/>
      <c r="L7" s="437"/>
      <c r="M7" s="436"/>
      <c r="N7" s="437"/>
      <c r="O7" s="436"/>
      <c r="P7" s="437"/>
      <c r="Q7" s="436"/>
      <c r="R7" s="437"/>
      <c r="S7" s="436"/>
      <c r="T7" s="437"/>
      <c r="U7" s="436"/>
      <c r="V7" s="437"/>
      <c r="W7" s="436"/>
      <c r="X7" s="437"/>
      <c r="Y7" s="436"/>
      <c r="Z7" s="437"/>
      <c r="AA7" s="436"/>
      <c r="AB7" s="437"/>
      <c r="AC7" s="436"/>
      <c r="AD7" s="437"/>
      <c r="AE7" s="436"/>
      <c r="AF7" s="437"/>
      <c r="AG7" s="436"/>
      <c r="AH7" s="437"/>
      <c r="AI7" s="436"/>
      <c r="AJ7" s="437"/>
      <c r="AK7" s="436"/>
      <c r="AL7" s="437"/>
      <c r="AM7" s="436"/>
      <c r="AN7" s="437"/>
      <c r="AO7" s="436"/>
      <c r="AP7" s="437"/>
      <c r="AQ7" s="436"/>
      <c r="AR7" s="437"/>
      <c r="AS7" s="436"/>
      <c r="AT7" s="437"/>
    </row>
    <row r="8" spans="2:46" ht="50.1" customHeight="1" thickBot="1" x14ac:dyDescent="0.35">
      <c r="B8" s="438" t="s">
        <v>2</v>
      </c>
      <c r="C8" s="439"/>
      <c r="D8" s="440"/>
      <c r="E8" s="441"/>
      <c r="F8" s="442"/>
      <c r="G8" s="441"/>
      <c r="H8" s="442"/>
      <c r="I8" s="441"/>
      <c r="J8" s="442"/>
      <c r="K8" s="441"/>
      <c r="L8" s="442"/>
      <c r="M8" s="441"/>
      <c r="N8" s="442"/>
      <c r="O8" s="441"/>
      <c r="P8" s="442"/>
      <c r="Q8" s="441"/>
      <c r="R8" s="442"/>
      <c r="S8" s="441"/>
      <c r="T8" s="442"/>
      <c r="U8" s="441"/>
      <c r="V8" s="442"/>
      <c r="W8" s="441"/>
      <c r="X8" s="442"/>
      <c r="Y8" s="441"/>
      <c r="Z8" s="442"/>
      <c r="AA8" s="441"/>
      <c r="AB8" s="442"/>
      <c r="AC8" s="441"/>
      <c r="AD8" s="442"/>
      <c r="AE8" s="441"/>
      <c r="AF8" s="442"/>
      <c r="AG8" s="441"/>
      <c r="AH8" s="442"/>
      <c r="AI8" s="441"/>
      <c r="AJ8" s="442"/>
      <c r="AK8" s="441"/>
      <c r="AL8" s="442"/>
      <c r="AM8" s="441"/>
      <c r="AN8" s="442"/>
      <c r="AO8" s="441"/>
      <c r="AP8" s="442"/>
      <c r="AQ8" s="441"/>
      <c r="AR8" s="442"/>
      <c r="AS8" s="441"/>
      <c r="AT8" s="442"/>
    </row>
    <row r="9" spans="2:46" ht="50.1" customHeight="1" thickBot="1" x14ac:dyDescent="0.35">
      <c r="B9" s="447" t="s">
        <v>3</v>
      </c>
      <c r="C9" s="448"/>
      <c r="D9" s="449"/>
      <c r="E9" s="443"/>
      <c r="F9" s="444"/>
      <c r="G9" s="443"/>
      <c r="H9" s="444"/>
      <c r="I9" s="443"/>
      <c r="J9" s="444"/>
      <c r="K9" s="443"/>
      <c r="L9" s="444"/>
      <c r="M9" s="443"/>
      <c r="N9" s="444"/>
      <c r="O9" s="443"/>
      <c r="P9" s="444"/>
      <c r="Q9" s="443"/>
      <c r="R9" s="444"/>
      <c r="S9" s="443"/>
      <c r="T9" s="444"/>
      <c r="U9" s="443"/>
      <c r="V9" s="444"/>
      <c r="W9" s="443"/>
      <c r="X9" s="444"/>
      <c r="Y9" s="443"/>
      <c r="Z9" s="444"/>
      <c r="AA9" s="443"/>
      <c r="AB9" s="444"/>
      <c r="AC9" s="443"/>
      <c r="AD9" s="444"/>
      <c r="AE9" s="443"/>
      <c r="AF9" s="444"/>
      <c r="AG9" s="443"/>
      <c r="AH9" s="444"/>
      <c r="AI9" s="443"/>
      <c r="AJ9" s="444"/>
      <c r="AK9" s="443"/>
      <c r="AL9" s="444"/>
      <c r="AM9" s="443"/>
      <c r="AN9" s="444"/>
      <c r="AO9" s="443"/>
      <c r="AP9" s="444"/>
      <c r="AQ9" s="443"/>
      <c r="AR9" s="444"/>
      <c r="AS9" s="443"/>
      <c r="AT9" s="444"/>
    </row>
    <row r="10" spans="2:46" ht="50.1" customHeight="1" thickBot="1" x14ac:dyDescent="0.35">
      <c r="B10" s="428" t="s">
        <v>4</v>
      </c>
      <c r="C10" s="429"/>
      <c r="D10" s="430"/>
      <c r="E10" s="441"/>
      <c r="F10" s="442"/>
      <c r="G10" s="441"/>
      <c r="H10" s="442"/>
      <c r="I10" s="441"/>
      <c r="J10" s="442"/>
      <c r="K10" s="445"/>
      <c r="L10" s="446"/>
      <c r="M10" s="441"/>
      <c r="N10" s="442"/>
      <c r="O10" s="441"/>
      <c r="P10" s="442"/>
      <c r="Q10" s="441"/>
      <c r="R10" s="442"/>
      <c r="S10" s="441"/>
      <c r="T10" s="442"/>
      <c r="U10" s="441"/>
      <c r="V10" s="442"/>
      <c r="W10" s="441"/>
      <c r="X10" s="442"/>
      <c r="Y10" s="441"/>
      <c r="Z10" s="442"/>
      <c r="AA10" s="441"/>
      <c r="AB10" s="442"/>
      <c r="AC10" s="441"/>
      <c r="AD10" s="442"/>
      <c r="AE10" s="441"/>
      <c r="AF10" s="442"/>
      <c r="AG10" s="441"/>
      <c r="AH10" s="442"/>
      <c r="AI10" s="441"/>
      <c r="AJ10" s="442"/>
      <c r="AK10" s="441"/>
      <c r="AL10" s="442"/>
      <c r="AM10" s="441"/>
      <c r="AN10" s="442"/>
      <c r="AO10" s="441"/>
      <c r="AP10" s="442"/>
      <c r="AQ10" s="441"/>
      <c r="AR10" s="442"/>
      <c r="AS10" s="441"/>
      <c r="AT10" s="442"/>
    </row>
    <row r="11" spans="2:46" ht="50.1" customHeight="1" thickBot="1" x14ac:dyDescent="0.35">
      <c r="B11" s="450" t="s">
        <v>5</v>
      </c>
      <c r="C11" s="451"/>
      <c r="D11" s="452"/>
      <c r="E11" s="441"/>
      <c r="F11" s="442"/>
      <c r="G11" s="441"/>
      <c r="H11" s="442"/>
      <c r="I11" s="441"/>
      <c r="J11" s="442"/>
      <c r="K11" s="72"/>
      <c r="L11" s="72"/>
      <c r="M11" s="441"/>
      <c r="N11" s="442"/>
      <c r="O11" s="441"/>
      <c r="P11" s="442"/>
      <c r="Q11" s="441"/>
      <c r="R11" s="442"/>
      <c r="S11" s="441"/>
      <c r="T11" s="442"/>
      <c r="U11" s="441"/>
      <c r="V11" s="442"/>
      <c r="W11" s="441"/>
      <c r="X11" s="442"/>
      <c r="Y11" s="441"/>
      <c r="Z11" s="442"/>
      <c r="AA11" s="441"/>
      <c r="AB11" s="442"/>
      <c r="AC11" s="441"/>
      <c r="AD11" s="442"/>
      <c r="AE11" s="441"/>
      <c r="AF11" s="442"/>
      <c r="AG11" s="441"/>
      <c r="AH11" s="442"/>
      <c r="AI11" s="441"/>
      <c r="AJ11" s="442"/>
      <c r="AK11" s="441"/>
      <c r="AL11" s="442"/>
      <c r="AM11" s="441"/>
      <c r="AN11" s="442"/>
      <c r="AO11" s="441"/>
      <c r="AP11" s="442"/>
      <c r="AQ11" s="441"/>
      <c r="AR11" s="442"/>
      <c r="AS11" s="441"/>
      <c r="AT11" s="442"/>
    </row>
    <row r="12" spans="2:46" ht="18" customHeight="1" thickTop="1" x14ac:dyDescent="0.6">
      <c r="B12" s="453" t="s">
        <v>6</v>
      </c>
      <c r="C12" s="98"/>
      <c r="D12" s="73"/>
      <c r="E12" s="74"/>
      <c r="F12" s="456"/>
      <c r="G12" s="457"/>
      <c r="H12" s="456"/>
      <c r="I12" s="457"/>
      <c r="J12" s="456"/>
      <c r="K12" s="457"/>
      <c r="L12" s="456"/>
      <c r="M12" s="457"/>
      <c r="N12" s="456"/>
      <c r="O12" s="457"/>
      <c r="P12" s="456"/>
      <c r="Q12" s="457"/>
      <c r="R12" s="456"/>
      <c r="S12" s="457"/>
      <c r="T12" s="456"/>
      <c r="U12" s="457"/>
      <c r="V12" s="456"/>
      <c r="W12" s="457"/>
      <c r="X12" s="456"/>
      <c r="Y12" s="457"/>
      <c r="Z12" s="456"/>
      <c r="AA12" s="457"/>
      <c r="AB12" s="456"/>
      <c r="AC12" s="457"/>
      <c r="AD12" s="456"/>
      <c r="AE12" s="457"/>
      <c r="AF12" s="456"/>
      <c r="AG12" s="457"/>
      <c r="AH12" s="456"/>
      <c r="AI12" s="457"/>
      <c r="AJ12" s="456"/>
      <c r="AK12" s="457"/>
      <c r="AL12" s="456"/>
      <c r="AM12" s="457"/>
      <c r="AN12" s="456"/>
      <c r="AO12" s="457"/>
      <c r="AP12" s="456"/>
      <c r="AQ12" s="457"/>
      <c r="AR12" s="456"/>
      <c r="AS12" s="457"/>
      <c r="AT12" s="93"/>
    </row>
    <row r="13" spans="2:46" ht="18" customHeight="1" thickBot="1" x14ac:dyDescent="0.35">
      <c r="B13" s="454"/>
      <c r="C13" s="458">
        <f>'Plot Data'!P64</f>
        <v>26.552000000000007</v>
      </c>
      <c r="D13" s="5"/>
      <c r="E13" s="6"/>
      <c r="F13" s="461"/>
      <c r="G13" s="462"/>
      <c r="H13" s="461"/>
      <c r="I13" s="462"/>
      <c r="J13" s="461"/>
      <c r="K13" s="462"/>
      <c r="L13" s="461"/>
      <c r="M13" s="462"/>
      <c r="N13" s="461"/>
      <c r="O13" s="462"/>
      <c r="P13" s="461"/>
      <c r="Q13" s="462"/>
      <c r="R13" s="461"/>
      <c r="S13" s="462"/>
      <c r="T13" s="461"/>
      <c r="U13" s="462"/>
      <c r="V13" s="461"/>
      <c r="W13" s="462"/>
      <c r="X13" s="461"/>
      <c r="Y13" s="462"/>
      <c r="Z13" s="461"/>
      <c r="AA13" s="462"/>
      <c r="AB13" s="461"/>
      <c r="AC13" s="462"/>
      <c r="AD13" s="461"/>
      <c r="AE13" s="462"/>
      <c r="AF13" s="461"/>
      <c r="AG13" s="462"/>
      <c r="AH13" s="461"/>
      <c r="AI13" s="462"/>
      <c r="AJ13" s="461"/>
      <c r="AK13" s="462"/>
      <c r="AL13" s="461"/>
      <c r="AM13" s="462"/>
      <c r="AN13" s="461"/>
      <c r="AO13" s="462"/>
      <c r="AP13" s="461"/>
      <c r="AQ13" s="462"/>
      <c r="AR13" s="461"/>
      <c r="AS13" s="462"/>
      <c r="AT13" s="463" t="s">
        <v>48</v>
      </c>
    </row>
    <row r="14" spans="2:46" ht="18" customHeight="1" thickTop="1" x14ac:dyDescent="0.3">
      <c r="B14" s="454"/>
      <c r="C14" s="458"/>
      <c r="D14" s="7"/>
      <c r="E14" s="8"/>
      <c r="F14" s="459"/>
      <c r="G14" s="460"/>
      <c r="H14" s="459"/>
      <c r="I14" s="460"/>
      <c r="J14" s="459"/>
      <c r="K14" s="460"/>
      <c r="L14" s="459"/>
      <c r="M14" s="460"/>
      <c r="N14" s="459"/>
      <c r="O14" s="460"/>
      <c r="P14" s="459"/>
      <c r="Q14" s="460"/>
      <c r="R14" s="459"/>
      <c r="S14" s="460"/>
      <c r="T14" s="459"/>
      <c r="U14" s="460"/>
      <c r="V14" s="459"/>
      <c r="W14" s="460"/>
      <c r="X14" s="459"/>
      <c r="Y14" s="460"/>
      <c r="Z14" s="459"/>
      <c r="AA14" s="460"/>
      <c r="AB14" s="459"/>
      <c r="AC14" s="460"/>
      <c r="AD14" s="459"/>
      <c r="AE14" s="460"/>
      <c r="AF14" s="459"/>
      <c r="AG14" s="460"/>
      <c r="AH14" s="459"/>
      <c r="AI14" s="460"/>
      <c r="AJ14" s="459"/>
      <c r="AK14" s="460"/>
      <c r="AL14" s="459"/>
      <c r="AM14" s="460"/>
      <c r="AN14" s="459"/>
      <c r="AO14" s="460"/>
      <c r="AP14" s="459"/>
      <c r="AQ14" s="460"/>
      <c r="AR14" s="459"/>
      <c r="AS14" s="460"/>
      <c r="AT14" s="464"/>
    </row>
    <row r="15" spans="2:46" ht="18" customHeight="1" x14ac:dyDescent="0.6">
      <c r="B15" s="454"/>
      <c r="C15" s="458">
        <f>C19+(C13-C19)/2</f>
        <v>26.532000000000004</v>
      </c>
      <c r="D15" s="13"/>
      <c r="E15" s="8"/>
      <c r="F15" s="459"/>
      <c r="G15" s="460"/>
      <c r="H15" s="459"/>
      <c r="I15" s="460"/>
      <c r="J15" s="459"/>
      <c r="K15" s="460"/>
      <c r="L15" s="459"/>
      <c r="M15" s="460"/>
      <c r="N15" s="459"/>
      <c r="O15" s="460"/>
      <c r="P15" s="459"/>
      <c r="Q15" s="460"/>
      <c r="R15" s="459"/>
      <c r="S15" s="460"/>
      <c r="T15" s="459"/>
      <c r="U15" s="460"/>
      <c r="V15" s="459"/>
      <c r="W15" s="460"/>
      <c r="X15" s="459"/>
      <c r="Y15" s="460"/>
      <c r="Z15" s="459"/>
      <c r="AA15" s="460"/>
      <c r="AB15" s="459"/>
      <c r="AC15" s="460"/>
      <c r="AD15" s="459"/>
      <c r="AE15" s="460"/>
      <c r="AF15" s="459"/>
      <c r="AG15" s="460"/>
      <c r="AH15" s="459"/>
      <c r="AI15" s="460"/>
      <c r="AJ15" s="459"/>
      <c r="AK15" s="460"/>
      <c r="AL15" s="459"/>
      <c r="AM15" s="460"/>
      <c r="AN15" s="459"/>
      <c r="AO15" s="460"/>
      <c r="AP15" s="459"/>
      <c r="AQ15" s="460"/>
      <c r="AR15" s="459"/>
      <c r="AS15" s="460"/>
      <c r="AT15" s="94"/>
    </row>
    <row r="16" spans="2:46" ht="18" customHeight="1" x14ac:dyDescent="0.6">
      <c r="B16" s="454"/>
      <c r="C16" s="458"/>
      <c r="D16" s="3"/>
      <c r="E16" s="8"/>
      <c r="F16" s="459"/>
      <c r="G16" s="460"/>
      <c r="H16" s="459"/>
      <c r="I16" s="460"/>
      <c r="J16" s="459"/>
      <c r="K16" s="460"/>
      <c r="L16" s="459"/>
      <c r="M16" s="460"/>
      <c r="N16" s="459"/>
      <c r="O16" s="460"/>
      <c r="P16" s="459"/>
      <c r="Q16" s="460"/>
      <c r="R16" s="459"/>
      <c r="S16" s="460"/>
      <c r="T16" s="459"/>
      <c r="U16" s="460"/>
      <c r="V16" s="459"/>
      <c r="W16" s="460"/>
      <c r="X16" s="459"/>
      <c r="Y16" s="460"/>
      <c r="Z16" s="459"/>
      <c r="AA16" s="460"/>
      <c r="AB16" s="459"/>
      <c r="AC16" s="460"/>
      <c r="AD16" s="459"/>
      <c r="AE16" s="460"/>
      <c r="AF16" s="459"/>
      <c r="AG16" s="460"/>
      <c r="AH16" s="459"/>
      <c r="AI16" s="460"/>
      <c r="AJ16" s="459"/>
      <c r="AK16" s="460"/>
      <c r="AL16" s="459"/>
      <c r="AM16" s="460"/>
      <c r="AN16" s="459"/>
      <c r="AO16" s="460"/>
      <c r="AP16" s="459"/>
      <c r="AQ16" s="460"/>
      <c r="AR16" s="459"/>
      <c r="AS16" s="460"/>
      <c r="AT16" s="94"/>
    </row>
    <row r="17" spans="2:46" ht="18" customHeight="1" x14ac:dyDescent="0.6">
      <c r="B17" s="454"/>
      <c r="C17" s="458"/>
      <c r="D17" s="3"/>
      <c r="E17" s="8"/>
      <c r="F17" s="459"/>
      <c r="G17" s="460"/>
      <c r="H17" s="459"/>
      <c r="I17" s="460"/>
      <c r="J17" s="459"/>
      <c r="K17" s="460"/>
      <c r="L17" s="459"/>
      <c r="M17" s="460"/>
      <c r="N17" s="459"/>
      <c r="O17" s="460"/>
      <c r="P17" s="459"/>
      <c r="Q17" s="460"/>
      <c r="R17" s="459"/>
      <c r="S17" s="460"/>
      <c r="T17" s="459"/>
      <c r="U17" s="460"/>
      <c r="V17" s="459"/>
      <c r="W17" s="460"/>
      <c r="X17" s="459"/>
      <c r="Y17" s="460"/>
      <c r="Z17" s="459"/>
      <c r="AA17" s="460"/>
      <c r="AB17" s="459"/>
      <c r="AC17" s="460"/>
      <c r="AD17" s="459"/>
      <c r="AE17" s="460"/>
      <c r="AF17" s="459"/>
      <c r="AG17" s="460"/>
      <c r="AH17" s="459"/>
      <c r="AI17" s="460"/>
      <c r="AJ17" s="459"/>
      <c r="AK17" s="460"/>
      <c r="AL17" s="459"/>
      <c r="AM17" s="460"/>
      <c r="AN17" s="459"/>
      <c r="AO17" s="460"/>
      <c r="AP17" s="459"/>
      <c r="AQ17" s="460"/>
      <c r="AR17" s="459"/>
      <c r="AS17" s="460"/>
      <c r="AT17" s="94"/>
    </row>
    <row r="18" spans="2:46" ht="18" customHeight="1" x14ac:dyDescent="0.6">
      <c r="B18" s="454"/>
      <c r="C18" s="458"/>
      <c r="D18" s="7"/>
      <c r="E18" s="8"/>
      <c r="F18" s="459"/>
      <c r="G18" s="460"/>
      <c r="H18" s="459"/>
      <c r="I18" s="460"/>
      <c r="J18" s="459"/>
      <c r="K18" s="460"/>
      <c r="L18" s="459"/>
      <c r="M18" s="460"/>
      <c r="N18" s="459"/>
      <c r="O18" s="460"/>
      <c r="P18" s="459"/>
      <c r="Q18" s="460"/>
      <c r="R18" s="459"/>
      <c r="S18" s="460"/>
      <c r="T18" s="459"/>
      <c r="U18" s="460"/>
      <c r="V18" s="459"/>
      <c r="W18" s="460"/>
      <c r="X18" s="459"/>
      <c r="Y18" s="460"/>
      <c r="Z18" s="459"/>
      <c r="AA18" s="460"/>
      <c r="AB18" s="459"/>
      <c r="AC18" s="460"/>
      <c r="AD18" s="459"/>
      <c r="AE18" s="460"/>
      <c r="AF18" s="459"/>
      <c r="AG18" s="460"/>
      <c r="AH18" s="459"/>
      <c r="AI18" s="460"/>
      <c r="AJ18" s="459"/>
      <c r="AK18" s="460"/>
      <c r="AL18" s="459"/>
      <c r="AM18" s="460"/>
      <c r="AN18" s="459"/>
      <c r="AO18" s="460"/>
      <c r="AP18" s="459"/>
      <c r="AQ18" s="460"/>
      <c r="AR18" s="459"/>
      <c r="AS18" s="460"/>
      <c r="AT18" s="94"/>
    </row>
    <row r="19" spans="2:46" ht="18" customHeight="1" thickBot="1" x14ac:dyDescent="0.35">
      <c r="B19" s="454"/>
      <c r="C19" s="458">
        <f>'Plot Data'!P62</f>
        <v>26.512000000000004</v>
      </c>
      <c r="D19" s="9"/>
      <c r="E19" s="10"/>
      <c r="F19" s="11"/>
      <c r="G19" s="12"/>
      <c r="H19" s="11"/>
      <c r="I19" s="12"/>
      <c r="J19" s="11"/>
      <c r="K19" s="12"/>
      <c r="L19" s="11"/>
      <c r="M19" s="12"/>
      <c r="N19" s="11"/>
      <c r="O19" s="12"/>
      <c r="P19" s="11"/>
      <c r="Q19" s="12"/>
      <c r="R19" s="11"/>
      <c r="S19" s="12"/>
      <c r="T19" s="11"/>
      <c r="U19" s="12"/>
      <c r="V19" s="11"/>
      <c r="W19" s="12"/>
      <c r="X19" s="11"/>
      <c r="Y19" s="12"/>
      <c r="Z19" s="11"/>
      <c r="AA19" s="12"/>
      <c r="AB19" s="11"/>
      <c r="AC19" s="12"/>
      <c r="AD19" s="11"/>
      <c r="AE19" s="12"/>
      <c r="AF19" s="11"/>
      <c r="AG19" s="12"/>
      <c r="AH19" s="11"/>
      <c r="AI19" s="12"/>
      <c r="AJ19" s="11"/>
      <c r="AK19" s="12"/>
      <c r="AL19" s="11"/>
      <c r="AM19" s="12"/>
      <c r="AN19" s="11"/>
      <c r="AO19" s="12"/>
      <c r="AP19" s="11"/>
      <c r="AQ19" s="12"/>
      <c r="AR19" s="11"/>
      <c r="AS19" s="12"/>
      <c r="AT19" s="463" t="s">
        <v>47</v>
      </c>
    </row>
    <row r="20" spans="2:46" ht="18" customHeight="1" x14ac:dyDescent="0.3">
      <c r="B20" s="454"/>
      <c r="C20" s="458"/>
      <c r="D20" s="7"/>
      <c r="E20" s="8"/>
      <c r="F20" s="459"/>
      <c r="G20" s="460"/>
      <c r="H20" s="459"/>
      <c r="I20" s="460"/>
      <c r="J20" s="459"/>
      <c r="K20" s="460"/>
      <c r="L20" s="459"/>
      <c r="M20" s="460"/>
      <c r="N20" s="459"/>
      <c r="O20" s="460"/>
      <c r="P20" s="459"/>
      <c r="Q20" s="460"/>
      <c r="R20" s="459"/>
      <c r="S20" s="460"/>
      <c r="T20" s="459"/>
      <c r="U20" s="460"/>
      <c r="V20" s="459"/>
      <c r="W20" s="460"/>
      <c r="X20" s="459"/>
      <c r="Y20" s="460"/>
      <c r="Z20" s="459"/>
      <c r="AA20" s="460"/>
      <c r="AB20" s="459"/>
      <c r="AC20" s="460"/>
      <c r="AD20" s="459"/>
      <c r="AE20" s="460"/>
      <c r="AF20" s="459"/>
      <c r="AG20" s="460"/>
      <c r="AH20" s="459"/>
      <c r="AI20" s="460"/>
      <c r="AJ20" s="459"/>
      <c r="AK20" s="460"/>
      <c r="AL20" s="459"/>
      <c r="AM20" s="460"/>
      <c r="AN20" s="459"/>
      <c r="AO20" s="460"/>
      <c r="AP20" s="459"/>
      <c r="AQ20" s="460"/>
      <c r="AR20" s="459"/>
      <c r="AS20" s="460"/>
      <c r="AT20" s="464"/>
    </row>
    <row r="21" spans="2:46" ht="18" customHeight="1" x14ac:dyDescent="0.6">
      <c r="B21" s="454"/>
      <c r="C21" s="458">
        <f>C25+(C19-C25)/2</f>
        <v>26.492000000000004</v>
      </c>
      <c r="D21" s="13"/>
      <c r="E21" s="8"/>
      <c r="F21" s="459"/>
      <c r="G21" s="460"/>
      <c r="H21" s="459"/>
      <c r="I21" s="460"/>
      <c r="J21" s="459"/>
      <c r="K21" s="460"/>
      <c r="L21" s="459"/>
      <c r="M21" s="460"/>
      <c r="N21" s="459"/>
      <c r="O21" s="460"/>
      <c r="P21" s="459"/>
      <c r="Q21" s="460"/>
      <c r="R21" s="459"/>
      <c r="S21" s="460"/>
      <c r="T21" s="459"/>
      <c r="U21" s="460"/>
      <c r="V21" s="459"/>
      <c r="W21" s="460"/>
      <c r="X21" s="459"/>
      <c r="Y21" s="460"/>
      <c r="Z21" s="459"/>
      <c r="AA21" s="460"/>
      <c r="AB21" s="459"/>
      <c r="AC21" s="460"/>
      <c r="AD21" s="459"/>
      <c r="AE21" s="460"/>
      <c r="AF21" s="459"/>
      <c r="AG21" s="460"/>
      <c r="AH21" s="459"/>
      <c r="AI21" s="460"/>
      <c r="AJ21" s="459"/>
      <c r="AK21" s="460"/>
      <c r="AL21" s="459"/>
      <c r="AM21" s="460"/>
      <c r="AN21" s="459"/>
      <c r="AO21" s="460"/>
      <c r="AP21" s="459"/>
      <c r="AQ21" s="460"/>
      <c r="AR21" s="459"/>
      <c r="AS21" s="460"/>
      <c r="AT21" s="94"/>
    </row>
    <row r="22" spans="2:46" ht="18" customHeight="1" x14ac:dyDescent="0.6">
      <c r="B22" s="454"/>
      <c r="C22" s="458"/>
      <c r="D22" s="3"/>
      <c r="E22" s="8"/>
      <c r="F22" s="459"/>
      <c r="G22" s="460"/>
      <c r="H22" s="459"/>
      <c r="I22" s="460"/>
      <c r="J22" s="459"/>
      <c r="K22" s="460"/>
      <c r="L22" s="459"/>
      <c r="M22" s="460"/>
      <c r="N22" s="459"/>
      <c r="O22" s="460"/>
      <c r="P22" s="459"/>
      <c r="Q22" s="460"/>
      <c r="R22" s="459"/>
      <c r="S22" s="460"/>
      <c r="T22" s="459"/>
      <c r="U22" s="460"/>
      <c r="V22" s="459"/>
      <c r="W22" s="460"/>
      <c r="X22" s="459"/>
      <c r="Y22" s="460"/>
      <c r="Z22" s="459"/>
      <c r="AA22" s="460"/>
      <c r="AB22" s="459"/>
      <c r="AC22" s="460"/>
      <c r="AD22" s="459"/>
      <c r="AE22" s="460"/>
      <c r="AF22" s="459"/>
      <c r="AG22" s="460"/>
      <c r="AH22" s="459"/>
      <c r="AI22" s="460"/>
      <c r="AJ22" s="459"/>
      <c r="AK22" s="460"/>
      <c r="AL22" s="459"/>
      <c r="AM22" s="460"/>
      <c r="AN22" s="459"/>
      <c r="AO22" s="460"/>
      <c r="AP22" s="459"/>
      <c r="AQ22" s="460"/>
      <c r="AR22" s="459"/>
      <c r="AS22" s="460"/>
      <c r="AT22" s="94"/>
    </row>
    <row r="23" spans="2:46" ht="18" customHeight="1" x14ac:dyDescent="0.6">
      <c r="B23" s="454"/>
      <c r="C23" s="458"/>
      <c r="D23" s="3"/>
      <c r="E23" s="8"/>
      <c r="F23" s="459"/>
      <c r="G23" s="460"/>
      <c r="H23" s="459"/>
      <c r="I23" s="460"/>
      <c r="J23" s="459"/>
      <c r="K23" s="460"/>
      <c r="L23" s="459"/>
      <c r="M23" s="460"/>
      <c r="N23" s="459"/>
      <c r="O23" s="460"/>
      <c r="P23" s="459"/>
      <c r="Q23" s="460"/>
      <c r="R23" s="459"/>
      <c r="S23" s="460"/>
      <c r="T23" s="459"/>
      <c r="U23" s="460"/>
      <c r="V23" s="459"/>
      <c r="W23" s="460"/>
      <c r="X23" s="459"/>
      <c r="Y23" s="460"/>
      <c r="Z23" s="459"/>
      <c r="AA23" s="460"/>
      <c r="AB23" s="459"/>
      <c r="AC23" s="460"/>
      <c r="AD23" s="459"/>
      <c r="AE23" s="460"/>
      <c r="AF23" s="459"/>
      <c r="AG23" s="460"/>
      <c r="AH23" s="459"/>
      <c r="AI23" s="460"/>
      <c r="AJ23" s="459"/>
      <c r="AK23" s="460"/>
      <c r="AL23" s="459"/>
      <c r="AM23" s="460"/>
      <c r="AN23" s="459"/>
      <c r="AO23" s="460"/>
      <c r="AP23" s="459"/>
      <c r="AQ23" s="460"/>
      <c r="AR23" s="459"/>
      <c r="AS23" s="460"/>
      <c r="AT23" s="94"/>
    </row>
    <row r="24" spans="2:46" ht="18" customHeight="1" x14ac:dyDescent="0.6">
      <c r="B24" s="454"/>
      <c r="C24" s="458"/>
      <c r="D24" s="7"/>
      <c r="E24" s="8"/>
      <c r="F24" s="459"/>
      <c r="G24" s="460"/>
      <c r="H24" s="459"/>
      <c r="I24" s="460"/>
      <c r="J24" s="459"/>
      <c r="K24" s="460"/>
      <c r="L24" s="459"/>
      <c r="M24" s="460"/>
      <c r="N24" s="459"/>
      <c r="O24" s="460"/>
      <c r="P24" s="459"/>
      <c r="Q24" s="460"/>
      <c r="R24" s="459"/>
      <c r="S24" s="460"/>
      <c r="T24" s="459"/>
      <c r="U24" s="460"/>
      <c r="V24" s="459"/>
      <c r="W24" s="460"/>
      <c r="X24" s="459"/>
      <c r="Y24" s="460"/>
      <c r="Z24" s="459"/>
      <c r="AA24" s="460"/>
      <c r="AB24" s="459"/>
      <c r="AC24" s="460"/>
      <c r="AD24" s="459"/>
      <c r="AE24" s="460"/>
      <c r="AF24" s="459"/>
      <c r="AG24" s="460"/>
      <c r="AH24" s="459"/>
      <c r="AI24" s="460"/>
      <c r="AJ24" s="459"/>
      <c r="AK24" s="460"/>
      <c r="AL24" s="459"/>
      <c r="AM24" s="460"/>
      <c r="AN24" s="459"/>
      <c r="AO24" s="460"/>
      <c r="AP24" s="459"/>
      <c r="AQ24" s="460"/>
      <c r="AR24" s="459"/>
      <c r="AS24" s="460"/>
      <c r="AT24" s="94"/>
    </row>
    <row r="25" spans="2:46" ht="18" customHeight="1" x14ac:dyDescent="0.6">
      <c r="B25" s="454"/>
      <c r="C25" s="458">
        <f>'Plot Data'!P63</f>
        <v>26.472000000000005</v>
      </c>
      <c r="D25" s="13"/>
      <c r="E25" s="8"/>
      <c r="F25" s="459"/>
      <c r="G25" s="460"/>
      <c r="H25" s="459"/>
      <c r="I25" s="460"/>
      <c r="J25" s="459"/>
      <c r="K25" s="460"/>
      <c r="L25" s="459"/>
      <c r="M25" s="460"/>
      <c r="N25" s="459"/>
      <c r="O25" s="460"/>
      <c r="P25" s="459"/>
      <c r="Q25" s="460"/>
      <c r="R25" s="459"/>
      <c r="S25" s="460"/>
      <c r="T25" s="459"/>
      <c r="U25" s="460"/>
      <c r="V25" s="459"/>
      <c r="W25" s="460"/>
      <c r="X25" s="459"/>
      <c r="Y25" s="460"/>
      <c r="Z25" s="459"/>
      <c r="AA25" s="460"/>
      <c r="AB25" s="459"/>
      <c r="AC25" s="460"/>
      <c r="AD25" s="459"/>
      <c r="AE25" s="460"/>
      <c r="AF25" s="459"/>
      <c r="AG25" s="460"/>
      <c r="AH25" s="459"/>
      <c r="AI25" s="460"/>
      <c r="AJ25" s="459"/>
      <c r="AK25" s="460"/>
      <c r="AL25" s="459"/>
      <c r="AM25" s="460"/>
      <c r="AN25" s="459"/>
      <c r="AO25" s="460"/>
      <c r="AP25" s="459"/>
      <c r="AQ25" s="460"/>
      <c r="AR25" s="459"/>
      <c r="AS25" s="460"/>
      <c r="AT25" s="94"/>
    </row>
    <row r="26" spans="2:46" ht="18" customHeight="1" x14ac:dyDescent="0.6">
      <c r="B26" s="454"/>
      <c r="C26" s="458"/>
      <c r="D26" s="7"/>
      <c r="E26" s="8"/>
      <c r="F26" s="459"/>
      <c r="G26" s="460"/>
      <c r="H26" s="459"/>
      <c r="I26" s="460"/>
      <c r="J26" s="459"/>
      <c r="K26" s="460"/>
      <c r="L26" s="459"/>
      <c r="M26" s="460"/>
      <c r="N26" s="459"/>
      <c r="O26" s="460"/>
      <c r="P26" s="459"/>
      <c r="Q26" s="460"/>
      <c r="R26" s="459"/>
      <c r="S26" s="460"/>
      <c r="T26" s="459"/>
      <c r="U26" s="460"/>
      <c r="V26" s="459"/>
      <c r="W26" s="460"/>
      <c r="X26" s="459"/>
      <c r="Y26" s="460"/>
      <c r="Z26" s="459"/>
      <c r="AA26" s="460"/>
      <c r="AB26" s="459"/>
      <c r="AC26" s="460"/>
      <c r="AD26" s="459"/>
      <c r="AE26" s="460"/>
      <c r="AF26" s="459"/>
      <c r="AG26" s="460"/>
      <c r="AH26" s="459"/>
      <c r="AI26" s="460"/>
      <c r="AJ26" s="459"/>
      <c r="AK26" s="460"/>
      <c r="AL26" s="459"/>
      <c r="AM26" s="460"/>
      <c r="AN26" s="459"/>
      <c r="AO26" s="460"/>
      <c r="AP26" s="459"/>
      <c r="AQ26" s="460"/>
      <c r="AR26" s="459"/>
      <c r="AS26" s="460"/>
      <c r="AT26" s="94"/>
    </row>
    <row r="27" spans="2:46" ht="18" customHeight="1" x14ac:dyDescent="0.6">
      <c r="B27" s="454"/>
      <c r="C27" s="458">
        <f>C31+(C25-C31)/2</f>
        <v>26.452000000000005</v>
      </c>
      <c r="D27" s="13"/>
      <c r="E27" s="8"/>
      <c r="F27" s="459"/>
      <c r="G27" s="460"/>
      <c r="H27" s="459"/>
      <c r="I27" s="460"/>
      <c r="J27" s="459"/>
      <c r="K27" s="460"/>
      <c r="L27" s="459"/>
      <c r="M27" s="460"/>
      <c r="N27" s="459"/>
      <c r="O27" s="460"/>
      <c r="P27" s="459"/>
      <c r="Q27" s="460"/>
      <c r="R27" s="459"/>
      <c r="S27" s="460"/>
      <c r="T27" s="459"/>
      <c r="U27" s="460"/>
      <c r="V27" s="459"/>
      <c r="W27" s="460"/>
      <c r="X27" s="459"/>
      <c r="Y27" s="460"/>
      <c r="Z27" s="459"/>
      <c r="AA27" s="460"/>
      <c r="AB27" s="459"/>
      <c r="AC27" s="460"/>
      <c r="AD27" s="459"/>
      <c r="AE27" s="460"/>
      <c r="AF27" s="459"/>
      <c r="AG27" s="460"/>
      <c r="AH27" s="459"/>
      <c r="AI27" s="460"/>
      <c r="AJ27" s="459"/>
      <c r="AK27" s="460"/>
      <c r="AL27" s="459"/>
      <c r="AM27" s="460"/>
      <c r="AN27" s="459"/>
      <c r="AO27" s="460"/>
      <c r="AP27" s="459"/>
      <c r="AQ27" s="460"/>
      <c r="AR27" s="459"/>
      <c r="AS27" s="460"/>
      <c r="AT27" s="94"/>
    </row>
    <row r="28" spans="2:46" ht="18" customHeight="1" x14ac:dyDescent="0.6">
      <c r="B28" s="454"/>
      <c r="C28" s="458"/>
      <c r="D28" s="3"/>
      <c r="E28" s="8"/>
      <c r="F28" s="459"/>
      <c r="G28" s="460"/>
      <c r="H28" s="459"/>
      <c r="I28" s="460"/>
      <c r="J28" s="459"/>
      <c r="K28" s="460"/>
      <c r="L28" s="459"/>
      <c r="M28" s="460"/>
      <c r="N28" s="459"/>
      <c r="O28" s="460"/>
      <c r="P28" s="459"/>
      <c r="Q28" s="460"/>
      <c r="R28" s="459"/>
      <c r="S28" s="460"/>
      <c r="T28" s="459"/>
      <c r="U28" s="460"/>
      <c r="V28" s="459"/>
      <c r="W28" s="460"/>
      <c r="X28" s="459"/>
      <c r="Y28" s="460"/>
      <c r="Z28" s="459"/>
      <c r="AA28" s="460"/>
      <c r="AB28" s="459"/>
      <c r="AC28" s="460"/>
      <c r="AD28" s="459"/>
      <c r="AE28" s="460"/>
      <c r="AF28" s="459"/>
      <c r="AG28" s="460"/>
      <c r="AH28" s="459"/>
      <c r="AI28" s="460"/>
      <c r="AJ28" s="459"/>
      <c r="AK28" s="460"/>
      <c r="AL28" s="459"/>
      <c r="AM28" s="460"/>
      <c r="AN28" s="459"/>
      <c r="AO28" s="460"/>
      <c r="AP28" s="459"/>
      <c r="AQ28" s="460"/>
      <c r="AR28" s="459"/>
      <c r="AS28" s="460"/>
      <c r="AT28" s="94"/>
    </row>
    <row r="29" spans="2:46" ht="18" customHeight="1" x14ac:dyDescent="0.6">
      <c r="B29" s="454"/>
      <c r="C29" s="458"/>
      <c r="D29" s="3"/>
      <c r="E29" s="8"/>
      <c r="F29" s="459"/>
      <c r="G29" s="460"/>
      <c r="H29" s="459"/>
      <c r="I29" s="460"/>
      <c r="J29" s="459"/>
      <c r="K29" s="460"/>
      <c r="L29" s="459"/>
      <c r="M29" s="460"/>
      <c r="N29" s="459"/>
      <c r="O29" s="460"/>
      <c r="P29" s="459"/>
      <c r="Q29" s="460"/>
      <c r="R29" s="459"/>
      <c r="S29" s="460"/>
      <c r="T29" s="459"/>
      <c r="U29" s="460"/>
      <c r="V29" s="459"/>
      <c r="W29" s="460"/>
      <c r="X29" s="459"/>
      <c r="Y29" s="460"/>
      <c r="Z29" s="459"/>
      <c r="AA29" s="460"/>
      <c r="AB29" s="459"/>
      <c r="AC29" s="460"/>
      <c r="AD29" s="459"/>
      <c r="AE29" s="460"/>
      <c r="AF29" s="459"/>
      <c r="AG29" s="460"/>
      <c r="AH29" s="459"/>
      <c r="AI29" s="460"/>
      <c r="AJ29" s="459"/>
      <c r="AK29" s="460"/>
      <c r="AL29" s="459"/>
      <c r="AM29" s="460"/>
      <c r="AN29" s="459"/>
      <c r="AO29" s="460"/>
      <c r="AP29" s="459"/>
      <c r="AQ29" s="460"/>
      <c r="AR29" s="459"/>
      <c r="AS29" s="460"/>
      <c r="AT29" s="94"/>
    </row>
    <row r="30" spans="2:46" ht="18" customHeight="1" x14ac:dyDescent="0.6">
      <c r="B30" s="454"/>
      <c r="C30" s="458"/>
      <c r="D30" s="7"/>
      <c r="E30" s="8"/>
      <c r="F30" s="459"/>
      <c r="G30" s="460"/>
      <c r="H30" s="459"/>
      <c r="I30" s="460"/>
      <c r="J30" s="459"/>
      <c r="K30" s="460"/>
      <c r="L30" s="459"/>
      <c r="M30" s="460"/>
      <c r="N30" s="459"/>
      <c r="O30" s="460"/>
      <c r="P30" s="459"/>
      <c r="Q30" s="460"/>
      <c r="R30" s="459"/>
      <c r="S30" s="460"/>
      <c r="T30" s="459"/>
      <c r="U30" s="460"/>
      <c r="V30" s="459"/>
      <c r="W30" s="460"/>
      <c r="X30" s="459"/>
      <c r="Y30" s="460"/>
      <c r="Z30" s="459"/>
      <c r="AA30" s="460"/>
      <c r="AB30" s="459"/>
      <c r="AC30" s="460"/>
      <c r="AD30" s="459"/>
      <c r="AE30" s="460"/>
      <c r="AF30" s="459"/>
      <c r="AG30" s="460"/>
      <c r="AH30" s="459"/>
      <c r="AI30" s="460"/>
      <c r="AJ30" s="459"/>
      <c r="AK30" s="460"/>
      <c r="AL30" s="459"/>
      <c r="AM30" s="460"/>
      <c r="AN30" s="459"/>
      <c r="AO30" s="460"/>
      <c r="AP30" s="459"/>
      <c r="AQ30" s="460"/>
      <c r="AR30" s="459"/>
      <c r="AS30" s="460"/>
      <c r="AT30" s="94"/>
    </row>
    <row r="31" spans="2:46" ht="18" customHeight="1" thickBot="1" x14ac:dyDescent="0.35">
      <c r="B31" s="454"/>
      <c r="C31" s="458">
        <f>'Plot Data'!P58</f>
        <v>26.432000000000006</v>
      </c>
      <c r="D31" s="14"/>
      <c r="E31" s="15"/>
      <c r="F31" s="465"/>
      <c r="G31" s="466"/>
      <c r="H31" s="465"/>
      <c r="I31" s="466"/>
      <c r="J31" s="465"/>
      <c r="K31" s="466"/>
      <c r="L31" s="465"/>
      <c r="M31" s="466"/>
      <c r="N31" s="465"/>
      <c r="O31" s="466"/>
      <c r="P31" s="465"/>
      <c r="Q31" s="466"/>
      <c r="R31" s="465"/>
      <c r="S31" s="466"/>
      <c r="T31" s="465"/>
      <c r="U31" s="466"/>
      <c r="V31" s="465"/>
      <c r="W31" s="466"/>
      <c r="X31" s="465"/>
      <c r="Y31" s="466"/>
      <c r="Z31" s="465"/>
      <c r="AA31" s="466"/>
      <c r="AB31" s="465"/>
      <c r="AC31" s="466"/>
      <c r="AD31" s="465"/>
      <c r="AE31" s="466"/>
      <c r="AF31" s="465"/>
      <c r="AG31" s="466"/>
      <c r="AH31" s="465"/>
      <c r="AI31" s="466"/>
      <c r="AJ31" s="465"/>
      <c r="AK31" s="466"/>
      <c r="AL31" s="465"/>
      <c r="AM31" s="466"/>
      <c r="AN31" s="465"/>
      <c r="AO31" s="466"/>
      <c r="AP31" s="465"/>
      <c r="AQ31" s="466"/>
      <c r="AR31" s="465"/>
      <c r="AS31" s="466"/>
      <c r="AT31" s="469" t="s">
        <v>90</v>
      </c>
    </row>
    <row r="32" spans="2:46" ht="18" customHeight="1" x14ac:dyDescent="0.3">
      <c r="B32" s="454"/>
      <c r="C32" s="458"/>
      <c r="D32" s="16"/>
      <c r="E32" s="17"/>
      <c r="F32" s="467"/>
      <c r="G32" s="468"/>
      <c r="H32" s="467"/>
      <c r="I32" s="468"/>
      <c r="J32" s="467"/>
      <c r="K32" s="468"/>
      <c r="L32" s="467"/>
      <c r="M32" s="468"/>
      <c r="N32" s="467"/>
      <c r="O32" s="468"/>
      <c r="P32" s="467"/>
      <c r="Q32" s="468"/>
      <c r="R32" s="467"/>
      <c r="S32" s="468"/>
      <c r="T32" s="467"/>
      <c r="U32" s="468"/>
      <c r="V32" s="467"/>
      <c r="W32" s="468"/>
      <c r="X32" s="467"/>
      <c r="Y32" s="468"/>
      <c r="Z32" s="467"/>
      <c r="AA32" s="468"/>
      <c r="AB32" s="467"/>
      <c r="AC32" s="468"/>
      <c r="AD32" s="467"/>
      <c r="AE32" s="468"/>
      <c r="AF32" s="467"/>
      <c r="AG32" s="468"/>
      <c r="AH32" s="467"/>
      <c r="AI32" s="468"/>
      <c r="AJ32" s="467"/>
      <c r="AK32" s="468"/>
      <c r="AL32" s="467"/>
      <c r="AM32" s="468"/>
      <c r="AN32" s="467"/>
      <c r="AO32" s="468"/>
      <c r="AP32" s="467"/>
      <c r="AQ32" s="468"/>
      <c r="AR32" s="467"/>
      <c r="AS32" s="468"/>
      <c r="AT32" s="464"/>
    </row>
    <row r="33" spans="2:46" ht="18" customHeight="1" x14ac:dyDescent="0.6">
      <c r="B33" s="454"/>
      <c r="C33" s="458">
        <f>C37+(C31-C37)/2</f>
        <v>26.412000000000006</v>
      </c>
      <c r="D33" s="13"/>
      <c r="E33" s="8"/>
      <c r="F33" s="459"/>
      <c r="G33" s="460"/>
      <c r="H33" s="459"/>
      <c r="I33" s="460"/>
      <c r="J33" s="459"/>
      <c r="K33" s="460"/>
      <c r="L33" s="459"/>
      <c r="M33" s="460"/>
      <c r="N33" s="459"/>
      <c r="O33" s="460"/>
      <c r="P33" s="459"/>
      <c r="Q33" s="460"/>
      <c r="R33" s="459"/>
      <c r="S33" s="460"/>
      <c r="T33" s="459"/>
      <c r="U33" s="460"/>
      <c r="V33" s="459"/>
      <c r="W33" s="460"/>
      <c r="X33" s="459"/>
      <c r="Y33" s="460"/>
      <c r="Z33" s="459"/>
      <c r="AA33" s="460"/>
      <c r="AB33" s="459"/>
      <c r="AC33" s="460"/>
      <c r="AD33" s="459"/>
      <c r="AE33" s="460"/>
      <c r="AF33" s="459"/>
      <c r="AG33" s="460"/>
      <c r="AH33" s="459"/>
      <c r="AI33" s="460"/>
      <c r="AJ33" s="459"/>
      <c r="AK33" s="460"/>
      <c r="AL33" s="459"/>
      <c r="AM33" s="460"/>
      <c r="AN33" s="459"/>
      <c r="AO33" s="460"/>
      <c r="AP33" s="459"/>
      <c r="AQ33" s="460"/>
      <c r="AR33" s="459"/>
      <c r="AS33" s="460"/>
      <c r="AT33" s="94"/>
    </row>
    <row r="34" spans="2:46" ht="18" customHeight="1" x14ac:dyDescent="0.6">
      <c r="B34" s="454"/>
      <c r="C34" s="458"/>
      <c r="D34" s="13"/>
      <c r="E34" s="8"/>
      <c r="F34" s="459"/>
      <c r="G34" s="460"/>
      <c r="H34" s="459"/>
      <c r="I34" s="460"/>
      <c r="J34" s="459"/>
      <c r="K34" s="460"/>
      <c r="L34" s="459"/>
      <c r="M34" s="460"/>
      <c r="N34" s="459"/>
      <c r="O34" s="460"/>
      <c r="P34" s="459"/>
      <c r="Q34" s="460"/>
      <c r="R34" s="459"/>
      <c r="S34" s="460"/>
      <c r="T34" s="459"/>
      <c r="U34" s="460"/>
      <c r="V34" s="459"/>
      <c r="W34" s="460"/>
      <c r="X34" s="459"/>
      <c r="Y34" s="460"/>
      <c r="Z34" s="459"/>
      <c r="AA34" s="460"/>
      <c r="AB34" s="459"/>
      <c r="AC34" s="460"/>
      <c r="AD34" s="459"/>
      <c r="AE34" s="460"/>
      <c r="AF34" s="459"/>
      <c r="AG34" s="460"/>
      <c r="AH34" s="459"/>
      <c r="AI34" s="460"/>
      <c r="AJ34" s="459"/>
      <c r="AK34" s="460"/>
      <c r="AL34" s="459"/>
      <c r="AM34" s="460"/>
      <c r="AN34" s="459"/>
      <c r="AO34" s="460"/>
      <c r="AP34" s="459"/>
      <c r="AQ34" s="460"/>
      <c r="AR34" s="459"/>
      <c r="AS34" s="460"/>
      <c r="AT34" s="94"/>
    </row>
    <row r="35" spans="2:46" ht="18" customHeight="1" x14ac:dyDescent="0.6">
      <c r="B35" s="454"/>
      <c r="C35" s="458"/>
      <c r="D35" s="13"/>
      <c r="E35" s="8"/>
      <c r="F35" s="459"/>
      <c r="G35" s="460"/>
      <c r="H35" s="459"/>
      <c r="I35" s="460"/>
      <c r="J35" s="459"/>
      <c r="K35" s="460"/>
      <c r="L35" s="459"/>
      <c r="M35" s="460"/>
      <c r="N35" s="459"/>
      <c r="O35" s="460"/>
      <c r="P35" s="459"/>
      <c r="Q35" s="460"/>
      <c r="R35" s="459"/>
      <c r="S35" s="460"/>
      <c r="T35" s="459"/>
      <c r="U35" s="460"/>
      <c r="V35" s="459"/>
      <c r="W35" s="460"/>
      <c r="X35" s="459"/>
      <c r="Y35" s="460"/>
      <c r="Z35" s="459"/>
      <c r="AA35" s="460"/>
      <c r="AB35" s="459"/>
      <c r="AC35" s="460"/>
      <c r="AD35" s="459"/>
      <c r="AE35" s="460"/>
      <c r="AF35" s="459"/>
      <c r="AG35" s="460"/>
      <c r="AH35" s="459"/>
      <c r="AI35" s="460"/>
      <c r="AJ35" s="459"/>
      <c r="AK35" s="460"/>
      <c r="AL35" s="459"/>
      <c r="AM35" s="460"/>
      <c r="AN35" s="459"/>
      <c r="AO35" s="460"/>
      <c r="AP35" s="459"/>
      <c r="AQ35" s="460"/>
      <c r="AR35" s="459"/>
      <c r="AS35" s="460"/>
      <c r="AT35" s="94"/>
    </row>
    <row r="36" spans="2:46" ht="18" customHeight="1" x14ac:dyDescent="0.6">
      <c r="B36" s="454"/>
      <c r="C36" s="458"/>
      <c r="D36" s="92"/>
      <c r="E36" s="8"/>
      <c r="F36" s="459"/>
      <c r="G36" s="460"/>
      <c r="H36" s="459"/>
      <c r="I36" s="460"/>
      <c r="J36" s="459"/>
      <c r="K36" s="460"/>
      <c r="L36" s="459"/>
      <c r="M36" s="460"/>
      <c r="N36" s="459"/>
      <c r="O36" s="460"/>
      <c r="P36" s="459"/>
      <c r="Q36" s="460"/>
      <c r="R36" s="459"/>
      <c r="S36" s="460"/>
      <c r="T36" s="459"/>
      <c r="U36" s="460"/>
      <c r="V36" s="459"/>
      <c r="W36" s="460"/>
      <c r="X36" s="459"/>
      <c r="Y36" s="460"/>
      <c r="Z36" s="459"/>
      <c r="AA36" s="460"/>
      <c r="AB36" s="459"/>
      <c r="AC36" s="460"/>
      <c r="AD36" s="459"/>
      <c r="AE36" s="460"/>
      <c r="AF36" s="459"/>
      <c r="AG36" s="460"/>
      <c r="AH36" s="459"/>
      <c r="AI36" s="460"/>
      <c r="AJ36" s="459"/>
      <c r="AK36" s="460"/>
      <c r="AL36" s="459"/>
      <c r="AM36" s="460"/>
      <c r="AN36" s="459"/>
      <c r="AO36" s="460"/>
      <c r="AP36" s="459"/>
      <c r="AQ36" s="460"/>
      <c r="AR36" s="459"/>
      <c r="AS36" s="460"/>
      <c r="AT36" s="94"/>
    </row>
    <row r="37" spans="2:46" ht="18" customHeight="1" x14ac:dyDescent="0.6">
      <c r="B37" s="454"/>
      <c r="C37" s="458">
        <f>'Plot Data'!P66</f>
        <v>26.392000000000007</v>
      </c>
      <c r="D37" s="13"/>
      <c r="E37" s="8"/>
      <c r="F37" s="470"/>
      <c r="G37" s="471"/>
      <c r="H37" s="459"/>
      <c r="I37" s="460"/>
      <c r="J37" s="459"/>
      <c r="K37" s="460"/>
      <c r="L37" s="459"/>
      <c r="M37" s="460"/>
      <c r="N37" s="459"/>
      <c r="O37" s="460"/>
      <c r="P37" s="459"/>
      <c r="Q37" s="460"/>
      <c r="R37" s="459"/>
      <c r="S37" s="460"/>
      <c r="T37" s="459"/>
      <c r="U37" s="460"/>
      <c r="V37" s="459"/>
      <c r="W37" s="460"/>
      <c r="X37" s="459"/>
      <c r="Y37" s="460"/>
      <c r="Z37" s="459"/>
      <c r="AA37" s="460"/>
      <c r="AB37" s="459"/>
      <c r="AC37" s="460"/>
      <c r="AD37" s="459"/>
      <c r="AE37" s="460"/>
      <c r="AF37" s="459"/>
      <c r="AG37" s="460"/>
      <c r="AH37" s="459"/>
      <c r="AI37" s="460"/>
      <c r="AJ37" s="459"/>
      <c r="AK37" s="460"/>
      <c r="AL37" s="459"/>
      <c r="AM37" s="460"/>
      <c r="AN37" s="459"/>
      <c r="AO37" s="460"/>
      <c r="AP37" s="459"/>
      <c r="AQ37" s="460"/>
      <c r="AR37" s="459"/>
      <c r="AS37" s="460"/>
      <c r="AT37" s="94"/>
    </row>
    <row r="38" spans="2:46" ht="18" customHeight="1" x14ac:dyDescent="0.6">
      <c r="B38" s="454"/>
      <c r="C38" s="458"/>
      <c r="D38" s="7"/>
      <c r="E38" s="8"/>
      <c r="F38" s="459"/>
      <c r="G38" s="460"/>
      <c r="H38" s="459"/>
      <c r="I38" s="460"/>
      <c r="J38" s="459"/>
      <c r="K38" s="460"/>
      <c r="L38" s="459"/>
      <c r="M38" s="460"/>
      <c r="N38" s="459"/>
      <c r="O38" s="460"/>
      <c r="P38" s="459"/>
      <c r="Q38" s="460"/>
      <c r="R38" s="459"/>
      <c r="S38" s="460"/>
      <c r="T38" s="459"/>
      <c r="U38" s="460"/>
      <c r="V38" s="459"/>
      <c r="W38" s="460"/>
      <c r="X38" s="459"/>
      <c r="Y38" s="460"/>
      <c r="Z38" s="459"/>
      <c r="AA38" s="460"/>
      <c r="AB38" s="459"/>
      <c r="AC38" s="460"/>
      <c r="AD38" s="459"/>
      <c r="AE38" s="460"/>
      <c r="AF38" s="459"/>
      <c r="AG38" s="460"/>
      <c r="AH38" s="459"/>
      <c r="AI38" s="460"/>
      <c r="AJ38" s="459"/>
      <c r="AK38" s="460"/>
      <c r="AL38" s="459"/>
      <c r="AM38" s="460"/>
      <c r="AN38" s="459"/>
      <c r="AO38" s="460"/>
      <c r="AP38" s="459"/>
      <c r="AQ38" s="460"/>
      <c r="AR38" s="459"/>
      <c r="AS38" s="460"/>
      <c r="AT38" s="94"/>
    </row>
    <row r="39" spans="2:46" ht="18" customHeight="1" x14ac:dyDescent="0.6">
      <c r="B39" s="454"/>
      <c r="C39" s="458">
        <f>C43+(C37-C43)/2</f>
        <v>26.372000000000007</v>
      </c>
      <c r="D39" s="13"/>
      <c r="E39" s="8"/>
      <c r="F39" s="459"/>
      <c r="G39" s="460"/>
      <c r="H39" s="459"/>
      <c r="I39" s="460"/>
      <c r="J39" s="459"/>
      <c r="K39" s="460"/>
      <c r="L39" s="459"/>
      <c r="M39" s="460"/>
      <c r="N39" s="459"/>
      <c r="O39" s="460"/>
      <c r="P39" s="459"/>
      <c r="Q39" s="460"/>
      <c r="R39" s="459"/>
      <c r="S39" s="460"/>
      <c r="T39" s="459"/>
      <c r="U39" s="460"/>
      <c r="V39" s="459"/>
      <c r="W39" s="460"/>
      <c r="X39" s="459"/>
      <c r="Y39" s="460"/>
      <c r="Z39" s="459"/>
      <c r="AA39" s="460"/>
      <c r="AB39" s="459"/>
      <c r="AC39" s="460"/>
      <c r="AD39" s="459"/>
      <c r="AE39" s="460"/>
      <c r="AF39" s="459"/>
      <c r="AG39" s="460"/>
      <c r="AH39" s="459"/>
      <c r="AI39" s="460"/>
      <c r="AJ39" s="459"/>
      <c r="AK39" s="460"/>
      <c r="AL39" s="459"/>
      <c r="AM39" s="460"/>
      <c r="AN39" s="459"/>
      <c r="AO39" s="460"/>
      <c r="AP39" s="459"/>
      <c r="AQ39" s="460"/>
      <c r="AR39" s="459"/>
      <c r="AS39" s="460"/>
      <c r="AT39" s="94"/>
    </row>
    <row r="40" spans="2:46" ht="18" customHeight="1" x14ac:dyDescent="0.6">
      <c r="B40" s="454"/>
      <c r="C40" s="458"/>
      <c r="D40" s="3"/>
      <c r="E40" s="8"/>
      <c r="F40" s="459"/>
      <c r="G40" s="460"/>
      <c r="H40" s="459"/>
      <c r="I40" s="460"/>
      <c r="J40" s="459"/>
      <c r="K40" s="460"/>
      <c r="L40" s="459"/>
      <c r="M40" s="460"/>
      <c r="N40" s="459"/>
      <c r="O40" s="460"/>
      <c r="P40" s="459"/>
      <c r="Q40" s="460"/>
      <c r="R40" s="459"/>
      <c r="S40" s="460"/>
      <c r="T40" s="459"/>
      <c r="U40" s="460"/>
      <c r="V40" s="459"/>
      <c r="W40" s="460"/>
      <c r="X40" s="459"/>
      <c r="Y40" s="460"/>
      <c r="Z40" s="459"/>
      <c r="AA40" s="460"/>
      <c r="AB40" s="459"/>
      <c r="AC40" s="460"/>
      <c r="AD40" s="459"/>
      <c r="AE40" s="460"/>
      <c r="AF40" s="459"/>
      <c r="AG40" s="460"/>
      <c r="AH40" s="459"/>
      <c r="AI40" s="460"/>
      <c r="AJ40" s="459"/>
      <c r="AK40" s="460"/>
      <c r="AL40" s="459"/>
      <c r="AM40" s="460"/>
      <c r="AN40" s="459"/>
      <c r="AO40" s="460"/>
      <c r="AP40" s="459"/>
      <c r="AQ40" s="460"/>
      <c r="AR40" s="459"/>
      <c r="AS40" s="460"/>
      <c r="AT40" s="94"/>
    </row>
    <row r="41" spans="2:46" ht="18" customHeight="1" x14ac:dyDescent="0.6">
      <c r="B41" s="454"/>
      <c r="C41" s="458"/>
      <c r="D41" s="3"/>
      <c r="E41" s="8"/>
      <c r="F41" s="459"/>
      <c r="G41" s="460"/>
      <c r="H41" s="459"/>
      <c r="I41" s="460"/>
      <c r="J41" s="459"/>
      <c r="K41" s="460"/>
      <c r="L41" s="459"/>
      <c r="M41" s="460"/>
      <c r="N41" s="459"/>
      <c r="O41" s="460"/>
      <c r="P41" s="459"/>
      <c r="Q41" s="460"/>
      <c r="R41" s="459"/>
      <c r="S41" s="460"/>
      <c r="T41" s="459"/>
      <c r="U41" s="460"/>
      <c r="V41" s="459"/>
      <c r="W41" s="460"/>
      <c r="X41" s="459"/>
      <c r="Y41" s="460"/>
      <c r="Z41" s="459"/>
      <c r="AA41" s="460"/>
      <c r="AB41" s="459"/>
      <c r="AC41" s="460"/>
      <c r="AD41" s="459"/>
      <c r="AE41" s="460"/>
      <c r="AF41" s="459"/>
      <c r="AG41" s="460"/>
      <c r="AH41" s="459"/>
      <c r="AI41" s="460"/>
      <c r="AJ41" s="459"/>
      <c r="AK41" s="460"/>
      <c r="AL41" s="459"/>
      <c r="AM41" s="460"/>
      <c r="AN41" s="459"/>
      <c r="AO41" s="460"/>
      <c r="AP41" s="459"/>
      <c r="AQ41" s="460"/>
      <c r="AR41" s="459"/>
      <c r="AS41" s="460"/>
      <c r="AT41" s="94"/>
    </row>
    <row r="42" spans="2:46" ht="18" customHeight="1" x14ac:dyDescent="0.6">
      <c r="B42" s="454"/>
      <c r="C42" s="458"/>
      <c r="D42" s="7"/>
      <c r="E42" s="8"/>
      <c r="F42" s="459"/>
      <c r="G42" s="460"/>
      <c r="H42" s="459"/>
      <c r="I42" s="460"/>
      <c r="J42" s="459"/>
      <c r="K42" s="460"/>
      <c r="L42" s="459"/>
      <c r="M42" s="460"/>
      <c r="N42" s="459"/>
      <c r="O42" s="460"/>
      <c r="P42" s="459"/>
      <c r="Q42" s="460"/>
      <c r="R42" s="459"/>
      <c r="S42" s="460"/>
      <c r="T42" s="459"/>
      <c r="U42" s="460"/>
      <c r="V42" s="459"/>
      <c r="W42" s="460"/>
      <c r="X42" s="459"/>
      <c r="Y42" s="460"/>
      <c r="Z42" s="459"/>
      <c r="AA42" s="460"/>
      <c r="AB42" s="459"/>
      <c r="AC42" s="460"/>
      <c r="AD42" s="459"/>
      <c r="AE42" s="460"/>
      <c r="AF42" s="459"/>
      <c r="AG42" s="460"/>
      <c r="AH42" s="459"/>
      <c r="AI42" s="460"/>
      <c r="AJ42" s="459"/>
      <c r="AK42" s="460"/>
      <c r="AL42" s="459"/>
      <c r="AM42" s="460"/>
      <c r="AN42" s="459"/>
      <c r="AO42" s="460"/>
      <c r="AP42" s="459"/>
      <c r="AQ42" s="460"/>
      <c r="AR42" s="459"/>
      <c r="AS42" s="460"/>
      <c r="AT42" s="94"/>
    </row>
    <row r="43" spans="2:46" ht="18" customHeight="1" thickBot="1" x14ac:dyDescent="0.35">
      <c r="B43" s="454"/>
      <c r="C43" s="458">
        <f>'Plot Data'!P65</f>
        <v>26.352000000000007</v>
      </c>
      <c r="D43" s="9"/>
      <c r="E43" s="10"/>
      <c r="F43" s="11"/>
      <c r="G43" s="12"/>
      <c r="H43" s="11"/>
      <c r="I43" s="12"/>
      <c r="J43" s="11"/>
      <c r="K43" s="12"/>
      <c r="L43" s="11"/>
      <c r="M43" s="12"/>
      <c r="N43" s="11"/>
      <c r="O43" s="12"/>
      <c r="P43" s="11"/>
      <c r="Q43" s="12"/>
      <c r="R43" s="11"/>
      <c r="S43" s="12"/>
      <c r="T43" s="11"/>
      <c r="U43" s="12"/>
      <c r="V43" s="11"/>
      <c r="W43" s="12"/>
      <c r="X43" s="11"/>
      <c r="Y43" s="12"/>
      <c r="Z43" s="11"/>
      <c r="AA43" s="12"/>
      <c r="AB43" s="11"/>
      <c r="AC43" s="12"/>
      <c r="AD43" s="11"/>
      <c r="AE43" s="12"/>
      <c r="AF43" s="11"/>
      <c r="AG43" s="12"/>
      <c r="AH43" s="11"/>
      <c r="AI43" s="12"/>
      <c r="AJ43" s="11"/>
      <c r="AK43" s="12"/>
      <c r="AL43" s="11"/>
      <c r="AM43" s="12"/>
      <c r="AN43" s="11"/>
      <c r="AO43" s="12"/>
      <c r="AP43" s="11"/>
      <c r="AQ43" s="12"/>
      <c r="AR43" s="11"/>
      <c r="AS43" s="12"/>
      <c r="AT43" s="463" t="s">
        <v>46</v>
      </c>
    </row>
    <row r="44" spans="2:46" ht="18" customHeight="1" x14ac:dyDescent="0.3">
      <c r="B44" s="454"/>
      <c r="C44" s="458"/>
      <c r="D44" s="7"/>
      <c r="E44" s="8"/>
      <c r="F44" s="459"/>
      <c r="G44" s="460"/>
      <c r="H44" s="459"/>
      <c r="I44" s="460"/>
      <c r="J44" s="459"/>
      <c r="K44" s="460"/>
      <c r="L44" s="459"/>
      <c r="M44" s="460"/>
      <c r="N44" s="459"/>
      <c r="O44" s="460"/>
      <c r="P44" s="459"/>
      <c r="Q44" s="460"/>
      <c r="R44" s="459"/>
      <c r="S44" s="460"/>
      <c r="T44" s="459"/>
      <c r="U44" s="460"/>
      <c r="V44" s="459"/>
      <c r="W44" s="460"/>
      <c r="X44" s="459"/>
      <c r="Y44" s="460"/>
      <c r="Z44" s="459"/>
      <c r="AA44" s="460"/>
      <c r="AB44" s="459"/>
      <c r="AC44" s="460"/>
      <c r="AD44" s="459"/>
      <c r="AE44" s="460"/>
      <c r="AF44" s="459"/>
      <c r="AG44" s="460"/>
      <c r="AH44" s="459"/>
      <c r="AI44" s="460"/>
      <c r="AJ44" s="459"/>
      <c r="AK44" s="460"/>
      <c r="AL44" s="459"/>
      <c r="AM44" s="460"/>
      <c r="AN44" s="459"/>
      <c r="AO44" s="460"/>
      <c r="AP44" s="459"/>
      <c r="AQ44" s="460"/>
      <c r="AR44" s="459"/>
      <c r="AS44" s="460"/>
      <c r="AT44" s="464"/>
    </row>
    <row r="45" spans="2:46" ht="18" customHeight="1" x14ac:dyDescent="0.6">
      <c r="B45" s="454"/>
      <c r="C45" s="458">
        <f>C49+(C43-C49)/2</f>
        <v>26.332000000000008</v>
      </c>
      <c r="D45" s="13"/>
      <c r="E45" s="8"/>
      <c r="F45" s="459"/>
      <c r="G45" s="460"/>
      <c r="H45" s="459"/>
      <c r="I45" s="460"/>
      <c r="J45" s="459"/>
      <c r="K45" s="460"/>
      <c r="L45" s="459"/>
      <c r="M45" s="460"/>
      <c r="N45" s="459"/>
      <c r="O45" s="460"/>
      <c r="P45" s="459"/>
      <c r="Q45" s="460"/>
      <c r="R45" s="459"/>
      <c r="S45" s="460"/>
      <c r="T45" s="459"/>
      <c r="U45" s="460"/>
      <c r="V45" s="459"/>
      <c r="W45" s="460"/>
      <c r="X45" s="459"/>
      <c r="Y45" s="460"/>
      <c r="Z45" s="459"/>
      <c r="AA45" s="460"/>
      <c r="AB45" s="459"/>
      <c r="AC45" s="460"/>
      <c r="AD45" s="459"/>
      <c r="AE45" s="460"/>
      <c r="AF45" s="459"/>
      <c r="AG45" s="460"/>
      <c r="AH45" s="459"/>
      <c r="AI45" s="460"/>
      <c r="AJ45" s="459"/>
      <c r="AK45" s="460"/>
      <c r="AL45" s="459"/>
      <c r="AM45" s="460"/>
      <c r="AN45" s="459"/>
      <c r="AO45" s="460"/>
      <c r="AP45" s="459"/>
      <c r="AQ45" s="460"/>
      <c r="AR45" s="459"/>
      <c r="AS45" s="460"/>
      <c r="AT45" s="94"/>
    </row>
    <row r="46" spans="2:46" ht="18" customHeight="1" x14ac:dyDescent="0.6">
      <c r="B46" s="454"/>
      <c r="C46" s="458"/>
      <c r="D46" s="3"/>
      <c r="E46" s="8"/>
      <c r="F46" s="459"/>
      <c r="G46" s="460"/>
      <c r="H46" s="459"/>
      <c r="I46" s="460"/>
      <c r="J46" s="459"/>
      <c r="K46" s="460"/>
      <c r="L46" s="459"/>
      <c r="M46" s="460"/>
      <c r="N46" s="459"/>
      <c r="O46" s="460"/>
      <c r="P46" s="459"/>
      <c r="Q46" s="460"/>
      <c r="R46" s="459"/>
      <c r="S46" s="460"/>
      <c r="T46" s="459"/>
      <c r="U46" s="460"/>
      <c r="V46" s="459"/>
      <c r="W46" s="460"/>
      <c r="X46" s="459"/>
      <c r="Y46" s="460"/>
      <c r="Z46" s="459"/>
      <c r="AA46" s="460"/>
      <c r="AB46" s="459"/>
      <c r="AC46" s="460"/>
      <c r="AD46" s="459"/>
      <c r="AE46" s="460"/>
      <c r="AF46" s="459"/>
      <c r="AG46" s="460"/>
      <c r="AH46" s="459"/>
      <c r="AI46" s="460"/>
      <c r="AJ46" s="459"/>
      <c r="AK46" s="460"/>
      <c r="AL46" s="459"/>
      <c r="AM46" s="460"/>
      <c r="AN46" s="459"/>
      <c r="AO46" s="460"/>
      <c r="AP46" s="459"/>
      <c r="AQ46" s="460"/>
      <c r="AR46" s="459"/>
      <c r="AS46" s="460"/>
      <c r="AT46" s="94"/>
    </row>
    <row r="47" spans="2:46" ht="18" customHeight="1" x14ac:dyDescent="0.6">
      <c r="B47" s="454"/>
      <c r="C47" s="458"/>
      <c r="D47" s="3"/>
      <c r="E47" s="8"/>
      <c r="F47" s="459"/>
      <c r="G47" s="460"/>
      <c r="H47" s="459"/>
      <c r="I47" s="460"/>
      <c r="J47" s="459"/>
      <c r="K47" s="460"/>
      <c r="L47" s="459"/>
      <c r="M47" s="460"/>
      <c r="N47" s="459"/>
      <c r="O47" s="460"/>
      <c r="P47" s="459"/>
      <c r="Q47" s="460"/>
      <c r="R47" s="459"/>
      <c r="S47" s="460"/>
      <c r="T47" s="459"/>
      <c r="U47" s="460"/>
      <c r="V47" s="459"/>
      <c r="W47" s="460"/>
      <c r="X47" s="459"/>
      <c r="Y47" s="460"/>
      <c r="Z47" s="459"/>
      <c r="AA47" s="460"/>
      <c r="AB47" s="459"/>
      <c r="AC47" s="460"/>
      <c r="AD47" s="459"/>
      <c r="AE47" s="460"/>
      <c r="AF47" s="459"/>
      <c r="AG47" s="460"/>
      <c r="AH47" s="459"/>
      <c r="AI47" s="460"/>
      <c r="AJ47" s="459"/>
      <c r="AK47" s="460"/>
      <c r="AL47" s="459"/>
      <c r="AM47" s="460"/>
      <c r="AN47" s="459"/>
      <c r="AO47" s="460"/>
      <c r="AP47" s="459"/>
      <c r="AQ47" s="460"/>
      <c r="AR47" s="459"/>
      <c r="AS47" s="460"/>
      <c r="AT47" s="94"/>
    </row>
    <row r="48" spans="2:46" ht="18" customHeight="1" x14ac:dyDescent="0.6">
      <c r="B48" s="454"/>
      <c r="C48" s="458"/>
      <c r="D48" s="7"/>
      <c r="E48" s="8"/>
      <c r="F48" s="459"/>
      <c r="G48" s="460"/>
      <c r="H48" s="459"/>
      <c r="I48" s="460"/>
      <c r="J48" s="459"/>
      <c r="K48" s="460"/>
      <c r="L48" s="459"/>
      <c r="M48" s="460"/>
      <c r="N48" s="459"/>
      <c r="O48" s="460"/>
      <c r="P48" s="459"/>
      <c r="Q48" s="460"/>
      <c r="R48" s="459"/>
      <c r="S48" s="460"/>
      <c r="T48" s="459"/>
      <c r="U48" s="460"/>
      <c r="V48" s="459"/>
      <c r="W48" s="460"/>
      <c r="X48" s="459"/>
      <c r="Y48" s="460"/>
      <c r="Z48" s="459"/>
      <c r="AA48" s="460"/>
      <c r="AB48" s="459"/>
      <c r="AC48" s="460"/>
      <c r="AD48" s="459"/>
      <c r="AE48" s="460"/>
      <c r="AF48" s="459"/>
      <c r="AG48" s="460"/>
      <c r="AH48" s="459"/>
      <c r="AI48" s="460"/>
      <c r="AJ48" s="459"/>
      <c r="AK48" s="460"/>
      <c r="AL48" s="459"/>
      <c r="AM48" s="460"/>
      <c r="AN48" s="459"/>
      <c r="AO48" s="460"/>
      <c r="AP48" s="459"/>
      <c r="AQ48" s="460"/>
      <c r="AR48" s="459"/>
      <c r="AS48" s="460"/>
      <c r="AT48" s="94"/>
    </row>
    <row r="49" spans="2:46" ht="18" customHeight="1" thickBot="1" x14ac:dyDescent="0.35">
      <c r="B49" s="454"/>
      <c r="C49" s="458">
        <f>'Plot Data'!P67</f>
        <v>26.312000000000005</v>
      </c>
      <c r="D49" s="5"/>
      <c r="E49" s="6"/>
      <c r="F49" s="461"/>
      <c r="G49" s="462"/>
      <c r="H49" s="461"/>
      <c r="I49" s="462"/>
      <c r="J49" s="461"/>
      <c r="K49" s="462"/>
      <c r="L49" s="461"/>
      <c r="M49" s="462"/>
      <c r="N49" s="461"/>
      <c r="O49" s="462"/>
      <c r="P49" s="461"/>
      <c r="Q49" s="462"/>
      <c r="R49" s="461"/>
      <c r="S49" s="462"/>
      <c r="T49" s="461"/>
      <c r="U49" s="462"/>
      <c r="V49" s="461"/>
      <c r="W49" s="462"/>
      <c r="X49" s="461"/>
      <c r="Y49" s="462"/>
      <c r="Z49" s="461"/>
      <c r="AA49" s="462"/>
      <c r="AB49" s="461"/>
      <c r="AC49" s="462"/>
      <c r="AD49" s="461"/>
      <c r="AE49" s="462"/>
      <c r="AF49" s="461"/>
      <c r="AG49" s="462"/>
      <c r="AH49" s="461"/>
      <c r="AI49" s="462"/>
      <c r="AJ49" s="461"/>
      <c r="AK49" s="462"/>
      <c r="AL49" s="461"/>
      <c r="AM49" s="462"/>
      <c r="AN49" s="461"/>
      <c r="AO49" s="462"/>
      <c r="AP49" s="461"/>
      <c r="AQ49" s="462"/>
      <c r="AR49" s="461"/>
      <c r="AS49" s="462"/>
      <c r="AT49" s="463" t="s">
        <v>45</v>
      </c>
    </row>
    <row r="50" spans="2:46" ht="18" customHeight="1" thickTop="1" thickBot="1" x14ac:dyDescent="0.35">
      <c r="B50" s="455"/>
      <c r="C50" s="472"/>
      <c r="D50" s="77"/>
      <c r="E50" s="78"/>
      <c r="F50" s="473"/>
      <c r="G50" s="474"/>
      <c r="H50" s="473"/>
      <c r="I50" s="474"/>
      <c r="J50" s="473"/>
      <c r="K50" s="474"/>
      <c r="L50" s="473"/>
      <c r="M50" s="474"/>
      <c r="N50" s="473"/>
      <c r="O50" s="474"/>
      <c r="P50" s="473"/>
      <c r="Q50" s="474"/>
      <c r="R50" s="473"/>
      <c r="S50" s="474"/>
      <c r="T50" s="473"/>
      <c r="U50" s="474"/>
      <c r="V50" s="473"/>
      <c r="W50" s="474"/>
      <c r="X50" s="473"/>
      <c r="Y50" s="474"/>
      <c r="Z50" s="473"/>
      <c r="AA50" s="474"/>
      <c r="AB50" s="473"/>
      <c r="AC50" s="474"/>
      <c r="AD50" s="473"/>
      <c r="AE50" s="474"/>
      <c r="AF50" s="473"/>
      <c r="AG50" s="474"/>
      <c r="AH50" s="473"/>
      <c r="AI50" s="474"/>
      <c r="AJ50" s="473"/>
      <c r="AK50" s="474"/>
      <c r="AL50" s="473"/>
      <c r="AM50" s="474"/>
      <c r="AN50" s="473"/>
      <c r="AO50" s="474"/>
      <c r="AP50" s="473"/>
      <c r="AQ50" s="474"/>
      <c r="AR50" s="473"/>
      <c r="AS50" s="474"/>
      <c r="AT50" s="477"/>
    </row>
    <row r="51" spans="2:46" ht="30" customHeight="1" thickTop="1" thickBot="1" x14ac:dyDescent="0.35">
      <c r="B51" s="88"/>
      <c r="C51" s="95"/>
      <c r="D51" s="90"/>
      <c r="E51" s="89"/>
      <c r="F51" s="475"/>
      <c r="G51" s="476"/>
      <c r="H51" s="475"/>
      <c r="I51" s="476"/>
      <c r="J51" s="475"/>
      <c r="K51" s="476"/>
      <c r="L51" s="475"/>
      <c r="M51" s="476"/>
      <c r="N51" s="475"/>
      <c r="O51" s="476"/>
      <c r="P51" s="475"/>
      <c r="Q51" s="476"/>
      <c r="R51" s="475"/>
      <c r="S51" s="476"/>
      <c r="T51" s="475"/>
      <c r="U51" s="476"/>
      <c r="V51" s="475"/>
      <c r="W51" s="476"/>
      <c r="X51" s="475"/>
      <c r="Y51" s="476"/>
      <c r="Z51" s="475"/>
      <c r="AA51" s="476"/>
      <c r="AB51" s="475"/>
      <c r="AC51" s="476"/>
      <c r="AD51" s="475"/>
      <c r="AE51" s="476"/>
      <c r="AF51" s="475"/>
      <c r="AG51" s="476"/>
      <c r="AH51" s="475"/>
      <c r="AI51" s="476"/>
      <c r="AJ51" s="475"/>
      <c r="AK51" s="476"/>
      <c r="AL51" s="475"/>
      <c r="AM51" s="476"/>
      <c r="AN51" s="475"/>
      <c r="AO51" s="476"/>
      <c r="AP51" s="475"/>
      <c r="AQ51" s="476"/>
      <c r="AR51" s="475"/>
      <c r="AS51" s="476"/>
      <c r="AT51" s="91"/>
    </row>
    <row r="52" spans="2:46" ht="9" customHeight="1" thickTop="1" x14ac:dyDescent="0.3">
      <c r="B52" s="478" t="s">
        <v>7</v>
      </c>
      <c r="C52" s="96"/>
      <c r="D52" s="79"/>
      <c r="E52" s="74"/>
      <c r="F52" s="456"/>
      <c r="G52" s="457"/>
      <c r="H52" s="456"/>
      <c r="I52" s="457"/>
      <c r="J52" s="456"/>
      <c r="K52" s="457"/>
      <c r="L52" s="456"/>
      <c r="M52" s="457"/>
      <c r="N52" s="456"/>
      <c r="O52" s="457"/>
      <c r="P52" s="456"/>
      <c r="Q52" s="457"/>
      <c r="R52" s="456"/>
      <c r="S52" s="457"/>
      <c r="T52" s="456"/>
      <c r="U52" s="457"/>
      <c r="V52" s="456"/>
      <c r="W52" s="457"/>
      <c r="X52" s="456"/>
      <c r="Y52" s="457"/>
      <c r="Z52" s="456"/>
      <c r="AA52" s="457"/>
      <c r="AB52" s="456"/>
      <c r="AC52" s="457"/>
      <c r="AD52" s="456"/>
      <c r="AE52" s="457"/>
      <c r="AF52" s="456"/>
      <c r="AG52" s="457"/>
      <c r="AH52" s="456"/>
      <c r="AI52" s="457"/>
      <c r="AJ52" s="456"/>
      <c r="AK52" s="457"/>
      <c r="AL52" s="456"/>
      <c r="AM52" s="457"/>
      <c r="AN52" s="456"/>
      <c r="AO52" s="457"/>
      <c r="AP52" s="456"/>
      <c r="AQ52" s="457"/>
      <c r="AR52" s="456"/>
      <c r="AS52" s="457"/>
      <c r="AT52" s="75"/>
    </row>
    <row r="53" spans="2:46" ht="9" customHeight="1" x14ac:dyDescent="0.3">
      <c r="B53" s="479"/>
      <c r="C53" s="97"/>
      <c r="D53" s="13"/>
      <c r="E53" s="4"/>
      <c r="F53" s="481"/>
      <c r="G53" s="482"/>
      <c r="H53" s="481"/>
      <c r="I53" s="482"/>
      <c r="J53" s="481"/>
      <c r="K53" s="482"/>
      <c r="L53" s="481"/>
      <c r="M53" s="482"/>
      <c r="N53" s="481"/>
      <c r="O53" s="482"/>
      <c r="P53" s="481"/>
      <c r="Q53" s="482"/>
      <c r="R53" s="481"/>
      <c r="S53" s="482"/>
      <c r="T53" s="481"/>
      <c r="U53" s="482"/>
      <c r="V53" s="481"/>
      <c r="W53" s="482"/>
      <c r="X53" s="481"/>
      <c r="Y53" s="482"/>
      <c r="Z53" s="481"/>
      <c r="AA53" s="482"/>
      <c r="AB53" s="481"/>
      <c r="AC53" s="482"/>
      <c r="AD53" s="481"/>
      <c r="AE53" s="482"/>
      <c r="AF53" s="481"/>
      <c r="AG53" s="482"/>
      <c r="AH53" s="481"/>
      <c r="AI53" s="482"/>
      <c r="AJ53" s="481"/>
      <c r="AK53" s="482"/>
      <c r="AL53" s="481"/>
      <c r="AM53" s="482"/>
      <c r="AN53" s="481"/>
      <c r="AO53" s="482"/>
      <c r="AP53" s="481"/>
      <c r="AQ53" s="482"/>
      <c r="AR53" s="481"/>
      <c r="AS53" s="482"/>
      <c r="AT53" s="80"/>
    </row>
    <row r="54" spans="2:46" ht="9" customHeight="1" x14ac:dyDescent="0.3">
      <c r="B54" s="479"/>
      <c r="C54" s="97"/>
      <c r="D54" s="3"/>
      <c r="E54" s="8"/>
      <c r="F54" s="459"/>
      <c r="G54" s="460"/>
      <c r="H54" s="459"/>
      <c r="I54" s="460"/>
      <c r="J54" s="459"/>
      <c r="K54" s="460"/>
      <c r="L54" s="459"/>
      <c r="M54" s="460"/>
      <c r="N54" s="459"/>
      <c r="O54" s="460"/>
      <c r="P54" s="459"/>
      <c r="Q54" s="460"/>
      <c r="R54" s="459"/>
      <c r="S54" s="460"/>
      <c r="T54" s="459"/>
      <c r="U54" s="460"/>
      <c r="V54" s="459"/>
      <c r="W54" s="460"/>
      <c r="X54" s="459"/>
      <c r="Y54" s="460"/>
      <c r="Z54" s="459"/>
      <c r="AA54" s="460"/>
      <c r="AB54" s="459"/>
      <c r="AC54" s="460"/>
      <c r="AD54" s="459"/>
      <c r="AE54" s="460"/>
      <c r="AF54" s="459"/>
      <c r="AG54" s="460"/>
      <c r="AH54" s="459"/>
      <c r="AI54" s="460"/>
      <c r="AJ54" s="459"/>
      <c r="AK54" s="460"/>
      <c r="AL54" s="459"/>
      <c r="AM54" s="460"/>
      <c r="AN54" s="459"/>
      <c r="AO54" s="460"/>
      <c r="AP54" s="459"/>
      <c r="AQ54" s="460"/>
      <c r="AR54" s="459"/>
      <c r="AS54" s="460"/>
      <c r="AT54" s="76"/>
    </row>
    <row r="55" spans="2:46" ht="9" customHeight="1" thickBot="1" x14ac:dyDescent="0.4">
      <c r="B55" s="479"/>
      <c r="C55" s="485">
        <f>'Plot Data'!C68</f>
        <v>0.12</v>
      </c>
      <c r="D55" s="70"/>
      <c r="E55" s="71"/>
      <c r="F55" s="483"/>
      <c r="G55" s="484"/>
      <c r="H55" s="483"/>
      <c r="I55" s="484"/>
      <c r="J55" s="483"/>
      <c r="K55" s="484"/>
      <c r="L55" s="483"/>
      <c r="M55" s="484"/>
      <c r="N55" s="483"/>
      <c r="O55" s="484"/>
      <c r="P55" s="483"/>
      <c r="Q55" s="484"/>
      <c r="R55" s="483"/>
      <c r="S55" s="484"/>
      <c r="T55" s="483"/>
      <c r="U55" s="484"/>
      <c r="V55" s="483"/>
      <c r="W55" s="484"/>
      <c r="X55" s="483"/>
      <c r="Y55" s="484"/>
      <c r="Z55" s="483"/>
      <c r="AA55" s="484"/>
      <c r="AB55" s="483"/>
      <c r="AC55" s="484"/>
      <c r="AD55" s="483"/>
      <c r="AE55" s="484"/>
      <c r="AF55" s="483"/>
      <c r="AG55" s="484"/>
      <c r="AH55" s="483"/>
      <c r="AI55" s="484"/>
      <c r="AJ55" s="483"/>
      <c r="AK55" s="484"/>
      <c r="AL55" s="483"/>
      <c r="AM55" s="484"/>
      <c r="AN55" s="483"/>
      <c r="AO55" s="484"/>
      <c r="AP55" s="483"/>
      <c r="AQ55" s="484"/>
      <c r="AR55" s="483"/>
      <c r="AS55" s="484"/>
      <c r="AT55" s="81"/>
    </row>
    <row r="56" spans="2:46" ht="9" customHeight="1" thickTop="1" x14ac:dyDescent="0.3">
      <c r="B56" s="479"/>
      <c r="C56" s="486"/>
      <c r="D56" s="19"/>
      <c r="E56" s="20"/>
      <c r="F56" s="487"/>
      <c r="G56" s="488"/>
      <c r="H56" s="487"/>
      <c r="I56" s="488"/>
      <c r="J56" s="487"/>
      <c r="K56" s="488"/>
      <c r="L56" s="487"/>
      <c r="M56" s="488"/>
      <c r="N56" s="487"/>
      <c r="O56" s="488"/>
      <c r="P56" s="487"/>
      <c r="Q56" s="488"/>
      <c r="R56" s="487"/>
      <c r="S56" s="488"/>
      <c r="T56" s="487"/>
      <c r="U56" s="488"/>
      <c r="V56" s="487"/>
      <c r="W56" s="488"/>
      <c r="X56" s="487"/>
      <c r="Y56" s="488"/>
      <c r="Z56" s="487"/>
      <c r="AA56" s="488"/>
      <c r="AB56" s="487"/>
      <c r="AC56" s="488"/>
      <c r="AD56" s="487"/>
      <c r="AE56" s="488"/>
      <c r="AF56" s="487"/>
      <c r="AG56" s="488"/>
      <c r="AH56" s="487"/>
      <c r="AI56" s="488"/>
      <c r="AJ56" s="487"/>
      <c r="AK56" s="488"/>
      <c r="AL56" s="487"/>
      <c r="AM56" s="488"/>
      <c r="AN56" s="487"/>
      <c r="AO56" s="488"/>
      <c r="AP56" s="487"/>
      <c r="AQ56" s="488"/>
      <c r="AR56" s="487"/>
      <c r="AS56" s="488"/>
      <c r="AT56" s="82"/>
    </row>
    <row r="57" spans="2:46" ht="9" customHeight="1" x14ac:dyDescent="0.3">
      <c r="B57" s="479"/>
      <c r="C57" s="458"/>
      <c r="D57" s="13"/>
      <c r="E57" s="8"/>
      <c r="F57" s="459"/>
      <c r="G57" s="460"/>
      <c r="H57" s="459"/>
      <c r="I57" s="460"/>
      <c r="J57" s="459"/>
      <c r="K57" s="460"/>
      <c r="L57" s="459"/>
      <c r="M57" s="460"/>
      <c r="N57" s="459"/>
      <c r="O57" s="460"/>
      <c r="P57" s="459"/>
      <c r="Q57" s="460"/>
      <c r="R57" s="459"/>
      <c r="S57" s="460"/>
      <c r="T57" s="459"/>
      <c r="U57" s="460"/>
      <c r="V57" s="459"/>
      <c r="W57" s="460"/>
      <c r="X57" s="459"/>
      <c r="Y57" s="460"/>
      <c r="Z57" s="459"/>
      <c r="AA57" s="460"/>
      <c r="AB57" s="459"/>
      <c r="AC57" s="460"/>
      <c r="AD57" s="459"/>
      <c r="AE57" s="460"/>
      <c r="AF57" s="459"/>
      <c r="AG57" s="460"/>
      <c r="AH57" s="459"/>
      <c r="AI57" s="460"/>
      <c r="AJ57" s="459"/>
      <c r="AK57" s="460"/>
      <c r="AL57" s="459"/>
      <c r="AM57" s="460"/>
      <c r="AN57" s="459"/>
      <c r="AO57" s="460"/>
      <c r="AP57" s="459"/>
      <c r="AQ57" s="460"/>
      <c r="AR57" s="459"/>
      <c r="AS57" s="460"/>
      <c r="AT57" s="76"/>
    </row>
    <row r="58" spans="2:46" ht="9" customHeight="1" x14ac:dyDescent="0.3">
      <c r="B58" s="479"/>
      <c r="C58" s="458"/>
      <c r="D58" s="3"/>
      <c r="E58" s="8"/>
      <c r="F58" s="459"/>
      <c r="G58" s="460"/>
      <c r="H58" s="459"/>
      <c r="I58" s="460"/>
      <c r="J58" s="459"/>
      <c r="K58" s="460"/>
      <c r="L58" s="459"/>
      <c r="M58" s="460"/>
      <c r="N58" s="459"/>
      <c r="O58" s="460"/>
      <c r="P58" s="459"/>
      <c r="Q58" s="460"/>
      <c r="R58" s="459"/>
      <c r="S58" s="460"/>
      <c r="T58" s="459"/>
      <c r="U58" s="460"/>
      <c r="V58" s="459"/>
      <c r="W58" s="460"/>
      <c r="X58" s="459"/>
      <c r="Y58" s="460"/>
      <c r="Z58" s="459"/>
      <c r="AA58" s="460"/>
      <c r="AB58" s="459"/>
      <c r="AC58" s="460"/>
      <c r="AD58" s="459"/>
      <c r="AE58" s="460"/>
      <c r="AF58" s="459"/>
      <c r="AG58" s="460"/>
      <c r="AH58" s="459"/>
      <c r="AI58" s="460"/>
      <c r="AJ58" s="459"/>
      <c r="AK58" s="460"/>
      <c r="AL58" s="459"/>
      <c r="AM58" s="460"/>
      <c r="AN58" s="459"/>
      <c r="AO58" s="460"/>
      <c r="AP58" s="459"/>
      <c r="AQ58" s="460"/>
      <c r="AR58" s="459"/>
      <c r="AS58" s="460"/>
      <c r="AT58" s="76"/>
    </row>
    <row r="59" spans="2:46" ht="9" customHeight="1" x14ac:dyDescent="0.3">
      <c r="B59" s="479"/>
      <c r="C59" s="458">
        <f>C63+(C55-C63)/2</f>
        <v>0.105</v>
      </c>
      <c r="D59" s="13"/>
      <c r="E59" s="4"/>
      <c r="F59" s="459"/>
      <c r="G59" s="460"/>
      <c r="H59" s="459"/>
      <c r="I59" s="460"/>
      <c r="J59" s="459"/>
      <c r="K59" s="460"/>
      <c r="L59" s="459"/>
      <c r="M59" s="460"/>
      <c r="N59" s="459"/>
      <c r="O59" s="460"/>
      <c r="P59" s="459"/>
      <c r="Q59" s="460"/>
      <c r="R59" s="459"/>
      <c r="S59" s="460"/>
      <c r="T59" s="459"/>
      <c r="U59" s="460"/>
      <c r="V59" s="459"/>
      <c r="W59" s="460"/>
      <c r="X59" s="459"/>
      <c r="Y59" s="460"/>
      <c r="Z59" s="459"/>
      <c r="AA59" s="460"/>
      <c r="AB59" s="459"/>
      <c r="AC59" s="460"/>
      <c r="AD59" s="459"/>
      <c r="AE59" s="460"/>
      <c r="AF59" s="459"/>
      <c r="AG59" s="460"/>
      <c r="AH59" s="459"/>
      <c r="AI59" s="460"/>
      <c r="AJ59" s="459"/>
      <c r="AK59" s="460"/>
      <c r="AL59" s="459"/>
      <c r="AM59" s="460"/>
      <c r="AN59" s="459"/>
      <c r="AO59" s="460"/>
      <c r="AP59" s="459"/>
      <c r="AQ59" s="460"/>
      <c r="AR59" s="459"/>
      <c r="AS59" s="460"/>
      <c r="AT59" s="80"/>
    </row>
    <row r="60" spans="2:46" ht="9" customHeight="1" x14ac:dyDescent="0.3">
      <c r="B60" s="479"/>
      <c r="C60" s="458"/>
      <c r="D60" s="13"/>
      <c r="E60" s="4"/>
      <c r="F60" s="459"/>
      <c r="G60" s="460"/>
      <c r="H60" s="459"/>
      <c r="I60" s="460"/>
      <c r="J60" s="459"/>
      <c r="K60" s="460"/>
      <c r="L60" s="459"/>
      <c r="M60" s="460"/>
      <c r="N60" s="459"/>
      <c r="O60" s="460"/>
      <c r="P60" s="459"/>
      <c r="Q60" s="460"/>
      <c r="R60" s="459"/>
      <c r="S60" s="460"/>
      <c r="T60" s="459"/>
      <c r="U60" s="460"/>
      <c r="V60" s="459"/>
      <c r="W60" s="460"/>
      <c r="X60" s="459"/>
      <c r="Y60" s="460"/>
      <c r="Z60" s="459"/>
      <c r="AA60" s="460"/>
      <c r="AB60" s="459"/>
      <c r="AC60" s="460"/>
      <c r="AD60" s="459"/>
      <c r="AE60" s="460"/>
      <c r="AF60" s="459"/>
      <c r="AG60" s="460"/>
      <c r="AH60" s="459"/>
      <c r="AI60" s="460"/>
      <c r="AJ60" s="459"/>
      <c r="AK60" s="460"/>
      <c r="AL60" s="459"/>
      <c r="AM60" s="460"/>
      <c r="AN60" s="459"/>
      <c r="AO60" s="460"/>
      <c r="AP60" s="459"/>
      <c r="AQ60" s="460"/>
      <c r="AR60" s="459"/>
      <c r="AS60" s="460"/>
      <c r="AT60" s="80"/>
    </row>
    <row r="61" spans="2:46" ht="9" customHeight="1" x14ac:dyDescent="0.3">
      <c r="B61" s="479"/>
      <c r="C61" s="458"/>
      <c r="D61" s="7"/>
      <c r="E61" s="18"/>
      <c r="F61" s="489"/>
      <c r="G61" s="490"/>
      <c r="H61" s="489"/>
      <c r="I61" s="490"/>
      <c r="J61" s="489"/>
      <c r="K61" s="490"/>
      <c r="L61" s="489"/>
      <c r="M61" s="490"/>
      <c r="N61" s="489"/>
      <c r="O61" s="490"/>
      <c r="P61" s="489"/>
      <c r="Q61" s="490"/>
      <c r="R61" s="489"/>
      <c r="S61" s="490"/>
      <c r="T61" s="489"/>
      <c r="U61" s="490"/>
      <c r="V61" s="489"/>
      <c r="W61" s="490"/>
      <c r="X61" s="489"/>
      <c r="Y61" s="490"/>
      <c r="Z61" s="489"/>
      <c r="AA61" s="490"/>
      <c r="AB61" s="489"/>
      <c r="AC61" s="490"/>
      <c r="AD61" s="489"/>
      <c r="AE61" s="490"/>
      <c r="AF61" s="489"/>
      <c r="AG61" s="490"/>
      <c r="AH61" s="489"/>
      <c r="AI61" s="490"/>
      <c r="AJ61" s="489"/>
      <c r="AK61" s="490"/>
      <c r="AL61" s="489"/>
      <c r="AM61" s="490"/>
      <c r="AN61" s="489"/>
      <c r="AO61" s="490"/>
      <c r="AP61" s="489"/>
      <c r="AQ61" s="490"/>
      <c r="AR61" s="489"/>
      <c r="AS61" s="490"/>
      <c r="AT61" s="83"/>
    </row>
    <row r="62" spans="2:46" ht="9" customHeight="1" x14ac:dyDescent="0.3">
      <c r="B62" s="479"/>
      <c r="C62" s="458"/>
      <c r="D62" s="21"/>
      <c r="E62" s="22"/>
      <c r="F62" s="491"/>
      <c r="G62" s="492"/>
      <c r="H62" s="491"/>
      <c r="I62" s="492"/>
      <c r="J62" s="491"/>
      <c r="K62" s="492"/>
      <c r="L62" s="491"/>
      <c r="M62" s="492"/>
      <c r="N62" s="491"/>
      <c r="O62" s="492"/>
      <c r="P62" s="491"/>
      <c r="Q62" s="492"/>
      <c r="R62" s="491"/>
      <c r="S62" s="492"/>
      <c r="T62" s="491"/>
      <c r="U62" s="492"/>
      <c r="V62" s="491"/>
      <c r="W62" s="492"/>
      <c r="X62" s="491"/>
      <c r="Y62" s="492"/>
      <c r="Z62" s="491"/>
      <c r="AA62" s="492"/>
      <c r="AB62" s="491"/>
      <c r="AC62" s="492"/>
      <c r="AD62" s="491"/>
      <c r="AE62" s="492"/>
      <c r="AF62" s="491"/>
      <c r="AG62" s="492"/>
      <c r="AH62" s="491"/>
      <c r="AI62" s="492"/>
      <c r="AJ62" s="491"/>
      <c r="AK62" s="492"/>
      <c r="AL62" s="491"/>
      <c r="AM62" s="492"/>
      <c r="AN62" s="491"/>
      <c r="AO62" s="492"/>
      <c r="AP62" s="491"/>
      <c r="AQ62" s="492"/>
      <c r="AR62" s="491"/>
      <c r="AS62" s="492"/>
      <c r="AT62" s="84"/>
    </row>
    <row r="63" spans="2:46" ht="9" customHeight="1" x14ac:dyDescent="0.3">
      <c r="B63" s="479"/>
      <c r="C63" s="458">
        <f>C69+(C55-C69)/2</f>
        <v>0.09</v>
      </c>
      <c r="D63" s="13"/>
      <c r="E63" s="4"/>
      <c r="F63" s="459"/>
      <c r="G63" s="460"/>
      <c r="H63" s="459"/>
      <c r="I63" s="460"/>
      <c r="J63" s="459"/>
      <c r="K63" s="460"/>
      <c r="L63" s="459"/>
      <c r="M63" s="460"/>
      <c r="N63" s="459"/>
      <c r="O63" s="460"/>
      <c r="P63" s="459"/>
      <c r="Q63" s="460"/>
      <c r="R63" s="459"/>
      <c r="S63" s="460"/>
      <c r="T63" s="459"/>
      <c r="U63" s="460"/>
      <c r="V63" s="459"/>
      <c r="W63" s="460"/>
      <c r="X63" s="459"/>
      <c r="Y63" s="460"/>
      <c r="Z63" s="459"/>
      <c r="AA63" s="460"/>
      <c r="AB63" s="459"/>
      <c r="AC63" s="460"/>
      <c r="AD63" s="459"/>
      <c r="AE63" s="460"/>
      <c r="AF63" s="459"/>
      <c r="AG63" s="460"/>
      <c r="AH63" s="459"/>
      <c r="AI63" s="460"/>
      <c r="AJ63" s="459"/>
      <c r="AK63" s="460"/>
      <c r="AL63" s="459"/>
      <c r="AM63" s="460"/>
      <c r="AN63" s="459"/>
      <c r="AO63" s="460"/>
      <c r="AP63" s="459"/>
      <c r="AQ63" s="460"/>
      <c r="AR63" s="459"/>
      <c r="AS63" s="460"/>
      <c r="AT63" s="80"/>
    </row>
    <row r="64" spans="2:46" ht="9" customHeight="1" x14ac:dyDescent="0.3">
      <c r="B64" s="479"/>
      <c r="C64" s="458"/>
      <c r="D64" s="13"/>
      <c r="E64" s="4"/>
      <c r="F64" s="459"/>
      <c r="G64" s="460"/>
      <c r="H64" s="459"/>
      <c r="I64" s="460"/>
      <c r="J64" s="459"/>
      <c r="K64" s="460"/>
      <c r="L64" s="459"/>
      <c r="M64" s="460"/>
      <c r="N64" s="459"/>
      <c r="O64" s="460"/>
      <c r="P64" s="459"/>
      <c r="Q64" s="460"/>
      <c r="R64" s="459"/>
      <c r="S64" s="460"/>
      <c r="T64" s="459"/>
      <c r="U64" s="460"/>
      <c r="V64" s="459"/>
      <c r="W64" s="460"/>
      <c r="X64" s="459"/>
      <c r="Y64" s="460"/>
      <c r="Z64" s="459"/>
      <c r="AA64" s="460"/>
      <c r="AB64" s="459"/>
      <c r="AC64" s="460"/>
      <c r="AD64" s="459"/>
      <c r="AE64" s="460"/>
      <c r="AF64" s="459"/>
      <c r="AG64" s="460"/>
      <c r="AH64" s="459"/>
      <c r="AI64" s="460"/>
      <c r="AJ64" s="459"/>
      <c r="AK64" s="460"/>
      <c r="AL64" s="459"/>
      <c r="AM64" s="460"/>
      <c r="AN64" s="459"/>
      <c r="AO64" s="460"/>
      <c r="AP64" s="459"/>
      <c r="AQ64" s="460"/>
      <c r="AR64" s="459"/>
      <c r="AS64" s="460"/>
      <c r="AT64" s="80"/>
    </row>
    <row r="65" spans="2:46" ht="15" customHeight="1" x14ac:dyDescent="0.3">
      <c r="B65" s="479"/>
      <c r="C65" s="458"/>
      <c r="D65" s="13"/>
      <c r="E65" s="4"/>
      <c r="F65" s="459"/>
      <c r="G65" s="460"/>
      <c r="H65" s="459"/>
      <c r="I65" s="460"/>
      <c r="J65" s="459"/>
      <c r="K65" s="460"/>
      <c r="L65" s="459"/>
      <c r="M65" s="460"/>
      <c r="N65" s="459"/>
      <c r="O65" s="460"/>
      <c r="P65" s="459"/>
      <c r="Q65" s="460"/>
      <c r="R65" s="459"/>
      <c r="S65" s="460"/>
      <c r="T65" s="459"/>
      <c r="U65" s="460"/>
      <c r="V65" s="459"/>
      <c r="W65" s="460"/>
      <c r="X65" s="459"/>
      <c r="Y65" s="460"/>
      <c r="Z65" s="459"/>
      <c r="AA65" s="460"/>
      <c r="AB65" s="459"/>
      <c r="AC65" s="460"/>
      <c r="AD65" s="459"/>
      <c r="AE65" s="460"/>
      <c r="AF65" s="459"/>
      <c r="AG65" s="460"/>
      <c r="AH65" s="459"/>
      <c r="AI65" s="460"/>
      <c r="AJ65" s="459"/>
      <c r="AK65" s="460"/>
      <c r="AL65" s="459"/>
      <c r="AM65" s="460"/>
      <c r="AN65" s="459"/>
      <c r="AO65" s="460"/>
      <c r="AP65" s="459"/>
      <c r="AQ65" s="460"/>
      <c r="AR65" s="459"/>
      <c r="AS65" s="460"/>
      <c r="AT65" s="80"/>
    </row>
    <row r="66" spans="2:46" ht="15" customHeight="1" x14ac:dyDescent="0.3">
      <c r="B66" s="479"/>
      <c r="C66" s="458"/>
      <c r="D66" s="13"/>
      <c r="E66" s="4"/>
      <c r="F66" s="459"/>
      <c r="G66" s="460"/>
      <c r="H66" s="459"/>
      <c r="I66" s="460"/>
      <c r="J66" s="459"/>
      <c r="K66" s="460"/>
      <c r="L66" s="459"/>
      <c r="M66" s="460"/>
      <c r="N66" s="459"/>
      <c r="O66" s="460"/>
      <c r="P66" s="459"/>
      <c r="Q66" s="460"/>
      <c r="R66" s="459"/>
      <c r="S66" s="460"/>
      <c r="T66" s="459"/>
      <c r="U66" s="460"/>
      <c r="V66" s="459"/>
      <c r="W66" s="460"/>
      <c r="X66" s="459"/>
      <c r="Y66" s="460"/>
      <c r="Z66" s="459"/>
      <c r="AA66" s="460"/>
      <c r="AB66" s="459"/>
      <c r="AC66" s="460"/>
      <c r="AD66" s="459"/>
      <c r="AE66" s="460"/>
      <c r="AF66" s="459"/>
      <c r="AG66" s="460"/>
      <c r="AH66" s="459"/>
      <c r="AI66" s="460"/>
      <c r="AJ66" s="459"/>
      <c r="AK66" s="460"/>
      <c r="AL66" s="459"/>
      <c r="AM66" s="460"/>
      <c r="AN66" s="459"/>
      <c r="AO66" s="460"/>
      <c r="AP66" s="459"/>
      <c r="AQ66" s="460"/>
      <c r="AR66" s="459"/>
      <c r="AS66" s="460"/>
      <c r="AT66" s="80"/>
    </row>
    <row r="67" spans="2:46" ht="15" customHeight="1" x14ac:dyDescent="0.3">
      <c r="B67" s="479"/>
      <c r="C67" s="458"/>
      <c r="D67" s="13"/>
      <c r="E67" s="4"/>
      <c r="F67" s="459"/>
      <c r="G67" s="460"/>
      <c r="H67" s="459"/>
      <c r="I67" s="460"/>
      <c r="J67" s="459"/>
      <c r="K67" s="460"/>
      <c r="L67" s="459"/>
      <c r="M67" s="460"/>
      <c r="N67" s="459"/>
      <c r="O67" s="460"/>
      <c r="P67" s="459"/>
      <c r="Q67" s="460"/>
      <c r="R67" s="459"/>
      <c r="S67" s="460"/>
      <c r="T67" s="459"/>
      <c r="U67" s="460"/>
      <c r="V67" s="459"/>
      <c r="W67" s="460"/>
      <c r="X67" s="459"/>
      <c r="Y67" s="460"/>
      <c r="Z67" s="459"/>
      <c r="AA67" s="460"/>
      <c r="AB67" s="459"/>
      <c r="AC67" s="460"/>
      <c r="AD67" s="459"/>
      <c r="AE67" s="460"/>
      <c r="AF67" s="459"/>
      <c r="AG67" s="460"/>
      <c r="AH67" s="459"/>
      <c r="AI67" s="460"/>
      <c r="AJ67" s="459"/>
      <c r="AK67" s="460"/>
      <c r="AL67" s="459"/>
      <c r="AM67" s="460"/>
      <c r="AN67" s="459"/>
      <c r="AO67" s="460"/>
      <c r="AP67" s="459"/>
      <c r="AQ67" s="460"/>
      <c r="AR67" s="459"/>
      <c r="AS67" s="460"/>
      <c r="AT67" s="80"/>
    </row>
    <row r="68" spans="2:46" ht="15" customHeight="1" x14ac:dyDescent="0.3">
      <c r="B68" s="479"/>
      <c r="C68" s="458"/>
      <c r="D68" s="13"/>
      <c r="E68" s="4"/>
      <c r="F68" s="459"/>
      <c r="G68" s="460"/>
      <c r="H68" s="459"/>
      <c r="I68" s="460"/>
      <c r="J68" s="459"/>
      <c r="K68" s="460"/>
      <c r="L68" s="459"/>
      <c r="M68" s="460"/>
      <c r="N68" s="459"/>
      <c r="O68" s="460"/>
      <c r="P68" s="459"/>
      <c r="Q68" s="460"/>
      <c r="R68" s="459"/>
      <c r="S68" s="460"/>
      <c r="T68" s="459"/>
      <c r="U68" s="460"/>
      <c r="V68" s="459"/>
      <c r="W68" s="460"/>
      <c r="X68" s="459"/>
      <c r="Y68" s="460"/>
      <c r="Z68" s="459"/>
      <c r="AA68" s="460"/>
      <c r="AB68" s="459"/>
      <c r="AC68" s="460"/>
      <c r="AD68" s="459"/>
      <c r="AE68" s="460"/>
      <c r="AF68" s="459"/>
      <c r="AG68" s="460"/>
      <c r="AH68" s="459"/>
      <c r="AI68" s="460"/>
      <c r="AJ68" s="459"/>
      <c r="AK68" s="460"/>
      <c r="AL68" s="459"/>
      <c r="AM68" s="460"/>
      <c r="AN68" s="459"/>
      <c r="AO68" s="460"/>
      <c r="AP68" s="459"/>
      <c r="AQ68" s="460"/>
      <c r="AR68" s="459"/>
      <c r="AS68" s="460"/>
      <c r="AT68" s="80"/>
    </row>
    <row r="69" spans="2:46" ht="15" customHeight="1" x14ac:dyDescent="0.3">
      <c r="B69" s="479"/>
      <c r="C69" s="458">
        <f>C55/2</f>
        <v>0.06</v>
      </c>
      <c r="D69" s="13"/>
      <c r="E69" s="4"/>
      <c r="F69" s="459"/>
      <c r="G69" s="460"/>
      <c r="H69" s="459"/>
      <c r="I69" s="460"/>
      <c r="J69" s="459"/>
      <c r="K69" s="460"/>
      <c r="L69" s="459"/>
      <c r="M69" s="460"/>
      <c r="N69" s="459"/>
      <c r="O69" s="460"/>
      <c r="P69" s="459"/>
      <c r="Q69" s="460"/>
      <c r="R69" s="459"/>
      <c r="S69" s="460"/>
      <c r="T69" s="459"/>
      <c r="U69" s="460"/>
      <c r="V69" s="459"/>
      <c r="W69" s="460"/>
      <c r="X69" s="459"/>
      <c r="Y69" s="460"/>
      <c r="Z69" s="459"/>
      <c r="AA69" s="460"/>
      <c r="AB69" s="459"/>
      <c r="AC69" s="460"/>
      <c r="AD69" s="459"/>
      <c r="AE69" s="460"/>
      <c r="AF69" s="459"/>
      <c r="AG69" s="460"/>
      <c r="AH69" s="459"/>
      <c r="AI69" s="460"/>
      <c r="AJ69" s="459"/>
      <c r="AK69" s="460"/>
      <c r="AL69" s="459"/>
      <c r="AM69" s="460"/>
      <c r="AN69" s="459"/>
      <c r="AO69" s="460"/>
      <c r="AP69" s="459"/>
      <c r="AQ69" s="460"/>
      <c r="AR69" s="459"/>
      <c r="AS69" s="460"/>
      <c r="AT69" s="80"/>
    </row>
    <row r="70" spans="2:46" ht="15" customHeight="1" x14ac:dyDescent="0.3">
      <c r="B70" s="479"/>
      <c r="C70" s="458"/>
      <c r="D70" s="13"/>
      <c r="E70" s="4"/>
      <c r="F70" s="459"/>
      <c r="G70" s="460"/>
      <c r="H70" s="459"/>
      <c r="I70" s="460"/>
      <c r="J70" s="459"/>
      <c r="K70" s="460"/>
      <c r="L70" s="459"/>
      <c r="M70" s="460"/>
      <c r="N70" s="459"/>
      <c r="O70" s="460"/>
      <c r="P70" s="459"/>
      <c r="Q70" s="460"/>
      <c r="R70" s="459"/>
      <c r="S70" s="460"/>
      <c r="T70" s="459"/>
      <c r="U70" s="460"/>
      <c r="V70" s="459"/>
      <c r="W70" s="460"/>
      <c r="X70" s="459"/>
      <c r="Y70" s="460"/>
      <c r="Z70" s="459"/>
      <c r="AA70" s="460"/>
      <c r="AB70" s="459"/>
      <c r="AC70" s="460"/>
      <c r="AD70" s="459"/>
      <c r="AE70" s="460"/>
      <c r="AF70" s="459"/>
      <c r="AG70" s="460"/>
      <c r="AH70" s="459"/>
      <c r="AI70" s="460"/>
      <c r="AJ70" s="459"/>
      <c r="AK70" s="460"/>
      <c r="AL70" s="459"/>
      <c r="AM70" s="460"/>
      <c r="AN70" s="459"/>
      <c r="AO70" s="460"/>
      <c r="AP70" s="459"/>
      <c r="AQ70" s="460"/>
      <c r="AR70" s="459"/>
      <c r="AS70" s="460"/>
      <c r="AT70" s="80"/>
    </row>
    <row r="71" spans="2:46" ht="15" customHeight="1" x14ac:dyDescent="0.3">
      <c r="B71" s="479"/>
      <c r="C71" s="458"/>
      <c r="D71" s="13"/>
      <c r="E71" s="4"/>
      <c r="F71" s="459"/>
      <c r="G71" s="460"/>
      <c r="H71" s="459"/>
      <c r="I71" s="460"/>
      <c r="J71" s="459"/>
      <c r="K71" s="460"/>
      <c r="L71" s="459"/>
      <c r="M71" s="460"/>
      <c r="N71" s="459"/>
      <c r="O71" s="460"/>
      <c r="P71" s="459"/>
      <c r="Q71" s="460"/>
      <c r="R71" s="459"/>
      <c r="S71" s="460"/>
      <c r="T71" s="459"/>
      <c r="U71" s="460"/>
      <c r="V71" s="459"/>
      <c r="W71" s="460"/>
      <c r="X71" s="459"/>
      <c r="Y71" s="460"/>
      <c r="Z71" s="459"/>
      <c r="AA71" s="460"/>
      <c r="AB71" s="459"/>
      <c r="AC71" s="460"/>
      <c r="AD71" s="459"/>
      <c r="AE71" s="460"/>
      <c r="AF71" s="459"/>
      <c r="AG71" s="460"/>
      <c r="AH71" s="459"/>
      <c r="AI71" s="460"/>
      <c r="AJ71" s="459"/>
      <c r="AK71" s="460"/>
      <c r="AL71" s="459"/>
      <c r="AM71" s="460"/>
      <c r="AN71" s="459"/>
      <c r="AO71" s="460"/>
      <c r="AP71" s="459"/>
      <c r="AQ71" s="460"/>
      <c r="AR71" s="459"/>
      <c r="AS71" s="460"/>
      <c r="AT71" s="80"/>
    </row>
    <row r="72" spans="2:46" ht="15" customHeight="1" x14ac:dyDescent="0.3">
      <c r="B72" s="479"/>
      <c r="C72" s="458"/>
      <c r="D72" s="13"/>
      <c r="E72" s="4"/>
      <c r="F72" s="459"/>
      <c r="G72" s="460"/>
      <c r="H72" s="459"/>
      <c r="I72" s="460"/>
      <c r="J72" s="459"/>
      <c r="K72" s="460"/>
      <c r="L72" s="459"/>
      <c r="M72" s="460"/>
      <c r="N72" s="459"/>
      <c r="O72" s="460"/>
      <c r="P72" s="459"/>
      <c r="Q72" s="460"/>
      <c r="R72" s="459"/>
      <c r="S72" s="460"/>
      <c r="T72" s="459"/>
      <c r="U72" s="460"/>
      <c r="V72" s="459"/>
      <c r="W72" s="460"/>
      <c r="X72" s="459"/>
      <c r="Y72" s="460"/>
      <c r="Z72" s="459"/>
      <c r="AA72" s="460"/>
      <c r="AB72" s="459"/>
      <c r="AC72" s="460"/>
      <c r="AD72" s="459"/>
      <c r="AE72" s="460"/>
      <c r="AF72" s="459"/>
      <c r="AG72" s="460"/>
      <c r="AH72" s="459"/>
      <c r="AI72" s="460"/>
      <c r="AJ72" s="459"/>
      <c r="AK72" s="460"/>
      <c r="AL72" s="459"/>
      <c r="AM72" s="460"/>
      <c r="AN72" s="459"/>
      <c r="AO72" s="460"/>
      <c r="AP72" s="459"/>
      <c r="AQ72" s="460"/>
      <c r="AR72" s="459"/>
      <c r="AS72" s="460"/>
      <c r="AT72" s="80"/>
    </row>
    <row r="73" spans="2:46" ht="15" customHeight="1" x14ac:dyDescent="0.3">
      <c r="B73" s="479"/>
      <c r="C73" s="458"/>
      <c r="D73" s="13"/>
      <c r="E73" s="4"/>
      <c r="F73" s="459"/>
      <c r="G73" s="460"/>
      <c r="H73" s="459"/>
      <c r="I73" s="460"/>
      <c r="J73" s="459"/>
      <c r="K73" s="460"/>
      <c r="L73" s="459"/>
      <c r="M73" s="460"/>
      <c r="N73" s="459"/>
      <c r="O73" s="460"/>
      <c r="P73" s="459"/>
      <c r="Q73" s="460"/>
      <c r="R73" s="459"/>
      <c r="S73" s="460"/>
      <c r="T73" s="459"/>
      <c r="U73" s="460"/>
      <c r="V73" s="459"/>
      <c r="W73" s="460"/>
      <c r="X73" s="459"/>
      <c r="Y73" s="460"/>
      <c r="Z73" s="459"/>
      <c r="AA73" s="460"/>
      <c r="AB73" s="459"/>
      <c r="AC73" s="460"/>
      <c r="AD73" s="459"/>
      <c r="AE73" s="460"/>
      <c r="AF73" s="459"/>
      <c r="AG73" s="460"/>
      <c r="AH73" s="459"/>
      <c r="AI73" s="460"/>
      <c r="AJ73" s="459"/>
      <c r="AK73" s="460"/>
      <c r="AL73" s="459"/>
      <c r="AM73" s="460"/>
      <c r="AN73" s="459"/>
      <c r="AO73" s="460"/>
      <c r="AP73" s="459"/>
      <c r="AQ73" s="460"/>
      <c r="AR73" s="459"/>
      <c r="AS73" s="460"/>
      <c r="AT73" s="80"/>
    </row>
    <row r="74" spans="2:46" ht="15" customHeight="1" x14ac:dyDescent="0.3">
      <c r="B74" s="479"/>
      <c r="C74" s="458"/>
      <c r="D74" s="13"/>
      <c r="E74" s="4"/>
      <c r="F74" s="459"/>
      <c r="G74" s="460"/>
      <c r="H74" s="459"/>
      <c r="I74" s="460"/>
      <c r="J74" s="459"/>
      <c r="K74" s="460"/>
      <c r="L74" s="459"/>
      <c r="M74" s="460"/>
      <c r="N74" s="459"/>
      <c r="O74" s="460"/>
      <c r="P74" s="459"/>
      <c r="Q74" s="460"/>
      <c r="R74" s="459"/>
      <c r="S74" s="460"/>
      <c r="T74" s="459"/>
      <c r="U74" s="460"/>
      <c r="V74" s="459"/>
      <c r="W74" s="460"/>
      <c r="X74" s="459"/>
      <c r="Y74" s="460"/>
      <c r="Z74" s="459"/>
      <c r="AA74" s="460"/>
      <c r="AB74" s="459"/>
      <c r="AC74" s="460"/>
      <c r="AD74" s="459"/>
      <c r="AE74" s="460"/>
      <c r="AF74" s="459"/>
      <c r="AG74" s="460"/>
      <c r="AH74" s="459"/>
      <c r="AI74" s="460"/>
      <c r="AJ74" s="459"/>
      <c r="AK74" s="460"/>
      <c r="AL74" s="459"/>
      <c r="AM74" s="460"/>
      <c r="AN74" s="459"/>
      <c r="AO74" s="460"/>
      <c r="AP74" s="459"/>
      <c r="AQ74" s="460"/>
      <c r="AR74" s="459"/>
      <c r="AS74" s="460"/>
      <c r="AT74" s="80"/>
    </row>
    <row r="75" spans="2:46" ht="15" customHeight="1" x14ac:dyDescent="0.3">
      <c r="B75" s="479"/>
      <c r="C75" s="458"/>
      <c r="D75" s="13"/>
      <c r="E75" s="4"/>
      <c r="F75" s="459"/>
      <c r="G75" s="460"/>
      <c r="H75" s="459"/>
      <c r="I75" s="460"/>
      <c r="J75" s="459"/>
      <c r="K75" s="460"/>
      <c r="L75" s="459"/>
      <c r="M75" s="460"/>
      <c r="N75" s="459"/>
      <c r="O75" s="460"/>
      <c r="P75" s="459"/>
      <c r="Q75" s="460"/>
      <c r="R75" s="459"/>
      <c r="S75" s="460"/>
      <c r="T75" s="459"/>
      <c r="U75" s="460"/>
      <c r="V75" s="459"/>
      <c r="W75" s="460"/>
      <c r="X75" s="459"/>
      <c r="Y75" s="460"/>
      <c r="Z75" s="459"/>
      <c r="AA75" s="460"/>
      <c r="AB75" s="459"/>
      <c r="AC75" s="460"/>
      <c r="AD75" s="459"/>
      <c r="AE75" s="460"/>
      <c r="AF75" s="459"/>
      <c r="AG75" s="460"/>
      <c r="AH75" s="459"/>
      <c r="AI75" s="460"/>
      <c r="AJ75" s="459"/>
      <c r="AK75" s="460"/>
      <c r="AL75" s="459"/>
      <c r="AM75" s="460"/>
      <c r="AN75" s="459"/>
      <c r="AO75" s="460"/>
      <c r="AP75" s="459"/>
      <c r="AQ75" s="460"/>
      <c r="AR75" s="459"/>
      <c r="AS75" s="460"/>
      <c r="AT75" s="80"/>
    </row>
    <row r="76" spans="2:46" ht="15" customHeight="1" x14ac:dyDescent="0.3">
      <c r="B76" s="479"/>
      <c r="C76" s="458"/>
      <c r="D76" s="13"/>
      <c r="E76" s="4"/>
      <c r="F76" s="459"/>
      <c r="G76" s="460"/>
      <c r="H76" s="459"/>
      <c r="I76" s="460"/>
      <c r="J76" s="459"/>
      <c r="K76" s="460"/>
      <c r="L76" s="459"/>
      <c r="M76" s="460"/>
      <c r="N76" s="459"/>
      <c r="O76" s="460"/>
      <c r="P76" s="459"/>
      <c r="Q76" s="460"/>
      <c r="R76" s="459"/>
      <c r="S76" s="460"/>
      <c r="T76" s="459"/>
      <c r="U76" s="460"/>
      <c r="V76" s="459"/>
      <c r="W76" s="460"/>
      <c r="X76" s="459"/>
      <c r="Y76" s="460"/>
      <c r="Z76" s="459"/>
      <c r="AA76" s="460"/>
      <c r="AB76" s="459"/>
      <c r="AC76" s="460"/>
      <c r="AD76" s="459"/>
      <c r="AE76" s="460"/>
      <c r="AF76" s="459"/>
      <c r="AG76" s="460"/>
      <c r="AH76" s="459"/>
      <c r="AI76" s="460"/>
      <c r="AJ76" s="459"/>
      <c r="AK76" s="460"/>
      <c r="AL76" s="459"/>
      <c r="AM76" s="460"/>
      <c r="AN76" s="459"/>
      <c r="AO76" s="460"/>
      <c r="AP76" s="459"/>
      <c r="AQ76" s="460"/>
      <c r="AR76" s="459"/>
      <c r="AS76" s="460"/>
      <c r="AT76" s="80"/>
    </row>
    <row r="77" spans="2:46" ht="15" customHeight="1" x14ac:dyDescent="0.3">
      <c r="B77" s="479"/>
      <c r="C77" s="458">
        <f>C69/2</f>
        <v>0.03</v>
      </c>
      <c r="D77" s="13"/>
      <c r="E77" s="4"/>
      <c r="F77" s="459"/>
      <c r="G77" s="460"/>
      <c r="H77" s="459"/>
      <c r="I77" s="460"/>
      <c r="J77" s="459"/>
      <c r="K77" s="460"/>
      <c r="L77" s="459"/>
      <c r="M77" s="460"/>
      <c r="N77" s="459"/>
      <c r="O77" s="460"/>
      <c r="P77" s="459"/>
      <c r="Q77" s="460"/>
      <c r="R77" s="459"/>
      <c r="S77" s="460"/>
      <c r="T77" s="459"/>
      <c r="U77" s="460"/>
      <c r="V77" s="459"/>
      <c r="W77" s="460"/>
      <c r="X77" s="459"/>
      <c r="Y77" s="460"/>
      <c r="Z77" s="459"/>
      <c r="AA77" s="460"/>
      <c r="AB77" s="459"/>
      <c r="AC77" s="460"/>
      <c r="AD77" s="459"/>
      <c r="AE77" s="460"/>
      <c r="AF77" s="459"/>
      <c r="AG77" s="460"/>
      <c r="AH77" s="459"/>
      <c r="AI77" s="460"/>
      <c r="AJ77" s="459"/>
      <c r="AK77" s="460"/>
      <c r="AL77" s="459"/>
      <c r="AM77" s="460"/>
      <c r="AN77" s="459"/>
      <c r="AO77" s="460"/>
      <c r="AP77" s="459"/>
      <c r="AQ77" s="460"/>
      <c r="AR77" s="459"/>
      <c r="AS77" s="460"/>
      <c r="AT77" s="80"/>
    </row>
    <row r="78" spans="2:46" ht="15" customHeight="1" x14ac:dyDescent="0.3">
      <c r="B78" s="479"/>
      <c r="C78" s="458"/>
      <c r="D78" s="13"/>
      <c r="E78" s="4"/>
      <c r="F78" s="459"/>
      <c r="G78" s="460"/>
      <c r="H78" s="459"/>
      <c r="I78" s="460"/>
      <c r="J78" s="459"/>
      <c r="K78" s="460"/>
      <c r="L78" s="459"/>
      <c r="M78" s="460"/>
      <c r="N78" s="459"/>
      <c r="O78" s="460"/>
      <c r="P78" s="459"/>
      <c r="Q78" s="460"/>
      <c r="R78" s="459"/>
      <c r="S78" s="460"/>
      <c r="T78" s="459"/>
      <c r="U78" s="460"/>
      <c r="V78" s="459"/>
      <c r="W78" s="460"/>
      <c r="X78" s="459"/>
      <c r="Y78" s="460"/>
      <c r="Z78" s="459"/>
      <c r="AA78" s="460"/>
      <c r="AB78" s="459"/>
      <c r="AC78" s="460"/>
      <c r="AD78" s="459"/>
      <c r="AE78" s="460"/>
      <c r="AF78" s="459"/>
      <c r="AG78" s="460"/>
      <c r="AH78" s="459"/>
      <c r="AI78" s="460"/>
      <c r="AJ78" s="459"/>
      <c r="AK78" s="460"/>
      <c r="AL78" s="459"/>
      <c r="AM78" s="460"/>
      <c r="AN78" s="459"/>
      <c r="AO78" s="460"/>
      <c r="AP78" s="459"/>
      <c r="AQ78" s="460"/>
      <c r="AR78" s="459"/>
      <c r="AS78" s="460"/>
      <c r="AT78" s="80"/>
    </row>
    <row r="79" spans="2:46" ht="15" customHeight="1" x14ac:dyDescent="0.3">
      <c r="B79" s="479"/>
      <c r="C79" s="458"/>
      <c r="D79" s="13"/>
      <c r="E79" s="4"/>
      <c r="F79" s="459"/>
      <c r="G79" s="460"/>
      <c r="H79" s="459"/>
      <c r="I79" s="460"/>
      <c r="J79" s="459"/>
      <c r="K79" s="460"/>
      <c r="L79" s="459"/>
      <c r="M79" s="460"/>
      <c r="N79" s="459"/>
      <c r="O79" s="460"/>
      <c r="P79" s="459"/>
      <c r="Q79" s="460"/>
      <c r="R79" s="459"/>
      <c r="S79" s="460"/>
      <c r="T79" s="459"/>
      <c r="U79" s="460"/>
      <c r="V79" s="459"/>
      <c r="W79" s="460"/>
      <c r="X79" s="459"/>
      <c r="Y79" s="460"/>
      <c r="Z79" s="459"/>
      <c r="AA79" s="460"/>
      <c r="AB79" s="459"/>
      <c r="AC79" s="460"/>
      <c r="AD79" s="459"/>
      <c r="AE79" s="460"/>
      <c r="AF79" s="459"/>
      <c r="AG79" s="460"/>
      <c r="AH79" s="459"/>
      <c r="AI79" s="460"/>
      <c r="AJ79" s="459"/>
      <c r="AK79" s="460"/>
      <c r="AL79" s="459"/>
      <c r="AM79" s="460"/>
      <c r="AN79" s="459"/>
      <c r="AO79" s="460"/>
      <c r="AP79" s="459"/>
      <c r="AQ79" s="460"/>
      <c r="AR79" s="459"/>
      <c r="AS79" s="460"/>
      <c r="AT79" s="80"/>
    </row>
    <row r="80" spans="2:46" ht="15" customHeight="1" x14ac:dyDescent="0.3">
      <c r="B80" s="479"/>
      <c r="C80" s="458"/>
      <c r="D80" s="13"/>
      <c r="E80" s="4"/>
      <c r="F80" s="459"/>
      <c r="G80" s="460"/>
      <c r="H80" s="459"/>
      <c r="I80" s="460"/>
      <c r="J80" s="459"/>
      <c r="K80" s="460"/>
      <c r="L80" s="459"/>
      <c r="M80" s="460"/>
      <c r="N80" s="459"/>
      <c r="O80" s="460"/>
      <c r="P80" s="459"/>
      <c r="Q80" s="460"/>
      <c r="R80" s="459"/>
      <c r="S80" s="460"/>
      <c r="T80" s="459"/>
      <c r="U80" s="460"/>
      <c r="V80" s="459"/>
      <c r="W80" s="460"/>
      <c r="X80" s="459"/>
      <c r="Y80" s="460"/>
      <c r="Z80" s="459"/>
      <c r="AA80" s="460"/>
      <c r="AB80" s="459"/>
      <c r="AC80" s="460"/>
      <c r="AD80" s="459"/>
      <c r="AE80" s="460"/>
      <c r="AF80" s="459"/>
      <c r="AG80" s="460"/>
      <c r="AH80" s="459"/>
      <c r="AI80" s="460"/>
      <c r="AJ80" s="459"/>
      <c r="AK80" s="460"/>
      <c r="AL80" s="459"/>
      <c r="AM80" s="460"/>
      <c r="AN80" s="459"/>
      <c r="AO80" s="460"/>
      <c r="AP80" s="459"/>
      <c r="AQ80" s="460"/>
      <c r="AR80" s="459"/>
      <c r="AS80" s="460"/>
      <c r="AT80" s="80"/>
    </row>
    <row r="81" spans="2:46" ht="15" customHeight="1" x14ac:dyDescent="0.3">
      <c r="B81" s="479"/>
      <c r="C81" s="458">
        <f>C77/2</f>
        <v>1.4999999999999999E-2</v>
      </c>
      <c r="D81" s="13"/>
      <c r="E81" s="4"/>
      <c r="F81" s="459"/>
      <c r="G81" s="460"/>
      <c r="H81" s="459"/>
      <c r="I81" s="460"/>
      <c r="J81" s="459"/>
      <c r="K81" s="460"/>
      <c r="L81" s="459"/>
      <c r="M81" s="460"/>
      <c r="N81" s="459"/>
      <c r="O81" s="460"/>
      <c r="P81" s="459"/>
      <c r="Q81" s="460"/>
      <c r="R81" s="459"/>
      <c r="S81" s="460"/>
      <c r="T81" s="459"/>
      <c r="U81" s="460"/>
      <c r="V81" s="459"/>
      <c r="W81" s="460"/>
      <c r="X81" s="459"/>
      <c r="Y81" s="460"/>
      <c r="Z81" s="459"/>
      <c r="AA81" s="460"/>
      <c r="AB81" s="459"/>
      <c r="AC81" s="460"/>
      <c r="AD81" s="459"/>
      <c r="AE81" s="460"/>
      <c r="AF81" s="459"/>
      <c r="AG81" s="460"/>
      <c r="AH81" s="459"/>
      <c r="AI81" s="460"/>
      <c r="AJ81" s="459"/>
      <c r="AK81" s="460"/>
      <c r="AL81" s="459"/>
      <c r="AM81" s="460"/>
      <c r="AN81" s="459"/>
      <c r="AO81" s="460"/>
      <c r="AP81" s="459"/>
      <c r="AQ81" s="460"/>
      <c r="AR81" s="459"/>
      <c r="AS81" s="460"/>
      <c r="AT81" s="80"/>
    </row>
    <row r="82" spans="2:46" ht="15" customHeight="1" x14ac:dyDescent="0.3">
      <c r="B82" s="479"/>
      <c r="C82" s="458"/>
      <c r="D82" s="13"/>
      <c r="E82" s="4"/>
      <c r="F82" s="459"/>
      <c r="G82" s="460"/>
      <c r="H82" s="459"/>
      <c r="I82" s="460"/>
      <c r="J82" s="459"/>
      <c r="K82" s="460"/>
      <c r="L82" s="459"/>
      <c r="M82" s="460"/>
      <c r="N82" s="459"/>
      <c r="O82" s="460"/>
      <c r="P82" s="459"/>
      <c r="Q82" s="460"/>
      <c r="R82" s="459"/>
      <c r="S82" s="460"/>
      <c r="T82" s="459"/>
      <c r="U82" s="460"/>
      <c r="V82" s="459"/>
      <c r="W82" s="460"/>
      <c r="X82" s="459"/>
      <c r="Y82" s="460"/>
      <c r="Z82" s="459"/>
      <c r="AA82" s="460"/>
      <c r="AB82" s="459"/>
      <c r="AC82" s="460"/>
      <c r="AD82" s="459"/>
      <c r="AE82" s="460"/>
      <c r="AF82" s="459"/>
      <c r="AG82" s="460"/>
      <c r="AH82" s="459"/>
      <c r="AI82" s="460"/>
      <c r="AJ82" s="459"/>
      <c r="AK82" s="460"/>
      <c r="AL82" s="459"/>
      <c r="AM82" s="460"/>
      <c r="AN82" s="459"/>
      <c r="AO82" s="460"/>
      <c r="AP82" s="459"/>
      <c r="AQ82" s="460"/>
      <c r="AR82" s="459"/>
      <c r="AS82" s="460"/>
      <c r="AT82" s="80"/>
    </row>
    <row r="83" spans="2:46" ht="15" customHeight="1" x14ac:dyDescent="0.3">
      <c r="B83" s="479"/>
      <c r="C83" s="499"/>
      <c r="D83" s="3"/>
      <c r="E83" s="8"/>
      <c r="F83" s="459"/>
      <c r="G83" s="460"/>
      <c r="H83" s="459"/>
      <c r="I83" s="460"/>
      <c r="J83" s="459"/>
      <c r="K83" s="460"/>
      <c r="L83" s="459"/>
      <c r="M83" s="460"/>
      <c r="N83" s="459"/>
      <c r="O83" s="460"/>
      <c r="P83" s="459"/>
      <c r="Q83" s="460"/>
      <c r="R83" s="459"/>
      <c r="S83" s="460"/>
      <c r="T83" s="459"/>
      <c r="U83" s="460"/>
      <c r="V83" s="459"/>
      <c r="W83" s="460"/>
      <c r="X83" s="459"/>
      <c r="Y83" s="460"/>
      <c r="Z83" s="459"/>
      <c r="AA83" s="460"/>
      <c r="AB83" s="459"/>
      <c r="AC83" s="460"/>
      <c r="AD83" s="459"/>
      <c r="AE83" s="460"/>
      <c r="AF83" s="459"/>
      <c r="AG83" s="460"/>
      <c r="AH83" s="459"/>
      <c r="AI83" s="460"/>
      <c r="AJ83" s="459"/>
      <c r="AK83" s="460"/>
      <c r="AL83" s="459"/>
      <c r="AM83" s="460"/>
      <c r="AN83" s="459"/>
      <c r="AO83" s="460"/>
      <c r="AP83" s="459"/>
      <c r="AQ83" s="460"/>
      <c r="AR83" s="459"/>
      <c r="AS83" s="460"/>
      <c r="AT83" s="76"/>
    </row>
    <row r="84" spans="2:46" ht="15.75" customHeight="1" thickBot="1" x14ac:dyDescent="0.35">
      <c r="B84" s="480"/>
      <c r="C84" s="500"/>
      <c r="D84" s="85"/>
      <c r="E84" s="86"/>
      <c r="F84" s="494"/>
      <c r="G84" s="495"/>
      <c r="H84" s="494"/>
      <c r="I84" s="495"/>
      <c r="J84" s="494"/>
      <c r="K84" s="495"/>
      <c r="L84" s="494"/>
      <c r="M84" s="495"/>
      <c r="N84" s="494"/>
      <c r="O84" s="495"/>
      <c r="P84" s="494"/>
      <c r="Q84" s="495"/>
      <c r="R84" s="494"/>
      <c r="S84" s="495"/>
      <c r="T84" s="494"/>
      <c r="U84" s="495"/>
      <c r="V84" s="494"/>
      <c r="W84" s="495"/>
      <c r="X84" s="494"/>
      <c r="Y84" s="495"/>
      <c r="Z84" s="494"/>
      <c r="AA84" s="495"/>
      <c r="AB84" s="494"/>
      <c r="AC84" s="495"/>
      <c r="AD84" s="494"/>
      <c r="AE84" s="495"/>
      <c r="AF84" s="494"/>
      <c r="AG84" s="495"/>
      <c r="AH84" s="494"/>
      <c r="AI84" s="495"/>
      <c r="AJ84" s="494"/>
      <c r="AK84" s="495"/>
      <c r="AL84" s="494"/>
      <c r="AM84" s="495"/>
      <c r="AN84" s="494"/>
      <c r="AO84" s="495"/>
      <c r="AP84" s="494"/>
      <c r="AQ84" s="495"/>
      <c r="AR84" s="494"/>
      <c r="AS84" s="495"/>
      <c r="AT84" s="87"/>
    </row>
    <row r="85" spans="2:46" s="48" customFormat="1" ht="26.4" thickTop="1" x14ac:dyDescent="0.5">
      <c r="E85" s="493">
        <v>1</v>
      </c>
      <c r="F85" s="493"/>
      <c r="G85" s="493">
        <v>2</v>
      </c>
      <c r="H85" s="493"/>
      <c r="I85" s="493">
        <v>3</v>
      </c>
      <c r="J85" s="493"/>
      <c r="K85" s="493">
        <v>4</v>
      </c>
      <c r="L85" s="493"/>
      <c r="M85" s="493">
        <v>5</v>
      </c>
      <c r="N85" s="493"/>
      <c r="O85" s="493">
        <v>6</v>
      </c>
      <c r="P85" s="493"/>
      <c r="Q85" s="493">
        <v>7</v>
      </c>
      <c r="R85" s="493"/>
      <c r="S85" s="493">
        <v>8</v>
      </c>
      <c r="T85" s="493"/>
      <c r="U85" s="493">
        <v>9</v>
      </c>
      <c r="V85" s="493"/>
      <c r="W85" s="493">
        <v>10</v>
      </c>
      <c r="X85" s="493"/>
      <c r="Y85" s="493">
        <v>11</v>
      </c>
      <c r="Z85" s="493"/>
      <c r="AA85" s="493">
        <v>12</v>
      </c>
      <c r="AB85" s="493"/>
      <c r="AC85" s="493">
        <v>13</v>
      </c>
      <c r="AD85" s="493"/>
      <c r="AE85" s="493">
        <v>14</v>
      </c>
      <c r="AF85" s="493"/>
      <c r="AG85" s="493">
        <v>15</v>
      </c>
      <c r="AH85" s="493"/>
      <c r="AI85" s="493">
        <v>16</v>
      </c>
      <c r="AJ85" s="493"/>
      <c r="AK85" s="493">
        <v>17</v>
      </c>
      <c r="AL85" s="493"/>
      <c r="AM85" s="493">
        <v>18</v>
      </c>
      <c r="AN85" s="493"/>
      <c r="AO85" s="493">
        <v>19</v>
      </c>
      <c r="AP85" s="493"/>
      <c r="AQ85" s="493">
        <v>20</v>
      </c>
      <c r="AR85" s="493"/>
      <c r="AS85" s="493">
        <v>21</v>
      </c>
      <c r="AT85" s="493"/>
    </row>
    <row r="86" spans="2:46" s="47" customFormat="1" ht="29.4" thickBot="1" x14ac:dyDescent="0.55000000000000004">
      <c r="B86" s="99" t="s">
        <v>91</v>
      </c>
      <c r="C86" s="99"/>
      <c r="D86" s="99"/>
      <c r="E86" s="99"/>
      <c r="F86" s="99"/>
      <c r="G86" s="99"/>
      <c r="H86" s="99" t="s">
        <v>88</v>
      </c>
      <c r="I86" s="99"/>
      <c r="J86" s="99"/>
      <c r="K86" s="99"/>
      <c r="L86" s="99"/>
      <c r="M86" s="99"/>
      <c r="N86" s="99"/>
      <c r="O86" s="99"/>
      <c r="P86" s="99"/>
      <c r="Q86" s="99"/>
      <c r="R86" s="99"/>
      <c r="S86" s="99"/>
      <c r="T86" s="99"/>
      <c r="U86" s="99"/>
      <c r="V86" s="99"/>
      <c r="W86" s="99"/>
      <c r="X86" s="99"/>
      <c r="Y86" s="99"/>
      <c r="Z86" s="99"/>
      <c r="AA86" s="99"/>
      <c r="AB86" s="100" t="s">
        <v>8</v>
      </c>
      <c r="AC86" s="99"/>
      <c r="AD86" s="496" t="s">
        <v>9</v>
      </c>
      <c r="AE86" s="496"/>
      <c r="AF86" s="496"/>
      <c r="AG86" s="496"/>
      <c r="AH86" s="99"/>
      <c r="AI86" s="99"/>
      <c r="AJ86" s="497" t="s">
        <v>10</v>
      </c>
      <c r="AK86" s="497"/>
      <c r="AL86" s="497"/>
      <c r="AM86" s="497"/>
      <c r="AN86" s="99"/>
      <c r="AO86" s="99"/>
      <c r="AP86" s="498" t="s">
        <v>11</v>
      </c>
      <c r="AQ86" s="498"/>
      <c r="AR86" s="498"/>
      <c r="AS86" s="498"/>
    </row>
    <row r="87" spans="2:46" s="48" customFormat="1" ht="25.8" x14ac:dyDescent="0.5"/>
    <row r="88" spans="2:46" s="48" customFormat="1" ht="25.8" x14ac:dyDescent="0.5"/>
    <row r="89" spans="2:46" x14ac:dyDescent="0.3">
      <c r="B89" s="23"/>
    </row>
  </sheetData>
  <mergeCells count="1615">
    <mergeCell ref="AM85:AN85"/>
    <mergeCell ref="AO85:AP85"/>
    <mergeCell ref="AQ85:AR85"/>
    <mergeCell ref="AS85:AT85"/>
    <mergeCell ref="AD86:AG86"/>
    <mergeCell ref="AJ86:AM86"/>
    <mergeCell ref="AP86:AS86"/>
    <mergeCell ref="AA85:AB85"/>
    <mergeCell ref="AC85:AD85"/>
    <mergeCell ref="AE85:AF85"/>
    <mergeCell ref="AG85:AH85"/>
    <mergeCell ref="AI85:AJ85"/>
    <mergeCell ref="AK85:AL85"/>
    <mergeCell ref="O85:P85"/>
    <mergeCell ref="Q85:R85"/>
    <mergeCell ref="S85:T85"/>
    <mergeCell ref="U85:V85"/>
    <mergeCell ref="W85:X85"/>
    <mergeCell ref="Y85:Z85"/>
    <mergeCell ref="AR84:AS84"/>
    <mergeCell ref="X82:Y82"/>
    <mergeCell ref="Z82:AA82"/>
    <mergeCell ref="F82:G82"/>
    <mergeCell ref="H82:I82"/>
    <mergeCell ref="J82:K82"/>
    <mergeCell ref="L82:M82"/>
    <mergeCell ref="N82:O82"/>
    <mergeCell ref="P82:Q82"/>
    <mergeCell ref="AR83:AS83"/>
    <mergeCell ref="F84:G84"/>
    <mergeCell ref="H84:I84"/>
    <mergeCell ref="J84:K84"/>
    <mergeCell ref="L84:M84"/>
    <mergeCell ref="N84:O84"/>
    <mergeCell ref="P84:Q84"/>
    <mergeCell ref="R84:S84"/>
    <mergeCell ref="T84:U84"/>
    <mergeCell ref="V84:W84"/>
    <mergeCell ref="AF83:AG83"/>
    <mergeCell ref="AH83:AI83"/>
    <mergeCell ref="AR82:AS82"/>
    <mergeCell ref="AD84:AE84"/>
    <mergeCell ref="AF84:AG84"/>
    <mergeCell ref="AH84:AI84"/>
    <mergeCell ref="R83:S83"/>
    <mergeCell ref="AD82:AE82"/>
    <mergeCell ref="AF82:AG82"/>
    <mergeCell ref="AH82:AI82"/>
    <mergeCell ref="AJ82:AK82"/>
    <mergeCell ref="AL82:AM82"/>
    <mergeCell ref="AN82:AO82"/>
    <mergeCell ref="E85:F85"/>
    <mergeCell ref="G85:H85"/>
    <mergeCell ref="I85:J85"/>
    <mergeCell ref="K85:L85"/>
    <mergeCell ref="M85:N85"/>
    <mergeCell ref="C81:C82"/>
    <mergeCell ref="F81:G81"/>
    <mergeCell ref="H81:I81"/>
    <mergeCell ref="J81:K81"/>
    <mergeCell ref="L81:M81"/>
    <mergeCell ref="X80:Y80"/>
    <mergeCell ref="Z80:AA80"/>
    <mergeCell ref="AB80:AC80"/>
    <mergeCell ref="AD80:AE80"/>
    <mergeCell ref="AF80:AG80"/>
    <mergeCell ref="AH80:AI80"/>
    <mergeCell ref="AP82:AQ82"/>
    <mergeCell ref="C83:C84"/>
    <mergeCell ref="F83:G83"/>
    <mergeCell ref="H83:I83"/>
    <mergeCell ref="J83:K83"/>
    <mergeCell ref="L83:M83"/>
    <mergeCell ref="N83:O83"/>
    <mergeCell ref="P83:Q83"/>
    <mergeCell ref="AB82:AC82"/>
    <mergeCell ref="AJ84:AK84"/>
    <mergeCell ref="AL84:AM84"/>
    <mergeCell ref="AN84:AO84"/>
    <mergeCell ref="AP84:AQ84"/>
    <mergeCell ref="X84:Y84"/>
    <mergeCell ref="Z84:AA84"/>
    <mergeCell ref="AB84:AC84"/>
    <mergeCell ref="R82:S82"/>
    <mergeCell ref="T82:U82"/>
    <mergeCell ref="V82:W82"/>
    <mergeCell ref="AP79:AQ79"/>
    <mergeCell ref="C79:C80"/>
    <mergeCell ref="F79:G79"/>
    <mergeCell ref="H79:I79"/>
    <mergeCell ref="J79:K79"/>
    <mergeCell ref="L79:M79"/>
    <mergeCell ref="N79:O79"/>
    <mergeCell ref="P79:Q79"/>
    <mergeCell ref="R79:S79"/>
    <mergeCell ref="AL81:AM81"/>
    <mergeCell ref="AN81:AO81"/>
    <mergeCell ref="AP81:AQ81"/>
    <mergeCell ref="AJ83:AK83"/>
    <mergeCell ref="AL83:AM83"/>
    <mergeCell ref="AN83:AO83"/>
    <mergeCell ref="AP83:AQ83"/>
    <mergeCell ref="T83:U83"/>
    <mergeCell ref="V83:W83"/>
    <mergeCell ref="X83:Y83"/>
    <mergeCell ref="Z83:AA83"/>
    <mergeCell ref="AB83:AC83"/>
    <mergeCell ref="AD83:AE83"/>
    <mergeCell ref="AR81:AS81"/>
    <mergeCell ref="T79:U79"/>
    <mergeCell ref="V79:W79"/>
    <mergeCell ref="X79:Y79"/>
    <mergeCell ref="Z79:AA79"/>
    <mergeCell ref="AB79:AC79"/>
    <mergeCell ref="AD79:AE79"/>
    <mergeCell ref="Z81:AA81"/>
    <mergeCell ref="AB81:AC81"/>
    <mergeCell ref="AD81:AE81"/>
    <mergeCell ref="AF81:AG81"/>
    <mergeCell ref="AH81:AI81"/>
    <mergeCell ref="AJ81:AK81"/>
    <mergeCell ref="N81:O81"/>
    <mergeCell ref="P81:Q81"/>
    <mergeCell ref="R81:S81"/>
    <mergeCell ref="T81:U81"/>
    <mergeCell ref="V81:W81"/>
    <mergeCell ref="X81:Y81"/>
    <mergeCell ref="AR80:AS80"/>
    <mergeCell ref="AP80:AQ80"/>
    <mergeCell ref="AR79:AS79"/>
    <mergeCell ref="Z78:AA78"/>
    <mergeCell ref="AB78:AC78"/>
    <mergeCell ref="AJ80:AK80"/>
    <mergeCell ref="AL80:AM80"/>
    <mergeCell ref="AN80:AO80"/>
    <mergeCell ref="AL77:AM77"/>
    <mergeCell ref="AN77:AO77"/>
    <mergeCell ref="F80:G80"/>
    <mergeCell ref="H80:I80"/>
    <mergeCell ref="J80:K80"/>
    <mergeCell ref="L80:M80"/>
    <mergeCell ref="N80:O80"/>
    <mergeCell ref="P80:Q80"/>
    <mergeCell ref="R80:S80"/>
    <mergeCell ref="T80:U80"/>
    <mergeCell ref="V80:W80"/>
    <mergeCell ref="AF79:AG79"/>
    <mergeCell ref="AH79:AI79"/>
    <mergeCell ref="AJ79:AK79"/>
    <mergeCell ref="AL79:AM79"/>
    <mergeCell ref="AN79:AO79"/>
    <mergeCell ref="AP77:AQ77"/>
    <mergeCell ref="AR77:AS77"/>
    <mergeCell ref="F78:G78"/>
    <mergeCell ref="H78:I78"/>
    <mergeCell ref="J78:K78"/>
    <mergeCell ref="L78:M78"/>
    <mergeCell ref="N78:O78"/>
    <mergeCell ref="P78:Q78"/>
    <mergeCell ref="Z77:AA77"/>
    <mergeCell ref="AB77:AC77"/>
    <mergeCell ref="AD77:AE77"/>
    <mergeCell ref="AF77:AG77"/>
    <mergeCell ref="AH77:AI77"/>
    <mergeCell ref="AJ77:AK77"/>
    <mergeCell ref="N77:O77"/>
    <mergeCell ref="P77:Q77"/>
    <mergeCell ref="R77:S77"/>
    <mergeCell ref="T77:U77"/>
    <mergeCell ref="V77:W77"/>
    <mergeCell ref="X77:Y77"/>
    <mergeCell ref="AP78:AQ78"/>
    <mergeCell ref="AR78:AS78"/>
    <mergeCell ref="AD78:AE78"/>
    <mergeCell ref="AF78:AG78"/>
    <mergeCell ref="AH78:AI78"/>
    <mergeCell ref="AJ78:AK78"/>
    <mergeCell ref="AL78:AM78"/>
    <mergeCell ref="AN78:AO78"/>
    <mergeCell ref="R78:S78"/>
    <mergeCell ref="T78:U78"/>
    <mergeCell ref="V78:W78"/>
    <mergeCell ref="X78:Y78"/>
    <mergeCell ref="AJ76:AK76"/>
    <mergeCell ref="AL76:AM76"/>
    <mergeCell ref="AN76:AO76"/>
    <mergeCell ref="AP76:AQ76"/>
    <mergeCell ref="AR76:AS76"/>
    <mergeCell ref="C77:C78"/>
    <mergeCell ref="F77:G77"/>
    <mergeCell ref="H77:I77"/>
    <mergeCell ref="J77:K77"/>
    <mergeCell ref="L77:M77"/>
    <mergeCell ref="X76:Y76"/>
    <mergeCell ref="Z76:AA76"/>
    <mergeCell ref="AB76:AC76"/>
    <mergeCell ref="AD76:AE76"/>
    <mergeCell ref="AF76:AG76"/>
    <mergeCell ref="AH76:AI76"/>
    <mergeCell ref="AR75:AS75"/>
    <mergeCell ref="F76:G76"/>
    <mergeCell ref="H76:I76"/>
    <mergeCell ref="J76:K76"/>
    <mergeCell ref="L76:M76"/>
    <mergeCell ref="N76:O76"/>
    <mergeCell ref="P76:Q76"/>
    <mergeCell ref="R76:S76"/>
    <mergeCell ref="T76:U76"/>
    <mergeCell ref="V76:W76"/>
    <mergeCell ref="AF75:AG75"/>
    <mergeCell ref="AH75:AI75"/>
    <mergeCell ref="AJ75:AK75"/>
    <mergeCell ref="AL75:AM75"/>
    <mergeCell ref="AN75:AO75"/>
    <mergeCell ref="AP75:AQ75"/>
    <mergeCell ref="T75:U75"/>
    <mergeCell ref="V75:W75"/>
    <mergeCell ref="X75:Y75"/>
    <mergeCell ref="Z75:AA75"/>
    <mergeCell ref="AB75:AC75"/>
    <mergeCell ref="AD75:AE75"/>
    <mergeCell ref="AP74:AQ74"/>
    <mergeCell ref="AR74:AS74"/>
    <mergeCell ref="C75:C76"/>
    <mergeCell ref="F75:G75"/>
    <mergeCell ref="H75:I75"/>
    <mergeCell ref="J75:K75"/>
    <mergeCell ref="L75:M75"/>
    <mergeCell ref="N75:O75"/>
    <mergeCell ref="P75:Q75"/>
    <mergeCell ref="R75:S75"/>
    <mergeCell ref="AD74:AE74"/>
    <mergeCell ref="AF74:AG74"/>
    <mergeCell ref="AH74:AI74"/>
    <mergeCell ref="AJ74:AK74"/>
    <mergeCell ref="AL74:AM74"/>
    <mergeCell ref="AN74:AO74"/>
    <mergeCell ref="R74:S74"/>
    <mergeCell ref="T74:U74"/>
    <mergeCell ref="V74:W74"/>
    <mergeCell ref="X74:Y74"/>
    <mergeCell ref="Z74:AA74"/>
    <mergeCell ref="AB74:AC74"/>
    <mergeCell ref="F74:G74"/>
    <mergeCell ref="H74:I74"/>
    <mergeCell ref="J74:K74"/>
    <mergeCell ref="L74:M74"/>
    <mergeCell ref="C73:C74"/>
    <mergeCell ref="F73:G73"/>
    <mergeCell ref="H73:I73"/>
    <mergeCell ref="J73:K73"/>
    <mergeCell ref="L73:M73"/>
    <mergeCell ref="N73:O73"/>
    <mergeCell ref="P73:Q73"/>
    <mergeCell ref="R73:S73"/>
    <mergeCell ref="T73:U73"/>
    <mergeCell ref="AF72:AG72"/>
    <mergeCell ref="AH72:AI72"/>
    <mergeCell ref="AJ72:AK72"/>
    <mergeCell ref="AL72:AM72"/>
    <mergeCell ref="AN72:AO72"/>
    <mergeCell ref="AP72:AQ72"/>
    <mergeCell ref="T72:U72"/>
    <mergeCell ref="V72:W72"/>
    <mergeCell ref="X71:Y71"/>
    <mergeCell ref="Z71:AA71"/>
    <mergeCell ref="N74:O74"/>
    <mergeCell ref="P74:Q74"/>
    <mergeCell ref="AH73:AI73"/>
    <mergeCell ref="AJ73:AK73"/>
    <mergeCell ref="AL73:AM73"/>
    <mergeCell ref="AN73:AO73"/>
    <mergeCell ref="AP73:AQ73"/>
    <mergeCell ref="AR73:AS73"/>
    <mergeCell ref="V73:W73"/>
    <mergeCell ref="X73:Y73"/>
    <mergeCell ref="Z73:AA73"/>
    <mergeCell ref="AB73:AC73"/>
    <mergeCell ref="AD73:AE73"/>
    <mergeCell ref="AF73:AG73"/>
    <mergeCell ref="AR72:AS72"/>
    <mergeCell ref="AJ69:AK69"/>
    <mergeCell ref="AL69:AM69"/>
    <mergeCell ref="AN69:AO69"/>
    <mergeCell ref="AP69:AQ69"/>
    <mergeCell ref="T69:U69"/>
    <mergeCell ref="V69:W69"/>
    <mergeCell ref="X69:Y69"/>
    <mergeCell ref="Z69:AA69"/>
    <mergeCell ref="X72:Y72"/>
    <mergeCell ref="Z72:AA72"/>
    <mergeCell ref="AB72:AC72"/>
    <mergeCell ref="AD72:AE72"/>
    <mergeCell ref="AN71:AO71"/>
    <mergeCell ref="AP71:AQ71"/>
    <mergeCell ref="AR71:AS71"/>
    <mergeCell ref="F72:G72"/>
    <mergeCell ref="H72:I72"/>
    <mergeCell ref="J72:K72"/>
    <mergeCell ref="L72:M72"/>
    <mergeCell ref="N72:O72"/>
    <mergeCell ref="P72:Q72"/>
    <mergeCell ref="R72:S72"/>
    <mergeCell ref="AB71:AC71"/>
    <mergeCell ref="AD71:AE71"/>
    <mergeCell ref="AF71:AG71"/>
    <mergeCell ref="AH71:AI71"/>
    <mergeCell ref="AJ71:AK71"/>
    <mergeCell ref="AL71:AM71"/>
    <mergeCell ref="P71:Q71"/>
    <mergeCell ref="R71:S71"/>
    <mergeCell ref="T71:U71"/>
    <mergeCell ref="V71:W71"/>
    <mergeCell ref="AJ70:AK70"/>
    <mergeCell ref="AL70:AM70"/>
    <mergeCell ref="AN70:AO70"/>
    <mergeCell ref="AP70:AQ70"/>
    <mergeCell ref="F68:G68"/>
    <mergeCell ref="H68:I68"/>
    <mergeCell ref="J68:K68"/>
    <mergeCell ref="L68:M68"/>
    <mergeCell ref="AR70:AS70"/>
    <mergeCell ref="F71:G71"/>
    <mergeCell ref="H71:I71"/>
    <mergeCell ref="J71:K71"/>
    <mergeCell ref="L71:M71"/>
    <mergeCell ref="N71:O71"/>
    <mergeCell ref="X70:Y70"/>
    <mergeCell ref="Z70:AA70"/>
    <mergeCell ref="AB70:AC70"/>
    <mergeCell ref="AD70:AE70"/>
    <mergeCell ref="AF70:AG70"/>
    <mergeCell ref="AH70:AI70"/>
    <mergeCell ref="AR69:AS69"/>
    <mergeCell ref="F70:G70"/>
    <mergeCell ref="H70:I70"/>
    <mergeCell ref="J70:K70"/>
    <mergeCell ref="L70:M70"/>
    <mergeCell ref="N70:O70"/>
    <mergeCell ref="P70:Q70"/>
    <mergeCell ref="R70:S70"/>
    <mergeCell ref="T70:U70"/>
    <mergeCell ref="V70:W70"/>
    <mergeCell ref="AF69:AG69"/>
    <mergeCell ref="AH69:AI69"/>
    <mergeCell ref="C67:C68"/>
    <mergeCell ref="F67:G67"/>
    <mergeCell ref="H67:I67"/>
    <mergeCell ref="J67:K67"/>
    <mergeCell ref="L67:M67"/>
    <mergeCell ref="X66:Y66"/>
    <mergeCell ref="Z66:AA66"/>
    <mergeCell ref="AB66:AC66"/>
    <mergeCell ref="AD66:AE66"/>
    <mergeCell ref="AF66:AG66"/>
    <mergeCell ref="AH66:AI66"/>
    <mergeCell ref="AB69:AC69"/>
    <mergeCell ref="AD69:AE69"/>
    <mergeCell ref="AP68:AQ68"/>
    <mergeCell ref="AR68:AS68"/>
    <mergeCell ref="C69:C72"/>
    <mergeCell ref="F69:G69"/>
    <mergeCell ref="H69:I69"/>
    <mergeCell ref="J69:K69"/>
    <mergeCell ref="L69:M69"/>
    <mergeCell ref="N69:O69"/>
    <mergeCell ref="P69:Q69"/>
    <mergeCell ref="R69:S69"/>
    <mergeCell ref="AD68:AE68"/>
    <mergeCell ref="AF68:AG68"/>
    <mergeCell ref="AH68:AI68"/>
    <mergeCell ref="AJ68:AK68"/>
    <mergeCell ref="AL68:AM68"/>
    <mergeCell ref="AN68:AO68"/>
    <mergeCell ref="R68:S68"/>
    <mergeCell ref="T68:U68"/>
    <mergeCell ref="V68:W68"/>
    <mergeCell ref="AR67:AS67"/>
    <mergeCell ref="T65:U65"/>
    <mergeCell ref="V65:W65"/>
    <mergeCell ref="X65:Y65"/>
    <mergeCell ref="Z65:AA65"/>
    <mergeCell ref="AB65:AC65"/>
    <mergeCell ref="AD65:AE65"/>
    <mergeCell ref="N68:O68"/>
    <mergeCell ref="P68:Q68"/>
    <mergeCell ref="Z67:AA67"/>
    <mergeCell ref="AB67:AC67"/>
    <mergeCell ref="AD67:AE67"/>
    <mergeCell ref="AF67:AG67"/>
    <mergeCell ref="AH67:AI67"/>
    <mergeCell ref="AJ67:AK67"/>
    <mergeCell ref="N67:O67"/>
    <mergeCell ref="P67:Q67"/>
    <mergeCell ref="R67:S67"/>
    <mergeCell ref="T67:U67"/>
    <mergeCell ref="V67:W67"/>
    <mergeCell ref="X67:Y67"/>
    <mergeCell ref="AR66:AS66"/>
    <mergeCell ref="X68:Y68"/>
    <mergeCell ref="Z68:AA68"/>
    <mergeCell ref="AB68:AC68"/>
    <mergeCell ref="F66:G66"/>
    <mergeCell ref="H66:I66"/>
    <mergeCell ref="J66:K66"/>
    <mergeCell ref="L66:M66"/>
    <mergeCell ref="N66:O66"/>
    <mergeCell ref="P66:Q66"/>
    <mergeCell ref="R66:S66"/>
    <mergeCell ref="T66:U66"/>
    <mergeCell ref="V66:W66"/>
    <mergeCell ref="AF65:AG65"/>
    <mergeCell ref="AH65:AI65"/>
    <mergeCell ref="AJ65:AK65"/>
    <mergeCell ref="AL65:AM65"/>
    <mergeCell ref="AN65:AO65"/>
    <mergeCell ref="AP65:AQ65"/>
    <mergeCell ref="AL67:AM67"/>
    <mergeCell ref="AN67:AO67"/>
    <mergeCell ref="AP67:AQ67"/>
    <mergeCell ref="AP64:AQ64"/>
    <mergeCell ref="AR64:AS64"/>
    <mergeCell ref="C65:C66"/>
    <mergeCell ref="F65:G65"/>
    <mergeCell ref="H65:I65"/>
    <mergeCell ref="J65:K65"/>
    <mergeCell ref="L65:M65"/>
    <mergeCell ref="N65:O65"/>
    <mergeCell ref="P65:Q65"/>
    <mergeCell ref="R65:S65"/>
    <mergeCell ref="AD64:AE64"/>
    <mergeCell ref="AF64:AG64"/>
    <mergeCell ref="AH64:AI64"/>
    <mergeCell ref="AJ64:AK64"/>
    <mergeCell ref="AL64:AM64"/>
    <mergeCell ref="AN64:AO64"/>
    <mergeCell ref="R64:S64"/>
    <mergeCell ref="T64:U64"/>
    <mergeCell ref="V64:W64"/>
    <mergeCell ref="X64:Y64"/>
    <mergeCell ref="Z64:AA64"/>
    <mergeCell ref="AB64:AC64"/>
    <mergeCell ref="AJ66:AK66"/>
    <mergeCell ref="AL66:AM66"/>
    <mergeCell ref="AN66:AO66"/>
    <mergeCell ref="AP66:AQ66"/>
    <mergeCell ref="H64:I64"/>
    <mergeCell ref="J64:K64"/>
    <mergeCell ref="L64:M64"/>
    <mergeCell ref="N64:O64"/>
    <mergeCell ref="P64:Q64"/>
    <mergeCell ref="AR65:AS65"/>
    <mergeCell ref="Z63:AA63"/>
    <mergeCell ref="AB63:AC63"/>
    <mergeCell ref="AD63:AE63"/>
    <mergeCell ref="AF63:AG63"/>
    <mergeCell ref="AH63:AI63"/>
    <mergeCell ref="AJ63:AK63"/>
    <mergeCell ref="N63:O63"/>
    <mergeCell ref="P63:Q63"/>
    <mergeCell ref="R63:S63"/>
    <mergeCell ref="T63:U63"/>
    <mergeCell ref="V63:W63"/>
    <mergeCell ref="X63:Y63"/>
    <mergeCell ref="C63:C64"/>
    <mergeCell ref="F63:G63"/>
    <mergeCell ref="H63:I63"/>
    <mergeCell ref="J63:K63"/>
    <mergeCell ref="L63:M63"/>
    <mergeCell ref="X62:Y62"/>
    <mergeCell ref="Z62:AA62"/>
    <mergeCell ref="AB62:AC62"/>
    <mergeCell ref="AD62:AE62"/>
    <mergeCell ref="AF62:AG62"/>
    <mergeCell ref="AH62:AI62"/>
    <mergeCell ref="AR61:AS61"/>
    <mergeCell ref="F62:G62"/>
    <mergeCell ref="H62:I62"/>
    <mergeCell ref="J62:K62"/>
    <mergeCell ref="L62:M62"/>
    <mergeCell ref="N62:O62"/>
    <mergeCell ref="P62:Q62"/>
    <mergeCell ref="R62:S62"/>
    <mergeCell ref="T62:U62"/>
    <mergeCell ref="V62:W62"/>
    <mergeCell ref="AF61:AG61"/>
    <mergeCell ref="AH61:AI61"/>
    <mergeCell ref="AJ61:AK61"/>
    <mergeCell ref="AL61:AM61"/>
    <mergeCell ref="AN61:AO61"/>
    <mergeCell ref="AP61:AQ61"/>
    <mergeCell ref="AL63:AM63"/>
    <mergeCell ref="AN63:AO63"/>
    <mergeCell ref="AP63:AQ63"/>
    <mergeCell ref="AR63:AS63"/>
    <mergeCell ref="F64:G64"/>
    <mergeCell ref="AP60:AQ60"/>
    <mergeCell ref="AR60:AS60"/>
    <mergeCell ref="C61:C62"/>
    <mergeCell ref="F61:G61"/>
    <mergeCell ref="H61:I61"/>
    <mergeCell ref="J61:K61"/>
    <mergeCell ref="L61:M61"/>
    <mergeCell ref="N61:O61"/>
    <mergeCell ref="P61:Q61"/>
    <mergeCell ref="R61:S61"/>
    <mergeCell ref="AD60:AE60"/>
    <mergeCell ref="AF60:AG60"/>
    <mergeCell ref="AH60:AI60"/>
    <mergeCell ref="AJ60:AK60"/>
    <mergeCell ref="AL60:AM60"/>
    <mergeCell ref="AN60:AO60"/>
    <mergeCell ref="R60:S60"/>
    <mergeCell ref="T60:U60"/>
    <mergeCell ref="V60:W60"/>
    <mergeCell ref="X60:Y60"/>
    <mergeCell ref="Z60:AA60"/>
    <mergeCell ref="AB60:AC60"/>
    <mergeCell ref="AJ62:AK62"/>
    <mergeCell ref="AL62:AM62"/>
    <mergeCell ref="AN62:AO62"/>
    <mergeCell ref="AP62:AQ62"/>
    <mergeCell ref="AR62:AS62"/>
    <mergeCell ref="Z59:AA59"/>
    <mergeCell ref="AB59:AC59"/>
    <mergeCell ref="AD59:AE59"/>
    <mergeCell ref="AF59:AG59"/>
    <mergeCell ref="AH59:AI59"/>
    <mergeCell ref="AJ59:AK59"/>
    <mergeCell ref="N59:O59"/>
    <mergeCell ref="P59:Q59"/>
    <mergeCell ref="R59:S59"/>
    <mergeCell ref="T59:U59"/>
    <mergeCell ref="V59:W59"/>
    <mergeCell ref="X59:Y59"/>
    <mergeCell ref="T61:U61"/>
    <mergeCell ref="V61:W61"/>
    <mergeCell ref="X61:Y61"/>
    <mergeCell ref="Z61:AA61"/>
    <mergeCell ref="AB61:AC61"/>
    <mergeCell ref="AD61:AE61"/>
    <mergeCell ref="AJ58:AK58"/>
    <mergeCell ref="AL58:AM58"/>
    <mergeCell ref="AN58:AO58"/>
    <mergeCell ref="AP58:AQ58"/>
    <mergeCell ref="AR58:AS58"/>
    <mergeCell ref="C59:C60"/>
    <mergeCell ref="F59:G59"/>
    <mergeCell ref="H59:I59"/>
    <mergeCell ref="J59:K59"/>
    <mergeCell ref="L59:M59"/>
    <mergeCell ref="X58:Y58"/>
    <mergeCell ref="Z58:AA58"/>
    <mergeCell ref="AB58:AC58"/>
    <mergeCell ref="AD58:AE58"/>
    <mergeCell ref="AF58:AG58"/>
    <mergeCell ref="AH58:AI58"/>
    <mergeCell ref="L58:M58"/>
    <mergeCell ref="N58:O58"/>
    <mergeCell ref="P58:Q58"/>
    <mergeCell ref="R58:S58"/>
    <mergeCell ref="T58:U58"/>
    <mergeCell ref="V58:W58"/>
    <mergeCell ref="AL59:AM59"/>
    <mergeCell ref="AN59:AO59"/>
    <mergeCell ref="AP59:AQ59"/>
    <mergeCell ref="AR59:AS59"/>
    <mergeCell ref="F60:G60"/>
    <mergeCell ref="H60:I60"/>
    <mergeCell ref="J60:K60"/>
    <mergeCell ref="L60:M60"/>
    <mergeCell ref="N60:O60"/>
    <mergeCell ref="P60:Q60"/>
    <mergeCell ref="AH57:AI57"/>
    <mergeCell ref="AJ57:AK57"/>
    <mergeCell ref="AL57:AM57"/>
    <mergeCell ref="AN57:AO57"/>
    <mergeCell ref="AP57:AQ57"/>
    <mergeCell ref="AR57:AS57"/>
    <mergeCell ref="V57:W57"/>
    <mergeCell ref="X57:Y57"/>
    <mergeCell ref="Z57:AA57"/>
    <mergeCell ref="AB57:AC57"/>
    <mergeCell ref="AD57:AE57"/>
    <mergeCell ref="AF57:AG57"/>
    <mergeCell ref="AR56:AS56"/>
    <mergeCell ref="C57:C58"/>
    <mergeCell ref="F57:G57"/>
    <mergeCell ref="H57:I57"/>
    <mergeCell ref="J57:K57"/>
    <mergeCell ref="L57:M57"/>
    <mergeCell ref="N57:O57"/>
    <mergeCell ref="P57:Q57"/>
    <mergeCell ref="R57:S57"/>
    <mergeCell ref="T57:U57"/>
    <mergeCell ref="AF56:AG56"/>
    <mergeCell ref="AH56:AI56"/>
    <mergeCell ref="AJ56:AK56"/>
    <mergeCell ref="AL56:AM56"/>
    <mergeCell ref="AN56:AO56"/>
    <mergeCell ref="AP56:AQ56"/>
    <mergeCell ref="T56:U56"/>
    <mergeCell ref="V56:W56"/>
    <mergeCell ref="X56:Y56"/>
    <mergeCell ref="Z56:AA56"/>
    <mergeCell ref="AB56:AC56"/>
    <mergeCell ref="AD56:AE56"/>
    <mergeCell ref="AN55:AO55"/>
    <mergeCell ref="AP55:AQ55"/>
    <mergeCell ref="AR55:AS55"/>
    <mergeCell ref="F56:G56"/>
    <mergeCell ref="H56:I56"/>
    <mergeCell ref="J56:K56"/>
    <mergeCell ref="L56:M56"/>
    <mergeCell ref="N56:O56"/>
    <mergeCell ref="P56:Q56"/>
    <mergeCell ref="R56:S56"/>
    <mergeCell ref="AB55:AC55"/>
    <mergeCell ref="AD55:AE55"/>
    <mergeCell ref="AF55:AG55"/>
    <mergeCell ref="AH55:AI55"/>
    <mergeCell ref="AJ55:AK55"/>
    <mergeCell ref="AL55:AM55"/>
    <mergeCell ref="P55:Q55"/>
    <mergeCell ref="R55:S55"/>
    <mergeCell ref="T55:U55"/>
    <mergeCell ref="V55:W55"/>
    <mergeCell ref="X55:Y55"/>
    <mergeCell ref="Z55:AA55"/>
    <mergeCell ref="AJ54:AK54"/>
    <mergeCell ref="AL54:AM54"/>
    <mergeCell ref="AN54:AO54"/>
    <mergeCell ref="AP54:AQ54"/>
    <mergeCell ref="AR54:AS54"/>
    <mergeCell ref="C55:C56"/>
    <mergeCell ref="F55:G55"/>
    <mergeCell ref="H55:I55"/>
    <mergeCell ref="J55:K55"/>
    <mergeCell ref="L55:M55"/>
    <mergeCell ref="X54:Y54"/>
    <mergeCell ref="Z54:AA54"/>
    <mergeCell ref="AB54:AC54"/>
    <mergeCell ref="AD54:AE54"/>
    <mergeCell ref="AF54:AG54"/>
    <mergeCell ref="AH54:AI54"/>
    <mergeCell ref="AR53:AS53"/>
    <mergeCell ref="F54:G54"/>
    <mergeCell ref="H54:I54"/>
    <mergeCell ref="J54:K54"/>
    <mergeCell ref="L54:M54"/>
    <mergeCell ref="N54:O54"/>
    <mergeCell ref="P54:Q54"/>
    <mergeCell ref="R54:S54"/>
    <mergeCell ref="T54:U54"/>
    <mergeCell ref="V54:W54"/>
    <mergeCell ref="AF53:AG53"/>
    <mergeCell ref="AH53:AI53"/>
    <mergeCell ref="AJ53:AK53"/>
    <mergeCell ref="AL53:AM53"/>
    <mergeCell ref="AN53:AO53"/>
    <mergeCell ref="AP53:AQ53"/>
    <mergeCell ref="H53:I53"/>
    <mergeCell ref="J53:K53"/>
    <mergeCell ref="L53:M53"/>
    <mergeCell ref="N53:O53"/>
    <mergeCell ref="P53:Q53"/>
    <mergeCell ref="R53:S53"/>
    <mergeCell ref="AB52:AC52"/>
    <mergeCell ref="AD52:AE52"/>
    <mergeCell ref="AF52:AG52"/>
    <mergeCell ref="AH52:AI52"/>
    <mergeCell ref="AJ52:AK52"/>
    <mergeCell ref="AL52:AM52"/>
    <mergeCell ref="P52:Q52"/>
    <mergeCell ref="R52:S52"/>
    <mergeCell ref="T52:U52"/>
    <mergeCell ref="V52:W52"/>
    <mergeCell ref="X52:Y52"/>
    <mergeCell ref="Z52:AA52"/>
    <mergeCell ref="B52:B84"/>
    <mergeCell ref="F52:G52"/>
    <mergeCell ref="H52:I52"/>
    <mergeCell ref="J52:K52"/>
    <mergeCell ref="L52:M52"/>
    <mergeCell ref="N52:O52"/>
    <mergeCell ref="N55:O55"/>
    <mergeCell ref="F58:G58"/>
    <mergeCell ref="H58:I58"/>
    <mergeCell ref="J58:K58"/>
    <mergeCell ref="AH51:AI51"/>
    <mergeCell ref="AJ51:AK51"/>
    <mergeCell ref="AL51:AM51"/>
    <mergeCell ref="AN51:AO51"/>
    <mergeCell ref="AP51:AQ51"/>
    <mergeCell ref="AR51:AS51"/>
    <mergeCell ref="V51:W51"/>
    <mergeCell ref="X51:Y51"/>
    <mergeCell ref="Z51:AA51"/>
    <mergeCell ref="AB51:AC51"/>
    <mergeCell ref="AD51:AE51"/>
    <mergeCell ref="AF51:AG51"/>
    <mergeCell ref="T53:U53"/>
    <mergeCell ref="V53:W53"/>
    <mergeCell ref="X53:Y53"/>
    <mergeCell ref="Z53:AA53"/>
    <mergeCell ref="AB53:AC53"/>
    <mergeCell ref="AD53:AE53"/>
    <mergeCell ref="AN52:AO52"/>
    <mergeCell ref="AP52:AQ52"/>
    <mergeCell ref="AR52:AS52"/>
    <mergeCell ref="F53:G53"/>
    <mergeCell ref="F51:G51"/>
    <mergeCell ref="H51:I51"/>
    <mergeCell ref="J51:K51"/>
    <mergeCell ref="L51:M51"/>
    <mergeCell ref="N51:O51"/>
    <mergeCell ref="P51:Q51"/>
    <mergeCell ref="R51:S51"/>
    <mergeCell ref="T51:U51"/>
    <mergeCell ref="AD50:AE50"/>
    <mergeCell ref="AF50:AG50"/>
    <mergeCell ref="AH50:AI50"/>
    <mergeCell ref="AJ50:AK50"/>
    <mergeCell ref="AL50:AM50"/>
    <mergeCell ref="AN50:AO50"/>
    <mergeCell ref="R50:S50"/>
    <mergeCell ref="T50:U50"/>
    <mergeCell ref="V50:W50"/>
    <mergeCell ref="X50:Y50"/>
    <mergeCell ref="Z50:AA50"/>
    <mergeCell ref="AB50:AC50"/>
    <mergeCell ref="AT49:AT50"/>
    <mergeCell ref="F50:G50"/>
    <mergeCell ref="H50:I50"/>
    <mergeCell ref="J50:K50"/>
    <mergeCell ref="L50:M50"/>
    <mergeCell ref="N50:O50"/>
    <mergeCell ref="P50:Q50"/>
    <mergeCell ref="AB49:AC49"/>
    <mergeCell ref="AD49:AE49"/>
    <mergeCell ref="AF49:AG49"/>
    <mergeCell ref="AH49:AI49"/>
    <mergeCell ref="AJ49:AK49"/>
    <mergeCell ref="AL49:AM49"/>
    <mergeCell ref="P49:Q49"/>
    <mergeCell ref="R49:S49"/>
    <mergeCell ref="T49:U49"/>
    <mergeCell ref="V49:W49"/>
    <mergeCell ref="X49:Y49"/>
    <mergeCell ref="Z49:AA49"/>
    <mergeCell ref="AP50:AQ50"/>
    <mergeCell ref="AR50:AS50"/>
    <mergeCell ref="C49:C50"/>
    <mergeCell ref="F49:G49"/>
    <mergeCell ref="H49:I49"/>
    <mergeCell ref="J49:K49"/>
    <mergeCell ref="L49:M49"/>
    <mergeCell ref="N49:O49"/>
    <mergeCell ref="AH48:AI48"/>
    <mergeCell ref="AJ48:AK48"/>
    <mergeCell ref="AL48:AM48"/>
    <mergeCell ref="AN48:AO48"/>
    <mergeCell ref="AP48:AQ48"/>
    <mergeCell ref="AR48:AS48"/>
    <mergeCell ref="V48:W48"/>
    <mergeCell ref="X48:Y48"/>
    <mergeCell ref="Z48:AA48"/>
    <mergeCell ref="AB48:AC48"/>
    <mergeCell ref="AD48:AE48"/>
    <mergeCell ref="AF48:AG48"/>
    <mergeCell ref="AN49:AO49"/>
    <mergeCell ref="AP49:AQ49"/>
    <mergeCell ref="AR49:AS49"/>
    <mergeCell ref="AP47:AQ47"/>
    <mergeCell ref="AR47:AS47"/>
    <mergeCell ref="F48:G48"/>
    <mergeCell ref="H48:I48"/>
    <mergeCell ref="J48:K48"/>
    <mergeCell ref="L48:M48"/>
    <mergeCell ref="N48:O48"/>
    <mergeCell ref="P48:Q48"/>
    <mergeCell ref="R48:S48"/>
    <mergeCell ref="T48:U48"/>
    <mergeCell ref="AD47:AE47"/>
    <mergeCell ref="AF47:AG47"/>
    <mergeCell ref="AH47:AI47"/>
    <mergeCell ref="AJ47:AK47"/>
    <mergeCell ref="AL47:AM47"/>
    <mergeCell ref="AN47:AO47"/>
    <mergeCell ref="R47:S47"/>
    <mergeCell ref="T47:U47"/>
    <mergeCell ref="V47:W47"/>
    <mergeCell ref="X47:Y47"/>
    <mergeCell ref="Z47:AA47"/>
    <mergeCell ref="AB47:AC47"/>
    <mergeCell ref="F47:G47"/>
    <mergeCell ref="H47:I47"/>
    <mergeCell ref="J47:K47"/>
    <mergeCell ref="L47:M47"/>
    <mergeCell ref="N47:O47"/>
    <mergeCell ref="P47:Q47"/>
    <mergeCell ref="AP45:AQ45"/>
    <mergeCell ref="AR45:AS45"/>
    <mergeCell ref="F46:G46"/>
    <mergeCell ref="H46:I46"/>
    <mergeCell ref="J46:K46"/>
    <mergeCell ref="L46:M46"/>
    <mergeCell ref="N46:O46"/>
    <mergeCell ref="P46:Q46"/>
    <mergeCell ref="R46:S46"/>
    <mergeCell ref="T46:U46"/>
    <mergeCell ref="AD45:AE45"/>
    <mergeCell ref="AF45:AG45"/>
    <mergeCell ref="AH45:AI45"/>
    <mergeCell ref="AJ45:AK45"/>
    <mergeCell ref="AL45:AM45"/>
    <mergeCell ref="AN45:AO45"/>
    <mergeCell ref="R45:S45"/>
    <mergeCell ref="T45:U45"/>
    <mergeCell ref="V45:W45"/>
    <mergeCell ref="X45:Y45"/>
    <mergeCell ref="Z45:AA45"/>
    <mergeCell ref="AB45:AC45"/>
    <mergeCell ref="AR44:AS44"/>
    <mergeCell ref="C45:C48"/>
    <mergeCell ref="F45:G45"/>
    <mergeCell ref="H45:I45"/>
    <mergeCell ref="J45:K45"/>
    <mergeCell ref="L45:M45"/>
    <mergeCell ref="N45:O45"/>
    <mergeCell ref="P45:Q45"/>
    <mergeCell ref="AB44:AC44"/>
    <mergeCell ref="AD44:AE44"/>
    <mergeCell ref="AF44:AG44"/>
    <mergeCell ref="AH44:AI44"/>
    <mergeCell ref="AJ44:AK44"/>
    <mergeCell ref="AL44:AM44"/>
    <mergeCell ref="P44:Q44"/>
    <mergeCell ref="R44:S44"/>
    <mergeCell ref="T44:U44"/>
    <mergeCell ref="V44:W44"/>
    <mergeCell ref="X44:Y44"/>
    <mergeCell ref="Z44:AA44"/>
    <mergeCell ref="AH46:AI46"/>
    <mergeCell ref="AJ46:AK46"/>
    <mergeCell ref="AL46:AM46"/>
    <mergeCell ref="AN46:AO46"/>
    <mergeCell ref="AP46:AQ46"/>
    <mergeCell ref="AR46:AS46"/>
    <mergeCell ref="V46:W46"/>
    <mergeCell ref="X46:Y46"/>
    <mergeCell ref="Z46:AA46"/>
    <mergeCell ref="AB46:AC46"/>
    <mergeCell ref="AD46:AE46"/>
    <mergeCell ref="AF46:AG46"/>
    <mergeCell ref="AR42:AS42"/>
    <mergeCell ref="C43:C44"/>
    <mergeCell ref="AT43:AT44"/>
    <mergeCell ref="F44:G44"/>
    <mergeCell ref="H44:I44"/>
    <mergeCell ref="J44:K44"/>
    <mergeCell ref="L44:M44"/>
    <mergeCell ref="N44:O44"/>
    <mergeCell ref="AB42:AC42"/>
    <mergeCell ref="AD42:AE42"/>
    <mergeCell ref="AF42:AG42"/>
    <mergeCell ref="AH42:AI42"/>
    <mergeCell ref="AJ42:AK42"/>
    <mergeCell ref="AL42:AM42"/>
    <mergeCell ref="P42:Q42"/>
    <mergeCell ref="R42:S42"/>
    <mergeCell ref="T42:U42"/>
    <mergeCell ref="V42:W42"/>
    <mergeCell ref="X42:Y42"/>
    <mergeCell ref="Z42:AA42"/>
    <mergeCell ref="C39:C42"/>
    <mergeCell ref="N39:O39"/>
    <mergeCell ref="AJ41:AK41"/>
    <mergeCell ref="AL41:AM41"/>
    <mergeCell ref="AN41:AO41"/>
    <mergeCell ref="AP41:AQ41"/>
    <mergeCell ref="AR41:AS41"/>
    <mergeCell ref="F42:G42"/>
    <mergeCell ref="H42:I42"/>
    <mergeCell ref="J42:K42"/>
    <mergeCell ref="AN44:AO44"/>
    <mergeCell ref="AP44:AQ44"/>
    <mergeCell ref="L42:M42"/>
    <mergeCell ref="N42:O42"/>
    <mergeCell ref="X41:Y41"/>
    <mergeCell ref="Z41:AA41"/>
    <mergeCell ref="AB41:AC41"/>
    <mergeCell ref="AD41:AE41"/>
    <mergeCell ref="AF41:AG41"/>
    <mergeCell ref="AH41:AI41"/>
    <mergeCell ref="AR40:AS40"/>
    <mergeCell ref="F41:G41"/>
    <mergeCell ref="H41:I41"/>
    <mergeCell ref="J41:K41"/>
    <mergeCell ref="L41:M41"/>
    <mergeCell ref="N41:O41"/>
    <mergeCell ref="P41:Q41"/>
    <mergeCell ref="R41:S41"/>
    <mergeCell ref="T41:U41"/>
    <mergeCell ref="V41:W41"/>
    <mergeCell ref="AF40:AG40"/>
    <mergeCell ref="AH40:AI40"/>
    <mergeCell ref="AJ40:AK40"/>
    <mergeCell ref="AL40:AM40"/>
    <mergeCell ref="AN40:AO40"/>
    <mergeCell ref="AP40:AQ40"/>
    <mergeCell ref="T40:U40"/>
    <mergeCell ref="V40:W40"/>
    <mergeCell ref="X40:Y40"/>
    <mergeCell ref="Z40:AA40"/>
    <mergeCell ref="AB40:AC40"/>
    <mergeCell ref="AD40:AE40"/>
    <mergeCell ref="AN42:AO42"/>
    <mergeCell ref="AP42:AQ42"/>
    <mergeCell ref="AN39:AO39"/>
    <mergeCell ref="AP39:AQ39"/>
    <mergeCell ref="AR39:AS39"/>
    <mergeCell ref="F40:G40"/>
    <mergeCell ref="H40:I40"/>
    <mergeCell ref="J40:K40"/>
    <mergeCell ref="L40:M40"/>
    <mergeCell ref="N40:O40"/>
    <mergeCell ref="P40:Q40"/>
    <mergeCell ref="R40:S40"/>
    <mergeCell ref="AB39:AC39"/>
    <mergeCell ref="AD39:AE39"/>
    <mergeCell ref="AF39:AG39"/>
    <mergeCell ref="AH39:AI39"/>
    <mergeCell ref="AJ39:AK39"/>
    <mergeCell ref="AL39:AM39"/>
    <mergeCell ref="P39:Q39"/>
    <mergeCell ref="R39:S39"/>
    <mergeCell ref="T39:U39"/>
    <mergeCell ref="V39:W39"/>
    <mergeCell ref="X39:Y39"/>
    <mergeCell ref="Z39:AA39"/>
    <mergeCell ref="F39:G39"/>
    <mergeCell ref="H39:I39"/>
    <mergeCell ref="J39:K39"/>
    <mergeCell ref="L39:M39"/>
    <mergeCell ref="V38:W38"/>
    <mergeCell ref="X38:Y38"/>
    <mergeCell ref="Z38:AA38"/>
    <mergeCell ref="AB38:AC38"/>
    <mergeCell ref="AD38:AE38"/>
    <mergeCell ref="AF38:AG38"/>
    <mergeCell ref="AP37:AQ37"/>
    <mergeCell ref="AR37:AS37"/>
    <mergeCell ref="F38:G38"/>
    <mergeCell ref="H38:I38"/>
    <mergeCell ref="J38:K38"/>
    <mergeCell ref="L38:M38"/>
    <mergeCell ref="N38:O38"/>
    <mergeCell ref="P38:Q38"/>
    <mergeCell ref="R38:S38"/>
    <mergeCell ref="T38:U38"/>
    <mergeCell ref="AD37:AE37"/>
    <mergeCell ref="AF37:AG37"/>
    <mergeCell ref="AH37:AI37"/>
    <mergeCell ref="AJ37:AK37"/>
    <mergeCell ref="AL37:AM37"/>
    <mergeCell ref="AN37:AO37"/>
    <mergeCell ref="R37:S37"/>
    <mergeCell ref="T37:U37"/>
    <mergeCell ref="V37:W37"/>
    <mergeCell ref="X37:Y37"/>
    <mergeCell ref="Z37:AA37"/>
    <mergeCell ref="AB37:AC37"/>
    <mergeCell ref="AN36:AO36"/>
    <mergeCell ref="AP36:AQ36"/>
    <mergeCell ref="AR36:AS36"/>
    <mergeCell ref="C37:C38"/>
    <mergeCell ref="F37:G37"/>
    <mergeCell ref="H37:I37"/>
    <mergeCell ref="J37:K37"/>
    <mergeCell ref="L37:M37"/>
    <mergeCell ref="N37:O37"/>
    <mergeCell ref="P37:Q37"/>
    <mergeCell ref="AB36:AC36"/>
    <mergeCell ref="AD36:AE36"/>
    <mergeCell ref="AF36:AG36"/>
    <mergeCell ref="AH36:AI36"/>
    <mergeCell ref="AJ36:AK36"/>
    <mergeCell ref="AL36:AM36"/>
    <mergeCell ref="P36:Q36"/>
    <mergeCell ref="R36:S36"/>
    <mergeCell ref="T36:U36"/>
    <mergeCell ref="V36:W36"/>
    <mergeCell ref="X36:Y36"/>
    <mergeCell ref="Z36:AA36"/>
    <mergeCell ref="C33:C36"/>
    <mergeCell ref="N33:O33"/>
    <mergeCell ref="AH38:AI38"/>
    <mergeCell ref="AJ38:AK38"/>
    <mergeCell ref="AL38:AM38"/>
    <mergeCell ref="AN38:AO38"/>
    <mergeCell ref="AP38:AQ38"/>
    <mergeCell ref="AR38:AS38"/>
    <mergeCell ref="AJ35:AK35"/>
    <mergeCell ref="AL35:AM35"/>
    <mergeCell ref="AN35:AO35"/>
    <mergeCell ref="AP35:AQ35"/>
    <mergeCell ref="AR35:AS35"/>
    <mergeCell ref="F36:G36"/>
    <mergeCell ref="H36:I36"/>
    <mergeCell ref="J36:K36"/>
    <mergeCell ref="L36:M36"/>
    <mergeCell ref="N36:O36"/>
    <mergeCell ref="X35:Y35"/>
    <mergeCell ref="Z35:AA35"/>
    <mergeCell ref="AB35:AC35"/>
    <mergeCell ref="AD35:AE35"/>
    <mergeCell ref="AF35:AG35"/>
    <mergeCell ref="AH35:AI35"/>
    <mergeCell ref="AR34:AS34"/>
    <mergeCell ref="F35:G35"/>
    <mergeCell ref="H35:I35"/>
    <mergeCell ref="J35:K35"/>
    <mergeCell ref="L35:M35"/>
    <mergeCell ref="N35:O35"/>
    <mergeCell ref="P35:Q35"/>
    <mergeCell ref="R35:S35"/>
    <mergeCell ref="T35:U35"/>
    <mergeCell ref="V35:W35"/>
    <mergeCell ref="AF34:AG34"/>
    <mergeCell ref="AH34:AI34"/>
    <mergeCell ref="AJ34:AK34"/>
    <mergeCell ref="AL34:AM34"/>
    <mergeCell ref="AN34:AO34"/>
    <mergeCell ref="AP34:AQ34"/>
    <mergeCell ref="T34:U34"/>
    <mergeCell ref="V34:W34"/>
    <mergeCell ref="X34:Y34"/>
    <mergeCell ref="Z34:AA34"/>
    <mergeCell ref="AB34:AC34"/>
    <mergeCell ref="AD34:AE34"/>
    <mergeCell ref="AN33:AO33"/>
    <mergeCell ref="AP33:AQ33"/>
    <mergeCell ref="AR33:AS33"/>
    <mergeCell ref="F34:G34"/>
    <mergeCell ref="H34:I34"/>
    <mergeCell ref="J34:K34"/>
    <mergeCell ref="L34:M34"/>
    <mergeCell ref="N34:O34"/>
    <mergeCell ref="P34:Q34"/>
    <mergeCell ref="R34:S34"/>
    <mergeCell ref="AB33:AC33"/>
    <mergeCell ref="AD33:AE33"/>
    <mergeCell ref="AF33:AG33"/>
    <mergeCell ref="AH33:AI33"/>
    <mergeCell ref="AJ33:AK33"/>
    <mergeCell ref="AL33:AM33"/>
    <mergeCell ref="P33:Q33"/>
    <mergeCell ref="R33:S33"/>
    <mergeCell ref="T33:U33"/>
    <mergeCell ref="V33:W33"/>
    <mergeCell ref="X33:Y33"/>
    <mergeCell ref="Z33:AA33"/>
    <mergeCell ref="F33:G33"/>
    <mergeCell ref="H33:I33"/>
    <mergeCell ref="J33:K33"/>
    <mergeCell ref="L33:M33"/>
    <mergeCell ref="AL32:AM32"/>
    <mergeCell ref="AN32:AO32"/>
    <mergeCell ref="AP32:AQ32"/>
    <mergeCell ref="AR32:AS32"/>
    <mergeCell ref="V32:W32"/>
    <mergeCell ref="X32:Y32"/>
    <mergeCell ref="Z32:AA32"/>
    <mergeCell ref="AB32:AC32"/>
    <mergeCell ref="AD32:AE32"/>
    <mergeCell ref="AF32:AG32"/>
    <mergeCell ref="AR31:AS31"/>
    <mergeCell ref="AT31:AT32"/>
    <mergeCell ref="F32:G32"/>
    <mergeCell ref="H32:I32"/>
    <mergeCell ref="J32:K32"/>
    <mergeCell ref="L32:M32"/>
    <mergeCell ref="N32:O32"/>
    <mergeCell ref="P32:Q32"/>
    <mergeCell ref="R32:S32"/>
    <mergeCell ref="T32:U32"/>
    <mergeCell ref="AF31:AG31"/>
    <mergeCell ref="AH31:AI31"/>
    <mergeCell ref="AJ31:AK31"/>
    <mergeCell ref="AL31:AM31"/>
    <mergeCell ref="AN31:AO31"/>
    <mergeCell ref="AP31:AQ31"/>
    <mergeCell ref="T31:U31"/>
    <mergeCell ref="V31:W31"/>
    <mergeCell ref="X31:Y31"/>
    <mergeCell ref="Z31:AA31"/>
    <mergeCell ref="AB31:AC31"/>
    <mergeCell ref="AD31:AE31"/>
    <mergeCell ref="AP30:AQ30"/>
    <mergeCell ref="AR30:AS30"/>
    <mergeCell ref="C31:C32"/>
    <mergeCell ref="F31:G31"/>
    <mergeCell ref="H31:I31"/>
    <mergeCell ref="J31:K31"/>
    <mergeCell ref="L31:M31"/>
    <mergeCell ref="N31:O31"/>
    <mergeCell ref="P31:Q31"/>
    <mergeCell ref="R31:S31"/>
    <mergeCell ref="AD30:AE30"/>
    <mergeCell ref="AF30:AG30"/>
    <mergeCell ref="AH30:AI30"/>
    <mergeCell ref="AJ30:AK30"/>
    <mergeCell ref="AL30:AM30"/>
    <mergeCell ref="AN30:AO30"/>
    <mergeCell ref="R30:S30"/>
    <mergeCell ref="T30:U30"/>
    <mergeCell ref="V30:W30"/>
    <mergeCell ref="X30:Y30"/>
    <mergeCell ref="Z30:AA30"/>
    <mergeCell ref="AB30:AC30"/>
    <mergeCell ref="F30:G30"/>
    <mergeCell ref="H30:I30"/>
    <mergeCell ref="J30:K30"/>
    <mergeCell ref="L30:M30"/>
    <mergeCell ref="N30:O30"/>
    <mergeCell ref="P30:Q30"/>
    <mergeCell ref="AH32:AI32"/>
    <mergeCell ref="AJ32:AK32"/>
    <mergeCell ref="C27:C30"/>
    <mergeCell ref="F27:G27"/>
    <mergeCell ref="F29:G29"/>
    <mergeCell ref="H29:I29"/>
    <mergeCell ref="J29:K29"/>
    <mergeCell ref="L29:M29"/>
    <mergeCell ref="N29:O29"/>
    <mergeCell ref="P29:Q29"/>
    <mergeCell ref="R29:S29"/>
    <mergeCell ref="T29:U29"/>
    <mergeCell ref="AD28:AE28"/>
    <mergeCell ref="AF28:AG28"/>
    <mergeCell ref="AH28:AI28"/>
    <mergeCell ref="AJ28:AK28"/>
    <mergeCell ref="AL28:AM28"/>
    <mergeCell ref="AN28:AO28"/>
    <mergeCell ref="R28:S28"/>
    <mergeCell ref="T28:U28"/>
    <mergeCell ref="V28:W28"/>
    <mergeCell ref="X28:Y28"/>
    <mergeCell ref="AR27:AS27"/>
    <mergeCell ref="V27:W27"/>
    <mergeCell ref="X27:Y27"/>
    <mergeCell ref="Z27:AA27"/>
    <mergeCell ref="AB27:AC27"/>
    <mergeCell ref="AD27:AE27"/>
    <mergeCell ref="AF27:AG27"/>
    <mergeCell ref="AH29:AI29"/>
    <mergeCell ref="AJ29:AK29"/>
    <mergeCell ref="AL29:AM29"/>
    <mergeCell ref="AN29:AO29"/>
    <mergeCell ref="AP29:AQ29"/>
    <mergeCell ref="AR29:AS29"/>
    <mergeCell ref="V29:W29"/>
    <mergeCell ref="X29:Y29"/>
    <mergeCell ref="Z29:AA29"/>
    <mergeCell ref="AB29:AC29"/>
    <mergeCell ref="AD29:AE29"/>
    <mergeCell ref="AF29:AG29"/>
    <mergeCell ref="AP28:AQ28"/>
    <mergeCell ref="AR28:AS28"/>
    <mergeCell ref="H27:I27"/>
    <mergeCell ref="J27:K27"/>
    <mergeCell ref="L27:M27"/>
    <mergeCell ref="N27:O27"/>
    <mergeCell ref="P27:Q27"/>
    <mergeCell ref="R27:S27"/>
    <mergeCell ref="T27:U27"/>
    <mergeCell ref="AF26:AG26"/>
    <mergeCell ref="AH26:AI26"/>
    <mergeCell ref="AJ26:AK26"/>
    <mergeCell ref="AL26:AM26"/>
    <mergeCell ref="AN26:AO26"/>
    <mergeCell ref="AP26:AQ26"/>
    <mergeCell ref="T26:U26"/>
    <mergeCell ref="V26:W26"/>
    <mergeCell ref="X26:Y26"/>
    <mergeCell ref="Z26:AA26"/>
    <mergeCell ref="AB26:AC26"/>
    <mergeCell ref="AD26:AE26"/>
    <mergeCell ref="AL27:AM27"/>
    <mergeCell ref="AN27:AO27"/>
    <mergeCell ref="AP27:AQ27"/>
    <mergeCell ref="C25:C26"/>
    <mergeCell ref="Z28:AA28"/>
    <mergeCell ref="AB28:AC28"/>
    <mergeCell ref="F28:G28"/>
    <mergeCell ref="H28:I28"/>
    <mergeCell ref="J28:K28"/>
    <mergeCell ref="L28:M28"/>
    <mergeCell ref="N28:O28"/>
    <mergeCell ref="P28:Q28"/>
    <mergeCell ref="AH27:AI27"/>
    <mergeCell ref="AJ27:AK27"/>
    <mergeCell ref="AN25:AO25"/>
    <mergeCell ref="AP25:AQ25"/>
    <mergeCell ref="AR25:AS25"/>
    <mergeCell ref="F26:G26"/>
    <mergeCell ref="H26:I26"/>
    <mergeCell ref="J26:K26"/>
    <mergeCell ref="L26:M26"/>
    <mergeCell ref="N26:O26"/>
    <mergeCell ref="P26:Q26"/>
    <mergeCell ref="R26:S26"/>
    <mergeCell ref="AB25:AC25"/>
    <mergeCell ref="AD25:AE25"/>
    <mergeCell ref="AF25:AG25"/>
    <mergeCell ref="AH25:AI25"/>
    <mergeCell ref="AJ25:AK25"/>
    <mergeCell ref="AL25:AM25"/>
    <mergeCell ref="P25:Q25"/>
    <mergeCell ref="R25:S25"/>
    <mergeCell ref="T25:U25"/>
    <mergeCell ref="V25:W25"/>
    <mergeCell ref="X25:Y25"/>
    <mergeCell ref="Z25:AA25"/>
    <mergeCell ref="F25:G25"/>
    <mergeCell ref="H25:I25"/>
    <mergeCell ref="J25:K25"/>
    <mergeCell ref="L25:M25"/>
    <mergeCell ref="N25:O25"/>
    <mergeCell ref="AR26:AS26"/>
    <mergeCell ref="AN24:AO24"/>
    <mergeCell ref="AP24:AQ24"/>
    <mergeCell ref="AR24:AS24"/>
    <mergeCell ref="V24:W24"/>
    <mergeCell ref="X24:Y24"/>
    <mergeCell ref="Z24:AA24"/>
    <mergeCell ref="AB24:AC24"/>
    <mergeCell ref="AD24:AE24"/>
    <mergeCell ref="AF24:AG24"/>
    <mergeCell ref="AP23:AQ23"/>
    <mergeCell ref="AR23:AS23"/>
    <mergeCell ref="F24:G24"/>
    <mergeCell ref="H24:I24"/>
    <mergeCell ref="J24:K24"/>
    <mergeCell ref="L24:M24"/>
    <mergeCell ref="N24:O24"/>
    <mergeCell ref="P24:Q24"/>
    <mergeCell ref="R24:S24"/>
    <mergeCell ref="T24:U24"/>
    <mergeCell ref="AD23:AE23"/>
    <mergeCell ref="AF23:AG23"/>
    <mergeCell ref="AH23:AI23"/>
    <mergeCell ref="AJ23:AK23"/>
    <mergeCell ref="AL23:AM23"/>
    <mergeCell ref="AN23:AO23"/>
    <mergeCell ref="T23:U23"/>
    <mergeCell ref="V23:W23"/>
    <mergeCell ref="X23:Y23"/>
    <mergeCell ref="AP21:AQ21"/>
    <mergeCell ref="AR21:AS21"/>
    <mergeCell ref="F22:G22"/>
    <mergeCell ref="H22:I22"/>
    <mergeCell ref="J22:K22"/>
    <mergeCell ref="L22:M22"/>
    <mergeCell ref="N22:O22"/>
    <mergeCell ref="P22:Q22"/>
    <mergeCell ref="R22:S22"/>
    <mergeCell ref="T22:U22"/>
    <mergeCell ref="AD21:AE21"/>
    <mergeCell ref="AF21:AG21"/>
    <mergeCell ref="AH21:AI21"/>
    <mergeCell ref="AJ21:AK21"/>
    <mergeCell ref="AL21:AM21"/>
    <mergeCell ref="AN21:AO21"/>
    <mergeCell ref="R21:S21"/>
    <mergeCell ref="T21:U21"/>
    <mergeCell ref="V21:W21"/>
    <mergeCell ref="X21:Y21"/>
    <mergeCell ref="Z21:AA21"/>
    <mergeCell ref="AB21:AC21"/>
    <mergeCell ref="AH22:AI22"/>
    <mergeCell ref="AJ22:AK22"/>
    <mergeCell ref="AL22:AM22"/>
    <mergeCell ref="AN22:AO22"/>
    <mergeCell ref="AP22:AQ22"/>
    <mergeCell ref="AR22:AS22"/>
    <mergeCell ref="X22:Y22"/>
    <mergeCell ref="Z22:AA22"/>
    <mergeCell ref="AB22:AC22"/>
    <mergeCell ref="C21:C24"/>
    <mergeCell ref="F21:G21"/>
    <mergeCell ref="H21:I21"/>
    <mergeCell ref="J21:K21"/>
    <mergeCell ref="L21:M21"/>
    <mergeCell ref="N21:O21"/>
    <mergeCell ref="P21:Q21"/>
    <mergeCell ref="AB20:AC20"/>
    <mergeCell ref="AD20:AE20"/>
    <mergeCell ref="AF20:AG20"/>
    <mergeCell ref="AH20:AI20"/>
    <mergeCell ref="AJ20:AK20"/>
    <mergeCell ref="AL20:AM20"/>
    <mergeCell ref="P20:Q20"/>
    <mergeCell ref="R20:S20"/>
    <mergeCell ref="T20:U20"/>
    <mergeCell ref="V20:W20"/>
    <mergeCell ref="X20:Y20"/>
    <mergeCell ref="Z20:AA20"/>
    <mergeCell ref="Z23:AA23"/>
    <mergeCell ref="AB23:AC23"/>
    <mergeCell ref="F23:G23"/>
    <mergeCell ref="H23:I23"/>
    <mergeCell ref="J23:K23"/>
    <mergeCell ref="L23:M23"/>
    <mergeCell ref="N23:O23"/>
    <mergeCell ref="P23:Q23"/>
    <mergeCell ref="AD22:AE22"/>
    <mergeCell ref="R23:S23"/>
    <mergeCell ref="AH24:AI24"/>
    <mergeCell ref="AJ24:AK24"/>
    <mergeCell ref="AL24:AM24"/>
    <mergeCell ref="AN18:AO18"/>
    <mergeCell ref="AP18:AQ18"/>
    <mergeCell ref="AR18:AS18"/>
    <mergeCell ref="C19:C20"/>
    <mergeCell ref="AT19:AT20"/>
    <mergeCell ref="F20:G20"/>
    <mergeCell ref="H20:I20"/>
    <mergeCell ref="J20:K20"/>
    <mergeCell ref="L20:M20"/>
    <mergeCell ref="N20:O20"/>
    <mergeCell ref="AB18:AC18"/>
    <mergeCell ref="AD18:AE18"/>
    <mergeCell ref="AF18:AG18"/>
    <mergeCell ref="AH18:AI18"/>
    <mergeCell ref="AJ18:AK18"/>
    <mergeCell ref="AL18:AM18"/>
    <mergeCell ref="P18:Q18"/>
    <mergeCell ref="R18:S18"/>
    <mergeCell ref="T18:U18"/>
    <mergeCell ref="V18:W18"/>
    <mergeCell ref="X18:Y18"/>
    <mergeCell ref="Z18:AA18"/>
    <mergeCell ref="C15:C18"/>
    <mergeCell ref="N15:O15"/>
    <mergeCell ref="AN20:AO20"/>
    <mergeCell ref="AP20:AQ20"/>
    <mergeCell ref="AR20:AS20"/>
    <mergeCell ref="AJ17:AK17"/>
    <mergeCell ref="V22:W22"/>
    <mergeCell ref="AP17:AQ17"/>
    <mergeCell ref="AR17:AS17"/>
    <mergeCell ref="F18:G18"/>
    <mergeCell ref="H18:I18"/>
    <mergeCell ref="J18:K18"/>
    <mergeCell ref="L18:M18"/>
    <mergeCell ref="N18:O18"/>
    <mergeCell ref="X17:Y17"/>
    <mergeCell ref="Z17:AA17"/>
    <mergeCell ref="AB17:AC17"/>
    <mergeCell ref="AD17:AE17"/>
    <mergeCell ref="AF17:AG17"/>
    <mergeCell ref="AH17:AI17"/>
    <mergeCell ref="AR16:AS16"/>
    <mergeCell ref="F17:G17"/>
    <mergeCell ref="H17:I17"/>
    <mergeCell ref="J17:K17"/>
    <mergeCell ref="L17:M17"/>
    <mergeCell ref="N17:O17"/>
    <mergeCell ref="P17:Q17"/>
    <mergeCell ref="R17:S17"/>
    <mergeCell ref="T17:U17"/>
    <mergeCell ref="V17:W17"/>
    <mergeCell ref="AF16:AG16"/>
    <mergeCell ref="AH16:AI16"/>
    <mergeCell ref="AJ16:AK16"/>
    <mergeCell ref="AL16:AM16"/>
    <mergeCell ref="AN16:AO16"/>
    <mergeCell ref="AP16:AQ16"/>
    <mergeCell ref="T16:U16"/>
    <mergeCell ref="AP15:AQ15"/>
    <mergeCell ref="AR15:AS15"/>
    <mergeCell ref="F16:G16"/>
    <mergeCell ref="H16:I16"/>
    <mergeCell ref="J16:K16"/>
    <mergeCell ref="L16:M16"/>
    <mergeCell ref="N16:O16"/>
    <mergeCell ref="P16:Q16"/>
    <mergeCell ref="R16:S16"/>
    <mergeCell ref="AB15:AC15"/>
    <mergeCell ref="AD15:AE15"/>
    <mergeCell ref="AF15:AG15"/>
    <mergeCell ref="AH15:AI15"/>
    <mergeCell ref="AJ15:AK15"/>
    <mergeCell ref="AL15:AM15"/>
    <mergeCell ref="P15:Q15"/>
    <mergeCell ref="R15:S15"/>
    <mergeCell ref="T15:U15"/>
    <mergeCell ref="V15:W15"/>
    <mergeCell ref="X15:Y15"/>
    <mergeCell ref="Z15:AA15"/>
    <mergeCell ref="F15:G15"/>
    <mergeCell ref="H15:I15"/>
    <mergeCell ref="J15:K15"/>
    <mergeCell ref="L15:M15"/>
    <mergeCell ref="AR13:AS13"/>
    <mergeCell ref="AT13:AT14"/>
    <mergeCell ref="F14:G14"/>
    <mergeCell ref="H14:I14"/>
    <mergeCell ref="J14:K14"/>
    <mergeCell ref="L14:M14"/>
    <mergeCell ref="N14:O14"/>
    <mergeCell ref="P14:Q14"/>
    <mergeCell ref="R14:S14"/>
    <mergeCell ref="T14:U14"/>
    <mergeCell ref="AF13:AG13"/>
    <mergeCell ref="AH13:AI13"/>
    <mergeCell ref="AJ13:AK13"/>
    <mergeCell ref="AL13:AM13"/>
    <mergeCell ref="AN13:AO13"/>
    <mergeCell ref="AP13:AQ13"/>
    <mergeCell ref="T13:U13"/>
    <mergeCell ref="V13:W13"/>
    <mergeCell ref="X13:Y13"/>
    <mergeCell ref="Z13:AA13"/>
    <mergeCell ref="P13:Q13"/>
    <mergeCell ref="R13:S13"/>
    <mergeCell ref="AP12:AQ12"/>
    <mergeCell ref="AR12:AS12"/>
    <mergeCell ref="C13:C14"/>
    <mergeCell ref="F13:G13"/>
    <mergeCell ref="H13:I13"/>
    <mergeCell ref="J13:K13"/>
    <mergeCell ref="L13:M13"/>
    <mergeCell ref="N13:O13"/>
    <mergeCell ref="B11:D11"/>
    <mergeCell ref="AD12:AE12"/>
    <mergeCell ref="AF12:AG12"/>
    <mergeCell ref="AH12:AI12"/>
    <mergeCell ref="AJ12:AK12"/>
    <mergeCell ref="AL12:AM12"/>
    <mergeCell ref="AN12:AO12"/>
    <mergeCell ref="R12:S12"/>
    <mergeCell ref="T12:U12"/>
    <mergeCell ref="V12:W12"/>
    <mergeCell ref="X12:Y12"/>
    <mergeCell ref="Z12:AA12"/>
    <mergeCell ref="AB12:AC12"/>
    <mergeCell ref="AH14:AI14"/>
    <mergeCell ref="AJ14:AK14"/>
    <mergeCell ref="AL14:AM14"/>
    <mergeCell ref="AN14:AO14"/>
    <mergeCell ref="AO11:AP11"/>
    <mergeCell ref="AP14:AQ14"/>
    <mergeCell ref="AR14:AS14"/>
    <mergeCell ref="V14:W14"/>
    <mergeCell ref="X14:Y14"/>
    <mergeCell ref="Z14:AA14"/>
    <mergeCell ref="AB14:AC14"/>
    <mergeCell ref="B12:B50"/>
    <mergeCell ref="F12:G12"/>
    <mergeCell ref="H12:I12"/>
    <mergeCell ref="J12:K12"/>
    <mergeCell ref="L12:M12"/>
    <mergeCell ref="N12:O12"/>
    <mergeCell ref="P12:Q12"/>
    <mergeCell ref="AC11:AD11"/>
    <mergeCell ref="AE11:AF11"/>
    <mergeCell ref="AG11:AH11"/>
    <mergeCell ref="AI11:AJ11"/>
    <mergeCell ref="AK11:AL11"/>
    <mergeCell ref="AM11:AN11"/>
    <mergeCell ref="Q11:R11"/>
    <mergeCell ref="S11:T11"/>
    <mergeCell ref="U11:V11"/>
    <mergeCell ref="W11:X11"/>
    <mergeCell ref="Y11:Z11"/>
    <mergeCell ref="AA11:AB11"/>
    <mergeCell ref="AB13:AC13"/>
    <mergeCell ref="AD13:AE13"/>
    <mergeCell ref="AD14:AE14"/>
    <mergeCell ref="AF14:AG14"/>
    <mergeCell ref="V16:W16"/>
    <mergeCell ref="X16:Y16"/>
    <mergeCell ref="Z16:AA16"/>
    <mergeCell ref="AB16:AC16"/>
    <mergeCell ref="AD16:AE16"/>
    <mergeCell ref="AN15:AO15"/>
    <mergeCell ref="AL17:AM17"/>
    <mergeCell ref="AN17:AO17"/>
    <mergeCell ref="AF22:AG22"/>
    <mergeCell ref="AQ10:AR10"/>
    <mergeCell ref="AS10:AT10"/>
    <mergeCell ref="B9:D9"/>
    <mergeCell ref="E9:F9"/>
    <mergeCell ref="G9:H9"/>
    <mergeCell ref="I9:J9"/>
    <mergeCell ref="K9:L9"/>
    <mergeCell ref="M9:N9"/>
    <mergeCell ref="E11:F11"/>
    <mergeCell ref="G11:H11"/>
    <mergeCell ref="I11:J11"/>
    <mergeCell ref="M11:N11"/>
    <mergeCell ref="O11:P11"/>
    <mergeCell ref="AA10:AB10"/>
    <mergeCell ref="AC10:AD10"/>
    <mergeCell ref="AE10:AF10"/>
    <mergeCell ref="AG10:AH10"/>
    <mergeCell ref="AI10:AJ10"/>
    <mergeCell ref="AK10:AL10"/>
    <mergeCell ref="O10:P10"/>
    <mergeCell ref="Q10:R10"/>
    <mergeCell ref="S10:T10"/>
    <mergeCell ref="U10:V10"/>
    <mergeCell ref="W10:X10"/>
    <mergeCell ref="Y10:Z10"/>
    <mergeCell ref="AQ11:AR11"/>
    <mergeCell ref="AS11:AT11"/>
    <mergeCell ref="U8:V8"/>
    <mergeCell ref="W8:X8"/>
    <mergeCell ref="Y8:Z8"/>
    <mergeCell ref="K6:L6"/>
    <mergeCell ref="M6:N6"/>
    <mergeCell ref="AM7:AN7"/>
    <mergeCell ref="AO7:AP7"/>
    <mergeCell ref="AQ7:AR7"/>
    <mergeCell ref="AM9:AN9"/>
    <mergeCell ref="AO9:AP9"/>
    <mergeCell ref="AQ9:AR9"/>
    <mergeCell ref="AS9:AT9"/>
    <mergeCell ref="B10:D10"/>
    <mergeCell ref="E10:F10"/>
    <mergeCell ref="G10:H10"/>
    <mergeCell ref="I10:J10"/>
    <mergeCell ref="K10:L10"/>
    <mergeCell ref="M10:N10"/>
    <mergeCell ref="AA9:AB9"/>
    <mergeCell ref="AC9:AD9"/>
    <mergeCell ref="AE9:AF9"/>
    <mergeCell ref="AG9:AH9"/>
    <mergeCell ref="AI9:AJ9"/>
    <mergeCell ref="AK9:AL9"/>
    <mergeCell ref="O9:P9"/>
    <mergeCell ref="Q9:R9"/>
    <mergeCell ref="S9:T9"/>
    <mergeCell ref="U9:V9"/>
    <mergeCell ref="W9:X9"/>
    <mergeCell ref="Y9:Z9"/>
    <mergeCell ref="AM10:AN10"/>
    <mergeCell ref="AO10:AP10"/>
    <mergeCell ref="AS7:AT7"/>
    <mergeCell ref="B8:D8"/>
    <mergeCell ref="E8:F8"/>
    <mergeCell ref="G8:H8"/>
    <mergeCell ref="I8:J8"/>
    <mergeCell ref="K8:L8"/>
    <mergeCell ref="M8:N8"/>
    <mergeCell ref="AA7:AB7"/>
    <mergeCell ref="AC7:AD7"/>
    <mergeCell ref="AE7:AF7"/>
    <mergeCell ref="AG7:AH7"/>
    <mergeCell ref="AI7:AJ7"/>
    <mergeCell ref="AK7:AL7"/>
    <mergeCell ref="O7:P7"/>
    <mergeCell ref="Q7:R7"/>
    <mergeCell ref="S7:T7"/>
    <mergeCell ref="U7:V7"/>
    <mergeCell ref="W7:X7"/>
    <mergeCell ref="Y7:Z7"/>
    <mergeCell ref="AM8:AN8"/>
    <mergeCell ref="AO8:AP8"/>
    <mergeCell ref="AQ8:AR8"/>
    <mergeCell ref="AS8:AT8"/>
    <mergeCell ref="AA8:AB8"/>
    <mergeCell ref="AC8:AD8"/>
    <mergeCell ref="AE8:AF8"/>
    <mergeCell ref="AG8:AH8"/>
    <mergeCell ref="AI8:AJ8"/>
    <mergeCell ref="AK8:AL8"/>
    <mergeCell ref="O8:P8"/>
    <mergeCell ref="Q8:R8"/>
    <mergeCell ref="S8:T8"/>
    <mergeCell ref="L2:W2"/>
    <mergeCell ref="AC2:AJ2"/>
    <mergeCell ref="AK2:AT2"/>
    <mergeCell ref="L4:AC4"/>
    <mergeCell ref="AD4:AJ4"/>
    <mergeCell ref="AK4:AT4"/>
    <mergeCell ref="AM6:AN6"/>
    <mergeCell ref="AO6:AP6"/>
    <mergeCell ref="AQ6:AR6"/>
    <mergeCell ref="AS6:AT6"/>
    <mergeCell ref="B7:D7"/>
    <mergeCell ref="E7:F7"/>
    <mergeCell ref="G7:H7"/>
    <mergeCell ref="I7:J7"/>
    <mergeCell ref="K7:L7"/>
    <mergeCell ref="M7:N7"/>
    <mergeCell ref="AA6:AB6"/>
    <mergeCell ref="AC6:AD6"/>
    <mergeCell ref="AE6:AF6"/>
    <mergeCell ref="AG6:AH6"/>
    <mergeCell ref="AI6:AJ6"/>
    <mergeCell ref="AK6:AL6"/>
    <mergeCell ref="O6:P6"/>
    <mergeCell ref="Q6:R6"/>
    <mergeCell ref="S6:T6"/>
    <mergeCell ref="U6:V6"/>
    <mergeCell ref="W6:X6"/>
    <mergeCell ref="Y6:Z6"/>
    <mergeCell ref="B6:D6"/>
    <mergeCell ref="E6:F6"/>
    <mergeCell ref="G6:H6"/>
    <mergeCell ref="I6:J6"/>
  </mergeCells>
  <pageMargins left="0.7" right="0.7" top="0.75" bottom="0.75" header="0.3" footer="0.3"/>
  <pageSetup paperSize="9" scale="2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B1:AT89"/>
  <sheetViews>
    <sheetView view="pageBreakPreview" topLeftCell="A10" zoomScale="40" zoomScaleNormal="40" zoomScaleSheetLayoutView="40" workbookViewId="0">
      <selection activeCell="AH47" sqref="AH47:AI47"/>
    </sheetView>
  </sheetViews>
  <sheetFormatPr defaultColWidth="9.21875" defaultRowHeight="14.4" x14ac:dyDescent="0.3"/>
  <cols>
    <col min="1" max="1" width="0.21875" customWidth="1"/>
    <col min="2" max="2" width="10.77734375" customWidth="1"/>
    <col min="3" max="4" width="13.77734375" customWidth="1"/>
    <col min="5" max="46" width="8.77734375" customWidth="1"/>
    <col min="47" max="49" width="3" customWidth="1"/>
  </cols>
  <sheetData>
    <row r="1" spans="2:46" x14ac:dyDescent="0.3">
      <c r="B1" s="1"/>
      <c r="AQ1" s="1"/>
    </row>
    <row r="2" spans="2:46" ht="50.1" customHeight="1" thickBot="1" x14ac:dyDescent="0.8">
      <c r="B2" s="65" t="s">
        <v>85</v>
      </c>
      <c r="C2" s="62"/>
      <c r="D2" s="63"/>
      <c r="E2" s="63"/>
      <c r="F2" s="64"/>
      <c r="G2" s="63"/>
      <c r="H2" s="64"/>
      <c r="I2" s="64"/>
      <c r="J2" s="64"/>
      <c r="K2" s="64"/>
      <c r="L2" s="423" t="str">
        <f>'Plot Data'!D7</f>
        <v>Low Total Sulphur (%)</v>
      </c>
      <c r="M2" s="423"/>
      <c r="N2" s="423"/>
      <c r="O2" s="423"/>
      <c r="P2" s="423"/>
      <c r="Q2" s="423"/>
      <c r="R2" s="423"/>
      <c r="S2" s="423"/>
      <c r="T2" s="423"/>
      <c r="U2" s="423"/>
      <c r="V2" s="423"/>
      <c r="W2" s="423"/>
      <c r="X2" s="63"/>
      <c r="Y2" s="63"/>
      <c r="Z2" s="63"/>
      <c r="AA2" s="63"/>
      <c r="AB2" s="65"/>
      <c r="AC2" s="424" t="s">
        <v>92</v>
      </c>
      <c r="AD2" s="424"/>
      <c r="AE2" s="424"/>
      <c r="AF2" s="424"/>
      <c r="AG2" s="424"/>
      <c r="AH2" s="424"/>
      <c r="AI2" s="424"/>
      <c r="AJ2" s="424"/>
      <c r="AK2" s="425" t="str">
        <f>'Data Input'!N11</f>
        <v>AS CRM 002</v>
      </c>
      <c r="AL2" s="425"/>
      <c r="AM2" s="425"/>
      <c r="AN2" s="425"/>
      <c r="AO2" s="425"/>
      <c r="AP2" s="425"/>
      <c r="AQ2" s="425"/>
      <c r="AR2" s="425"/>
      <c r="AS2" s="425"/>
      <c r="AT2" s="425"/>
    </row>
    <row r="3" spans="2:46" ht="22.05" customHeight="1" x14ac:dyDescent="0.85">
      <c r="B3" s="61"/>
      <c r="C3" s="66"/>
      <c r="D3" s="66"/>
      <c r="E3" s="66"/>
      <c r="F3" s="67"/>
      <c r="G3" s="66"/>
      <c r="H3" s="67"/>
      <c r="I3" s="67"/>
      <c r="J3" s="66"/>
      <c r="K3" s="66"/>
      <c r="L3" s="66"/>
      <c r="M3" s="66"/>
      <c r="N3" s="66"/>
      <c r="O3" s="66"/>
      <c r="P3" s="66"/>
      <c r="Q3" s="66"/>
      <c r="R3" s="66"/>
      <c r="S3" s="66"/>
      <c r="T3" s="66"/>
      <c r="U3" s="66"/>
      <c r="V3" s="66"/>
      <c r="W3" s="66"/>
      <c r="X3" s="66"/>
      <c r="Y3" s="66"/>
      <c r="Z3" s="66"/>
      <c r="AA3" s="66"/>
      <c r="AB3" s="66"/>
      <c r="AC3" s="66"/>
      <c r="AD3" s="66"/>
      <c r="AE3" s="66"/>
      <c r="AF3" s="66"/>
      <c r="AG3" s="66"/>
      <c r="AH3" s="68"/>
      <c r="AI3" s="66"/>
      <c r="AJ3" s="68"/>
      <c r="AK3" s="66"/>
      <c r="AL3" s="66"/>
      <c r="AM3" s="66"/>
      <c r="AN3" s="66"/>
      <c r="AO3" s="67"/>
      <c r="AP3" s="66"/>
      <c r="AQ3" s="67"/>
      <c r="AR3" s="66"/>
      <c r="AS3" s="66"/>
    </row>
    <row r="4" spans="2:46" ht="50.1" customHeight="1" x14ac:dyDescent="0.85">
      <c r="B4" s="60"/>
      <c r="C4" s="66"/>
      <c r="D4" s="66"/>
      <c r="E4" s="66"/>
      <c r="F4" s="66"/>
      <c r="G4" s="66"/>
      <c r="H4" s="66"/>
      <c r="I4" s="66"/>
      <c r="J4" s="66"/>
      <c r="K4" s="66"/>
      <c r="L4" s="426" t="s">
        <v>87</v>
      </c>
      <c r="M4" s="426"/>
      <c r="N4" s="426"/>
      <c r="O4" s="426"/>
      <c r="P4" s="426"/>
      <c r="Q4" s="426"/>
      <c r="R4" s="426"/>
      <c r="S4" s="426"/>
      <c r="T4" s="426"/>
      <c r="U4" s="426"/>
      <c r="V4" s="426"/>
      <c r="W4" s="426"/>
      <c r="X4" s="426"/>
      <c r="Y4" s="426"/>
      <c r="Z4" s="426"/>
      <c r="AA4" s="426"/>
      <c r="AB4" s="426"/>
      <c r="AC4" s="426"/>
      <c r="AD4" s="69" t="s">
        <v>93</v>
      </c>
      <c r="AE4" s="66"/>
      <c r="AF4" s="66"/>
      <c r="AG4" s="66"/>
      <c r="AH4" s="66"/>
      <c r="AI4" s="66"/>
      <c r="AJ4" s="66"/>
      <c r="AK4" s="427" t="s">
        <v>89</v>
      </c>
      <c r="AL4" s="427"/>
      <c r="AM4" s="427"/>
      <c r="AN4" s="427"/>
      <c r="AO4" s="427"/>
      <c r="AP4" s="427"/>
      <c r="AQ4" s="427"/>
      <c r="AR4" s="427"/>
      <c r="AS4" s="427"/>
      <c r="AT4" s="427"/>
    </row>
    <row r="5" spans="2:46" ht="22.05" customHeight="1" thickBot="1" x14ac:dyDescent="0.35">
      <c r="K5" s="2"/>
    </row>
    <row r="6" spans="2:46" ht="50.1" customHeight="1" thickBot="1" x14ac:dyDescent="0.35">
      <c r="B6" s="656" t="s">
        <v>0</v>
      </c>
      <c r="C6" s="656"/>
      <c r="D6" s="656"/>
      <c r="E6" s="657"/>
      <c r="F6" s="657"/>
      <c r="G6" s="657"/>
      <c r="H6" s="657"/>
      <c r="I6" s="657"/>
      <c r="J6" s="657"/>
      <c r="K6" s="657"/>
      <c r="L6" s="657"/>
      <c r="M6" s="657"/>
      <c r="N6" s="657"/>
      <c r="O6" s="657"/>
      <c r="P6" s="657"/>
      <c r="Q6" s="657"/>
      <c r="R6" s="657"/>
      <c r="S6" s="657"/>
      <c r="T6" s="657"/>
      <c r="U6" s="657"/>
      <c r="V6" s="657"/>
      <c r="W6" s="657"/>
      <c r="X6" s="657"/>
      <c r="Y6" s="657"/>
      <c r="Z6" s="657"/>
      <c r="AA6" s="657"/>
      <c r="AB6" s="657"/>
      <c r="AC6" s="657"/>
      <c r="AD6" s="657"/>
      <c r="AE6" s="657"/>
      <c r="AF6" s="657"/>
      <c r="AG6" s="657"/>
      <c r="AH6" s="657"/>
      <c r="AI6" s="657"/>
      <c r="AJ6" s="657"/>
      <c r="AK6" s="657"/>
      <c r="AL6" s="657"/>
      <c r="AM6" s="657"/>
      <c r="AN6" s="657"/>
      <c r="AO6" s="657"/>
      <c r="AP6" s="657"/>
      <c r="AQ6" s="657"/>
      <c r="AR6" s="657"/>
      <c r="AS6" s="657"/>
      <c r="AT6" s="657"/>
    </row>
    <row r="7" spans="2:46" ht="50.1" customHeight="1" thickBot="1" x14ac:dyDescent="0.35">
      <c r="B7" s="656" t="s">
        <v>1</v>
      </c>
      <c r="C7" s="656"/>
      <c r="D7" s="656"/>
      <c r="E7" s="657"/>
      <c r="F7" s="657"/>
      <c r="G7" s="657"/>
      <c r="H7" s="657"/>
      <c r="I7" s="657"/>
      <c r="J7" s="657"/>
      <c r="K7" s="657"/>
      <c r="L7" s="657"/>
      <c r="M7" s="657"/>
      <c r="N7" s="657"/>
      <c r="O7" s="657"/>
      <c r="P7" s="657"/>
      <c r="Q7" s="657"/>
      <c r="R7" s="657"/>
      <c r="S7" s="657"/>
      <c r="T7" s="657"/>
      <c r="U7" s="657"/>
      <c r="V7" s="657"/>
      <c r="W7" s="657"/>
      <c r="X7" s="657"/>
      <c r="Y7" s="657"/>
      <c r="Z7" s="657"/>
      <c r="AA7" s="657"/>
      <c r="AB7" s="657"/>
      <c r="AC7" s="657"/>
      <c r="AD7" s="657"/>
      <c r="AE7" s="657"/>
      <c r="AF7" s="657"/>
      <c r="AG7" s="657"/>
      <c r="AH7" s="657"/>
      <c r="AI7" s="657"/>
      <c r="AJ7" s="657"/>
      <c r="AK7" s="657"/>
      <c r="AL7" s="657"/>
      <c r="AM7" s="657"/>
      <c r="AN7" s="657"/>
      <c r="AO7" s="657"/>
      <c r="AP7" s="657"/>
      <c r="AQ7" s="657"/>
      <c r="AR7" s="657"/>
      <c r="AS7" s="657"/>
      <c r="AT7" s="657"/>
    </row>
    <row r="8" spans="2:46" ht="50.1" customHeight="1" thickBot="1" x14ac:dyDescent="0.35">
      <c r="B8" s="438" t="s">
        <v>2</v>
      </c>
      <c r="C8" s="439"/>
      <c r="D8" s="440"/>
      <c r="E8" s="441"/>
      <c r="F8" s="442"/>
      <c r="G8" s="441"/>
      <c r="H8" s="442"/>
      <c r="I8" s="441"/>
      <c r="J8" s="442"/>
      <c r="K8" s="441"/>
      <c r="L8" s="442"/>
      <c r="M8" s="441"/>
      <c r="N8" s="442"/>
      <c r="O8" s="441"/>
      <c r="P8" s="442"/>
      <c r="Q8" s="441"/>
      <c r="R8" s="442"/>
      <c r="S8" s="441"/>
      <c r="T8" s="442"/>
      <c r="U8" s="441"/>
      <c r="V8" s="442"/>
      <c r="W8" s="441"/>
      <c r="X8" s="442"/>
      <c r="Y8" s="441"/>
      <c r="Z8" s="442"/>
      <c r="AA8" s="441"/>
      <c r="AB8" s="442"/>
      <c r="AC8" s="441"/>
      <c r="AD8" s="442"/>
      <c r="AE8" s="441"/>
      <c r="AF8" s="442"/>
      <c r="AG8" s="441"/>
      <c r="AH8" s="442"/>
      <c r="AI8" s="441"/>
      <c r="AJ8" s="442"/>
      <c r="AK8" s="441"/>
      <c r="AL8" s="442"/>
      <c r="AM8" s="441"/>
      <c r="AN8" s="442"/>
      <c r="AO8" s="441"/>
      <c r="AP8" s="442"/>
      <c r="AQ8" s="441"/>
      <c r="AR8" s="442"/>
      <c r="AS8" s="441"/>
      <c r="AT8" s="442"/>
    </row>
    <row r="9" spans="2:46" ht="50.1" customHeight="1" thickBot="1" x14ac:dyDescent="0.35">
      <c r="B9" s="447" t="s">
        <v>3</v>
      </c>
      <c r="C9" s="448"/>
      <c r="D9" s="449"/>
      <c r="E9" s="443"/>
      <c r="F9" s="444"/>
      <c r="G9" s="443"/>
      <c r="H9" s="444"/>
      <c r="I9" s="443"/>
      <c r="J9" s="444"/>
      <c r="K9" s="443"/>
      <c r="L9" s="444"/>
      <c r="M9" s="443"/>
      <c r="N9" s="444"/>
      <c r="O9" s="443"/>
      <c r="P9" s="444"/>
      <c r="Q9" s="443"/>
      <c r="R9" s="444"/>
      <c r="S9" s="443"/>
      <c r="T9" s="444"/>
      <c r="U9" s="443"/>
      <c r="V9" s="444"/>
      <c r="W9" s="443"/>
      <c r="X9" s="444"/>
      <c r="Y9" s="443"/>
      <c r="Z9" s="444"/>
      <c r="AA9" s="443"/>
      <c r="AB9" s="444"/>
      <c r="AC9" s="443"/>
      <c r="AD9" s="444"/>
      <c r="AE9" s="443"/>
      <c r="AF9" s="444"/>
      <c r="AG9" s="443"/>
      <c r="AH9" s="444"/>
      <c r="AI9" s="443"/>
      <c r="AJ9" s="444"/>
      <c r="AK9" s="443"/>
      <c r="AL9" s="444"/>
      <c r="AM9" s="443"/>
      <c r="AN9" s="444"/>
      <c r="AO9" s="443"/>
      <c r="AP9" s="444"/>
      <c r="AQ9" s="443"/>
      <c r="AR9" s="444"/>
      <c r="AS9" s="443"/>
      <c r="AT9" s="444"/>
    </row>
    <row r="10" spans="2:46" ht="50.1" customHeight="1" thickBot="1" x14ac:dyDescent="0.35">
      <c r="B10" s="447" t="s">
        <v>4</v>
      </c>
      <c r="C10" s="448"/>
      <c r="D10" s="449"/>
      <c r="E10" s="441"/>
      <c r="F10" s="442"/>
      <c r="G10" s="441"/>
      <c r="H10" s="442"/>
      <c r="I10" s="441"/>
      <c r="J10" s="442"/>
      <c r="K10" s="445"/>
      <c r="L10" s="446"/>
      <c r="M10" s="441"/>
      <c r="N10" s="442"/>
      <c r="O10" s="441"/>
      <c r="P10" s="442"/>
      <c r="Q10" s="441"/>
      <c r="R10" s="442"/>
      <c r="S10" s="441"/>
      <c r="T10" s="442"/>
      <c r="U10" s="441"/>
      <c r="V10" s="442"/>
      <c r="W10" s="441"/>
      <c r="X10" s="442"/>
      <c r="Y10" s="441"/>
      <c r="Z10" s="442"/>
      <c r="AA10" s="441"/>
      <c r="AB10" s="442"/>
      <c r="AC10" s="441"/>
      <c r="AD10" s="442"/>
      <c r="AE10" s="441"/>
      <c r="AF10" s="442"/>
      <c r="AG10" s="441"/>
      <c r="AH10" s="442"/>
      <c r="AI10" s="441"/>
      <c r="AJ10" s="442"/>
      <c r="AK10" s="441"/>
      <c r="AL10" s="442"/>
      <c r="AM10" s="441"/>
      <c r="AN10" s="442"/>
      <c r="AO10" s="441"/>
      <c r="AP10" s="442"/>
      <c r="AQ10" s="441"/>
      <c r="AR10" s="442"/>
      <c r="AS10" s="441"/>
      <c r="AT10" s="442"/>
    </row>
    <row r="11" spans="2:46" ht="50.1" customHeight="1" thickBot="1" x14ac:dyDescent="0.35">
      <c r="B11" s="658" t="s">
        <v>5</v>
      </c>
      <c r="C11" s="659"/>
      <c r="D11" s="660"/>
      <c r="E11" s="441"/>
      <c r="F11" s="442"/>
      <c r="G11" s="441"/>
      <c r="H11" s="442"/>
      <c r="I11" s="441"/>
      <c r="J11" s="442"/>
      <c r="K11" s="72"/>
      <c r="L11" s="72"/>
      <c r="M11" s="441"/>
      <c r="N11" s="442"/>
      <c r="O11" s="441"/>
      <c r="P11" s="442"/>
      <c r="Q11" s="441"/>
      <c r="R11" s="442"/>
      <c r="S11" s="441"/>
      <c r="T11" s="442"/>
      <c r="U11" s="441"/>
      <c r="V11" s="442"/>
      <c r="W11" s="441"/>
      <c r="X11" s="442"/>
      <c r="Y11" s="441"/>
      <c r="Z11" s="442"/>
      <c r="AA11" s="441"/>
      <c r="AB11" s="442"/>
      <c r="AC11" s="441"/>
      <c r="AD11" s="442"/>
      <c r="AE11" s="441"/>
      <c r="AF11" s="442"/>
      <c r="AG11" s="441"/>
      <c r="AH11" s="442"/>
      <c r="AI11" s="441"/>
      <c r="AJ11" s="442"/>
      <c r="AK11" s="441"/>
      <c r="AL11" s="442"/>
      <c r="AM11" s="441"/>
      <c r="AN11" s="442"/>
      <c r="AO11" s="441"/>
      <c r="AP11" s="442"/>
      <c r="AQ11" s="441"/>
      <c r="AR11" s="442"/>
      <c r="AS11" s="441"/>
      <c r="AT11" s="442"/>
    </row>
    <row r="12" spans="2:46" ht="18" customHeight="1" thickTop="1" x14ac:dyDescent="0.6">
      <c r="B12" s="453" t="s">
        <v>6</v>
      </c>
      <c r="C12" s="98"/>
      <c r="D12" s="73"/>
      <c r="E12" s="74"/>
      <c r="F12" s="456"/>
      <c r="G12" s="457"/>
      <c r="H12" s="456"/>
      <c r="I12" s="457"/>
      <c r="J12" s="456"/>
      <c r="K12" s="457"/>
      <c r="L12" s="456"/>
      <c r="M12" s="457"/>
      <c r="N12" s="456"/>
      <c r="O12" s="457"/>
      <c r="P12" s="456"/>
      <c r="Q12" s="457"/>
      <c r="R12" s="456"/>
      <c r="S12" s="457"/>
      <c r="T12" s="456"/>
      <c r="U12" s="457"/>
      <c r="V12" s="456"/>
      <c r="W12" s="457"/>
      <c r="X12" s="456"/>
      <c r="Y12" s="457"/>
      <c r="Z12" s="456"/>
      <c r="AA12" s="457"/>
      <c r="AB12" s="456"/>
      <c r="AC12" s="457"/>
      <c r="AD12" s="456"/>
      <c r="AE12" s="457"/>
      <c r="AF12" s="456"/>
      <c r="AG12" s="457"/>
      <c r="AH12" s="456"/>
      <c r="AI12" s="457"/>
      <c r="AJ12" s="456"/>
      <c r="AK12" s="457"/>
      <c r="AL12" s="456"/>
      <c r="AM12" s="457"/>
      <c r="AN12" s="456"/>
      <c r="AO12" s="457"/>
      <c r="AP12" s="456"/>
      <c r="AQ12" s="457"/>
      <c r="AR12" s="456"/>
      <c r="AS12" s="457"/>
      <c r="AT12" s="93"/>
    </row>
    <row r="13" spans="2:46" ht="18" customHeight="1" thickBot="1" x14ac:dyDescent="0.35">
      <c r="B13" s="454"/>
      <c r="C13" s="458">
        <f>'Plot Data'!D64</f>
        <v>0.58044341154507118</v>
      </c>
      <c r="D13" s="5"/>
      <c r="E13" s="6"/>
      <c r="F13" s="461"/>
      <c r="G13" s="462"/>
      <c r="H13" s="461"/>
      <c r="I13" s="462"/>
      <c r="J13" s="461"/>
      <c r="K13" s="462"/>
      <c r="L13" s="461"/>
      <c r="M13" s="462"/>
      <c r="N13" s="461"/>
      <c r="O13" s="462"/>
      <c r="P13" s="461"/>
      <c r="Q13" s="462"/>
      <c r="R13" s="461"/>
      <c r="S13" s="462"/>
      <c r="T13" s="461"/>
      <c r="U13" s="462"/>
      <c r="V13" s="461"/>
      <c r="W13" s="462"/>
      <c r="X13" s="461"/>
      <c r="Y13" s="462"/>
      <c r="Z13" s="461"/>
      <c r="AA13" s="462"/>
      <c r="AB13" s="461"/>
      <c r="AC13" s="462"/>
      <c r="AD13" s="461"/>
      <c r="AE13" s="462"/>
      <c r="AF13" s="461"/>
      <c r="AG13" s="462"/>
      <c r="AH13" s="461"/>
      <c r="AI13" s="462"/>
      <c r="AJ13" s="461"/>
      <c r="AK13" s="462"/>
      <c r="AL13" s="461"/>
      <c r="AM13" s="462"/>
      <c r="AN13" s="461"/>
      <c r="AO13" s="462"/>
      <c r="AP13" s="461"/>
      <c r="AQ13" s="462"/>
      <c r="AR13" s="461"/>
      <c r="AS13" s="462"/>
      <c r="AT13" s="463" t="s">
        <v>48</v>
      </c>
    </row>
    <row r="14" spans="2:46" ht="18" customHeight="1" thickTop="1" x14ac:dyDescent="0.3">
      <c r="B14" s="454"/>
      <c r="C14" s="458"/>
      <c r="D14" s="7"/>
      <c r="E14" s="8"/>
      <c r="F14" s="459"/>
      <c r="G14" s="460"/>
      <c r="H14" s="459"/>
      <c r="I14" s="460"/>
      <c r="J14" s="459"/>
      <c r="K14" s="460"/>
      <c r="L14" s="459"/>
      <c r="M14" s="460"/>
      <c r="N14" s="459"/>
      <c r="O14" s="460"/>
      <c r="P14" s="459"/>
      <c r="Q14" s="460"/>
      <c r="R14" s="459"/>
      <c r="S14" s="460"/>
      <c r="T14" s="459"/>
      <c r="U14" s="460"/>
      <c r="V14" s="459"/>
      <c r="W14" s="460"/>
      <c r="X14" s="459"/>
      <c r="Y14" s="460"/>
      <c r="Z14" s="459"/>
      <c r="AA14" s="460"/>
      <c r="AB14" s="459"/>
      <c r="AC14" s="460"/>
      <c r="AD14" s="459"/>
      <c r="AE14" s="460"/>
      <c r="AF14" s="459"/>
      <c r="AG14" s="460"/>
      <c r="AH14" s="459"/>
      <c r="AI14" s="460"/>
      <c r="AJ14" s="459"/>
      <c r="AK14" s="460"/>
      <c r="AL14" s="459"/>
      <c r="AM14" s="460"/>
      <c r="AN14" s="459"/>
      <c r="AO14" s="460"/>
      <c r="AP14" s="459"/>
      <c r="AQ14" s="460"/>
      <c r="AR14" s="459"/>
      <c r="AS14" s="460"/>
      <c r="AT14" s="464"/>
    </row>
    <row r="15" spans="2:46" ht="18" customHeight="1" x14ac:dyDescent="0.6">
      <c r="B15" s="454"/>
      <c r="C15" s="458">
        <f>C19+(C13-C19)/2</f>
        <v>0.56036950962089271</v>
      </c>
      <c r="D15" s="13"/>
      <c r="E15" s="8"/>
      <c r="F15" s="459"/>
      <c r="G15" s="460"/>
      <c r="H15" s="459"/>
      <c r="I15" s="460"/>
      <c r="J15" s="459"/>
      <c r="K15" s="460"/>
      <c r="L15" s="459"/>
      <c r="M15" s="460"/>
      <c r="N15" s="459"/>
      <c r="O15" s="460"/>
      <c r="P15" s="459"/>
      <c r="Q15" s="460"/>
      <c r="R15" s="459"/>
      <c r="S15" s="460"/>
      <c r="T15" s="459"/>
      <c r="U15" s="460"/>
      <c r="V15" s="459"/>
      <c r="W15" s="460"/>
      <c r="X15" s="459"/>
      <c r="Y15" s="460"/>
      <c r="Z15" s="459"/>
      <c r="AA15" s="460"/>
      <c r="AB15" s="459"/>
      <c r="AC15" s="460"/>
      <c r="AD15" s="459"/>
      <c r="AE15" s="460"/>
      <c r="AF15" s="459"/>
      <c r="AG15" s="460"/>
      <c r="AH15" s="459"/>
      <c r="AI15" s="460"/>
      <c r="AJ15" s="459"/>
      <c r="AK15" s="460"/>
      <c r="AL15" s="459"/>
      <c r="AM15" s="460"/>
      <c r="AN15" s="459"/>
      <c r="AO15" s="460"/>
      <c r="AP15" s="459"/>
      <c r="AQ15" s="460"/>
      <c r="AR15" s="459"/>
      <c r="AS15" s="460"/>
      <c r="AT15" s="94"/>
    </row>
    <row r="16" spans="2:46" ht="18" customHeight="1" x14ac:dyDescent="0.6">
      <c r="B16" s="454"/>
      <c r="C16" s="458"/>
      <c r="D16" s="3"/>
      <c r="E16" s="8"/>
      <c r="F16" s="459"/>
      <c r="G16" s="460"/>
      <c r="H16" s="459"/>
      <c r="I16" s="460"/>
      <c r="J16" s="459"/>
      <c r="K16" s="460"/>
      <c r="L16" s="459"/>
      <c r="M16" s="460"/>
      <c r="N16" s="459"/>
      <c r="O16" s="460"/>
      <c r="P16" s="459"/>
      <c r="Q16" s="460"/>
      <c r="R16" s="459"/>
      <c r="S16" s="460"/>
      <c r="T16" s="459"/>
      <c r="U16" s="460"/>
      <c r="V16" s="459"/>
      <c r="W16" s="460"/>
      <c r="X16" s="459"/>
      <c r="Y16" s="460"/>
      <c r="Z16" s="459"/>
      <c r="AA16" s="460"/>
      <c r="AB16" s="459"/>
      <c r="AC16" s="460"/>
      <c r="AD16" s="459"/>
      <c r="AE16" s="460"/>
      <c r="AF16" s="459"/>
      <c r="AG16" s="460"/>
      <c r="AH16" s="459"/>
      <c r="AI16" s="460"/>
      <c r="AJ16" s="459"/>
      <c r="AK16" s="460"/>
      <c r="AL16" s="459"/>
      <c r="AM16" s="460"/>
      <c r="AN16" s="459"/>
      <c r="AO16" s="460"/>
      <c r="AP16" s="459"/>
      <c r="AQ16" s="460"/>
      <c r="AR16" s="459"/>
      <c r="AS16" s="460"/>
      <c r="AT16" s="94"/>
    </row>
    <row r="17" spans="2:46" ht="18" customHeight="1" x14ac:dyDescent="0.6">
      <c r="B17" s="454"/>
      <c r="C17" s="458"/>
      <c r="D17" s="3"/>
      <c r="E17" s="8"/>
      <c r="F17" s="459"/>
      <c r="G17" s="460"/>
      <c r="H17" s="459"/>
      <c r="I17" s="460"/>
      <c r="J17" s="459"/>
      <c r="K17" s="460"/>
      <c r="L17" s="459"/>
      <c r="M17" s="460"/>
      <c r="N17" s="459"/>
      <c r="O17" s="460"/>
      <c r="P17" s="459"/>
      <c r="Q17" s="460"/>
      <c r="R17" s="459"/>
      <c r="S17" s="460"/>
      <c r="T17" s="459"/>
      <c r="U17" s="460"/>
      <c r="V17" s="459"/>
      <c r="W17" s="460"/>
      <c r="X17" s="459"/>
      <c r="Y17" s="460"/>
      <c r="Z17" s="459"/>
      <c r="AA17" s="460"/>
      <c r="AB17" s="459"/>
      <c r="AC17" s="460"/>
      <c r="AD17" s="459"/>
      <c r="AE17" s="460"/>
      <c r="AF17" s="459"/>
      <c r="AG17" s="460"/>
      <c r="AH17" s="459"/>
      <c r="AI17" s="460"/>
      <c r="AJ17" s="459"/>
      <c r="AK17" s="460"/>
      <c r="AL17" s="459"/>
      <c r="AM17" s="460"/>
      <c r="AN17" s="459"/>
      <c r="AO17" s="460"/>
      <c r="AP17" s="459"/>
      <c r="AQ17" s="460"/>
      <c r="AR17" s="459"/>
      <c r="AS17" s="460"/>
      <c r="AT17" s="94"/>
    </row>
    <row r="18" spans="2:46" ht="18" customHeight="1" x14ac:dyDescent="0.6">
      <c r="B18" s="454"/>
      <c r="C18" s="458"/>
      <c r="D18" s="7"/>
      <c r="E18" s="8"/>
      <c r="F18" s="459"/>
      <c r="G18" s="460"/>
      <c r="H18" s="459"/>
      <c r="I18" s="460"/>
      <c r="J18" s="459"/>
      <c r="K18" s="460"/>
      <c r="L18" s="459"/>
      <c r="M18" s="460"/>
      <c r="N18" s="459"/>
      <c r="O18" s="460"/>
      <c r="P18" s="459"/>
      <c r="Q18" s="460"/>
      <c r="R18" s="459"/>
      <c r="S18" s="460"/>
      <c r="T18" s="459"/>
      <c r="U18" s="460"/>
      <c r="V18" s="459"/>
      <c r="W18" s="460"/>
      <c r="X18" s="459"/>
      <c r="Y18" s="460"/>
      <c r="Z18" s="459"/>
      <c r="AA18" s="460"/>
      <c r="AB18" s="459"/>
      <c r="AC18" s="460"/>
      <c r="AD18" s="459"/>
      <c r="AE18" s="460"/>
      <c r="AF18" s="459"/>
      <c r="AG18" s="460"/>
      <c r="AH18" s="459"/>
      <c r="AI18" s="460"/>
      <c r="AJ18" s="459"/>
      <c r="AK18" s="460"/>
      <c r="AL18" s="459"/>
      <c r="AM18" s="460"/>
      <c r="AN18" s="459"/>
      <c r="AO18" s="460"/>
      <c r="AP18" s="459"/>
      <c r="AQ18" s="460"/>
      <c r="AR18" s="459"/>
      <c r="AS18" s="460"/>
      <c r="AT18" s="94"/>
    </row>
    <row r="19" spans="2:46" ht="18" customHeight="1" thickBot="1" x14ac:dyDescent="0.35">
      <c r="B19" s="454"/>
      <c r="C19" s="458">
        <f>'Plot Data'!D62</f>
        <v>0.54029560769671414</v>
      </c>
      <c r="D19" s="9"/>
      <c r="E19" s="10"/>
      <c r="F19" s="11"/>
      <c r="G19" s="12"/>
      <c r="H19" s="11"/>
      <c r="I19" s="12"/>
      <c r="J19" s="11"/>
      <c r="K19" s="12"/>
      <c r="L19" s="11"/>
      <c r="M19" s="12"/>
      <c r="N19" s="11"/>
      <c r="O19" s="12"/>
      <c r="P19" s="11"/>
      <c r="Q19" s="12"/>
      <c r="R19" s="11"/>
      <c r="S19" s="12"/>
      <c r="T19" s="11"/>
      <c r="U19" s="12"/>
      <c r="V19" s="11"/>
      <c r="W19" s="12"/>
      <c r="X19" s="11"/>
      <c r="Y19" s="12"/>
      <c r="Z19" s="11"/>
      <c r="AA19" s="12"/>
      <c r="AB19" s="11"/>
      <c r="AC19" s="12"/>
      <c r="AD19" s="11"/>
      <c r="AE19" s="12"/>
      <c r="AF19" s="11"/>
      <c r="AG19" s="12"/>
      <c r="AH19" s="11"/>
      <c r="AI19" s="12"/>
      <c r="AJ19" s="11"/>
      <c r="AK19" s="12"/>
      <c r="AL19" s="11"/>
      <c r="AM19" s="12"/>
      <c r="AN19" s="11"/>
      <c r="AO19" s="12"/>
      <c r="AP19" s="11"/>
      <c r="AQ19" s="12"/>
      <c r="AR19" s="11"/>
      <c r="AS19" s="12"/>
      <c r="AT19" s="463" t="s">
        <v>47</v>
      </c>
    </row>
    <row r="20" spans="2:46" ht="18" customHeight="1" x14ac:dyDescent="0.3">
      <c r="B20" s="454"/>
      <c r="C20" s="458"/>
      <c r="D20" s="7"/>
      <c r="E20" s="8"/>
      <c r="F20" s="459"/>
      <c r="G20" s="460"/>
      <c r="H20" s="459"/>
      <c r="I20" s="460"/>
      <c r="J20" s="459"/>
      <c r="K20" s="460"/>
      <c r="L20" s="459"/>
      <c r="M20" s="460"/>
      <c r="N20" s="459"/>
      <c r="O20" s="460"/>
      <c r="P20" s="459"/>
      <c r="Q20" s="460"/>
      <c r="R20" s="459"/>
      <c r="S20" s="460"/>
      <c r="T20" s="459"/>
      <c r="U20" s="460"/>
      <c r="V20" s="459"/>
      <c r="W20" s="460"/>
      <c r="X20" s="459"/>
      <c r="Y20" s="460"/>
      <c r="Z20" s="459"/>
      <c r="AA20" s="460"/>
      <c r="AB20" s="459"/>
      <c r="AC20" s="460"/>
      <c r="AD20" s="459"/>
      <c r="AE20" s="460"/>
      <c r="AF20" s="459"/>
      <c r="AG20" s="460"/>
      <c r="AH20" s="459"/>
      <c r="AI20" s="460"/>
      <c r="AJ20" s="459"/>
      <c r="AK20" s="460"/>
      <c r="AL20" s="459"/>
      <c r="AM20" s="460"/>
      <c r="AN20" s="459"/>
      <c r="AO20" s="460"/>
      <c r="AP20" s="459"/>
      <c r="AQ20" s="460"/>
      <c r="AR20" s="459"/>
      <c r="AS20" s="460"/>
      <c r="AT20" s="464"/>
    </row>
    <row r="21" spans="2:46" ht="18" customHeight="1" x14ac:dyDescent="0.6">
      <c r="B21" s="454"/>
      <c r="C21" s="458">
        <f>C25+(C19-C25)/2</f>
        <v>0.52022170577253557</v>
      </c>
      <c r="D21" s="13"/>
      <c r="E21" s="8"/>
      <c r="F21" s="459"/>
      <c r="G21" s="460"/>
      <c r="H21" s="459"/>
      <c r="I21" s="460"/>
      <c r="J21" s="459"/>
      <c r="K21" s="460"/>
      <c r="L21" s="459"/>
      <c r="M21" s="460"/>
      <c r="N21" s="459"/>
      <c r="O21" s="460"/>
      <c r="P21" s="459"/>
      <c r="Q21" s="460"/>
      <c r="R21" s="459"/>
      <c r="S21" s="460"/>
      <c r="T21" s="459"/>
      <c r="U21" s="460"/>
      <c r="V21" s="459"/>
      <c r="W21" s="460"/>
      <c r="X21" s="459"/>
      <c r="Y21" s="460"/>
      <c r="Z21" s="459"/>
      <c r="AA21" s="460"/>
      <c r="AB21" s="459"/>
      <c r="AC21" s="460"/>
      <c r="AD21" s="459"/>
      <c r="AE21" s="460"/>
      <c r="AF21" s="459"/>
      <c r="AG21" s="460"/>
      <c r="AH21" s="459"/>
      <c r="AI21" s="460"/>
      <c r="AJ21" s="459"/>
      <c r="AK21" s="460"/>
      <c r="AL21" s="459"/>
      <c r="AM21" s="460"/>
      <c r="AN21" s="459"/>
      <c r="AO21" s="460"/>
      <c r="AP21" s="459"/>
      <c r="AQ21" s="460"/>
      <c r="AR21" s="459"/>
      <c r="AS21" s="460"/>
      <c r="AT21" s="94"/>
    </row>
    <row r="22" spans="2:46" ht="18" customHeight="1" x14ac:dyDescent="0.6">
      <c r="B22" s="454"/>
      <c r="C22" s="458"/>
      <c r="D22" s="3"/>
      <c r="E22" s="8"/>
      <c r="F22" s="459"/>
      <c r="G22" s="460"/>
      <c r="H22" s="459"/>
      <c r="I22" s="460"/>
      <c r="J22" s="459"/>
      <c r="K22" s="460"/>
      <c r="L22" s="459"/>
      <c r="M22" s="460"/>
      <c r="N22" s="459"/>
      <c r="O22" s="460"/>
      <c r="P22" s="459"/>
      <c r="Q22" s="460"/>
      <c r="R22" s="459"/>
      <c r="S22" s="460"/>
      <c r="T22" s="459"/>
      <c r="U22" s="460"/>
      <c r="V22" s="459"/>
      <c r="W22" s="460"/>
      <c r="X22" s="459"/>
      <c r="Y22" s="460"/>
      <c r="Z22" s="459"/>
      <c r="AA22" s="460"/>
      <c r="AB22" s="459"/>
      <c r="AC22" s="460"/>
      <c r="AD22" s="459"/>
      <c r="AE22" s="460"/>
      <c r="AF22" s="459"/>
      <c r="AG22" s="460"/>
      <c r="AH22" s="459"/>
      <c r="AI22" s="460"/>
      <c r="AJ22" s="459"/>
      <c r="AK22" s="460"/>
      <c r="AL22" s="459"/>
      <c r="AM22" s="460"/>
      <c r="AN22" s="459"/>
      <c r="AO22" s="460"/>
      <c r="AP22" s="459"/>
      <c r="AQ22" s="460"/>
      <c r="AR22" s="459"/>
      <c r="AS22" s="460"/>
      <c r="AT22" s="94"/>
    </row>
    <row r="23" spans="2:46" ht="18" customHeight="1" x14ac:dyDescent="0.6">
      <c r="B23" s="454"/>
      <c r="C23" s="458"/>
      <c r="D23" s="3"/>
      <c r="E23" s="8"/>
      <c r="F23" s="459"/>
      <c r="G23" s="460"/>
      <c r="H23" s="459"/>
      <c r="I23" s="460"/>
      <c r="J23" s="459"/>
      <c r="K23" s="460"/>
      <c r="L23" s="459"/>
      <c r="M23" s="460"/>
      <c r="N23" s="459"/>
      <c r="O23" s="460"/>
      <c r="P23" s="459"/>
      <c r="Q23" s="460"/>
      <c r="R23" s="459"/>
      <c r="S23" s="460"/>
      <c r="T23" s="459"/>
      <c r="U23" s="460"/>
      <c r="V23" s="459"/>
      <c r="W23" s="460"/>
      <c r="X23" s="459"/>
      <c r="Y23" s="460"/>
      <c r="Z23" s="459"/>
      <c r="AA23" s="460"/>
      <c r="AB23" s="459"/>
      <c r="AC23" s="460"/>
      <c r="AD23" s="459"/>
      <c r="AE23" s="460"/>
      <c r="AF23" s="459"/>
      <c r="AG23" s="460"/>
      <c r="AH23" s="459"/>
      <c r="AI23" s="460"/>
      <c r="AJ23" s="459"/>
      <c r="AK23" s="460"/>
      <c r="AL23" s="459"/>
      <c r="AM23" s="460"/>
      <c r="AN23" s="459"/>
      <c r="AO23" s="460"/>
      <c r="AP23" s="459"/>
      <c r="AQ23" s="460"/>
      <c r="AR23" s="459"/>
      <c r="AS23" s="460"/>
      <c r="AT23" s="94"/>
    </row>
    <row r="24" spans="2:46" ht="18" customHeight="1" x14ac:dyDescent="0.6">
      <c r="B24" s="454"/>
      <c r="C24" s="458"/>
      <c r="D24" s="7"/>
      <c r="E24" s="8"/>
      <c r="F24" s="459"/>
      <c r="G24" s="460"/>
      <c r="H24" s="459"/>
      <c r="I24" s="460"/>
      <c r="J24" s="459"/>
      <c r="K24" s="460"/>
      <c r="L24" s="459"/>
      <c r="M24" s="460"/>
      <c r="N24" s="459"/>
      <c r="O24" s="460"/>
      <c r="P24" s="459"/>
      <c r="Q24" s="460"/>
      <c r="R24" s="459"/>
      <c r="S24" s="460"/>
      <c r="T24" s="459"/>
      <c r="U24" s="460"/>
      <c r="V24" s="459"/>
      <c r="W24" s="460"/>
      <c r="X24" s="459"/>
      <c r="Y24" s="460"/>
      <c r="Z24" s="459"/>
      <c r="AA24" s="460"/>
      <c r="AB24" s="459"/>
      <c r="AC24" s="460"/>
      <c r="AD24" s="459"/>
      <c r="AE24" s="460"/>
      <c r="AF24" s="459"/>
      <c r="AG24" s="460"/>
      <c r="AH24" s="459"/>
      <c r="AI24" s="460"/>
      <c r="AJ24" s="459"/>
      <c r="AK24" s="460"/>
      <c r="AL24" s="459"/>
      <c r="AM24" s="460"/>
      <c r="AN24" s="459"/>
      <c r="AO24" s="460"/>
      <c r="AP24" s="459"/>
      <c r="AQ24" s="460"/>
      <c r="AR24" s="459"/>
      <c r="AS24" s="460"/>
      <c r="AT24" s="94"/>
    </row>
    <row r="25" spans="2:46" ht="18" customHeight="1" x14ac:dyDescent="0.6">
      <c r="B25" s="454"/>
      <c r="C25" s="458">
        <f>'Plot Data'!D63</f>
        <v>0.50014780384835711</v>
      </c>
      <c r="D25" s="13"/>
      <c r="E25" s="8"/>
      <c r="F25" s="459"/>
      <c r="G25" s="460"/>
      <c r="H25" s="459"/>
      <c r="I25" s="460"/>
      <c r="J25" s="459"/>
      <c r="K25" s="460"/>
      <c r="L25" s="459"/>
      <c r="M25" s="460"/>
      <c r="N25" s="459"/>
      <c r="O25" s="460"/>
      <c r="P25" s="459"/>
      <c r="Q25" s="460"/>
      <c r="R25" s="459"/>
      <c r="S25" s="460"/>
      <c r="T25" s="459"/>
      <c r="U25" s="460"/>
      <c r="V25" s="459"/>
      <c r="W25" s="460"/>
      <c r="X25" s="459"/>
      <c r="Y25" s="460"/>
      <c r="Z25" s="459"/>
      <c r="AA25" s="460"/>
      <c r="AB25" s="459"/>
      <c r="AC25" s="460"/>
      <c r="AD25" s="459"/>
      <c r="AE25" s="460"/>
      <c r="AF25" s="459"/>
      <c r="AG25" s="460"/>
      <c r="AH25" s="459"/>
      <c r="AI25" s="460"/>
      <c r="AJ25" s="459"/>
      <c r="AK25" s="460"/>
      <c r="AL25" s="459"/>
      <c r="AM25" s="460"/>
      <c r="AN25" s="459"/>
      <c r="AO25" s="460"/>
      <c r="AP25" s="459"/>
      <c r="AQ25" s="460"/>
      <c r="AR25" s="459"/>
      <c r="AS25" s="460"/>
      <c r="AT25" s="94"/>
    </row>
    <row r="26" spans="2:46" ht="18" customHeight="1" x14ac:dyDescent="0.6">
      <c r="B26" s="454"/>
      <c r="C26" s="458"/>
      <c r="D26" s="7"/>
      <c r="E26" s="8"/>
      <c r="F26" s="459"/>
      <c r="G26" s="460"/>
      <c r="H26" s="459"/>
      <c r="I26" s="460"/>
      <c r="J26" s="459"/>
      <c r="K26" s="460"/>
      <c r="L26" s="459"/>
      <c r="M26" s="460"/>
      <c r="N26" s="459"/>
      <c r="O26" s="460"/>
      <c r="P26" s="459"/>
      <c r="Q26" s="460"/>
      <c r="R26" s="459"/>
      <c r="S26" s="460"/>
      <c r="T26" s="459"/>
      <c r="U26" s="460"/>
      <c r="V26" s="459"/>
      <c r="W26" s="460"/>
      <c r="X26" s="459"/>
      <c r="Y26" s="460"/>
      <c r="Z26" s="459"/>
      <c r="AA26" s="460"/>
      <c r="AB26" s="459"/>
      <c r="AC26" s="460"/>
      <c r="AD26" s="459"/>
      <c r="AE26" s="460"/>
      <c r="AF26" s="459"/>
      <c r="AG26" s="460"/>
      <c r="AH26" s="459"/>
      <c r="AI26" s="460"/>
      <c r="AJ26" s="459"/>
      <c r="AK26" s="460"/>
      <c r="AL26" s="459"/>
      <c r="AM26" s="460"/>
      <c r="AN26" s="459"/>
      <c r="AO26" s="460"/>
      <c r="AP26" s="459"/>
      <c r="AQ26" s="460"/>
      <c r="AR26" s="459"/>
      <c r="AS26" s="460"/>
      <c r="AT26" s="94"/>
    </row>
    <row r="27" spans="2:46" ht="18" customHeight="1" x14ac:dyDescent="0.6">
      <c r="B27" s="454"/>
      <c r="C27" s="458">
        <f>C31+(C25-C31)/2</f>
        <v>0.48007390192417854</v>
      </c>
      <c r="D27" s="13"/>
      <c r="E27" s="8"/>
      <c r="F27" s="459"/>
      <c r="G27" s="460"/>
      <c r="H27" s="459"/>
      <c r="I27" s="460"/>
      <c r="J27" s="459"/>
      <c r="K27" s="460"/>
      <c r="L27" s="459"/>
      <c r="M27" s="460"/>
      <c r="N27" s="459"/>
      <c r="O27" s="460"/>
      <c r="P27" s="459"/>
      <c r="Q27" s="460"/>
      <c r="R27" s="459"/>
      <c r="S27" s="460"/>
      <c r="T27" s="459"/>
      <c r="U27" s="460"/>
      <c r="V27" s="459"/>
      <c r="W27" s="460"/>
      <c r="X27" s="459"/>
      <c r="Y27" s="460"/>
      <c r="Z27" s="459"/>
      <c r="AA27" s="460"/>
      <c r="AB27" s="459"/>
      <c r="AC27" s="460"/>
      <c r="AD27" s="459"/>
      <c r="AE27" s="460"/>
      <c r="AF27" s="459"/>
      <c r="AG27" s="460"/>
      <c r="AH27" s="459"/>
      <c r="AI27" s="460"/>
      <c r="AJ27" s="459"/>
      <c r="AK27" s="460"/>
      <c r="AL27" s="459"/>
      <c r="AM27" s="460"/>
      <c r="AN27" s="459"/>
      <c r="AO27" s="460"/>
      <c r="AP27" s="459"/>
      <c r="AQ27" s="460"/>
      <c r="AR27" s="459"/>
      <c r="AS27" s="460"/>
      <c r="AT27" s="94"/>
    </row>
    <row r="28" spans="2:46" ht="18" customHeight="1" x14ac:dyDescent="0.6">
      <c r="B28" s="454"/>
      <c r="C28" s="458"/>
      <c r="D28" s="3"/>
      <c r="E28" s="8"/>
      <c r="F28" s="459"/>
      <c r="G28" s="460"/>
      <c r="H28" s="459"/>
      <c r="I28" s="460"/>
      <c r="J28" s="459"/>
      <c r="K28" s="460"/>
      <c r="L28" s="459"/>
      <c r="M28" s="460"/>
      <c r="N28" s="459"/>
      <c r="O28" s="460"/>
      <c r="P28" s="459"/>
      <c r="Q28" s="460"/>
      <c r="R28" s="459"/>
      <c r="S28" s="460"/>
      <c r="T28" s="459"/>
      <c r="U28" s="460"/>
      <c r="V28" s="459"/>
      <c r="W28" s="460"/>
      <c r="X28" s="459"/>
      <c r="Y28" s="460"/>
      <c r="Z28" s="459"/>
      <c r="AA28" s="460"/>
      <c r="AB28" s="459"/>
      <c r="AC28" s="460"/>
      <c r="AD28" s="459"/>
      <c r="AE28" s="460"/>
      <c r="AF28" s="459"/>
      <c r="AG28" s="460"/>
      <c r="AH28" s="459"/>
      <c r="AI28" s="460"/>
      <c r="AJ28" s="459"/>
      <c r="AK28" s="460"/>
      <c r="AL28" s="459"/>
      <c r="AM28" s="460"/>
      <c r="AN28" s="459"/>
      <c r="AO28" s="460"/>
      <c r="AP28" s="459"/>
      <c r="AQ28" s="460"/>
      <c r="AR28" s="459"/>
      <c r="AS28" s="460"/>
      <c r="AT28" s="94"/>
    </row>
    <row r="29" spans="2:46" ht="18" customHeight="1" x14ac:dyDescent="0.6">
      <c r="B29" s="454"/>
      <c r="C29" s="458"/>
      <c r="D29" s="3"/>
      <c r="E29" s="8"/>
      <c r="F29" s="459"/>
      <c r="G29" s="460"/>
      <c r="H29" s="459"/>
      <c r="I29" s="460"/>
      <c r="J29" s="459"/>
      <c r="K29" s="460"/>
      <c r="L29" s="459"/>
      <c r="M29" s="460"/>
      <c r="N29" s="459"/>
      <c r="O29" s="460"/>
      <c r="P29" s="459"/>
      <c r="Q29" s="460"/>
      <c r="R29" s="459"/>
      <c r="S29" s="460"/>
      <c r="T29" s="459"/>
      <c r="U29" s="460"/>
      <c r="V29" s="459"/>
      <c r="W29" s="460"/>
      <c r="X29" s="459"/>
      <c r="Y29" s="460"/>
      <c r="Z29" s="459"/>
      <c r="AA29" s="460"/>
      <c r="AB29" s="459"/>
      <c r="AC29" s="460"/>
      <c r="AD29" s="459"/>
      <c r="AE29" s="460"/>
      <c r="AF29" s="459"/>
      <c r="AG29" s="460"/>
      <c r="AH29" s="459"/>
      <c r="AI29" s="460"/>
      <c r="AJ29" s="459"/>
      <c r="AK29" s="460"/>
      <c r="AL29" s="459"/>
      <c r="AM29" s="460"/>
      <c r="AN29" s="459"/>
      <c r="AO29" s="460"/>
      <c r="AP29" s="459"/>
      <c r="AQ29" s="460"/>
      <c r="AR29" s="459"/>
      <c r="AS29" s="460"/>
      <c r="AT29" s="94"/>
    </row>
    <row r="30" spans="2:46" ht="18" customHeight="1" x14ac:dyDescent="0.6">
      <c r="B30" s="454"/>
      <c r="C30" s="458"/>
      <c r="D30" s="7"/>
      <c r="E30" s="8"/>
      <c r="F30" s="459"/>
      <c r="G30" s="460"/>
      <c r="H30" s="459"/>
      <c r="I30" s="460"/>
      <c r="J30" s="459"/>
      <c r="K30" s="460"/>
      <c r="L30" s="459"/>
      <c r="M30" s="460"/>
      <c r="N30" s="459"/>
      <c r="O30" s="460"/>
      <c r="P30" s="459"/>
      <c r="Q30" s="460"/>
      <c r="R30" s="459"/>
      <c r="S30" s="460"/>
      <c r="T30" s="459"/>
      <c r="U30" s="460"/>
      <c r="V30" s="459"/>
      <c r="W30" s="460"/>
      <c r="X30" s="459"/>
      <c r="Y30" s="460"/>
      <c r="Z30" s="459"/>
      <c r="AA30" s="460"/>
      <c r="AB30" s="459"/>
      <c r="AC30" s="460"/>
      <c r="AD30" s="459"/>
      <c r="AE30" s="460"/>
      <c r="AF30" s="459"/>
      <c r="AG30" s="460"/>
      <c r="AH30" s="459"/>
      <c r="AI30" s="460"/>
      <c r="AJ30" s="459"/>
      <c r="AK30" s="460"/>
      <c r="AL30" s="459"/>
      <c r="AM30" s="460"/>
      <c r="AN30" s="459"/>
      <c r="AO30" s="460"/>
      <c r="AP30" s="459"/>
      <c r="AQ30" s="460"/>
      <c r="AR30" s="459"/>
      <c r="AS30" s="460"/>
      <c r="AT30" s="94"/>
    </row>
    <row r="31" spans="2:46" ht="18" customHeight="1" thickBot="1" x14ac:dyDescent="0.35">
      <c r="B31" s="454"/>
      <c r="C31" s="458">
        <f>'Plot Data'!D58</f>
        <v>0.46</v>
      </c>
      <c r="D31" s="14"/>
      <c r="E31" s="15"/>
      <c r="F31" s="465"/>
      <c r="G31" s="466"/>
      <c r="H31" s="465"/>
      <c r="I31" s="466"/>
      <c r="J31" s="465"/>
      <c r="K31" s="466"/>
      <c r="L31" s="465"/>
      <c r="M31" s="466"/>
      <c r="N31" s="465"/>
      <c r="O31" s="466"/>
      <c r="P31" s="465"/>
      <c r="Q31" s="466"/>
      <c r="R31" s="465"/>
      <c r="S31" s="466"/>
      <c r="T31" s="465"/>
      <c r="U31" s="466"/>
      <c r="V31" s="465"/>
      <c r="W31" s="466"/>
      <c r="X31" s="465"/>
      <c r="Y31" s="466"/>
      <c r="Z31" s="465"/>
      <c r="AA31" s="466"/>
      <c r="AB31" s="465"/>
      <c r="AC31" s="466"/>
      <c r="AD31" s="465"/>
      <c r="AE31" s="466"/>
      <c r="AF31" s="465"/>
      <c r="AG31" s="466"/>
      <c r="AH31" s="465"/>
      <c r="AI31" s="466"/>
      <c r="AJ31" s="465"/>
      <c r="AK31" s="466"/>
      <c r="AL31" s="465"/>
      <c r="AM31" s="466"/>
      <c r="AN31" s="465"/>
      <c r="AO31" s="466"/>
      <c r="AP31" s="465"/>
      <c r="AQ31" s="466"/>
      <c r="AR31" s="465"/>
      <c r="AS31" s="466"/>
      <c r="AT31" s="469" t="s">
        <v>90</v>
      </c>
    </row>
    <row r="32" spans="2:46" ht="18" customHeight="1" x14ac:dyDescent="0.3">
      <c r="B32" s="454"/>
      <c r="C32" s="458"/>
      <c r="D32" s="16"/>
      <c r="E32" s="17"/>
      <c r="F32" s="467"/>
      <c r="G32" s="468"/>
      <c r="H32" s="467"/>
      <c r="I32" s="468"/>
      <c r="J32" s="467"/>
      <c r="K32" s="468"/>
      <c r="L32" s="467"/>
      <c r="M32" s="468"/>
      <c r="N32" s="467"/>
      <c r="O32" s="468"/>
      <c r="P32" s="467"/>
      <c r="Q32" s="468"/>
      <c r="R32" s="467"/>
      <c r="S32" s="468"/>
      <c r="T32" s="467"/>
      <c r="U32" s="468"/>
      <c r="V32" s="467"/>
      <c r="W32" s="468"/>
      <c r="X32" s="467"/>
      <c r="Y32" s="468"/>
      <c r="Z32" s="467"/>
      <c r="AA32" s="468"/>
      <c r="AB32" s="467"/>
      <c r="AC32" s="468"/>
      <c r="AD32" s="467"/>
      <c r="AE32" s="468"/>
      <c r="AF32" s="467"/>
      <c r="AG32" s="468"/>
      <c r="AH32" s="467"/>
      <c r="AI32" s="468"/>
      <c r="AJ32" s="467"/>
      <c r="AK32" s="468"/>
      <c r="AL32" s="467"/>
      <c r="AM32" s="468"/>
      <c r="AN32" s="467"/>
      <c r="AO32" s="468"/>
      <c r="AP32" s="467"/>
      <c r="AQ32" s="468"/>
      <c r="AR32" s="467"/>
      <c r="AS32" s="468"/>
      <c r="AT32" s="464"/>
    </row>
    <row r="33" spans="2:46" ht="18" customHeight="1" x14ac:dyDescent="0.6">
      <c r="B33" s="454"/>
      <c r="C33" s="458">
        <f>C37+(C31-C37)/2</f>
        <v>0.4399260980758215</v>
      </c>
      <c r="D33" s="13"/>
      <c r="E33" s="8"/>
      <c r="F33" s="459"/>
      <c r="G33" s="460"/>
      <c r="H33" s="459"/>
      <c r="I33" s="460"/>
      <c r="J33" s="459"/>
      <c r="K33" s="460"/>
      <c r="L33" s="459"/>
      <c r="M33" s="460"/>
      <c r="N33" s="459"/>
      <c r="O33" s="460"/>
      <c r="P33" s="459"/>
      <c r="Q33" s="460"/>
      <c r="R33" s="459"/>
      <c r="S33" s="460"/>
      <c r="T33" s="459"/>
      <c r="U33" s="460"/>
      <c r="V33" s="459"/>
      <c r="W33" s="460"/>
      <c r="X33" s="459"/>
      <c r="Y33" s="460"/>
      <c r="Z33" s="459"/>
      <c r="AA33" s="460"/>
      <c r="AB33" s="459"/>
      <c r="AC33" s="460"/>
      <c r="AD33" s="459"/>
      <c r="AE33" s="460"/>
      <c r="AF33" s="459"/>
      <c r="AG33" s="460"/>
      <c r="AH33" s="459"/>
      <c r="AI33" s="460"/>
      <c r="AJ33" s="459"/>
      <c r="AK33" s="460"/>
      <c r="AL33" s="459"/>
      <c r="AM33" s="460"/>
      <c r="AN33" s="459"/>
      <c r="AO33" s="460"/>
      <c r="AP33" s="459"/>
      <c r="AQ33" s="460"/>
      <c r="AR33" s="459"/>
      <c r="AS33" s="460"/>
      <c r="AT33" s="94"/>
    </row>
    <row r="34" spans="2:46" ht="18" customHeight="1" x14ac:dyDescent="0.6">
      <c r="B34" s="454"/>
      <c r="C34" s="458"/>
      <c r="D34" s="13"/>
      <c r="E34" s="8"/>
      <c r="F34" s="459"/>
      <c r="G34" s="460"/>
      <c r="H34" s="459"/>
      <c r="I34" s="460"/>
      <c r="J34" s="459"/>
      <c r="K34" s="460"/>
      <c r="L34" s="459"/>
      <c r="M34" s="460"/>
      <c r="N34" s="459"/>
      <c r="O34" s="460"/>
      <c r="P34" s="459"/>
      <c r="Q34" s="460"/>
      <c r="R34" s="459"/>
      <c r="S34" s="460"/>
      <c r="T34" s="459"/>
      <c r="U34" s="460"/>
      <c r="V34" s="459"/>
      <c r="W34" s="460"/>
      <c r="X34" s="459"/>
      <c r="Y34" s="460"/>
      <c r="Z34" s="459"/>
      <c r="AA34" s="460"/>
      <c r="AB34" s="459"/>
      <c r="AC34" s="460"/>
      <c r="AD34" s="459"/>
      <c r="AE34" s="460"/>
      <c r="AF34" s="459"/>
      <c r="AG34" s="460"/>
      <c r="AH34" s="459"/>
      <c r="AI34" s="460"/>
      <c r="AJ34" s="459"/>
      <c r="AK34" s="460"/>
      <c r="AL34" s="459"/>
      <c r="AM34" s="460"/>
      <c r="AN34" s="459"/>
      <c r="AO34" s="460"/>
      <c r="AP34" s="459"/>
      <c r="AQ34" s="460"/>
      <c r="AR34" s="459"/>
      <c r="AS34" s="460"/>
      <c r="AT34" s="94"/>
    </row>
    <row r="35" spans="2:46" ht="18" customHeight="1" x14ac:dyDescent="0.6">
      <c r="B35" s="454"/>
      <c r="C35" s="458"/>
      <c r="D35" s="13"/>
      <c r="E35" s="8"/>
      <c r="F35" s="459"/>
      <c r="G35" s="460"/>
      <c r="H35" s="459"/>
      <c r="I35" s="460"/>
      <c r="J35" s="459"/>
      <c r="K35" s="460"/>
      <c r="L35" s="459"/>
      <c r="M35" s="460"/>
      <c r="N35" s="459"/>
      <c r="O35" s="460"/>
      <c r="P35" s="459"/>
      <c r="Q35" s="460"/>
      <c r="R35" s="459"/>
      <c r="S35" s="460"/>
      <c r="T35" s="459"/>
      <c r="U35" s="460"/>
      <c r="V35" s="459"/>
      <c r="W35" s="460"/>
      <c r="X35" s="459"/>
      <c r="Y35" s="460"/>
      <c r="Z35" s="459"/>
      <c r="AA35" s="460"/>
      <c r="AB35" s="459"/>
      <c r="AC35" s="460"/>
      <c r="AD35" s="459"/>
      <c r="AE35" s="460"/>
      <c r="AF35" s="459"/>
      <c r="AG35" s="460"/>
      <c r="AH35" s="459"/>
      <c r="AI35" s="460"/>
      <c r="AJ35" s="459"/>
      <c r="AK35" s="460"/>
      <c r="AL35" s="459"/>
      <c r="AM35" s="460"/>
      <c r="AN35" s="459"/>
      <c r="AO35" s="460"/>
      <c r="AP35" s="459"/>
      <c r="AQ35" s="460"/>
      <c r="AR35" s="459"/>
      <c r="AS35" s="460"/>
      <c r="AT35" s="94"/>
    </row>
    <row r="36" spans="2:46" ht="18" customHeight="1" x14ac:dyDescent="0.6">
      <c r="B36" s="454"/>
      <c r="C36" s="458"/>
      <c r="D36" s="92"/>
      <c r="E36" s="8"/>
      <c r="F36" s="459"/>
      <c r="G36" s="460"/>
      <c r="H36" s="459"/>
      <c r="I36" s="460"/>
      <c r="J36" s="459"/>
      <c r="K36" s="460"/>
      <c r="L36" s="459"/>
      <c r="M36" s="460"/>
      <c r="N36" s="459"/>
      <c r="O36" s="460"/>
      <c r="P36" s="459"/>
      <c r="Q36" s="460"/>
      <c r="R36" s="459"/>
      <c r="S36" s="460"/>
      <c r="T36" s="459"/>
      <c r="U36" s="460"/>
      <c r="V36" s="459"/>
      <c r="W36" s="460"/>
      <c r="X36" s="459"/>
      <c r="Y36" s="460"/>
      <c r="Z36" s="459"/>
      <c r="AA36" s="460"/>
      <c r="AB36" s="459"/>
      <c r="AC36" s="460"/>
      <c r="AD36" s="459"/>
      <c r="AE36" s="460"/>
      <c r="AF36" s="459"/>
      <c r="AG36" s="460"/>
      <c r="AH36" s="459"/>
      <c r="AI36" s="460"/>
      <c r="AJ36" s="459"/>
      <c r="AK36" s="460"/>
      <c r="AL36" s="459"/>
      <c r="AM36" s="460"/>
      <c r="AN36" s="459"/>
      <c r="AO36" s="460"/>
      <c r="AP36" s="459"/>
      <c r="AQ36" s="460"/>
      <c r="AR36" s="459"/>
      <c r="AS36" s="460"/>
      <c r="AT36" s="94"/>
    </row>
    <row r="37" spans="2:46" ht="18" customHeight="1" x14ac:dyDescent="0.6">
      <c r="B37" s="454"/>
      <c r="C37" s="458">
        <f>'Plot Data'!D66</f>
        <v>0.41985219615164293</v>
      </c>
      <c r="D37" s="13"/>
      <c r="E37" s="8"/>
      <c r="F37" s="470"/>
      <c r="G37" s="471"/>
      <c r="H37" s="459"/>
      <c r="I37" s="460"/>
      <c r="J37" s="459"/>
      <c r="K37" s="460"/>
      <c r="L37" s="459"/>
      <c r="M37" s="460"/>
      <c r="N37" s="459"/>
      <c r="O37" s="460"/>
      <c r="P37" s="459"/>
      <c r="Q37" s="460"/>
      <c r="R37" s="459"/>
      <c r="S37" s="460"/>
      <c r="T37" s="459"/>
      <c r="U37" s="460"/>
      <c r="V37" s="459"/>
      <c r="W37" s="460"/>
      <c r="X37" s="459"/>
      <c r="Y37" s="460"/>
      <c r="Z37" s="459"/>
      <c r="AA37" s="460"/>
      <c r="AB37" s="459"/>
      <c r="AC37" s="460"/>
      <c r="AD37" s="459"/>
      <c r="AE37" s="460"/>
      <c r="AF37" s="459"/>
      <c r="AG37" s="460"/>
      <c r="AH37" s="459"/>
      <c r="AI37" s="460"/>
      <c r="AJ37" s="459"/>
      <c r="AK37" s="460"/>
      <c r="AL37" s="459"/>
      <c r="AM37" s="460"/>
      <c r="AN37" s="459"/>
      <c r="AO37" s="460"/>
      <c r="AP37" s="459"/>
      <c r="AQ37" s="460"/>
      <c r="AR37" s="459"/>
      <c r="AS37" s="460"/>
      <c r="AT37" s="94"/>
    </row>
    <row r="38" spans="2:46" ht="18" customHeight="1" x14ac:dyDescent="0.6">
      <c r="B38" s="454"/>
      <c r="C38" s="458"/>
      <c r="D38" s="7"/>
      <c r="E38" s="8"/>
      <c r="F38" s="459"/>
      <c r="G38" s="460"/>
      <c r="H38" s="459"/>
      <c r="I38" s="460"/>
      <c r="J38" s="459"/>
      <c r="K38" s="460"/>
      <c r="L38" s="459"/>
      <c r="M38" s="460"/>
      <c r="N38" s="459"/>
      <c r="O38" s="460"/>
      <c r="P38" s="459"/>
      <c r="Q38" s="460"/>
      <c r="R38" s="459"/>
      <c r="S38" s="460"/>
      <c r="T38" s="459"/>
      <c r="U38" s="460"/>
      <c r="V38" s="459"/>
      <c r="W38" s="460"/>
      <c r="X38" s="459"/>
      <c r="Y38" s="460"/>
      <c r="Z38" s="459"/>
      <c r="AA38" s="460"/>
      <c r="AB38" s="459"/>
      <c r="AC38" s="460"/>
      <c r="AD38" s="459"/>
      <c r="AE38" s="460"/>
      <c r="AF38" s="459"/>
      <c r="AG38" s="460"/>
      <c r="AH38" s="459"/>
      <c r="AI38" s="460"/>
      <c r="AJ38" s="459"/>
      <c r="AK38" s="460"/>
      <c r="AL38" s="459"/>
      <c r="AM38" s="460"/>
      <c r="AN38" s="459"/>
      <c r="AO38" s="460"/>
      <c r="AP38" s="459"/>
      <c r="AQ38" s="460"/>
      <c r="AR38" s="459"/>
      <c r="AS38" s="460"/>
      <c r="AT38" s="94"/>
    </row>
    <row r="39" spans="2:46" ht="18" customHeight="1" x14ac:dyDescent="0.6">
      <c r="B39" s="454"/>
      <c r="C39" s="458">
        <f>C43+(C37-C43)/2</f>
        <v>0.39977829422746441</v>
      </c>
      <c r="D39" s="13"/>
      <c r="E39" s="8"/>
      <c r="F39" s="459"/>
      <c r="G39" s="460"/>
      <c r="H39" s="459"/>
      <c r="I39" s="460"/>
      <c r="J39" s="459"/>
      <c r="K39" s="460"/>
      <c r="L39" s="459"/>
      <c r="M39" s="460"/>
      <c r="N39" s="459"/>
      <c r="O39" s="460"/>
      <c r="P39" s="459"/>
      <c r="Q39" s="460"/>
      <c r="R39" s="459"/>
      <c r="S39" s="460"/>
      <c r="T39" s="459"/>
      <c r="U39" s="460"/>
      <c r="V39" s="459"/>
      <c r="W39" s="460"/>
      <c r="X39" s="459"/>
      <c r="Y39" s="460"/>
      <c r="Z39" s="459"/>
      <c r="AA39" s="460"/>
      <c r="AB39" s="459"/>
      <c r="AC39" s="460"/>
      <c r="AD39" s="459"/>
      <c r="AE39" s="460"/>
      <c r="AF39" s="459"/>
      <c r="AG39" s="460"/>
      <c r="AH39" s="459"/>
      <c r="AI39" s="460"/>
      <c r="AJ39" s="459"/>
      <c r="AK39" s="460"/>
      <c r="AL39" s="459"/>
      <c r="AM39" s="460"/>
      <c r="AN39" s="459"/>
      <c r="AO39" s="460"/>
      <c r="AP39" s="459"/>
      <c r="AQ39" s="460"/>
      <c r="AR39" s="459"/>
      <c r="AS39" s="460"/>
      <c r="AT39" s="94"/>
    </row>
    <row r="40" spans="2:46" ht="18" customHeight="1" x14ac:dyDescent="0.6">
      <c r="B40" s="454"/>
      <c r="C40" s="458"/>
      <c r="D40" s="3"/>
      <c r="E40" s="8"/>
      <c r="F40" s="459"/>
      <c r="G40" s="460"/>
      <c r="H40" s="459"/>
      <c r="I40" s="460"/>
      <c r="J40" s="459"/>
      <c r="K40" s="460"/>
      <c r="L40" s="459"/>
      <c r="M40" s="460"/>
      <c r="N40" s="459"/>
      <c r="O40" s="460"/>
      <c r="P40" s="459"/>
      <c r="Q40" s="460"/>
      <c r="R40" s="459"/>
      <c r="S40" s="460"/>
      <c r="T40" s="459"/>
      <c r="U40" s="460"/>
      <c r="V40" s="459"/>
      <c r="W40" s="460"/>
      <c r="X40" s="459"/>
      <c r="Y40" s="460"/>
      <c r="Z40" s="459"/>
      <c r="AA40" s="460"/>
      <c r="AB40" s="459"/>
      <c r="AC40" s="460"/>
      <c r="AD40" s="459"/>
      <c r="AE40" s="460"/>
      <c r="AF40" s="459"/>
      <c r="AG40" s="460"/>
      <c r="AH40" s="459"/>
      <c r="AI40" s="460"/>
      <c r="AJ40" s="459"/>
      <c r="AK40" s="460"/>
      <c r="AL40" s="459"/>
      <c r="AM40" s="460"/>
      <c r="AN40" s="459"/>
      <c r="AO40" s="460"/>
      <c r="AP40" s="459"/>
      <c r="AQ40" s="460"/>
      <c r="AR40" s="459"/>
      <c r="AS40" s="460"/>
      <c r="AT40" s="94"/>
    </row>
    <row r="41" spans="2:46" ht="18" customHeight="1" x14ac:dyDescent="0.6">
      <c r="B41" s="454"/>
      <c r="C41" s="458"/>
      <c r="D41" s="3"/>
      <c r="E41" s="8"/>
      <c r="F41" s="459"/>
      <c r="G41" s="460"/>
      <c r="H41" s="459"/>
      <c r="I41" s="460"/>
      <c r="J41" s="459"/>
      <c r="K41" s="460"/>
      <c r="L41" s="459"/>
      <c r="M41" s="460"/>
      <c r="N41" s="459"/>
      <c r="O41" s="460"/>
      <c r="P41" s="459"/>
      <c r="Q41" s="460"/>
      <c r="R41" s="459"/>
      <c r="S41" s="460"/>
      <c r="T41" s="459"/>
      <c r="U41" s="460"/>
      <c r="V41" s="459"/>
      <c r="W41" s="460"/>
      <c r="X41" s="459"/>
      <c r="Y41" s="460"/>
      <c r="Z41" s="459"/>
      <c r="AA41" s="460"/>
      <c r="AB41" s="459"/>
      <c r="AC41" s="460"/>
      <c r="AD41" s="459"/>
      <c r="AE41" s="460"/>
      <c r="AF41" s="459"/>
      <c r="AG41" s="460"/>
      <c r="AH41" s="459"/>
      <c r="AI41" s="460"/>
      <c r="AJ41" s="459"/>
      <c r="AK41" s="460"/>
      <c r="AL41" s="459"/>
      <c r="AM41" s="460"/>
      <c r="AN41" s="459"/>
      <c r="AO41" s="460"/>
      <c r="AP41" s="459"/>
      <c r="AQ41" s="460"/>
      <c r="AR41" s="459"/>
      <c r="AS41" s="460"/>
      <c r="AT41" s="94"/>
    </row>
    <row r="42" spans="2:46" ht="18" customHeight="1" x14ac:dyDescent="0.6">
      <c r="B42" s="454"/>
      <c r="C42" s="458"/>
      <c r="D42" s="7"/>
      <c r="E42" s="8"/>
      <c r="F42" s="459"/>
      <c r="G42" s="460"/>
      <c r="H42" s="459"/>
      <c r="I42" s="460"/>
      <c r="J42" s="459"/>
      <c r="K42" s="460"/>
      <c r="L42" s="459"/>
      <c r="M42" s="460"/>
      <c r="N42" s="459"/>
      <c r="O42" s="460"/>
      <c r="P42" s="459"/>
      <c r="Q42" s="460"/>
      <c r="R42" s="459"/>
      <c r="S42" s="460"/>
      <c r="T42" s="459"/>
      <c r="U42" s="460"/>
      <c r="V42" s="459"/>
      <c r="W42" s="460"/>
      <c r="X42" s="459"/>
      <c r="Y42" s="460"/>
      <c r="Z42" s="459"/>
      <c r="AA42" s="460"/>
      <c r="AB42" s="459"/>
      <c r="AC42" s="460"/>
      <c r="AD42" s="459"/>
      <c r="AE42" s="460"/>
      <c r="AF42" s="459"/>
      <c r="AG42" s="460"/>
      <c r="AH42" s="459"/>
      <c r="AI42" s="460"/>
      <c r="AJ42" s="459"/>
      <c r="AK42" s="460"/>
      <c r="AL42" s="459"/>
      <c r="AM42" s="460"/>
      <c r="AN42" s="459"/>
      <c r="AO42" s="460"/>
      <c r="AP42" s="459"/>
      <c r="AQ42" s="460"/>
      <c r="AR42" s="459"/>
      <c r="AS42" s="460"/>
      <c r="AT42" s="94"/>
    </row>
    <row r="43" spans="2:46" ht="18" customHeight="1" thickBot="1" x14ac:dyDescent="0.35">
      <c r="B43" s="454"/>
      <c r="C43" s="458">
        <f>'Plot Data'!D65</f>
        <v>0.3797043923032859</v>
      </c>
      <c r="D43" s="9"/>
      <c r="E43" s="10"/>
      <c r="F43" s="11"/>
      <c r="G43" s="12"/>
      <c r="H43" s="11"/>
      <c r="I43" s="12"/>
      <c r="J43" s="11"/>
      <c r="K43" s="12"/>
      <c r="L43" s="11"/>
      <c r="M43" s="12"/>
      <c r="N43" s="11"/>
      <c r="O43" s="12"/>
      <c r="P43" s="11"/>
      <c r="Q43" s="12"/>
      <c r="R43" s="11"/>
      <c r="S43" s="12"/>
      <c r="T43" s="11"/>
      <c r="U43" s="12"/>
      <c r="V43" s="11"/>
      <c r="W43" s="12"/>
      <c r="X43" s="11"/>
      <c r="Y43" s="12"/>
      <c r="Z43" s="11"/>
      <c r="AA43" s="12"/>
      <c r="AB43" s="11"/>
      <c r="AC43" s="12"/>
      <c r="AD43" s="11"/>
      <c r="AE43" s="12"/>
      <c r="AF43" s="11"/>
      <c r="AG43" s="12"/>
      <c r="AH43" s="11"/>
      <c r="AI43" s="12"/>
      <c r="AJ43" s="11"/>
      <c r="AK43" s="12"/>
      <c r="AL43" s="11"/>
      <c r="AM43" s="12"/>
      <c r="AN43" s="11"/>
      <c r="AO43" s="12"/>
      <c r="AP43" s="11"/>
      <c r="AQ43" s="12"/>
      <c r="AR43" s="11"/>
      <c r="AS43" s="12"/>
      <c r="AT43" s="463" t="s">
        <v>46</v>
      </c>
    </row>
    <row r="44" spans="2:46" ht="18" customHeight="1" x14ac:dyDescent="0.3">
      <c r="B44" s="454"/>
      <c r="C44" s="458"/>
      <c r="D44" s="7"/>
      <c r="E44" s="8"/>
      <c r="F44" s="459"/>
      <c r="G44" s="460"/>
      <c r="H44" s="459"/>
      <c r="I44" s="460"/>
      <c r="J44" s="459"/>
      <c r="K44" s="460"/>
      <c r="L44" s="459"/>
      <c r="M44" s="460"/>
      <c r="N44" s="459"/>
      <c r="O44" s="460"/>
      <c r="P44" s="459"/>
      <c r="Q44" s="460"/>
      <c r="R44" s="459"/>
      <c r="S44" s="460"/>
      <c r="T44" s="459"/>
      <c r="U44" s="460"/>
      <c r="V44" s="459"/>
      <c r="W44" s="460"/>
      <c r="X44" s="459"/>
      <c r="Y44" s="460"/>
      <c r="Z44" s="459"/>
      <c r="AA44" s="460"/>
      <c r="AB44" s="459"/>
      <c r="AC44" s="460"/>
      <c r="AD44" s="459"/>
      <c r="AE44" s="460"/>
      <c r="AF44" s="459"/>
      <c r="AG44" s="460"/>
      <c r="AH44" s="459"/>
      <c r="AI44" s="460"/>
      <c r="AJ44" s="459"/>
      <c r="AK44" s="460"/>
      <c r="AL44" s="459"/>
      <c r="AM44" s="460"/>
      <c r="AN44" s="459"/>
      <c r="AO44" s="460"/>
      <c r="AP44" s="459"/>
      <c r="AQ44" s="460"/>
      <c r="AR44" s="459"/>
      <c r="AS44" s="460"/>
      <c r="AT44" s="464"/>
    </row>
    <row r="45" spans="2:46" ht="18" customHeight="1" x14ac:dyDescent="0.6">
      <c r="B45" s="454"/>
      <c r="C45" s="458">
        <f>C49+(C43-C49)/2</f>
        <v>0.35963049037910733</v>
      </c>
      <c r="D45" s="13"/>
      <c r="E45" s="8"/>
      <c r="F45" s="459"/>
      <c r="G45" s="460"/>
      <c r="H45" s="459"/>
      <c r="I45" s="460"/>
      <c r="J45" s="459"/>
      <c r="K45" s="460"/>
      <c r="L45" s="459"/>
      <c r="M45" s="460"/>
      <c r="N45" s="459"/>
      <c r="O45" s="460"/>
      <c r="P45" s="459"/>
      <c r="Q45" s="460"/>
      <c r="R45" s="459"/>
      <c r="S45" s="460"/>
      <c r="T45" s="459"/>
      <c r="U45" s="460"/>
      <c r="V45" s="459"/>
      <c r="W45" s="460"/>
      <c r="X45" s="459"/>
      <c r="Y45" s="460"/>
      <c r="Z45" s="459"/>
      <c r="AA45" s="460"/>
      <c r="AB45" s="459"/>
      <c r="AC45" s="460"/>
      <c r="AD45" s="459"/>
      <c r="AE45" s="460"/>
      <c r="AF45" s="459"/>
      <c r="AG45" s="460"/>
      <c r="AH45" s="459"/>
      <c r="AI45" s="460"/>
      <c r="AJ45" s="459"/>
      <c r="AK45" s="460"/>
      <c r="AL45" s="459"/>
      <c r="AM45" s="460"/>
      <c r="AN45" s="459"/>
      <c r="AO45" s="460"/>
      <c r="AP45" s="459"/>
      <c r="AQ45" s="460"/>
      <c r="AR45" s="459"/>
      <c r="AS45" s="460"/>
      <c r="AT45" s="94"/>
    </row>
    <row r="46" spans="2:46" ht="18" customHeight="1" x14ac:dyDescent="0.6">
      <c r="B46" s="454"/>
      <c r="C46" s="458"/>
      <c r="D46" s="3"/>
      <c r="E46" s="8"/>
      <c r="F46" s="459"/>
      <c r="G46" s="460"/>
      <c r="H46" s="459"/>
      <c r="I46" s="460"/>
      <c r="J46" s="459"/>
      <c r="K46" s="460"/>
      <c r="L46" s="459"/>
      <c r="M46" s="460"/>
      <c r="N46" s="459"/>
      <c r="O46" s="460"/>
      <c r="P46" s="459"/>
      <c r="Q46" s="460"/>
      <c r="R46" s="459"/>
      <c r="S46" s="460"/>
      <c r="T46" s="459"/>
      <c r="U46" s="460"/>
      <c r="V46" s="459"/>
      <c r="W46" s="460"/>
      <c r="X46" s="459"/>
      <c r="Y46" s="460"/>
      <c r="Z46" s="459"/>
      <c r="AA46" s="460"/>
      <c r="AB46" s="459"/>
      <c r="AC46" s="460"/>
      <c r="AD46" s="459"/>
      <c r="AE46" s="460"/>
      <c r="AF46" s="459"/>
      <c r="AG46" s="460"/>
      <c r="AH46" s="459"/>
      <c r="AI46" s="460"/>
      <c r="AJ46" s="459"/>
      <c r="AK46" s="460"/>
      <c r="AL46" s="459"/>
      <c r="AM46" s="460"/>
      <c r="AN46" s="459"/>
      <c r="AO46" s="460"/>
      <c r="AP46" s="459"/>
      <c r="AQ46" s="460"/>
      <c r="AR46" s="459"/>
      <c r="AS46" s="460"/>
      <c r="AT46" s="94"/>
    </row>
    <row r="47" spans="2:46" ht="18" customHeight="1" x14ac:dyDescent="0.6">
      <c r="B47" s="454"/>
      <c r="C47" s="458"/>
      <c r="D47" s="3"/>
      <c r="E47" s="8"/>
      <c r="F47" s="459"/>
      <c r="G47" s="460"/>
      <c r="H47" s="459"/>
      <c r="I47" s="460"/>
      <c r="J47" s="459"/>
      <c r="K47" s="460"/>
      <c r="L47" s="459"/>
      <c r="M47" s="460"/>
      <c r="N47" s="459"/>
      <c r="O47" s="460"/>
      <c r="P47" s="459"/>
      <c r="Q47" s="460"/>
      <c r="R47" s="459"/>
      <c r="S47" s="460"/>
      <c r="T47" s="459"/>
      <c r="U47" s="460"/>
      <c r="V47" s="459"/>
      <c r="W47" s="460"/>
      <c r="X47" s="459"/>
      <c r="Y47" s="460"/>
      <c r="Z47" s="459"/>
      <c r="AA47" s="460"/>
      <c r="AB47" s="459"/>
      <c r="AC47" s="460"/>
      <c r="AD47" s="459"/>
      <c r="AE47" s="460"/>
      <c r="AF47" s="459"/>
      <c r="AG47" s="460"/>
      <c r="AH47" s="459"/>
      <c r="AI47" s="460"/>
      <c r="AJ47" s="459"/>
      <c r="AK47" s="460"/>
      <c r="AL47" s="459"/>
      <c r="AM47" s="460"/>
      <c r="AN47" s="459"/>
      <c r="AO47" s="460"/>
      <c r="AP47" s="459"/>
      <c r="AQ47" s="460"/>
      <c r="AR47" s="459"/>
      <c r="AS47" s="460"/>
      <c r="AT47" s="94"/>
    </row>
    <row r="48" spans="2:46" ht="18" customHeight="1" x14ac:dyDescent="0.6">
      <c r="B48" s="454"/>
      <c r="C48" s="458"/>
      <c r="D48" s="7"/>
      <c r="E48" s="8"/>
      <c r="F48" s="459"/>
      <c r="G48" s="460"/>
      <c r="H48" s="459"/>
      <c r="I48" s="460"/>
      <c r="J48" s="459"/>
      <c r="K48" s="460"/>
      <c r="L48" s="459"/>
      <c r="M48" s="460"/>
      <c r="N48" s="459"/>
      <c r="O48" s="460"/>
      <c r="P48" s="459"/>
      <c r="Q48" s="460"/>
      <c r="R48" s="459"/>
      <c r="S48" s="460"/>
      <c r="T48" s="459"/>
      <c r="U48" s="460"/>
      <c r="V48" s="459"/>
      <c r="W48" s="460"/>
      <c r="X48" s="459"/>
      <c r="Y48" s="460"/>
      <c r="Z48" s="459"/>
      <c r="AA48" s="460"/>
      <c r="AB48" s="459"/>
      <c r="AC48" s="460"/>
      <c r="AD48" s="459"/>
      <c r="AE48" s="460"/>
      <c r="AF48" s="459"/>
      <c r="AG48" s="460"/>
      <c r="AH48" s="459"/>
      <c r="AI48" s="460"/>
      <c r="AJ48" s="459"/>
      <c r="AK48" s="460"/>
      <c r="AL48" s="459"/>
      <c r="AM48" s="460"/>
      <c r="AN48" s="459"/>
      <c r="AO48" s="460"/>
      <c r="AP48" s="459"/>
      <c r="AQ48" s="460"/>
      <c r="AR48" s="459"/>
      <c r="AS48" s="460"/>
      <c r="AT48" s="94"/>
    </row>
    <row r="49" spans="2:46" ht="18" customHeight="1" thickBot="1" x14ac:dyDescent="0.35">
      <c r="B49" s="454"/>
      <c r="C49" s="458">
        <f>'Plot Data'!D67</f>
        <v>0.33955658845492881</v>
      </c>
      <c r="D49" s="5"/>
      <c r="E49" s="6"/>
      <c r="F49" s="461"/>
      <c r="G49" s="462"/>
      <c r="H49" s="461"/>
      <c r="I49" s="462"/>
      <c r="J49" s="461"/>
      <c r="K49" s="462"/>
      <c r="L49" s="461"/>
      <c r="M49" s="462"/>
      <c r="N49" s="461"/>
      <c r="O49" s="462"/>
      <c r="P49" s="461"/>
      <c r="Q49" s="462"/>
      <c r="R49" s="461"/>
      <c r="S49" s="462"/>
      <c r="T49" s="461"/>
      <c r="U49" s="462"/>
      <c r="V49" s="461"/>
      <c r="W49" s="462"/>
      <c r="X49" s="461"/>
      <c r="Y49" s="462"/>
      <c r="Z49" s="461"/>
      <c r="AA49" s="462"/>
      <c r="AB49" s="461"/>
      <c r="AC49" s="462"/>
      <c r="AD49" s="461"/>
      <c r="AE49" s="462"/>
      <c r="AF49" s="461"/>
      <c r="AG49" s="462"/>
      <c r="AH49" s="461"/>
      <c r="AI49" s="462"/>
      <c r="AJ49" s="461"/>
      <c r="AK49" s="462"/>
      <c r="AL49" s="461"/>
      <c r="AM49" s="462"/>
      <c r="AN49" s="461"/>
      <c r="AO49" s="462"/>
      <c r="AP49" s="461"/>
      <c r="AQ49" s="462"/>
      <c r="AR49" s="461"/>
      <c r="AS49" s="462"/>
      <c r="AT49" s="463" t="s">
        <v>45</v>
      </c>
    </row>
    <row r="50" spans="2:46" ht="18" customHeight="1" thickTop="1" thickBot="1" x14ac:dyDescent="0.35">
      <c r="B50" s="455"/>
      <c r="C50" s="472"/>
      <c r="D50" s="77"/>
      <c r="E50" s="78"/>
      <c r="F50" s="473"/>
      <c r="G50" s="474"/>
      <c r="H50" s="473"/>
      <c r="I50" s="474"/>
      <c r="J50" s="473"/>
      <c r="K50" s="474"/>
      <c r="L50" s="473"/>
      <c r="M50" s="474"/>
      <c r="N50" s="473"/>
      <c r="O50" s="474"/>
      <c r="P50" s="473"/>
      <c r="Q50" s="474"/>
      <c r="R50" s="473"/>
      <c r="S50" s="474"/>
      <c r="T50" s="473"/>
      <c r="U50" s="474"/>
      <c r="V50" s="473"/>
      <c r="W50" s="474"/>
      <c r="X50" s="473"/>
      <c r="Y50" s="474"/>
      <c r="Z50" s="473"/>
      <c r="AA50" s="474"/>
      <c r="AB50" s="473"/>
      <c r="AC50" s="474"/>
      <c r="AD50" s="473"/>
      <c r="AE50" s="474"/>
      <c r="AF50" s="473"/>
      <c r="AG50" s="474"/>
      <c r="AH50" s="473"/>
      <c r="AI50" s="474"/>
      <c r="AJ50" s="473"/>
      <c r="AK50" s="474"/>
      <c r="AL50" s="473"/>
      <c r="AM50" s="474"/>
      <c r="AN50" s="473"/>
      <c r="AO50" s="474"/>
      <c r="AP50" s="473"/>
      <c r="AQ50" s="474"/>
      <c r="AR50" s="473"/>
      <c r="AS50" s="474"/>
      <c r="AT50" s="477"/>
    </row>
    <row r="51" spans="2:46" ht="30" customHeight="1" thickTop="1" thickBot="1" x14ac:dyDescent="0.35">
      <c r="B51" s="88"/>
      <c r="C51" s="95"/>
      <c r="D51" s="90"/>
      <c r="E51" s="89"/>
      <c r="F51" s="475"/>
      <c r="G51" s="476"/>
      <c r="H51" s="475"/>
      <c r="I51" s="476"/>
      <c r="J51" s="475"/>
      <c r="K51" s="476"/>
      <c r="L51" s="475"/>
      <c r="M51" s="476"/>
      <c r="N51" s="475"/>
      <c r="O51" s="476"/>
      <c r="P51" s="475"/>
      <c r="Q51" s="476"/>
      <c r="R51" s="475"/>
      <c r="S51" s="476"/>
      <c r="T51" s="475"/>
      <c r="U51" s="476"/>
      <c r="V51" s="475"/>
      <c r="W51" s="476"/>
      <c r="X51" s="475"/>
      <c r="Y51" s="476"/>
      <c r="Z51" s="475"/>
      <c r="AA51" s="476"/>
      <c r="AB51" s="475"/>
      <c r="AC51" s="476"/>
      <c r="AD51" s="475"/>
      <c r="AE51" s="476"/>
      <c r="AF51" s="475"/>
      <c r="AG51" s="476"/>
      <c r="AH51" s="475"/>
      <c r="AI51" s="476"/>
      <c r="AJ51" s="475"/>
      <c r="AK51" s="476"/>
      <c r="AL51" s="475"/>
      <c r="AM51" s="476"/>
      <c r="AN51" s="475"/>
      <c r="AO51" s="476"/>
      <c r="AP51" s="475"/>
      <c r="AQ51" s="476"/>
      <c r="AR51" s="475"/>
      <c r="AS51" s="476"/>
      <c r="AT51" s="91"/>
    </row>
    <row r="52" spans="2:46" ht="9" customHeight="1" thickTop="1" x14ac:dyDescent="0.3">
      <c r="B52" s="478" t="s">
        <v>7</v>
      </c>
      <c r="C52" s="96"/>
      <c r="D52" s="79"/>
      <c r="E52" s="74"/>
      <c r="F52" s="456"/>
      <c r="G52" s="457"/>
      <c r="H52" s="456"/>
      <c r="I52" s="457"/>
      <c r="J52" s="456"/>
      <c r="K52" s="457"/>
      <c r="L52" s="456"/>
      <c r="M52" s="457"/>
      <c r="N52" s="456"/>
      <c r="O52" s="457"/>
      <c r="P52" s="456"/>
      <c r="Q52" s="457"/>
      <c r="R52" s="456"/>
      <c r="S52" s="457"/>
      <c r="T52" s="456"/>
      <c r="U52" s="457"/>
      <c r="V52" s="456"/>
      <c r="W52" s="457"/>
      <c r="X52" s="456"/>
      <c r="Y52" s="457"/>
      <c r="Z52" s="456"/>
      <c r="AA52" s="457"/>
      <c r="AB52" s="456"/>
      <c r="AC52" s="457"/>
      <c r="AD52" s="456"/>
      <c r="AE52" s="457"/>
      <c r="AF52" s="456"/>
      <c r="AG52" s="457"/>
      <c r="AH52" s="456"/>
      <c r="AI52" s="457"/>
      <c r="AJ52" s="456"/>
      <c r="AK52" s="457"/>
      <c r="AL52" s="456"/>
      <c r="AM52" s="457"/>
      <c r="AN52" s="456"/>
      <c r="AO52" s="457"/>
      <c r="AP52" s="456"/>
      <c r="AQ52" s="457"/>
      <c r="AR52" s="456"/>
      <c r="AS52" s="457"/>
      <c r="AT52" s="75"/>
    </row>
    <row r="53" spans="2:46" ht="9" customHeight="1" x14ac:dyDescent="0.3">
      <c r="B53" s="479"/>
      <c r="C53" s="97"/>
      <c r="D53" s="13"/>
      <c r="E53" s="4"/>
      <c r="F53" s="481"/>
      <c r="G53" s="482"/>
      <c r="H53" s="481"/>
      <c r="I53" s="482"/>
      <c r="J53" s="481"/>
      <c r="K53" s="482"/>
      <c r="L53" s="481"/>
      <c r="M53" s="482"/>
      <c r="N53" s="481"/>
      <c r="O53" s="482"/>
      <c r="P53" s="481"/>
      <c r="Q53" s="482"/>
      <c r="R53" s="481"/>
      <c r="S53" s="482"/>
      <c r="T53" s="481"/>
      <c r="U53" s="482"/>
      <c r="V53" s="481"/>
      <c r="W53" s="482"/>
      <c r="X53" s="481"/>
      <c r="Y53" s="482"/>
      <c r="Z53" s="481"/>
      <c r="AA53" s="482"/>
      <c r="AB53" s="481"/>
      <c r="AC53" s="482"/>
      <c r="AD53" s="481"/>
      <c r="AE53" s="482"/>
      <c r="AF53" s="481"/>
      <c r="AG53" s="482"/>
      <c r="AH53" s="481"/>
      <c r="AI53" s="482"/>
      <c r="AJ53" s="481"/>
      <c r="AK53" s="482"/>
      <c r="AL53" s="481"/>
      <c r="AM53" s="482"/>
      <c r="AN53" s="481"/>
      <c r="AO53" s="482"/>
      <c r="AP53" s="481"/>
      <c r="AQ53" s="482"/>
      <c r="AR53" s="481"/>
      <c r="AS53" s="482"/>
      <c r="AT53" s="80"/>
    </row>
    <row r="54" spans="2:46" ht="9" customHeight="1" x14ac:dyDescent="0.3">
      <c r="B54" s="479"/>
      <c r="C54" s="97"/>
      <c r="D54" s="3"/>
      <c r="E54" s="8"/>
      <c r="F54" s="459"/>
      <c r="G54" s="460"/>
      <c r="H54" s="459"/>
      <c r="I54" s="460"/>
      <c r="J54" s="459"/>
      <c r="K54" s="460"/>
      <c r="L54" s="459"/>
      <c r="M54" s="460"/>
      <c r="N54" s="459"/>
      <c r="O54" s="460"/>
      <c r="P54" s="459"/>
      <c r="Q54" s="460"/>
      <c r="R54" s="459"/>
      <c r="S54" s="460"/>
      <c r="T54" s="459"/>
      <c r="U54" s="460"/>
      <c r="V54" s="459"/>
      <c r="W54" s="460"/>
      <c r="X54" s="459"/>
      <c r="Y54" s="460"/>
      <c r="Z54" s="459"/>
      <c r="AA54" s="460"/>
      <c r="AB54" s="459"/>
      <c r="AC54" s="460"/>
      <c r="AD54" s="459"/>
      <c r="AE54" s="460"/>
      <c r="AF54" s="459"/>
      <c r="AG54" s="460"/>
      <c r="AH54" s="459"/>
      <c r="AI54" s="460"/>
      <c r="AJ54" s="459"/>
      <c r="AK54" s="460"/>
      <c r="AL54" s="459"/>
      <c r="AM54" s="460"/>
      <c r="AN54" s="459"/>
      <c r="AO54" s="460"/>
      <c r="AP54" s="459"/>
      <c r="AQ54" s="460"/>
      <c r="AR54" s="459"/>
      <c r="AS54" s="460"/>
      <c r="AT54" s="76"/>
    </row>
    <row r="55" spans="2:46" ht="9" customHeight="1" thickBot="1" x14ac:dyDescent="0.4">
      <c r="B55" s="479"/>
      <c r="C55" s="661">
        <f>'Plot Data'!D68</f>
        <v>3.3799999999999997E-2</v>
      </c>
      <c r="D55" s="70"/>
      <c r="E55" s="71"/>
      <c r="F55" s="483"/>
      <c r="G55" s="484"/>
      <c r="H55" s="483"/>
      <c r="I55" s="484"/>
      <c r="J55" s="483"/>
      <c r="K55" s="484"/>
      <c r="L55" s="483"/>
      <c r="M55" s="484"/>
      <c r="N55" s="483"/>
      <c r="O55" s="484"/>
      <c r="P55" s="483"/>
      <c r="Q55" s="484"/>
      <c r="R55" s="483"/>
      <c r="S55" s="484"/>
      <c r="T55" s="483"/>
      <c r="U55" s="484"/>
      <c r="V55" s="483"/>
      <c r="W55" s="484"/>
      <c r="X55" s="483"/>
      <c r="Y55" s="484"/>
      <c r="Z55" s="483"/>
      <c r="AA55" s="484"/>
      <c r="AB55" s="483"/>
      <c r="AC55" s="484"/>
      <c r="AD55" s="483"/>
      <c r="AE55" s="484"/>
      <c r="AF55" s="483"/>
      <c r="AG55" s="484"/>
      <c r="AH55" s="483"/>
      <c r="AI55" s="484"/>
      <c r="AJ55" s="483"/>
      <c r="AK55" s="484"/>
      <c r="AL55" s="483"/>
      <c r="AM55" s="484"/>
      <c r="AN55" s="483"/>
      <c r="AO55" s="484"/>
      <c r="AP55" s="483"/>
      <c r="AQ55" s="484"/>
      <c r="AR55" s="483"/>
      <c r="AS55" s="484"/>
      <c r="AT55" s="81"/>
    </row>
    <row r="56" spans="2:46" ht="9" customHeight="1" thickTop="1" x14ac:dyDescent="0.3">
      <c r="B56" s="479"/>
      <c r="C56" s="661"/>
      <c r="D56" s="19"/>
      <c r="E56" s="20"/>
      <c r="F56" s="487"/>
      <c r="G56" s="488"/>
      <c r="H56" s="487"/>
      <c r="I56" s="488"/>
      <c r="J56" s="487"/>
      <c r="K56" s="488"/>
      <c r="L56" s="487"/>
      <c r="M56" s="488"/>
      <c r="N56" s="487"/>
      <c r="O56" s="488"/>
      <c r="P56" s="487"/>
      <c r="Q56" s="488"/>
      <c r="R56" s="487"/>
      <c r="S56" s="488"/>
      <c r="T56" s="487"/>
      <c r="U56" s="488"/>
      <c r="V56" s="487"/>
      <c r="W56" s="488"/>
      <c r="X56" s="487"/>
      <c r="Y56" s="488"/>
      <c r="Z56" s="487"/>
      <c r="AA56" s="488"/>
      <c r="AB56" s="487"/>
      <c r="AC56" s="488"/>
      <c r="AD56" s="487"/>
      <c r="AE56" s="488"/>
      <c r="AF56" s="487"/>
      <c r="AG56" s="488"/>
      <c r="AH56" s="487"/>
      <c r="AI56" s="488"/>
      <c r="AJ56" s="487"/>
      <c r="AK56" s="488"/>
      <c r="AL56" s="487"/>
      <c r="AM56" s="488"/>
      <c r="AN56" s="487"/>
      <c r="AO56" s="488"/>
      <c r="AP56" s="487"/>
      <c r="AQ56" s="488"/>
      <c r="AR56" s="487"/>
      <c r="AS56" s="488"/>
      <c r="AT56" s="82"/>
    </row>
    <row r="57" spans="2:46" ht="9" customHeight="1" x14ac:dyDescent="0.3">
      <c r="B57" s="479"/>
      <c r="C57" s="662"/>
      <c r="D57" s="13"/>
      <c r="E57" s="8"/>
      <c r="F57" s="459"/>
      <c r="G57" s="460"/>
      <c r="H57" s="459"/>
      <c r="I57" s="460"/>
      <c r="J57" s="459"/>
      <c r="K57" s="460"/>
      <c r="L57" s="459"/>
      <c r="M57" s="460"/>
      <c r="N57" s="459"/>
      <c r="O57" s="460"/>
      <c r="P57" s="459"/>
      <c r="Q57" s="460"/>
      <c r="R57" s="459"/>
      <c r="S57" s="460"/>
      <c r="T57" s="459"/>
      <c r="U57" s="460"/>
      <c r="V57" s="459"/>
      <c r="W57" s="460"/>
      <c r="X57" s="459"/>
      <c r="Y57" s="460"/>
      <c r="Z57" s="459"/>
      <c r="AA57" s="460"/>
      <c r="AB57" s="459"/>
      <c r="AC57" s="460"/>
      <c r="AD57" s="459"/>
      <c r="AE57" s="460"/>
      <c r="AF57" s="459"/>
      <c r="AG57" s="460"/>
      <c r="AH57" s="459"/>
      <c r="AI57" s="460"/>
      <c r="AJ57" s="459"/>
      <c r="AK57" s="460"/>
      <c r="AL57" s="459"/>
      <c r="AM57" s="460"/>
      <c r="AN57" s="459"/>
      <c r="AO57" s="460"/>
      <c r="AP57" s="459"/>
      <c r="AQ57" s="460"/>
      <c r="AR57" s="459"/>
      <c r="AS57" s="460"/>
      <c r="AT57" s="76"/>
    </row>
    <row r="58" spans="2:46" ht="9" customHeight="1" x14ac:dyDescent="0.3">
      <c r="B58" s="479"/>
      <c r="C58" s="662"/>
      <c r="D58" s="3"/>
      <c r="E58" s="8"/>
      <c r="F58" s="459"/>
      <c r="G58" s="460"/>
      <c r="H58" s="459"/>
      <c r="I58" s="460"/>
      <c r="J58" s="459"/>
      <c r="K58" s="460"/>
      <c r="L58" s="459"/>
      <c r="M58" s="460"/>
      <c r="N58" s="459"/>
      <c r="O58" s="460"/>
      <c r="P58" s="459"/>
      <c r="Q58" s="460"/>
      <c r="R58" s="459"/>
      <c r="S58" s="460"/>
      <c r="T58" s="459"/>
      <c r="U58" s="460"/>
      <c r="V58" s="459"/>
      <c r="W58" s="460"/>
      <c r="X58" s="459"/>
      <c r="Y58" s="460"/>
      <c r="Z58" s="459"/>
      <c r="AA58" s="460"/>
      <c r="AB58" s="459"/>
      <c r="AC58" s="460"/>
      <c r="AD58" s="459"/>
      <c r="AE58" s="460"/>
      <c r="AF58" s="459"/>
      <c r="AG58" s="460"/>
      <c r="AH58" s="459"/>
      <c r="AI58" s="460"/>
      <c r="AJ58" s="459"/>
      <c r="AK58" s="460"/>
      <c r="AL58" s="459"/>
      <c r="AM58" s="460"/>
      <c r="AN58" s="459"/>
      <c r="AO58" s="460"/>
      <c r="AP58" s="459"/>
      <c r="AQ58" s="460"/>
      <c r="AR58" s="459"/>
      <c r="AS58" s="460"/>
      <c r="AT58" s="76"/>
    </row>
    <row r="59" spans="2:46" ht="9" customHeight="1" x14ac:dyDescent="0.3">
      <c r="B59" s="479"/>
      <c r="C59" s="662">
        <f>C63+(C55-C63)/2</f>
        <v>2.9574999999999997E-2</v>
      </c>
      <c r="D59" s="13"/>
      <c r="E59" s="4"/>
      <c r="F59" s="459"/>
      <c r="G59" s="460"/>
      <c r="H59" s="459"/>
      <c r="I59" s="460"/>
      <c r="J59" s="459"/>
      <c r="K59" s="460"/>
      <c r="L59" s="459"/>
      <c r="M59" s="460"/>
      <c r="N59" s="459"/>
      <c r="O59" s="460"/>
      <c r="P59" s="459"/>
      <c r="Q59" s="460"/>
      <c r="R59" s="459"/>
      <c r="S59" s="460"/>
      <c r="T59" s="459"/>
      <c r="U59" s="460"/>
      <c r="V59" s="459"/>
      <c r="W59" s="460"/>
      <c r="X59" s="459"/>
      <c r="Y59" s="460"/>
      <c r="Z59" s="459"/>
      <c r="AA59" s="460"/>
      <c r="AB59" s="459"/>
      <c r="AC59" s="460"/>
      <c r="AD59" s="459"/>
      <c r="AE59" s="460"/>
      <c r="AF59" s="459"/>
      <c r="AG59" s="460"/>
      <c r="AH59" s="459"/>
      <c r="AI59" s="460"/>
      <c r="AJ59" s="459"/>
      <c r="AK59" s="460"/>
      <c r="AL59" s="459"/>
      <c r="AM59" s="460"/>
      <c r="AN59" s="459"/>
      <c r="AO59" s="460"/>
      <c r="AP59" s="459"/>
      <c r="AQ59" s="460"/>
      <c r="AR59" s="459"/>
      <c r="AS59" s="460"/>
      <c r="AT59" s="80"/>
    </row>
    <row r="60" spans="2:46" ht="9" customHeight="1" x14ac:dyDescent="0.3">
      <c r="B60" s="479"/>
      <c r="C60" s="662"/>
      <c r="D60" s="13"/>
      <c r="E60" s="4"/>
      <c r="F60" s="459"/>
      <c r="G60" s="460"/>
      <c r="H60" s="459"/>
      <c r="I60" s="460"/>
      <c r="J60" s="459"/>
      <c r="K60" s="460"/>
      <c r="L60" s="459"/>
      <c r="M60" s="460"/>
      <c r="N60" s="459"/>
      <c r="O60" s="460"/>
      <c r="P60" s="459"/>
      <c r="Q60" s="460"/>
      <c r="R60" s="459"/>
      <c r="S60" s="460"/>
      <c r="T60" s="459"/>
      <c r="U60" s="460"/>
      <c r="V60" s="459"/>
      <c r="W60" s="460"/>
      <c r="X60" s="459"/>
      <c r="Y60" s="460"/>
      <c r="Z60" s="459"/>
      <c r="AA60" s="460"/>
      <c r="AB60" s="459"/>
      <c r="AC60" s="460"/>
      <c r="AD60" s="459"/>
      <c r="AE60" s="460"/>
      <c r="AF60" s="459"/>
      <c r="AG60" s="460"/>
      <c r="AH60" s="459"/>
      <c r="AI60" s="460"/>
      <c r="AJ60" s="459"/>
      <c r="AK60" s="460"/>
      <c r="AL60" s="459"/>
      <c r="AM60" s="460"/>
      <c r="AN60" s="459"/>
      <c r="AO60" s="460"/>
      <c r="AP60" s="459"/>
      <c r="AQ60" s="460"/>
      <c r="AR60" s="459"/>
      <c r="AS60" s="460"/>
      <c r="AT60" s="80"/>
    </row>
    <row r="61" spans="2:46" ht="9" customHeight="1" x14ac:dyDescent="0.3">
      <c r="B61" s="479"/>
      <c r="C61" s="662"/>
      <c r="D61" s="7"/>
      <c r="E61" s="18"/>
      <c r="F61" s="489"/>
      <c r="G61" s="490"/>
      <c r="H61" s="489"/>
      <c r="I61" s="490"/>
      <c r="J61" s="489"/>
      <c r="K61" s="490"/>
      <c r="L61" s="489"/>
      <c r="M61" s="490"/>
      <c r="N61" s="489"/>
      <c r="O61" s="490"/>
      <c r="P61" s="489"/>
      <c r="Q61" s="490"/>
      <c r="R61" s="489"/>
      <c r="S61" s="490"/>
      <c r="T61" s="489"/>
      <c r="U61" s="490"/>
      <c r="V61" s="489"/>
      <c r="W61" s="490"/>
      <c r="X61" s="489"/>
      <c r="Y61" s="490"/>
      <c r="Z61" s="489"/>
      <c r="AA61" s="490"/>
      <c r="AB61" s="489"/>
      <c r="AC61" s="490"/>
      <c r="AD61" s="489"/>
      <c r="AE61" s="490"/>
      <c r="AF61" s="489"/>
      <c r="AG61" s="490"/>
      <c r="AH61" s="489"/>
      <c r="AI61" s="490"/>
      <c r="AJ61" s="489"/>
      <c r="AK61" s="490"/>
      <c r="AL61" s="489"/>
      <c r="AM61" s="490"/>
      <c r="AN61" s="489"/>
      <c r="AO61" s="490"/>
      <c r="AP61" s="489"/>
      <c r="AQ61" s="490"/>
      <c r="AR61" s="489"/>
      <c r="AS61" s="490"/>
      <c r="AT61" s="83"/>
    </row>
    <row r="62" spans="2:46" ht="9" customHeight="1" x14ac:dyDescent="0.3">
      <c r="B62" s="479"/>
      <c r="C62" s="662"/>
      <c r="D62" s="21"/>
      <c r="E62" s="22"/>
      <c r="F62" s="491"/>
      <c r="G62" s="492"/>
      <c r="H62" s="491"/>
      <c r="I62" s="492"/>
      <c r="J62" s="491"/>
      <c r="K62" s="492"/>
      <c r="L62" s="491"/>
      <c r="M62" s="492"/>
      <c r="N62" s="491"/>
      <c r="O62" s="492"/>
      <c r="P62" s="491"/>
      <c r="Q62" s="492"/>
      <c r="R62" s="491"/>
      <c r="S62" s="492"/>
      <c r="T62" s="491"/>
      <c r="U62" s="492"/>
      <c r="V62" s="491"/>
      <c r="W62" s="492"/>
      <c r="X62" s="491"/>
      <c r="Y62" s="492"/>
      <c r="Z62" s="491"/>
      <c r="AA62" s="492"/>
      <c r="AB62" s="491"/>
      <c r="AC62" s="492"/>
      <c r="AD62" s="491"/>
      <c r="AE62" s="492"/>
      <c r="AF62" s="491"/>
      <c r="AG62" s="492"/>
      <c r="AH62" s="491"/>
      <c r="AI62" s="492"/>
      <c r="AJ62" s="491"/>
      <c r="AK62" s="492"/>
      <c r="AL62" s="491"/>
      <c r="AM62" s="492"/>
      <c r="AN62" s="491"/>
      <c r="AO62" s="492"/>
      <c r="AP62" s="491"/>
      <c r="AQ62" s="492"/>
      <c r="AR62" s="491"/>
      <c r="AS62" s="492"/>
      <c r="AT62" s="84"/>
    </row>
    <row r="63" spans="2:46" ht="9" customHeight="1" x14ac:dyDescent="0.3">
      <c r="B63" s="479"/>
      <c r="C63" s="662">
        <f>C69+(C55-C69)/2</f>
        <v>2.5349999999999998E-2</v>
      </c>
      <c r="D63" s="13"/>
      <c r="E63" s="4"/>
      <c r="F63" s="459"/>
      <c r="G63" s="460"/>
      <c r="H63" s="459"/>
      <c r="I63" s="460"/>
      <c r="J63" s="459"/>
      <c r="K63" s="460"/>
      <c r="L63" s="459"/>
      <c r="M63" s="460"/>
      <c r="N63" s="459"/>
      <c r="O63" s="460"/>
      <c r="P63" s="459"/>
      <c r="Q63" s="460"/>
      <c r="R63" s="459"/>
      <c r="S63" s="460"/>
      <c r="T63" s="459"/>
      <c r="U63" s="460"/>
      <c r="V63" s="459"/>
      <c r="W63" s="460"/>
      <c r="X63" s="459"/>
      <c r="Y63" s="460"/>
      <c r="Z63" s="459"/>
      <c r="AA63" s="460"/>
      <c r="AB63" s="459"/>
      <c r="AC63" s="460"/>
      <c r="AD63" s="459"/>
      <c r="AE63" s="460"/>
      <c r="AF63" s="459"/>
      <c r="AG63" s="460"/>
      <c r="AH63" s="459"/>
      <c r="AI63" s="460"/>
      <c r="AJ63" s="459"/>
      <c r="AK63" s="460"/>
      <c r="AL63" s="459"/>
      <c r="AM63" s="460"/>
      <c r="AN63" s="459"/>
      <c r="AO63" s="460"/>
      <c r="AP63" s="459"/>
      <c r="AQ63" s="460"/>
      <c r="AR63" s="459"/>
      <c r="AS63" s="460"/>
      <c r="AT63" s="80"/>
    </row>
    <row r="64" spans="2:46" ht="9" customHeight="1" x14ac:dyDescent="0.3">
      <c r="B64" s="479"/>
      <c r="C64" s="662"/>
      <c r="D64" s="13"/>
      <c r="E64" s="4"/>
      <c r="F64" s="459"/>
      <c r="G64" s="460"/>
      <c r="H64" s="459"/>
      <c r="I64" s="460"/>
      <c r="J64" s="459"/>
      <c r="K64" s="460"/>
      <c r="L64" s="459"/>
      <c r="M64" s="460"/>
      <c r="N64" s="459"/>
      <c r="O64" s="460"/>
      <c r="P64" s="459"/>
      <c r="Q64" s="460"/>
      <c r="R64" s="459"/>
      <c r="S64" s="460"/>
      <c r="T64" s="459"/>
      <c r="U64" s="460"/>
      <c r="V64" s="459"/>
      <c r="W64" s="460"/>
      <c r="X64" s="459"/>
      <c r="Y64" s="460"/>
      <c r="Z64" s="459"/>
      <c r="AA64" s="460"/>
      <c r="AB64" s="459"/>
      <c r="AC64" s="460"/>
      <c r="AD64" s="459"/>
      <c r="AE64" s="460"/>
      <c r="AF64" s="459"/>
      <c r="AG64" s="460"/>
      <c r="AH64" s="459"/>
      <c r="AI64" s="460"/>
      <c r="AJ64" s="459"/>
      <c r="AK64" s="460"/>
      <c r="AL64" s="459"/>
      <c r="AM64" s="460"/>
      <c r="AN64" s="459"/>
      <c r="AO64" s="460"/>
      <c r="AP64" s="459"/>
      <c r="AQ64" s="460"/>
      <c r="AR64" s="459"/>
      <c r="AS64" s="460"/>
      <c r="AT64" s="80"/>
    </row>
    <row r="65" spans="2:46" x14ac:dyDescent="0.3">
      <c r="B65" s="479"/>
      <c r="C65" s="662"/>
      <c r="D65" s="13"/>
      <c r="E65" s="4"/>
      <c r="F65" s="459"/>
      <c r="G65" s="460"/>
      <c r="H65" s="459"/>
      <c r="I65" s="460"/>
      <c r="J65" s="459"/>
      <c r="K65" s="460"/>
      <c r="L65" s="459"/>
      <c r="M65" s="460"/>
      <c r="N65" s="459"/>
      <c r="O65" s="460"/>
      <c r="P65" s="459"/>
      <c r="Q65" s="460"/>
      <c r="R65" s="459"/>
      <c r="S65" s="460"/>
      <c r="T65" s="459"/>
      <c r="U65" s="460"/>
      <c r="V65" s="459"/>
      <c r="W65" s="460"/>
      <c r="X65" s="459"/>
      <c r="Y65" s="460"/>
      <c r="Z65" s="459"/>
      <c r="AA65" s="460"/>
      <c r="AB65" s="459"/>
      <c r="AC65" s="460"/>
      <c r="AD65" s="459"/>
      <c r="AE65" s="460"/>
      <c r="AF65" s="459"/>
      <c r="AG65" s="460"/>
      <c r="AH65" s="459"/>
      <c r="AI65" s="460"/>
      <c r="AJ65" s="459"/>
      <c r="AK65" s="460"/>
      <c r="AL65" s="459"/>
      <c r="AM65" s="460"/>
      <c r="AN65" s="459"/>
      <c r="AO65" s="460"/>
      <c r="AP65" s="459"/>
      <c r="AQ65" s="460"/>
      <c r="AR65" s="459"/>
      <c r="AS65" s="460"/>
      <c r="AT65" s="80"/>
    </row>
    <row r="66" spans="2:46" x14ac:dyDescent="0.3">
      <c r="B66" s="479"/>
      <c r="C66" s="662"/>
      <c r="D66" s="13"/>
      <c r="E66" s="4"/>
      <c r="F66" s="459"/>
      <c r="G66" s="460"/>
      <c r="H66" s="459"/>
      <c r="I66" s="460"/>
      <c r="J66" s="459"/>
      <c r="K66" s="460"/>
      <c r="L66" s="459"/>
      <c r="M66" s="460"/>
      <c r="N66" s="459"/>
      <c r="O66" s="460"/>
      <c r="P66" s="459"/>
      <c r="Q66" s="460"/>
      <c r="R66" s="459"/>
      <c r="S66" s="460"/>
      <c r="T66" s="459"/>
      <c r="U66" s="460"/>
      <c r="V66" s="459"/>
      <c r="W66" s="460"/>
      <c r="X66" s="459"/>
      <c r="Y66" s="460"/>
      <c r="Z66" s="459"/>
      <c r="AA66" s="460"/>
      <c r="AB66" s="459"/>
      <c r="AC66" s="460"/>
      <c r="AD66" s="459"/>
      <c r="AE66" s="460"/>
      <c r="AF66" s="459"/>
      <c r="AG66" s="460"/>
      <c r="AH66" s="459"/>
      <c r="AI66" s="460"/>
      <c r="AJ66" s="459"/>
      <c r="AK66" s="460"/>
      <c r="AL66" s="459"/>
      <c r="AM66" s="460"/>
      <c r="AN66" s="459"/>
      <c r="AO66" s="460"/>
      <c r="AP66" s="459"/>
      <c r="AQ66" s="460"/>
      <c r="AR66" s="459"/>
      <c r="AS66" s="460"/>
      <c r="AT66" s="80"/>
    </row>
    <row r="67" spans="2:46" x14ac:dyDescent="0.3">
      <c r="B67" s="479"/>
      <c r="C67" s="662"/>
      <c r="D67" s="13"/>
      <c r="E67" s="4"/>
      <c r="F67" s="459"/>
      <c r="G67" s="460"/>
      <c r="H67" s="459"/>
      <c r="I67" s="460"/>
      <c r="J67" s="459"/>
      <c r="K67" s="460"/>
      <c r="L67" s="459"/>
      <c r="M67" s="460"/>
      <c r="N67" s="459"/>
      <c r="O67" s="460"/>
      <c r="P67" s="459"/>
      <c r="Q67" s="460"/>
      <c r="R67" s="459"/>
      <c r="S67" s="460"/>
      <c r="T67" s="459"/>
      <c r="U67" s="460"/>
      <c r="V67" s="459"/>
      <c r="W67" s="460"/>
      <c r="X67" s="459"/>
      <c r="Y67" s="460"/>
      <c r="Z67" s="459"/>
      <c r="AA67" s="460"/>
      <c r="AB67" s="459"/>
      <c r="AC67" s="460"/>
      <c r="AD67" s="459"/>
      <c r="AE67" s="460"/>
      <c r="AF67" s="459"/>
      <c r="AG67" s="460"/>
      <c r="AH67" s="459"/>
      <c r="AI67" s="460"/>
      <c r="AJ67" s="459"/>
      <c r="AK67" s="460"/>
      <c r="AL67" s="459"/>
      <c r="AM67" s="460"/>
      <c r="AN67" s="459"/>
      <c r="AO67" s="460"/>
      <c r="AP67" s="459"/>
      <c r="AQ67" s="460"/>
      <c r="AR67" s="459"/>
      <c r="AS67" s="460"/>
      <c r="AT67" s="80"/>
    </row>
    <row r="68" spans="2:46" x14ac:dyDescent="0.3">
      <c r="B68" s="479"/>
      <c r="C68" s="662"/>
      <c r="D68" s="13"/>
      <c r="E68" s="4"/>
      <c r="F68" s="459"/>
      <c r="G68" s="460"/>
      <c r="H68" s="459"/>
      <c r="I68" s="460"/>
      <c r="J68" s="459"/>
      <c r="K68" s="460"/>
      <c r="L68" s="459"/>
      <c r="M68" s="460"/>
      <c r="N68" s="459"/>
      <c r="O68" s="460"/>
      <c r="P68" s="459"/>
      <c r="Q68" s="460"/>
      <c r="R68" s="459"/>
      <c r="S68" s="460"/>
      <c r="T68" s="459"/>
      <c r="U68" s="460"/>
      <c r="V68" s="459"/>
      <c r="W68" s="460"/>
      <c r="X68" s="459"/>
      <c r="Y68" s="460"/>
      <c r="Z68" s="459"/>
      <c r="AA68" s="460"/>
      <c r="AB68" s="459"/>
      <c r="AC68" s="460"/>
      <c r="AD68" s="459"/>
      <c r="AE68" s="460"/>
      <c r="AF68" s="459"/>
      <c r="AG68" s="460"/>
      <c r="AH68" s="459"/>
      <c r="AI68" s="460"/>
      <c r="AJ68" s="459"/>
      <c r="AK68" s="460"/>
      <c r="AL68" s="459"/>
      <c r="AM68" s="460"/>
      <c r="AN68" s="459"/>
      <c r="AO68" s="460"/>
      <c r="AP68" s="459"/>
      <c r="AQ68" s="460"/>
      <c r="AR68" s="459"/>
      <c r="AS68" s="460"/>
      <c r="AT68" s="80"/>
    </row>
    <row r="69" spans="2:46" x14ac:dyDescent="0.3">
      <c r="B69" s="479"/>
      <c r="C69" s="662">
        <f>C55/2</f>
        <v>1.6899999999999998E-2</v>
      </c>
      <c r="D69" s="13"/>
      <c r="E69" s="4"/>
      <c r="F69" s="459"/>
      <c r="G69" s="460"/>
      <c r="H69" s="459"/>
      <c r="I69" s="460"/>
      <c r="J69" s="459"/>
      <c r="K69" s="460"/>
      <c r="L69" s="459"/>
      <c r="M69" s="460"/>
      <c r="N69" s="459"/>
      <c r="O69" s="460"/>
      <c r="P69" s="459"/>
      <c r="Q69" s="460"/>
      <c r="R69" s="459"/>
      <c r="S69" s="460"/>
      <c r="T69" s="459"/>
      <c r="U69" s="460"/>
      <c r="V69" s="459"/>
      <c r="W69" s="460"/>
      <c r="X69" s="459"/>
      <c r="Y69" s="460"/>
      <c r="Z69" s="459"/>
      <c r="AA69" s="460"/>
      <c r="AB69" s="459"/>
      <c r="AC69" s="460"/>
      <c r="AD69" s="459"/>
      <c r="AE69" s="460"/>
      <c r="AF69" s="459"/>
      <c r="AG69" s="460"/>
      <c r="AH69" s="459"/>
      <c r="AI69" s="460"/>
      <c r="AJ69" s="459"/>
      <c r="AK69" s="460"/>
      <c r="AL69" s="459"/>
      <c r="AM69" s="460"/>
      <c r="AN69" s="459"/>
      <c r="AO69" s="460"/>
      <c r="AP69" s="459"/>
      <c r="AQ69" s="460"/>
      <c r="AR69" s="459"/>
      <c r="AS69" s="460"/>
      <c r="AT69" s="80"/>
    </row>
    <row r="70" spans="2:46" x14ac:dyDescent="0.3">
      <c r="B70" s="479"/>
      <c r="C70" s="662"/>
      <c r="D70" s="13"/>
      <c r="E70" s="4"/>
      <c r="F70" s="459"/>
      <c r="G70" s="460"/>
      <c r="H70" s="459"/>
      <c r="I70" s="460"/>
      <c r="J70" s="459"/>
      <c r="K70" s="460"/>
      <c r="L70" s="459"/>
      <c r="M70" s="460"/>
      <c r="N70" s="459"/>
      <c r="O70" s="460"/>
      <c r="P70" s="459"/>
      <c r="Q70" s="460"/>
      <c r="R70" s="459"/>
      <c r="S70" s="460"/>
      <c r="T70" s="459"/>
      <c r="U70" s="460"/>
      <c r="V70" s="459"/>
      <c r="W70" s="460"/>
      <c r="X70" s="459"/>
      <c r="Y70" s="460"/>
      <c r="Z70" s="459"/>
      <c r="AA70" s="460"/>
      <c r="AB70" s="459"/>
      <c r="AC70" s="460"/>
      <c r="AD70" s="459"/>
      <c r="AE70" s="460"/>
      <c r="AF70" s="459"/>
      <c r="AG70" s="460"/>
      <c r="AH70" s="459"/>
      <c r="AI70" s="460"/>
      <c r="AJ70" s="459"/>
      <c r="AK70" s="460"/>
      <c r="AL70" s="459"/>
      <c r="AM70" s="460"/>
      <c r="AN70" s="459"/>
      <c r="AO70" s="460"/>
      <c r="AP70" s="459"/>
      <c r="AQ70" s="460"/>
      <c r="AR70" s="459"/>
      <c r="AS70" s="460"/>
      <c r="AT70" s="80"/>
    </row>
    <row r="71" spans="2:46" x14ac:dyDescent="0.3">
      <c r="B71" s="479"/>
      <c r="C71" s="662"/>
      <c r="D71" s="13"/>
      <c r="E71" s="4"/>
      <c r="F71" s="459"/>
      <c r="G71" s="460"/>
      <c r="H71" s="459"/>
      <c r="I71" s="460"/>
      <c r="J71" s="459"/>
      <c r="K71" s="460"/>
      <c r="L71" s="459"/>
      <c r="M71" s="460"/>
      <c r="N71" s="459"/>
      <c r="O71" s="460"/>
      <c r="P71" s="459"/>
      <c r="Q71" s="460"/>
      <c r="R71" s="459"/>
      <c r="S71" s="460"/>
      <c r="T71" s="459"/>
      <c r="U71" s="460"/>
      <c r="V71" s="459"/>
      <c r="W71" s="460"/>
      <c r="X71" s="459"/>
      <c r="Y71" s="460"/>
      <c r="Z71" s="459"/>
      <c r="AA71" s="460"/>
      <c r="AB71" s="459"/>
      <c r="AC71" s="460"/>
      <c r="AD71" s="459"/>
      <c r="AE71" s="460"/>
      <c r="AF71" s="459"/>
      <c r="AG71" s="460"/>
      <c r="AH71" s="459"/>
      <c r="AI71" s="460"/>
      <c r="AJ71" s="459"/>
      <c r="AK71" s="460"/>
      <c r="AL71" s="459"/>
      <c r="AM71" s="460"/>
      <c r="AN71" s="459"/>
      <c r="AO71" s="460"/>
      <c r="AP71" s="459"/>
      <c r="AQ71" s="460"/>
      <c r="AR71" s="459"/>
      <c r="AS71" s="460"/>
      <c r="AT71" s="80"/>
    </row>
    <row r="72" spans="2:46" x14ac:dyDescent="0.3">
      <c r="B72" s="479"/>
      <c r="C72" s="662"/>
      <c r="D72" s="13"/>
      <c r="E72" s="4"/>
      <c r="F72" s="459"/>
      <c r="G72" s="460"/>
      <c r="H72" s="459"/>
      <c r="I72" s="460"/>
      <c r="J72" s="459"/>
      <c r="K72" s="460"/>
      <c r="L72" s="459"/>
      <c r="M72" s="460"/>
      <c r="N72" s="459"/>
      <c r="O72" s="460"/>
      <c r="P72" s="459"/>
      <c r="Q72" s="460"/>
      <c r="R72" s="459"/>
      <c r="S72" s="460"/>
      <c r="T72" s="459"/>
      <c r="U72" s="460"/>
      <c r="V72" s="459"/>
      <c r="W72" s="460"/>
      <c r="X72" s="459"/>
      <c r="Y72" s="460"/>
      <c r="Z72" s="459"/>
      <c r="AA72" s="460"/>
      <c r="AB72" s="459"/>
      <c r="AC72" s="460"/>
      <c r="AD72" s="459"/>
      <c r="AE72" s="460"/>
      <c r="AF72" s="459"/>
      <c r="AG72" s="460"/>
      <c r="AH72" s="459"/>
      <c r="AI72" s="460"/>
      <c r="AJ72" s="459"/>
      <c r="AK72" s="460"/>
      <c r="AL72" s="459"/>
      <c r="AM72" s="460"/>
      <c r="AN72" s="459"/>
      <c r="AO72" s="460"/>
      <c r="AP72" s="459"/>
      <c r="AQ72" s="460"/>
      <c r="AR72" s="459"/>
      <c r="AS72" s="460"/>
      <c r="AT72" s="80"/>
    </row>
    <row r="73" spans="2:46" x14ac:dyDescent="0.3">
      <c r="B73" s="479"/>
      <c r="C73" s="662"/>
      <c r="D73" s="13"/>
      <c r="E73" s="4"/>
      <c r="F73" s="459"/>
      <c r="G73" s="460"/>
      <c r="H73" s="459"/>
      <c r="I73" s="460"/>
      <c r="J73" s="459"/>
      <c r="K73" s="460"/>
      <c r="L73" s="459"/>
      <c r="M73" s="460"/>
      <c r="N73" s="459"/>
      <c r="O73" s="460"/>
      <c r="P73" s="459"/>
      <c r="Q73" s="460"/>
      <c r="R73" s="459"/>
      <c r="S73" s="460"/>
      <c r="T73" s="459"/>
      <c r="U73" s="460"/>
      <c r="V73" s="459"/>
      <c r="W73" s="460"/>
      <c r="X73" s="459"/>
      <c r="Y73" s="460"/>
      <c r="Z73" s="459"/>
      <c r="AA73" s="460"/>
      <c r="AB73" s="459"/>
      <c r="AC73" s="460"/>
      <c r="AD73" s="459"/>
      <c r="AE73" s="460"/>
      <c r="AF73" s="459"/>
      <c r="AG73" s="460"/>
      <c r="AH73" s="459"/>
      <c r="AI73" s="460"/>
      <c r="AJ73" s="459"/>
      <c r="AK73" s="460"/>
      <c r="AL73" s="459"/>
      <c r="AM73" s="460"/>
      <c r="AN73" s="459"/>
      <c r="AO73" s="460"/>
      <c r="AP73" s="459"/>
      <c r="AQ73" s="460"/>
      <c r="AR73" s="459"/>
      <c r="AS73" s="460"/>
      <c r="AT73" s="80"/>
    </row>
    <row r="74" spans="2:46" x14ac:dyDescent="0.3">
      <c r="B74" s="479"/>
      <c r="C74" s="662"/>
      <c r="D74" s="13"/>
      <c r="E74" s="4"/>
      <c r="F74" s="459"/>
      <c r="G74" s="460"/>
      <c r="H74" s="459"/>
      <c r="I74" s="460"/>
      <c r="J74" s="459"/>
      <c r="K74" s="460"/>
      <c r="L74" s="459"/>
      <c r="M74" s="460"/>
      <c r="N74" s="459"/>
      <c r="O74" s="460"/>
      <c r="P74" s="459"/>
      <c r="Q74" s="460"/>
      <c r="R74" s="459"/>
      <c r="S74" s="460"/>
      <c r="T74" s="459"/>
      <c r="U74" s="460"/>
      <c r="V74" s="459"/>
      <c r="W74" s="460"/>
      <c r="X74" s="459"/>
      <c r="Y74" s="460"/>
      <c r="Z74" s="459"/>
      <c r="AA74" s="460"/>
      <c r="AB74" s="459"/>
      <c r="AC74" s="460"/>
      <c r="AD74" s="459"/>
      <c r="AE74" s="460"/>
      <c r="AF74" s="459"/>
      <c r="AG74" s="460"/>
      <c r="AH74" s="459"/>
      <c r="AI74" s="460"/>
      <c r="AJ74" s="459"/>
      <c r="AK74" s="460"/>
      <c r="AL74" s="459"/>
      <c r="AM74" s="460"/>
      <c r="AN74" s="459"/>
      <c r="AO74" s="460"/>
      <c r="AP74" s="459"/>
      <c r="AQ74" s="460"/>
      <c r="AR74" s="459"/>
      <c r="AS74" s="460"/>
      <c r="AT74" s="80"/>
    </row>
    <row r="75" spans="2:46" x14ac:dyDescent="0.3">
      <c r="B75" s="479"/>
      <c r="C75" s="662"/>
      <c r="D75" s="13"/>
      <c r="E75" s="4"/>
      <c r="F75" s="459"/>
      <c r="G75" s="460"/>
      <c r="H75" s="459"/>
      <c r="I75" s="460"/>
      <c r="J75" s="459"/>
      <c r="K75" s="460"/>
      <c r="L75" s="459"/>
      <c r="M75" s="460"/>
      <c r="N75" s="459"/>
      <c r="O75" s="460"/>
      <c r="P75" s="459"/>
      <c r="Q75" s="460"/>
      <c r="R75" s="459"/>
      <c r="S75" s="460"/>
      <c r="T75" s="459"/>
      <c r="U75" s="460"/>
      <c r="V75" s="459"/>
      <c r="W75" s="460"/>
      <c r="X75" s="459"/>
      <c r="Y75" s="460"/>
      <c r="Z75" s="459"/>
      <c r="AA75" s="460"/>
      <c r="AB75" s="459"/>
      <c r="AC75" s="460"/>
      <c r="AD75" s="459"/>
      <c r="AE75" s="460"/>
      <c r="AF75" s="459"/>
      <c r="AG75" s="460"/>
      <c r="AH75" s="459"/>
      <c r="AI75" s="460"/>
      <c r="AJ75" s="459"/>
      <c r="AK75" s="460"/>
      <c r="AL75" s="459"/>
      <c r="AM75" s="460"/>
      <c r="AN75" s="459"/>
      <c r="AO75" s="460"/>
      <c r="AP75" s="459"/>
      <c r="AQ75" s="460"/>
      <c r="AR75" s="459"/>
      <c r="AS75" s="460"/>
      <c r="AT75" s="80"/>
    </row>
    <row r="76" spans="2:46" x14ac:dyDescent="0.3">
      <c r="B76" s="479"/>
      <c r="C76" s="662"/>
      <c r="D76" s="13"/>
      <c r="E76" s="4"/>
      <c r="F76" s="459"/>
      <c r="G76" s="460"/>
      <c r="H76" s="459"/>
      <c r="I76" s="460"/>
      <c r="J76" s="459"/>
      <c r="K76" s="460"/>
      <c r="L76" s="459"/>
      <c r="M76" s="460"/>
      <c r="N76" s="459"/>
      <c r="O76" s="460"/>
      <c r="P76" s="459"/>
      <c r="Q76" s="460"/>
      <c r="R76" s="459"/>
      <c r="S76" s="460"/>
      <c r="T76" s="459"/>
      <c r="U76" s="460"/>
      <c r="V76" s="459"/>
      <c r="W76" s="460"/>
      <c r="X76" s="459"/>
      <c r="Y76" s="460"/>
      <c r="Z76" s="459"/>
      <c r="AA76" s="460"/>
      <c r="AB76" s="459"/>
      <c r="AC76" s="460"/>
      <c r="AD76" s="459"/>
      <c r="AE76" s="460"/>
      <c r="AF76" s="459"/>
      <c r="AG76" s="460"/>
      <c r="AH76" s="459"/>
      <c r="AI76" s="460"/>
      <c r="AJ76" s="459"/>
      <c r="AK76" s="460"/>
      <c r="AL76" s="459"/>
      <c r="AM76" s="460"/>
      <c r="AN76" s="459"/>
      <c r="AO76" s="460"/>
      <c r="AP76" s="459"/>
      <c r="AQ76" s="460"/>
      <c r="AR76" s="459"/>
      <c r="AS76" s="460"/>
      <c r="AT76" s="80"/>
    </row>
    <row r="77" spans="2:46" x14ac:dyDescent="0.3">
      <c r="B77" s="479"/>
      <c r="C77" s="662">
        <f>C69/2</f>
        <v>8.4499999999999992E-3</v>
      </c>
      <c r="D77" s="13"/>
      <c r="E77" s="4"/>
      <c r="F77" s="459"/>
      <c r="G77" s="460"/>
      <c r="H77" s="459"/>
      <c r="I77" s="460"/>
      <c r="J77" s="459"/>
      <c r="K77" s="460"/>
      <c r="L77" s="459"/>
      <c r="M77" s="460"/>
      <c r="N77" s="459"/>
      <c r="O77" s="460"/>
      <c r="P77" s="459"/>
      <c r="Q77" s="460"/>
      <c r="R77" s="459"/>
      <c r="S77" s="460"/>
      <c r="T77" s="459"/>
      <c r="U77" s="460"/>
      <c r="V77" s="459"/>
      <c r="W77" s="460"/>
      <c r="X77" s="459"/>
      <c r="Y77" s="460"/>
      <c r="Z77" s="459"/>
      <c r="AA77" s="460"/>
      <c r="AB77" s="459"/>
      <c r="AC77" s="460"/>
      <c r="AD77" s="459"/>
      <c r="AE77" s="460"/>
      <c r="AF77" s="459"/>
      <c r="AG77" s="460"/>
      <c r="AH77" s="459"/>
      <c r="AI77" s="460"/>
      <c r="AJ77" s="459"/>
      <c r="AK77" s="460"/>
      <c r="AL77" s="459"/>
      <c r="AM77" s="460"/>
      <c r="AN77" s="459"/>
      <c r="AO77" s="460"/>
      <c r="AP77" s="459"/>
      <c r="AQ77" s="460"/>
      <c r="AR77" s="459"/>
      <c r="AS77" s="460"/>
      <c r="AT77" s="80"/>
    </row>
    <row r="78" spans="2:46" x14ac:dyDescent="0.3">
      <c r="B78" s="479"/>
      <c r="C78" s="662"/>
      <c r="D78" s="13"/>
      <c r="E78" s="4"/>
      <c r="F78" s="459"/>
      <c r="G78" s="460"/>
      <c r="H78" s="459"/>
      <c r="I78" s="460"/>
      <c r="J78" s="459"/>
      <c r="K78" s="460"/>
      <c r="L78" s="459"/>
      <c r="M78" s="460"/>
      <c r="N78" s="459"/>
      <c r="O78" s="460"/>
      <c r="P78" s="459"/>
      <c r="Q78" s="460"/>
      <c r="R78" s="459"/>
      <c r="S78" s="460"/>
      <c r="T78" s="459"/>
      <c r="U78" s="460"/>
      <c r="V78" s="459"/>
      <c r="W78" s="460"/>
      <c r="X78" s="459"/>
      <c r="Y78" s="460"/>
      <c r="Z78" s="459"/>
      <c r="AA78" s="460"/>
      <c r="AB78" s="459"/>
      <c r="AC78" s="460"/>
      <c r="AD78" s="459"/>
      <c r="AE78" s="460"/>
      <c r="AF78" s="459"/>
      <c r="AG78" s="460"/>
      <c r="AH78" s="459"/>
      <c r="AI78" s="460"/>
      <c r="AJ78" s="459"/>
      <c r="AK78" s="460"/>
      <c r="AL78" s="459"/>
      <c r="AM78" s="460"/>
      <c r="AN78" s="459"/>
      <c r="AO78" s="460"/>
      <c r="AP78" s="459"/>
      <c r="AQ78" s="460"/>
      <c r="AR78" s="459"/>
      <c r="AS78" s="460"/>
      <c r="AT78" s="80"/>
    </row>
    <row r="79" spans="2:46" x14ac:dyDescent="0.3">
      <c r="B79" s="479"/>
      <c r="C79" s="662"/>
      <c r="D79" s="13"/>
      <c r="E79" s="4"/>
      <c r="F79" s="459"/>
      <c r="G79" s="460"/>
      <c r="H79" s="459"/>
      <c r="I79" s="460"/>
      <c r="J79" s="459"/>
      <c r="K79" s="460"/>
      <c r="L79" s="459"/>
      <c r="M79" s="460"/>
      <c r="N79" s="459"/>
      <c r="O79" s="460"/>
      <c r="P79" s="459"/>
      <c r="Q79" s="460"/>
      <c r="R79" s="459"/>
      <c r="S79" s="460"/>
      <c r="T79" s="459"/>
      <c r="U79" s="460"/>
      <c r="V79" s="459"/>
      <c r="W79" s="460"/>
      <c r="X79" s="459"/>
      <c r="Y79" s="460"/>
      <c r="Z79" s="459"/>
      <c r="AA79" s="460"/>
      <c r="AB79" s="459"/>
      <c r="AC79" s="460"/>
      <c r="AD79" s="459"/>
      <c r="AE79" s="460"/>
      <c r="AF79" s="459"/>
      <c r="AG79" s="460"/>
      <c r="AH79" s="459"/>
      <c r="AI79" s="460"/>
      <c r="AJ79" s="459"/>
      <c r="AK79" s="460"/>
      <c r="AL79" s="459"/>
      <c r="AM79" s="460"/>
      <c r="AN79" s="459"/>
      <c r="AO79" s="460"/>
      <c r="AP79" s="459"/>
      <c r="AQ79" s="460"/>
      <c r="AR79" s="459"/>
      <c r="AS79" s="460"/>
      <c r="AT79" s="80"/>
    </row>
    <row r="80" spans="2:46" x14ac:dyDescent="0.3">
      <c r="B80" s="479"/>
      <c r="C80" s="662"/>
      <c r="D80" s="13"/>
      <c r="E80" s="4"/>
      <c r="F80" s="459"/>
      <c r="G80" s="460"/>
      <c r="H80" s="459"/>
      <c r="I80" s="460"/>
      <c r="J80" s="459"/>
      <c r="K80" s="460"/>
      <c r="L80" s="459"/>
      <c r="M80" s="460"/>
      <c r="N80" s="459"/>
      <c r="O80" s="460"/>
      <c r="P80" s="459"/>
      <c r="Q80" s="460"/>
      <c r="R80" s="459"/>
      <c r="S80" s="460"/>
      <c r="T80" s="459"/>
      <c r="U80" s="460"/>
      <c r="V80" s="459"/>
      <c r="W80" s="460"/>
      <c r="X80" s="459"/>
      <c r="Y80" s="460"/>
      <c r="Z80" s="459"/>
      <c r="AA80" s="460"/>
      <c r="AB80" s="459"/>
      <c r="AC80" s="460"/>
      <c r="AD80" s="459"/>
      <c r="AE80" s="460"/>
      <c r="AF80" s="459"/>
      <c r="AG80" s="460"/>
      <c r="AH80" s="459"/>
      <c r="AI80" s="460"/>
      <c r="AJ80" s="459"/>
      <c r="AK80" s="460"/>
      <c r="AL80" s="459"/>
      <c r="AM80" s="460"/>
      <c r="AN80" s="459"/>
      <c r="AO80" s="460"/>
      <c r="AP80" s="459"/>
      <c r="AQ80" s="460"/>
      <c r="AR80" s="459"/>
      <c r="AS80" s="460"/>
      <c r="AT80" s="80"/>
    </row>
    <row r="81" spans="2:46" x14ac:dyDescent="0.3">
      <c r="B81" s="479"/>
      <c r="C81" s="662">
        <f>C77/2</f>
        <v>4.2249999999999996E-3</v>
      </c>
      <c r="D81" s="13"/>
      <c r="E81" s="4"/>
      <c r="F81" s="459"/>
      <c r="G81" s="460"/>
      <c r="H81" s="459"/>
      <c r="I81" s="460"/>
      <c r="J81" s="459"/>
      <c r="K81" s="460"/>
      <c r="L81" s="459"/>
      <c r="M81" s="460"/>
      <c r="N81" s="459"/>
      <c r="O81" s="460"/>
      <c r="P81" s="459"/>
      <c r="Q81" s="460"/>
      <c r="R81" s="459"/>
      <c r="S81" s="460"/>
      <c r="T81" s="459"/>
      <c r="U81" s="460"/>
      <c r="V81" s="459"/>
      <c r="W81" s="460"/>
      <c r="X81" s="459"/>
      <c r="Y81" s="460"/>
      <c r="Z81" s="459"/>
      <c r="AA81" s="460"/>
      <c r="AB81" s="459"/>
      <c r="AC81" s="460"/>
      <c r="AD81" s="459"/>
      <c r="AE81" s="460"/>
      <c r="AF81" s="459"/>
      <c r="AG81" s="460"/>
      <c r="AH81" s="459"/>
      <c r="AI81" s="460"/>
      <c r="AJ81" s="459"/>
      <c r="AK81" s="460"/>
      <c r="AL81" s="459"/>
      <c r="AM81" s="460"/>
      <c r="AN81" s="459"/>
      <c r="AO81" s="460"/>
      <c r="AP81" s="459"/>
      <c r="AQ81" s="460"/>
      <c r="AR81" s="459"/>
      <c r="AS81" s="460"/>
      <c r="AT81" s="80"/>
    </row>
    <row r="82" spans="2:46" x14ac:dyDescent="0.3">
      <c r="B82" s="479"/>
      <c r="C82" s="662"/>
      <c r="D82" s="13"/>
      <c r="E82" s="4"/>
      <c r="F82" s="459"/>
      <c r="G82" s="460"/>
      <c r="H82" s="459"/>
      <c r="I82" s="460"/>
      <c r="J82" s="459"/>
      <c r="K82" s="460"/>
      <c r="L82" s="459"/>
      <c r="M82" s="460"/>
      <c r="N82" s="459"/>
      <c r="O82" s="460"/>
      <c r="P82" s="459"/>
      <c r="Q82" s="460"/>
      <c r="R82" s="459"/>
      <c r="S82" s="460"/>
      <c r="T82" s="459"/>
      <c r="U82" s="460"/>
      <c r="V82" s="459"/>
      <c r="W82" s="460"/>
      <c r="X82" s="459"/>
      <c r="Y82" s="460"/>
      <c r="Z82" s="459"/>
      <c r="AA82" s="460"/>
      <c r="AB82" s="459"/>
      <c r="AC82" s="460"/>
      <c r="AD82" s="459"/>
      <c r="AE82" s="460"/>
      <c r="AF82" s="459"/>
      <c r="AG82" s="460"/>
      <c r="AH82" s="459"/>
      <c r="AI82" s="460"/>
      <c r="AJ82" s="459"/>
      <c r="AK82" s="460"/>
      <c r="AL82" s="459"/>
      <c r="AM82" s="460"/>
      <c r="AN82" s="459"/>
      <c r="AO82" s="460"/>
      <c r="AP82" s="459"/>
      <c r="AQ82" s="460"/>
      <c r="AR82" s="459"/>
      <c r="AS82" s="460"/>
      <c r="AT82" s="80"/>
    </row>
    <row r="83" spans="2:46" x14ac:dyDescent="0.3">
      <c r="B83" s="479"/>
      <c r="C83" s="499"/>
      <c r="D83" s="3"/>
      <c r="E83" s="8"/>
      <c r="F83" s="459"/>
      <c r="G83" s="460"/>
      <c r="H83" s="459"/>
      <c r="I83" s="460"/>
      <c r="J83" s="459"/>
      <c r="K83" s="460"/>
      <c r="L83" s="459"/>
      <c r="M83" s="460"/>
      <c r="N83" s="459"/>
      <c r="O83" s="460"/>
      <c r="P83" s="459"/>
      <c r="Q83" s="460"/>
      <c r="R83" s="459"/>
      <c r="S83" s="460"/>
      <c r="T83" s="459"/>
      <c r="U83" s="460"/>
      <c r="V83" s="459"/>
      <c r="W83" s="460"/>
      <c r="X83" s="459"/>
      <c r="Y83" s="460"/>
      <c r="Z83" s="459"/>
      <c r="AA83" s="460"/>
      <c r="AB83" s="459"/>
      <c r="AC83" s="460"/>
      <c r="AD83" s="459"/>
      <c r="AE83" s="460"/>
      <c r="AF83" s="459"/>
      <c r="AG83" s="460"/>
      <c r="AH83" s="459"/>
      <c r="AI83" s="460"/>
      <c r="AJ83" s="459"/>
      <c r="AK83" s="460"/>
      <c r="AL83" s="459"/>
      <c r="AM83" s="460"/>
      <c r="AN83" s="459"/>
      <c r="AO83" s="460"/>
      <c r="AP83" s="459"/>
      <c r="AQ83" s="460"/>
      <c r="AR83" s="459"/>
      <c r="AS83" s="460"/>
      <c r="AT83" s="76"/>
    </row>
    <row r="84" spans="2:46" ht="15" thickBot="1" x14ac:dyDescent="0.35">
      <c r="B84" s="480"/>
      <c r="C84" s="500"/>
      <c r="D84" s="85"/>
      <c r="E84" s="86"/>
      <c r="F84" s="494"/>
      <c r="G84" s="495"/>
      <c r="H84" s="494"/>
      <c r="I84" s="495"/>
      <c r="J84" s="494"/>
      <c r="K84" s="495"/>
      <c r="L84" s="494"/>
      <c r="M84" s="495"/>
      <c r="N84" s="494"/>
      <c r="O84" s="495"/>
      <c r="P84" s="494"/>
      <c r="Q84" s="495"/>
      <c r="R84" s="494"/>
      <c r="S84" s="495"/>
      <c r="T84" s="494"/>
      <c r="U84" s="495"/>
      <c r="V84" s="494"/>
      <c r="W84" s="495"/>
      <c r="X84" s="494"/>
      <c r="Y84" s="495"/>
      <c r="Z84" s="494"/>
      <c r="AA84" s="495"/>
      <c r="AB84" s="494"/>
      <c r="AC84" s="495"/>
      <c r="AD84" s="494"/>
      <c r="AE84" s="495"/>
      <c r="AF84" s="494"/>
      <c r="AG84" s="495"/>
      <c r="AH84" s="494"/>
      <c r="AI84" s="495"/>
      <c r="AJ84" s="494"/>
      <c r="AK84" s="495"/>
      <c r="AL84" s="494"/>
      <c r="AM84" s="495"/>
      <c r="AN84" s="494"/>
      <c r="AO84" s="495"/>
      <c r="AP84" s="494"/>
      <c r="AQ84" s="495"/>
      <c r="AR84" s="494"/>
      <c r="AS84" s="495"/>
      <c r="AT84" s="87"/>
    </row>
    <row r="85" spans="2:46" s="48" customFormat="1" ht="26.4" thickTop="1" x14ac:dyDescent="0.5">
      <c r="E85" s="493">
        <v>1</v>
      </c>
      <c r="F85" s="493"/>
      <c r="G85" s="493">
        <v>2</v>
      </c>
      <c r="H85" s="493"/>
      <c r="I85" s="493">
        <v>3</v>
      </c>
      <c r="J85" s="493"/>
      <c r="K85" s="493">
        <v>4</v>
      </c>
      <c r="L85" s="493"/>
      <c r="M85" s="493">
        <v>5</v>
      </c>
      <c r="N85" s="493"/>
      <c r="O85" s="493">
        <v>6</v>
      </c>
      <c r="P85" s="493"/>
      <c r="Q85" s="493">
        <v>7</v>
      </c>
      <c r="R85" s="493"/>
      <c r="S85" s="493">
        <v>8</v>
      </c>
      <c r="T85" s="493"/>
      <c r="U85" s="493">
        <v>9</v>
      </c>
      <c r="V85" s="493"/>
      <c r="W85" s="493">
        <v>10</v>
      </c>
      <c r="X85" s="493"/>
      <c r="Y85" s="493">
        <v>11</v>
      </c>
      <c r="Z85" s="493"/>
      <c r="AA85" s="493">
        <v>12</v>
      </c>
      <c r="AB85" s="493"/>
      <c r="AC85" s="493">
        <v>13</v>
      </c>
      <c r="AD85" s="493"/>
      <c r="AE85" s="493">
        <v>14</v>
      </c>
      <c r="AF85" s="493"/>
      <c r="AG85" s="493">
        <v>15</v>
      </c>
      <c r="AH85" s="493"/>
      <c r="AI85" s="493">
        <v>16</v>
      </c>
      <c r="AJ85" s="493"/>
      <c r="AK85" s="493">
        <v>17</v>
      </c>
      <c r="AL85" s="493"/>
      <c r="AM85" s="493">
        <v>18</v>
      </c>
      <c r="AN85" s="493"/>
      <c r="AO85" s="493">
        <v>19</v>
      </c>
      <c r="AP85" s="493"/>
      <c r="AQ85" s="493">
        <v>20</v>
      </c>
      <c r="AR85" s="493"/>
      <c r="AS85" s="493">
        <v>21</v>
      </c>
      <c r="AT85" s="493"/>
    </row>
    <row r="86" spans="2:46" s="47" customFormat="1" ht="29.4" thickBot="1" x14ac:dyDescent="0.55000000000000004">
      <c r="B86" s="99" t="s">
        <v>91</v>
      </c>
      <c r="C86" s="99"/>
      <c r="D86" s="99"/>
      <c r="E86" s="99"/>
      <c r="F86" s="99"/>
      <c r="G86" s="99"/>
      <c r="H86" s="99" t="s">
        <v>88</v>
      </c>
      <c r="I86" s="99"/>
      <c r="J86" s="99"/>
      <c r="K86" s="99"/>
      <c r="L86" s="99"/>
      <c r="M86" s="99"/>
      <c r="N86" s="99"/>
      <c r="O86" s="99"/>
      <c r="P86" s="99"/>
      <c r="Q86" s="99"/>
      <c r="R86" s="99"/>
      <c r="S86" s="99"/>
      <c r="T86" s="99"/>
      <c r="U86" s="99"/>
      <c r="V86" s="99"/>
      <c r="W86" s="99"/>
      <c r="X86" s="99"/>
      <c r="Y86" s="99"/>
      <c r="Z86" s="99"/>
      <c r="AA86" s="99"/>
      <c r="AB86" s="100" t="s">
        <v>8</v>
      </c>
      <c r="AC86" s="99"/>
      <c r="AD86" s="496" t="s">
        <v>9</v>
      </c>
      <c r="AE86" s="496"/>
      <c r="AF86" s="496"/>
      <c r="AG86" s="496"/>
      <c r="AH86" s="99"/>
      <c r="AI86" s="99"/>
      <c r="AJ86" s="497" t="s">
        <v>10</v>
      </c>
      <c r="AK86" s="497"/>
      <c r="AL86" s="497"/>
      <c r="AM86" s="497"/>
      <c r="AN86" s="99"/>
      <c r="AO86" s="99"/>
      <c r="AP86" s="498" t="s">
        <v>11</v>
      </c>
      <c r="AQ86" s="498"/>
      <c r="AR86" s="498"/>
      <c r="AS86" s="498"/>
    </row>
    <row r="87" spans="2:46" s="48" customFormat="1" ht="25.8" x14ac:dyDescent="0.5"/>
    <row r="88" spans="2:46" s="48" customFormat="1" ht="25.8" x14ac:dyDescent="0.5"/>
    <row r="89" spans="2:46" x14ac:dyDescent="0.3">
      <c r="B89" s="23"/>
    </row>
  </sheetData>
  <mergeCells count="1614">
    <mergeCell ref="C83:C84"/>
    <mergeCell ref="F83:G83"/>
    <mergeCell ref="H83:I83"/>
    <mergeCell ref="J83:K83"/>
    <mergeCell ref="L83:M83"/>
    <mergeCell ref="AL83:AM83"/>
    <mergeCell ref="AN83:AO83"/>
    <mergeCell ref="AP83:AQ83"/>
    <mergeCell ref="AR83:AS83"/>
    <mergeCell ref="AR84:AS84"/>
    <mergeCell ref="AJ84:AK84"/>
    <mergeCell ref="AL84:AM84"/>
    <mergeCell ref="AN84:AO84"/>
    <mergeCell ref="R84:S84"/>
    <mergeCell ref="T84:U84"/>
    <mergeCell ref="V84:W84"/>
    <mergeCell ref="X84:Y84"/>
    <mergeCell ref="Z84:AA84"/>
    <mergeCell ref="AB84:AC84"/>
    <mergeCell ref="F84:G84"/>
    <mergeCell ref="H84:I84"/>
    <mergeCell ref="J84:K84"/>
    <mergeCell ref="L84:M84"/>
    <mergeCell ref="N84:O84"/>
    <mergeCell ref="P84:Q84"/>
    <mergeCell ref="E85:F85"/>
    <mergeCell ref="G85:H85"/>
    <mergeCell ref="I85:J85"/>
    <mergeCell ref="K85:L85"/>
    <mergeCell ref="M85:N85"/>
    <mergeCell ref="O85:P85"/>
    <mergeCell ref="Q85:R85"/>
    <mergeCell ref="S85:T85"/>
    <mergeCell ref="AD84:AE84"/>
    <mergeCell ref="AF84:AG84"/>
    <mergeCell ref="AH84:AI84"/>
    <mergeCell ref="AD86:AG86"/>
    <mergeCell ref="AJ86:AM86"/>
    <mergeCell ref="AP86:AS86"/>
    <mergeCell ref="AG85:AH85"/>
    <mergeCell ref="AI85:AJ85"/>
    <mergeCell ref="AK85:AL85"/>
    <mergeCell ref="AM85:AN85"/>
    <mergeCell ref="AO85:AP85"/>
    <mergeCell ref="AQ85:AR85"/>
    <mergeCell ref="U85:V85"/>
    <mergeCell ref="W85:X85"/>
    <mergeCell ref="Y85:Z85"/>
    <mergeCell ref="AA85:AB85"/>
    <mergeCell ref="AC85:AD85"/>
    <mergeCell ref="AE85:AF85"/>
    <mergeCell ref="AP84:AQ84"/>
    <mergeCell ref="AS85:AT85"/>
    <mergeCell ref="X81:Y81"/>
    <mergeCell ref="Z81:AA81"/>
    <mergeCell ref="AB81:AC81"/>
    <mergeCell ref="AD81:AE81"/>
    <mergeCell ref="Z83:AA83"/>
    <mergeCell ref="AB83:AC83"/>
    <mergeCell ref="AD83:AE83"/>
    <mergeCell ref="AF83:AG83"/>
    <mergeCell ref="AH83:AI83"/>
    <mergeCell ref="AJ83:AK83"/>
    <mergeCell ref="N83:O83"/>
    <mergeCell ref="P83:Q83"/>
    <mergeCell ref="R83:S83"/>
    <mergeCell ref="T83:U83"/>
    <mergeCell ref="V83:W83"/>
    <mergeCell ref="X83:Y83"/>
    <mergeCell ref="X82:Y82"/>
    <mergeCell ref="Z82:AA82"/>
    <mergeCell ref="AB82:AC82"/>
    <mergeCell ref="AD82:AE82"/>
    <mergeCell ref="AF82:AG82"/>
    <mergeCell ref="AH82:AI82"/>
    <mergeCell ref="X80:Y80"/>
    <mergeCell ref="Z80:AA80"/>
    <mergeCell ref="AR82:AS82"/>
    <mergeCell ref="AB80:AC80"/>
    <mergeCell ref="AJ82:AK82"/>
    <mergeCell ref="AL82:AM82"/>
    <mergeCell ref="AN82:AO82"/>
    <mergeCell ref="AP82:AQ82"/>
    <mergeCell ref="F80:G80"/>
    <mergeCell ref="H80:I80"/>
    <mergeCell ref="J80:K80"/>
    <mergeCell ref="L80:M80"/>
    <mergeCell ref="N80:O80"/>
    <mergeCell ref="P80:Q80"/>
    <mergeCell ref="AR81:AS81"/>
    <mergeCell ref="F82:G82"/>
    <mergeCell ref="H82:I82"/>
    <mergeCell ref="J82:K82"/>
    <mergeCell ref="L82:M82"/>
    <mergeCell ref="N82:O82"/>
    <mergeCell ref="P82:Q82"/>
    <mergeCell ref="R82:S82"/>
    <mergeCell ref="T82:U82"/>
    <mergeCell ref="V82:W82"/>
    <mergeCell ref="AF81:AG81"/>
    <mergeCell ref="AH81:AI81"/>
    <mergeCell ref="AJ81:AK81"/>
    <mergeCell ref="AL81:AM81"/>
    <mergeCell ref="AN81:AO81"/>
    <mergeCell ref="AP81:AQ81"/>
    <mergeCell ref="T81:U81"/>
    <mergeCell ref="V81:W81"/>
    <mergeCell ref="AP78:AQ78"/>
    <mergeCell ref="AR77:AS77"/>
    <mergeCell ref="C79:C80"/>
    <mergeCell ref="F79:G79"/>
    <mergeCell ref="H79:I79"/>
    <mergeCell ref="J79:K79"/>
    <mergeCell ref="L79:M79"/>
    <mergeCell ref="X78:Y78"/>
    <mergeCell ref="Z78:AA78"/>
    <mergeCell ref="AB78:AC78"/>
    <mergeCell ref="AD78:AE78"/>
    <mergeCell ref="AF78:AG78"/>
    <mergeCell ref="AH78:AI78"/>
    <mergeCell ref="AP80:AQ80"/>
    <mergeCell ref="AR80:AS80"/>
    <mergeCell ref="C81:C82"/>
    <mergeCell ref="F81:G81"/>
    <mergeCell ref="H81:I81"/>
    <mergeCell ref="J81:K81"/>
    <mergeCell ref="L81:M81"/>
    <mergeCell ref="N81:O81"/>
    <mergeCell ref="P81:Q81"/>
    <mergeCell ref="R81:S81"/>
    <mergeCell ref="AD80:AE80"/>
    <mergeCell ref="AF80:AG80"/>
    <mergeCell ref="AH80:AI80"/>
    <mergeCell ref="AJ80:AK80"/>
    <mergeCell ref="AL80:AM80"/>
    <mergeCell ref="AN80:AO80"/>
    <mergeCell ref="R80:S80"/>
    <mergeCell ref="T80:U80"/>
    <mergeCell ref="V80:W80"/>
    <mergeCell ref="AP77:AQ77"/>
    <mergeCell ref="C77:C78"/>
    <mergeCell ref="F77:G77"/>
    <mergeCell ref="H77:I77"/>
    <mergeCell ref="J77:K77"/>
    <mergeCell ref="L77:M77"/>
    <mergeCell ref="N77:O77"/>
    <mergeCell ref="P77:Q77"/>
    <mergeCell ref="R77:S77"/>
    <mergeCell ref="AL79:AM79"/>
    <mergeCell ref="AN79:AO79"/>
    <mergeCell ref="AP79:AQ79"/>
    <mergeCell ref="AR79:AS79"/>
    <mergeCell ref="T77:U77"/>
    <mergeCell ref="V77:W77"/>
    <mergeCell ref="X77:Y77"/>
    <mergeCell ref="Z77:AA77"/>
    <mergeCell ref="AB77:AC77"/>
    <mergeCell ref="AD77:AE77"/>
    <mergeCell ref="Z79:AA79"/>
    <mergeCell ref="AB79:AC79"/>
    <mergeCell ref="AD79:AE79"/>
    <mergeCell ref="AF79:AG79"/>
    <mergeCell ref="AH79:AI79"/>
    <mergeCell ref="AJ79:AK79"/>
    <mergeCell ref="N79:O79"/>
    <mergeCell ref="P79:Q79"/>
    <mergeCell ref="R79:S79"/>
    <mergeCell ref="T79:U79"/>
    <mergeCell ref="V79:W79"/>
    <mergeCell ref="X79:Y79"/>
    <mergeCell ref="AR78:AS78"/>
    <mergeCell ref="Z76:AA76"/>
    <mergeCell ref="AB76:AC76"/>
    <mergeCell ref="AJ78:AK78"/>
    <mergeCell ref="AL78:AM78"/>
    <mergeCell ref="AN78:AO78"/>
    <mergeCell ref="AL75:AM75"/>
    <mergeCell ref="AN75:AO75"/>
    <mergeCell ref="F78:G78"/>
    <mergeCell ref="H78:I78"/>
    <mergeCell ref="J78:K78"/>
    <mergeCell ref="L78:M78"/>
    <mergeCell ref="N78:O78"/>
    <mergeCell ref="P78:Q78"/>
    <mergeCell ref="R78:S78"/>
    <mergeCell ref="T78:U78"/>
    <mergeCell ref="V78:W78"/>
    <mergeCell ref="AF77:AG77"/>
    <mergeCell ref="AH77:AI77"/>
    <mergeCell ref="AJ77:AK77"/>
    <mergeCell ref="AL77:AM77"/>
    <mergeCell ref="AN77:AO77"/>
    <mergeCell ref="AP75:AQ75"/>
    <mergeCell ref="AR75:AS75"/>
    <mergeCell ref="F76:G76"/>
    <mergeCell ref="H76:I76"/>
    <mergeCell ref="J76:K76"/>
    <mergeCell ref="L76:M76"/>
    <mergeCell ref="N76:O76"/>
    <mergeCell ref="P76:Q76"/>
    <mergeCell ref="Z75:AA75"/>
    <mergeCell ref="AB75:AC75"/>
    <mergeCell ref="AD75:AE75"/>
    <mergeCell ref="AF75:AG75"/>
    <mergeCell ref="AH75:AI75"/>
    <mergeCell ref="AJ75:AK75"/>
    <mergeCell ref="N75:O75"/>
    <mergeCell ref="P75:Q75"/>
    <mergeCell ref="R75:S75"/>
    <mergeCell ref="T75:U75"/>
    <mergeCell ref="V75:W75"/>
    <mergeCell ref="X75:Y75"/>
    <mergeCell ref="AP76:AQ76"/>
    <mergeCell ref="AR76:AS76"/>
    <mergeCell ref="AD76:AE76"/>
    <mergeCell ref="AF76:AG76"/>
    <mergeCell ref="AH76:AI76"/>
    <mergeCell ref="AJ76:AK76"/>
    <mergeCell ref="AL76:AM76"/>
    <mergeCell ref="AN76:AO76"/>
    <mergeCell ref="R76:S76"/>
    <mergeCell ref="T76:U76"/>
    <mergeCell ref="V76:W76"/>
    <mergeCell ref="X76:Y76"/>
    <mergeCell ref="AJ74:AK74"/>
    <mergeCell ref="AL74:AM74"/>
    <mergeCell ref="AN74:AO74"/>
    <mergeCell ref="AP74:AQ74"/>
    <mergeCell ref="AR74:AS74"/>
    <mergeCell ref="C75:C76"/>
    <mergeCell ref="F75:G75"/>
    <mergeCell ref="H75:I75"/>
    <mergeCell ref="J75:K75"/>
    <mergeCell ref="L75:M75"/>
    <mergeCell ref="X74:Y74"/>
    <mergeCell ref="Z74:AA74"/>
    <mergeCell ref="AB74:AC74"/>
    <mergeCell ref="AD74:AE74"/>
    <mergeCell ref="AF74:AG74"/>
    <mergeCell ref="AH74:AI74"/>
    <mergeCell ref="AR73:AS73"/>
    <mergeCell ref="F74:G74"/>
    <mergeCell ref="H74:I74"/>
    <mergeCell ref="J74:K74"/>
    <mergeCell ref="L74:M74"/>
    <mergeCell ref="N74:O74"/>
    <mergeCell ref="P74:Q74"/>
    <mergeCell ref="R74:S74"/>
    <mergeCell ref="T74:U74"/>
    <mergeCell ref="V74:W74"/>
    <mergeCell ref="AF73:AG73"/>
    <mergeCell ref="AH73:AI73"/>
    <mergeCell ref="AJ73:AK73"/>
    <mergeCell ref="AL73:AM73"/>
    <mergeCell ref="AN73:AO73"/>
    <mergeCell ref="AP73:AQ73"/>
    <mergeCell ref="T73:U73"/>
    <mergeCell ref="V73:W73"/>
    <mergeCell ref="X73:Y73"/>
    <mergeCell ref="Z73:AA73"/>
    <mergeCell ref="AB73:AC73"/>
    <mergeCell ref="AD73:AE73"/>
    <mergeCell ref="AP72:AQ72"/>
    <mergeCell ref="AR72:AS72"/>
    <mergeCell ref="C73:C74"/>
    <mergeCell ref="F73:G73"/>
    <mergeCell ref="H73:I73"/>
    <mergeCell ref="J73:K73"/>
    <mergeCell ref="L73:M73"/>
    <mergeCell ref="N73:O73"/>
    <mergeCell ref="P73:Q73"/>
    <mergeCell ref="R73:S73"/>
    <mergeCell ref="AD72:AE72"/>
    <mergeCell ref="AF72:AG72"/>
    <mergeCell ref="AH72:AI72"/>
    <mergeCell ref="AJ72:AK72"/>
    <mergeCell ref="AL72:AM72"/>
    <mergeCell ref="AN72:AO72"/>
    <mergeCell ref="R72:S72"/>
    <mergeCell ref="T72:U72"/>
    <mergeCell ref="V72:W72"/>
    <mergeCell ref="X72:Y72"/>
    <mergeCell ref="Z72:AA72"/>
    <mergeCell ref="AB72:AC72"/>
    <mergeCell ref="F72:G72"/>
    <mergeCell ref="H72:I72"/>
    <mergeCell ref="J72:K72"/>
    <mergeCell ref="L72:M72"/>
    <mergeCell ref="N72:O72"/>
    <mergeCell ref="P72:Q72"/>
    <mergeCell ref="AH71:AI71"/>
    <mergeCell ref="AJ71:AK71"/>
    <mergeCell ref="AL71:AM71"/>
    <mergeCell ref="AN71:AO71"/>
    <mergeCell ref="AP71:AQ71"/>
    <mergeCell ref="AR71:AS71"/>
    <mergeCell ref="V71:W71"/>
    <mergeCell ref="X71:Y71"/>
    <mergeCell ref="Z71:AA71"/>
    <mergeCell ref="AB71:AC71"/>
    <mergeCell ref="AD71:AE71"/>
    <mergeCell ref="AF71:AG71"/>
    <mergeCell ref="AP70:AQ70"/>
    <mergeCell ref="AR70:AS70"/>
    <mergeCell ref="F71:G71"/>
    <mergeCell ref="H71:I71"/>
    <mergeCell ref="J71:K71"/>
    <mergeCell ref="L71:M71"/>
    <mergeCell ref="N71:O71"/>
    <mergeCell ref="P71:Q71"/>
    <mergeCell ref="R71:S71"/>
    <mergeCell ref="T71:U71"/>
    <mergeCell ref="AD70:AE70"/>
    <mergeCell ref="AF70:AG70"/>
    <mergeCell ref="AH70:AI70"/>
    <mergeCell ref="AJ70:AK70"/>
    <mergeCell ref="AL70:AM70"/>
    <mergeCell ref="AN70:AO70"/>
    <mergeCell ref="R70:S70"/>
    <mergeCell ref="T70:U70"/>
    <mergeCell ref="AL69:AM69"/>
    <mergeCell ref="AN69:AO69"/>
    <mergeCell ref="AP69:AQ69"/>
    <mergeCell ref="AR69:AS69"/>
    <mergeCell ref="F70:G70"/>
    <mergeCell ref="H70:I70"/>
    <mergeCell ref="J70:K70"/>
    <mergeCell ref="L70:M70"/>
    <mergeCell ref="N70:O70"/>
    <mergeCell ref="P70:Q70"/>
    <mergeCell ref="Z69:AA69"/>
    <mergeCell ref="AB69:AC69"/>
    <mergeCell ref="AD69:AE69"/>
    <mergeCell ref="AF69:AG69"/>
    <mergeCell ref="AH69:AI69"/>
    <mergeCell ref="AJ69:AK69"/>
    <mergeCell ref="N69:O69"/>
    <mergeCell ref="P69:Q69"/>
    <mergeCell ref="R69:S69"/>
    <mergeCell ref="T69:U69"/>
    <mergeCell ref="V69:W69"/>
    <mergeCell ref="X69:Y69"/>
    <mergeCell ref="AR68:AS68"/>
    <mergeCell ref="C69:C72"/>
    <mergeCell ref="F69:G69"/>
    <mergeCell ref="H69:I69"/>
    <mergeCell ref="J69:K69"/>
    <mergeCell ref="L69:M69"/>
    <mergeCell ref="X68:Y68"/>
    <mergeCell ref="Z68:AA68"/>
    <mergeCell ref="AB68:AC68"/>
    <mergeCell ref="AD68:AE68"/>
    <mergeCell ref="AF68:AG68"/>
    <mergeCell ref="AH68:AI68"/>
    <mergeCell ref="AR67:AS67"/>
    <mergeCell ref="F68:G68"/>
    <mergeCell ref="H68:I68"/>
    <mergeCell ref="J68:K68"/>
    <mergeCell ref="L68:M68"/>
    <mergeCell ref="N68:O68"/>
    <mergeCell ref="P68:Q68"/>
    <mergeCell ref="R68:S68"/>
    <mergeCell ref="T68:U68"/>
    <mergeCell ref="V68:W68"/>
    <mergeCell ref="AF67:AG67"/>
    <mergeCell ref="AH67:AI67"/>
    <mergeCell ref="AJ67:AK67"/>
    <mergeCell ref="AL67:AM67"/>
    <mergeCell ref="AN67:AO67"/>
    <mergeCell ref="AP67:AQ67"/>
    <mergeCell ref="V70:W70"/>
    <mergeCell ref="X70:Y70"/>
    <mergeCell ref="Z70:AA70"/>
    <mergeCell ref="AB70:AC70"/>
    <mergeCell ref="T67:U67"/>
    <mergeCell ref="V67:W67"/>
    <mergeCell ref="X67:Y67"/>
    <mergeCell ref="Z67:AA67"/>
    <mergeCell ref="AB67:AC67"/>
    <mergeCell ref="AD67:AE67"/>
    <mergeCell ref="AP66:AQ66"/>
    <mergeCell ref="AR66:AS66"/>
    <mergeCell ref="C67:C68"/>
    <mergeCell ref="F67:G67"/>
    <mergeCell ref="H67:I67"/>
    <mergeCell ref="J67:K67"/>
    <mergeCell ref="L67:M67"/>
    <mergeCell ref="N67:O67"/>
    <mergeCell ref="P67:Q67"/>
    <mergeCell ref="R67:S67"/>
    <mergeCell ref="AD66:AE66"/>
    <mergeCell ref="AF66:AG66"/>
    <mergeCell ref="AH66:AI66"/>
    <mergeCell ref="AJ66:AK66"/>
    <mergeCell ref="AL66:AM66"/>
    <mergeCell ref="AN66:AO66"/>
    <mergeCell ref="R66:S66"/>
    <mergeCell ref="T66:U66"/>
    <mergeCell ref="V66:W66"/>
    <mergeCell ref="X66:Y66"/>
    <mergeCell ref="Z66:AA66"/>
    <mergeCell ref="AB66:AC66"/>
    <mergeCell ref="AJ68:AK68"/>
    <mergeCell ref="AL68:AM68"/>
    <mergeCell ref="AN68:AO68"/>
    <mergeCell ref="AP68:AQ68"/>
    <mergeCell ref="F66:G66"/>
    <mergeCell ref="H66:I66"/>
    <mergeCell ref="J66:K66"/>
    <mergeCell ref="L66:M66"/>
    <mergeCell ref="N66:O66"/>
    <mergeCell ref="P66:Q66"/>
    <mergeCell ref="Z65:AA65"/>
    <mergeCell ref="AB65:AC65"/>
    <mergeCell ref="AD65:AE65"/>
    <mergeCell ref="AF65:AG65"/>
    <mergeCell ref="AH65:AI65"/>
    <mergeCell ref="AJ65:AK65"/>
    <mergeCell ref="N65:O65"/>
    <mergeCell ref="P65:Q65"/>
    <mergeCell ref="R65:S65"/>
    <mergeCell ref="T65:U65"/>
    <mergeCell ref="V65:W65"/>
    <mergeCell ref="X65:Y65"/>
    <mergeCell ref="AR64:AS64"/>
    <mergeCell ref="C65:C66"/>
    <mergeCell ref="F65:G65"/>
    <mergeCell ref="H65:I65"/>
    <mergeCell ref="J65:K65"/>
    <mergeCell ref="L65:M65"/>
    <mergeCell ref="X64:Y64"/>
    <mergeCell ref="Z64:AA64"/>
    <mergeCell ref="AB64:AC64"/>
    <mergeCell ref="AD64:AE64"/>
    <mergeCell ref="AF64:AG64"/>
    <mergeCell ref="AH64:AI64"/>
    <mergeCell ref="AR63:AS63"/>
    <mergeCell ref="F64:G64"/>
    <mergeCell ref="H64:I64"/>
    <mergeCell ref="J64:K64"/>
    <mergeCell ref="L64:M64"/>
    <mergeCell ref="N64:O64"/>
    <mergeCell ref="P64:Q64"/>
    <mergeCell ref="R64:S64"/>
    <mergeCell ref="T64:U64"/>
    <mergeCell ref="V64:W64"/>
    <mergeCell ref="AF63:AG63"/>
    <mergeCell ref="AH63:AI63"/>
    <mergeCell ref="AJ63:AK63"/>
    <mergeCell ref="AL63:AM63"/>
    <mergeCell ref="AN63:AO63"/>
    <mergeCell ref="AP63:AQ63"/>
    <mergeCell ref="AL65:AM65"/>
    <mergeCell ref="AN65:AO65"/>
    <mergeCell ref="AP65:AQ65"/>
    <mergeCell ref="AR65:AS65"/>
    <mergeCell ref="T63:U63"/>
    <mergeCell ref="V63:W63"/>
    <mergeCell ref="X63:Y63"/>
    <mergeCell ref="Z63:AA63"/>
    <mergeCell ref="AB63:AC63"/>
    <mergeCell ref="AD63:AE63"/>
    <mergeCell ref="AP62:AQ62"/>
    <mergeCell ref="AR62:AS62"/>
    <mergeCell ref="C63:C64"/>
    <mergeCell ref="F63:G63"/>
    <mergeCell ref="H63:I63"/>
    <mergeCell ref="J63:K63"/>
    <mergeCell ref="L63:M63"/>
    <mergeCell ref="N63:O63"/>
    <mergeCell ref="P63:Q63"/>
    <mergeCell ref="R63:S63"/>
    <mergeCell ref="AD62:AE62"/>
    <mergeCell ref="AF62:AG62"/>
    <mergeCell ref="AH62:AI62"/>
    <mergeCell ref="AJ62:AK62"/>
    <mergeCell ref="AL62:AM62"/>
    <mergeCell ref="AN62:AO62"/>
    <mergeCell ref="R62:S62"/>
    <mergeCell ref="T62:U62"/>
    <mergeCell ref="V62:W62"/>
    <mergeCell ref="X62:Y62"/>
    <mergeCell ref="Z62:AA62"/>
    <mergeCell ref="AB62:AC62"/>
    <mergeCell ref="AJ64:AK64"/>
    <mergeCell ref="AL64:AM64"/>
    <mergeCell ref="AN64:AO64"/>
    <mergeCell ref="AP64:AQ64"/>
    <mergeCell ref="F62:G62"/>
    <mergeCell ref="H62:I62"/>
    <mergeCell ref="J62:K62"/>
    <mergeCell ref="L62:M62"/>
    <mergeCell ref="N62:O62"/>
    <mergeCell ref="P62:Q62"/>
    <mergeCell ref="Z61:AA61"/>
    <mergeCell ref="AB61:AC61"/>
    <mergeCell ref="AD61:AE61"/>
    <mergeCell ref="AF61:AG61"/>
    <mergeCell ref="AH61:AI61"/>
    <mergeCell ref="AJ61:AK61"/>
    <mergeCell ref="N61:O61"/>
    <mergeCell ref="P61:Q61"/>
    <mergeCell ref="R61:S61"/>
    <mergeCell ref="T61:U61"/>
    <mergeCell ref="V61:W61"/>
    <mergeCell ref="X61:Y61"/>
    <mergeCell ref="AR60:AS60"/>
    <mergeCell ref="C61:C62"/>
    <mergeCell ref="F61:G61"/>
    <mergeCell ref="H61:I61"/>
    <mergeCell ref="J61:K61"/>
    <mergeCell ref="L61:M61"/>
    <mergeCell ref="X60:Y60"/>
    <mergeCell ref="Z60:AA60"/>
    <mergeCell ref="AB60:AC60"/>
    <mergeCell ref="AD60:AE60"/>
    <mergeCell ref="AF60:AG60"/>
    <mergeCell ref="AH60:AI60"/>
    <mergeCell ref="AR59:AS59"/>
    <mergeCell ref="F60:G60"/>
    <mergeCell ref="H60:I60"/>
    <mergeCell ref="J60:K60"/>
    <mergeCell ref="L60:M60"/>
    <mergeCell ref="N60:O60"/>
    <mergeCell ref="P60:Q60"/>
    <mergeCell ref="R60:S60"/>
    <mergeCell ref="T60:U60"/>
    <mergeCell ref="V60:W60"/>
    <mergeCell ref="AF59:AG59"/>
    <mergeCell ref="AH59:AI59"/>
    <mergeCell ref="AJ59:AK59"/>
    <mergeCell ref="AL59:AM59"/>
    <mergeCell ref="AN59:AO59"/>
    <mergeCell ref="AP59:AQ59"/>
    <mergeCell ref="AL61:AM61"/>
    <mergeCell ref="AN61:AO61"/>
    <mergeCell ref="AP61:AQ61"/>
    <mergeCell ref="AR61:AS61"/>
    <mergeCell ref="T59:U59"/>
    <mergeCell ref="V59:W59"/>
    <mergeCell ref="X59:Y59"/>
    <mergeCell ref="Z59:AA59"/>
    <mergeCell ref="AB59:AC59"/>
    <mergeCell ref="AD59:AE59"/>
    <mergeCell ref="AP58:AQ58"/>
    <mergeCell ref="AR58:AS58"/>
    <mergeCell ref="C59:C60"/>
    <mergeCell ref="F59:G59"/>
    <mergeCell ref="H59:I59"/>
    <mergeCell ref="J59:K59"/>
    <mergeCell ref="L59:M59"/>
    <mergeCell ref="N59:O59"/>
    <mergeCell ref="P59:Q59"/>
    <mergeCell ref="R59:S59"/>
    <mergeCell ref="AD58:AE58"/>
    <mergeCell ref="AF58:AG58"/>
    <mergeCell ref="AH58:AI58"/>
    <mergeCell ref="AJ58:AK58"/>
    <mergeCell ref="AL58:AM58"/>
    <mergeCell ref="AN58:AO58"/>
    <mergeCell ref="R58:S58"/>
    <mergeCell ref="T58:U58"/>
    <mergeCell ref="V58:W58"/>
    <mergeCell ref="X58:Y58"/>
    <mergeCell ref="Z58:AA58"/>
    <mergeCell ref="AB58:AC58"/>
    <mergeCell ref="AJ60:AK60"/>
    <mergeCell ref="AL60:AM60"/>
    <mergeCell ref="AN60:AO60"/>
    <mergeCell ref="AP60:AQ60"/>
    <mergeCell ref="AL57:AM57"/>
    <mergeCell ref="AN57:AO57"/>
    <mergeCell ref="AP57:AQ57"/>
    <mergeCell ref="AR57:AS57"/>
    <mergeCell ref="F58:G58"/>
    <mergeCell ref="H58:I58"/>
    <mergeCell ref="J58:K58"/>
    <mergeCell ref="L58:M58"/>
    <mergeCell ref="N58:O58"/>
    <mergeCell ref="P58:Q58"/>
    <mergeCell ref="Z57:AA57"/>
    <mergeCell ref="AB57:AC57"/>
    <mergeCell ref="AD57:AE57"/>
    <mergeCell ref="AF57:AG57"/>
    <mergeCell ref="AH57:AI57"/>
    <mergeCell ref="AJ57:AK57"/>
    <mergeCell ref="N57:O57"/>
    <mergeCell ref="P57:Q57"/>
    <mergeCell ref="R57:S57"/>
    <mergeCell ref="T57:U57"/>
    <mergeCell ref="V57:W57"/>
    <mergeCell ref="X57:Y57"/>
    <mergeCell ref="AJ56:AK56"/>
    <mergeCell ref="AL56:AM56"/>
    <mergeCell ref="AN56:AO56"/>
    <mergeCell ref="AP56:AQ56"/>
    <mergeCell ref="AR56:AS56"/>
    <mergeCell ref="C57:C58"/>
    <mergeCell ref="F57:G57"/>
    <mergeCell ref="H57:I57"/>
    <mergeCell ref="J57:K57"/>
    <mergeCell ref="L57:M57"/>
    <mergeCell ref="X56:Y56"/>
    <mergeCell ref="Z56:AA56"/>
    <mergeCell ref="AB56:AC56"/>
    <mergeCell ref="AD56:AE56"/>
    <mergeCell ref="AF56:AG56"/>
    <mergeCell ref="AH56:AI56"/>
    <mergeCell ref="AR55:AS55"/>
    <mergeCell ref="F56:G56"/>
    <mergeCell ref="H56:I56"/>
    <mergeCell ref="J56:K56"/>
    <mergeCell ref="L56:M56"/>
    <mergeCell ref="N56:O56"/>
    <mergeCell ref="P56:Q56"/>
    <mergeCell ref="R56:S56"/>
    <mergeCell ref="T56:U56"/>
    <mergeCell ref="V56:W56"/>
    <mergeCell ref="AF55:AG55"/>
    <mergeCell ref="AH55:AI55"/>
    <mergeCell ref="AJ55:AK55"/>
    <mergeCell ref="AL55:AM55"/>
    <mergeCell ref="AN55:AO55"/>
    <mergeCell ref="AP55:AQ55"/>
    <mergeCell ref="T55:U55"/>
    <mergeCell ref="V55:W55"/>
    <mergeCell ref="X55:Y55"/>
    <mergeCell ref="Z55:AA55"/>
    <mergeCell ref="AB55:AC55"/>
    <mergeCell ref="AD55:AE55"/>
    <mergeCell ref="AP54:AQ54"/>
    <mergeCell ref="AR54:AS54"/>
    <mergeCell ref="C55:C56"/>
    <mergeCell ref="F55:G55"/>
    <mergeCell ref="H55:I55"/>
    <mergeCell ref="J55:K55"/>
    <mergeCell ref="L55:M55"/>
    <mergeCell ref="N55:O55"/>
    <mergeCell ref="P55:Q55"/>
    <mergeCell ref="R55:S55"/>
    <mergeCell ref="AD54:AE54"/>
    <mergeCell ref="AF54:AG54"/>
    <mergeCell ref="AH54:AI54"/>
    <mergeCell ref="AJ54:AK54"/>
    <mergeCell ref="AL54:AM54"/>
    <mergeCell ref="AN54:AO54"/>
    <mergeCell ref="R54:S54"/>
    <mergeCell ref="T54:U54"/>
    <mergeCell ref="V54:W54"/>
    <mergeCell ref="X54:Y54"/>
    <mergeCell ref="Z54:AA54"/>
    <mergeCell ref="AB54:AC54"/>
    <mergeCell ref="F54:G54"/>
    <mergeCell ref="H54:I54"/>
    <mergeCell ref="J54:K54"/>
    <mergeCell ref="L54:M54"/>
    <mergeCell ref="Z53:AA53"/>
    <mergeCell ref="AB53:AC53"/>
    <mergeCell ref="AD53:AE53"/>
    <mergeCell ref="AF53:AG53"/>
    <mergeCell ref="AP52:AQ52"/>
    <mergeCell ref="AR52:AS52"/>
    <mergeCell ref="F53:G53"/>
    <mergeCell ref="H53:I53"/>
    <mergeCell ref="J53:K53"/>
    <mergeCell ref="L53:M53"/>
    <mergeCell ref="N53:O53"/>
    <mergeCell ref="P53:Q53"/>
    <mergeCell ref="R53:S53"/>
    <mergeCell ref="T53:U53"/>
    <mergeCell ref="AD52:AE52"/>
    <mergeCell ref="AF52:AG52"/>
    <mergeCell ref="AH52:AI52"/>
    <mergeCell ref="AJ52:AK52"/>
    <mergeCell ref="AL52:AM52"/>
    <mergeCell ref="AN52:AO52"/>
    <mergeCell ref="R52:S52"/>
    <mergeCell ref="T52:U52"/>
    <mergeCell ref="V52:W52"/>
    <mergeCell ref="X52:Y52"/>
    <mergeCell ref="Z52:AA52"/>
    <mergeCell ref="AB52:AC52"/>
    <mergeCell ref="AN51:AO51"/>
    <mergeCell ref="AP51:AQ51"/>
    <mergeCell ref="AR51:AS51"/>
    <mergeCell ref="B52:B84"/>
    <mergeCell ref="F52:G52"/>
    <mergeCell ref="H52:I52"/>
    <mergeCell ref="J52:K52"/>
    <mergeCell ref="L52:M52"/>
    <mergeCell ref="N52:O52"/>
    <mergeCell ref="P52:Q52"/>
    <mergeCell ref="AB51:AC51"/>
    <mergeCell ref="AD51:AE51"/>
    <mergeCell ref="AF51:AG51"/>
    <mergeCell ref="AH51:AI51"/>
    <mergeCell ref="AJ51:AK51"/>
    <mergeCell ref="AL51:AM51"/>
    <mergeCell ref="P51:Q51"/>
    <mergeCell ref="R51:S51"/>
    <mergeCell ref="T51:U51"/>
    <mergeCell ref="V51:W51"/>
    <mergeCell ref="X51:Y51"/>
    <mergeCell ref="Z51:AA51"/>
    <mergeCell ref="N54:O54"/>
    <mergeCell ref="P54:Q54"/>
    <mergeCell ref="AH53:AI53"/>
    <mergeCell ref="AJ53:AK53"/>
    <mergeCell ref="AL53:AM53"/>
    <mergeCell ref="AN53:AO53"/>
    <mergeCell ref="AP53:AQ53"/>
    <mergeCell ref="AR53:AS53"/>
    <mergeCell ref="V53:W53"/>
    <mergeCell ref="X53:Y53"/>
    <mergeCell ref="AR50:AS50"/>
    <mergeCell ref="F51:G51"/>
    <mergeCell ref="H51:I51"/>
    <mergeCell ref="J51:K51"/>
    <mergeCell ref="L51:M51"/>
    <mergeCell ref="N51:O51"/>
    <mergeCell ref="X50:Y50"/>
    <mergeCell ref="Z50:AA50"/>
    <mergeCell ref="AB50:AC50"/>
    <mergeCell ref="AD50:AE50"/>
    <mergeCell ref="AF50:AG50"/>
    <mergeCell ref="AH50:AI50"/>
    <mergeCell ref="AT49:AT50"/>
    <mergeCell ref="F50:G50"/>
    <mergeCell ref="H50:I50"/>
    <mergeCell ref="J50:K50"/>
    <mergeCell ref="L50:M50"/>
    <mergeCell ref="N50:O50"/>
    <mergeCell ref="P50:Q50"/>
    <mergeCell ref="R50:S50"/>
    <mergeCell ref="T50:U50"/>
    <mergeCell ref="V50:W50"/>
    <mergeCell ref="AH49:AI49"/>
    <mergeCell ref="AJ49:AK49"/>
    <mergeCell ref="AL49:AM49"/>
    <mergeCell ref="AN49:AO49"/>
    <mergeCell ref="AP49:AQ49"/>
    <mergeCell ref="AR49:AS49"/>
    <mergeCell ref="V49:W49"/>
    <mergeCell ref="X49:Y49"/>
    <mergeCell ref="Z49:AA49"/>
    <mergeCell ref="AB49:AC49"/>
    <mergeCell ref="AD49:AE49"/>
    <mergeCell ref="AF49:AG49"/>
    <mergeCell ref="AR48:AS48"/>
    <mergeCell ref="C49:C50"/>
    <mergeCell ref="F49:G49"/>
    <mergeCell ref="H49:I49"/>
    <mergeCell ref="J49:K49"/>
    <mergeCell ref="L49:M49"/>
    <mergeCell ref="N49:O49"/>
    <mergeCell ref="P49:Q49"/>
    <mergeCell ref="R49:S49"/>
    <mergeCell ref="T49:U49"/>
    <mergeCell ref="AF48:AG48"/>
    <mergeCell ref="AH48:AI48"/>
    <mergeCell ref="AJ48:AK48"/>
    <mergeCell ref="AL48:AM48"/>
    <mergeCell ref="AN48:AO48"/>
    <mergeCell ref="AP48:AQ48"/>
    <mergeCell ref="T48:U48"/>
    <mergeCell ref="V48:W48"/>
    <mergeCell ref="X48:Y48"/>
    <mergeCell ref="Z48:AA48"/>
    <mergeCell ref="AB48:AC48"/>
    <mergeCell ref="AD48:AE48"/>
    <mergeCell ref="AJ50:AK50"/>
    <mergeCell ref="AL50:AM50"/>
    <mergeCell ref="AN50:AO50"/>
    <mergeCell ref="AP50:AQ50"/>
    <mergeCell ref="F48:G48"/>
    <mergeCell ref="H48:I48"/>
    <mergeCell ref="J48:K48"/>
    <mergeCell ref="L48:M48"/>
    <mergeCell ref="N48:O48"/>
    <mergeCell ref="P48:Q48"/>
    <mergeCell ref="R48:S48"/>
    <mergeCell ref="AB47:AC47"/>
    <mergeCell ref="AD47:AE47"/>
    <mergeCell ref="AF47:AG47"/>
    <mergeCell ref="AH47:AI47"/>
    <mergeCell ref="AJ47:AK47"/>
    <mergeCell ref="AL47:AM47"/>
    <mergeCell ref="P47:Q47"/>
    <mergeCell ref="R47:S47"/>
    <mergeCell ref="T47:U47"/>
    <mergeCell ref="V47:W47"/>
    <mergeCell ref="X47:Y47"/>
    <mergeCell ref="Z47:AA47"/>
    <mergeCell ref="AR46:AS46"/>
    <mergeCell ref="N47:O47"/>
    <mergeCell ref="X46:Y46"/>
    <mergeCell ref="Z46:AA46"/>
    <mergeCell ref="AB46:AC46"/>
    <mergeCell ref="AD46:AE46"/>
    <mergeCell ref="AF46:AG46"/>
    <mergeCell ref="AH46:AI46"/>
    <mergeCell ref="AP46:AQ46"/>
    <mergeCell ref="AR45:AS45"/>
    <mergeCell ref="F46:G46"/>
    <mergeCell ref="H46:I46"/>
    <mergeCell ref="J46:K46"/>
    <mergeCell ref="L46:M46"/>
    <mergeCell ref="N46:O46"/>
    <mergeCell ref="P46:Q46"/>
    <mergeCell ref="R46:S46"/>
    <mergeCell ref="T46:U46"/>
    <mergeCell ref="V46:W46"/>
    <mergeCell ref="AF45:AG45"/>
    <mergeCell ref="AH45:AI45"/>
    <mergeCell ref="AJ45:AK45"/>
    <mergeCell ref="AL45:AM45"/>
    <mergeCell ref="AN45:AO45"/>
    <mergeCell ref="AP45:AQ45"/>
    <mergeCell ref="C45:C48"/>
    <mergeCell ref="F45:G45"/>
    <mergeCell ref="H45:I45"/>
    <mergeCell ref="J45:K45"/>
    <mergeCell ref="L45:M45"/>
    <mergeCell ref="N45:O45"/>
    <mergeCell ref="P45:Q45"/>
    <mergeCell ref="R45:S45"/>
    <mergeCell ref="AP47:AQ47"/>
    <mergeCell ref="AR47:AS47"/>
    <mergeCell ref="T45:U45"/>
    <mergeCell ref="V45:W45"/>
    <mergeCell ref="X45:Y45"/>
    <mergeCell ref="Z45:AA45"/>
    <mergeCell ref="AB45:AC45"/>
    <mergeCell ref="AD45:AE45"/>
    <mergeCell ref="AH44:AI44"/>
    <mergeCell ref="AJ44:AK44"/>
    <mergeCell ref="AL44:AM44"/>
    <mergeCell ref="AN44:AO44"/>
    <mergeCell ref="R44:S44"/>
    <mergeCell ref="T44:U44"/>
    <mergeCell ref="V44:W44"/>
    <mergeCell ref="X44:Y44"/>
    <mergeCell ref="Z44:AA44"/>
    <mergeCell ref="AB44:AC44"/>
    <mergeCell ref="AJ46:AK46"/>
    <mergeCell ref="AL46:AM46"/>
    <mergeCell ref="AN46:AO46"/>
    <mergeCell ref="AN47:AO47"/>
    <mergeCell ref="F47:G47"/>
    <mergeCell ref="H47:I47"/>
    <mergeCell ref="J47:K47"/>
    <mergeCell ref="L47:M47"/>
    <mergeCell ref="AP42:AQ42"/>
    <mergeCell ref="AR42:AS42"/>
    <mergeCell ref="C43:C44"/>
    <mergeCell ref="AT43:AT44"/>
    <mergeCell ref="F44:G44"/>
    <mergeCell ref="H44:I44"/>
    <mergeCell ref="J44:K44"/>
    <mergeCell ref="L44:M44"/>
    <mergeCell ref="N44:O44"/>
    <mergeCell ref="P44:Q44"/>
    <mergeCell ref="AD42:AE42"/>
    <mergeCell ref="AF42:AG42"/>
    <mergeCell ref="AH42:AI42"/>
    <mergeCell ref="AJ42:AK42"/>
    <mergeCell ref="AL42:AM42"/>
    <mergeCell ref="AN42:AO42"/>
    <mergeCell ref="R42:S42"/>
    <mergeCell ref="T42:U42"/>
    <mergeCell ref="V42:W42"/>
    <mergeCell ref="X42:Y42"/>
    <mergeCell ref="Z42:AA42"/>
    <mergeCell ref="AB42:AC42"/>
    <mergeCell ref="F42:G42"/>
    <mergeCell ref="H42:I42"/>
    <mergeCell ref="J42:K42"/>
    <mergeCell ref="L42:M42"/>
    <mergeCell ref="N42:O42"/>
    <mergeCell ref="P42:Q42"/>
    <mergeCell ref="AP44:AQ44"/>
    <mergeCell ref="AR44:AS44"/>
    <mergeCell ref="AD44:AE44"/>
    <mergeCell ref="AF44:AG44"/>
    <mergeCell ref="AH41:AI41"/>
    <mergeCell ref="AJ41:AK41"/>
    <mergeCell ref="AL41:AM41"/>
    <mergeCell ref="AN41:AO41"/>
    <mergeCell ref="AP41:AQ41"/>
    <mergeCell ref="AR41:AS41"/>
    <mergeCell ref="V41:W41"/>
    <mergeCell ref="X41:Y41"/>
    <mergeCell ref="Z41:AA41"/>
    <mergeCell ref="AB41:AC41"/>
    <mergeCell ref="AD41:AE41"/>
    <mergeCell ref="AF41:AG41"/>
    <mergeCell ref="AP40:AQ40"/>
    <mergeCell ref="AR40:AS40"/>
    <mergeCell ref="F41:G41"/>
    <mergeCell ref="H41:I41"/>
    <mergeCell ref="J41:K41"/>
    <mergeCell ref="L41:M41"/>
    <mergeCell ref="N41:O41"/>
    <mergeCell ref="P41:Q41"/>
    <mergeCell ref="R41:S41"/>
    <mergeCell ref="T41:U41"/>
    <mergeCell ref="AD40:AE40"/>
    <mergeCell ref="AF40:AG40"/>
    <mergeCell ref="AH40:AI40"/>
    <mergeCell ref="AJ40:AK40"/>
    <mergeCell ref="AL40:AM40"/>
    <mergeCell ref="AN40:AO40"/>
    <mergeCell ref="R40:S40"/>
    <mergeCell ref="T40:U40"/>
    <mergeCell ref="V40:W40"/>
    <mergeCell ref="X40:Y40"/>
    <mergeCell ref="Z40:AA40"/>
    <mergeCell ref="AB40:AC40"/>
    <mergeCell ref="AL39:AM39"/>
    <mergeCell ref="AN39:AO39"/>
    <mergeCell ref="AP39:AQ39"/>
    <mergeCell ref="AR39:AS39"/>
    <mergeCell ref="F40:G40"/>
    <mergeCell ref="H40:I40"/>
    <mergeCell ref="J40:K40"/>
    <mergeCell ref="L40:M40"/>
    <mergeCell ref="N40:O40"/>
    <mergeCell ref="P40:Q40"/>
    <mergeCell ref="Z39:AA39"/>
    <mergeCell ref="AB39:AC39"/>
    <mergeCell ref="AD39:AE39"/>
    <mergeCell ref="AF39:AG39"/>
    <mergeCell ref="AH39:AI39"/>
    <mergeCell ref="AJ39:AK39"/>
    <mergeCell ref="N39:O39"/>
    <mergeCell ref="P39:Q39"/>
    <mergeCell ref="R39:S39"/>
    <mergeCell ref="T39:U39"/>
    <mergeCell ref="V39:W39"/>
    <mergeCell ref="X39:Y39"/>
    <mergeCell ref="AJ38:AK38"/>
    <mergeCell ref="AL38:AM38"/>
    <mergeCell ref="AN38:AO38"/>
    <mergeCell ref="AP38:AQ38"/>
    <mergeCell ref="AR38:AS38"/>
    <mergeCell ref="C39:C42"/>
    <mergeCell ref="F39:G39"/>
    <mergeCell ref="H39:I39"/>
    <mergeCell ref="J39:K39"/>
    <mergeCell ref="L39:M39"/>
    <mergeCell ref="X38:Y38"/>
    <mergeCell ref="Z38:AA38"/>
    <mergeCell ref="AB38:AC38"/>
    <mergeCell ref="AD38:AE38"/>
    <mergeCell ref="AF38:AG38"/>
    <mergeCell ref="AH38:AI38"/>
    <mergeCell ref="AR37:AS37"/>
    <mergeCell ref="F38:G38"/>
    <mergeCell ref="H38:I38"/>
    <mergeCell ref="J38:K38"/>
    <mergeCell ref="L38:M38"/>
    <mergeCell ref="N38:O38"/>
    <mergeCell ref="P38:Q38"/>
    <mergeCell ref="R38:S38"/>
    <mergeCell ref="T38:U38"/>
    <mergeCell ref="V38:W38"/>
    <mergeCell ref="AF37:AG37"/>
    <mergeCell ref="AH37:AI37"/>
    <mergeCell ref="AJ37:AK37"/>
    <mergeCell ref="AL37:AM37"/>
    <mergeCell ref="AN37:AO37"/>
    <mergeCell ref="AP37:AQ37"/>
    <mergeCell ref="T37:U37"/>
    <mergeCell ref="V37:W37"/>
    <mergeCell ref="X37:Y37"/>
    <mergeCell ref="Z37:AA37"/>
    <mergeCell ref="AB37:AC37"/>
    <mergeCell ref="AD37:AE37"/>
    <mergeCell ref="AP36:AQ36"/>
    <mergeCell ref="AR36:AS36"/>
    <mergeCell ref="C37:C38"/>
    <mergeCell ref="F37:G37"/>
    <mergeCell ref="H37:I37"/>
    <mergeCell ref="J37:K37"/>
    <mergeCell ref="L37:M37"/>
    <mergeCell ref="N37:O37"/>
    <mergeCell ref="P37:Q37"/>
    <mergeCell ref="R37:S37"/>
    <mergeCell ref="AD36:AE36"/>
    <mergeCell ref="AF36:AG36"/>
    <mergeCell ref="AH36:AI36"/>
    <mergeCell ref="AJ36:AK36"/>
    <mergeCell ref="AL36:AM36"/>
    <mergeCell ref="AN36:AO36"/>
    <mergeCell ref="R36:S36"/>
    <mergeCell ref="T36:U36"/>
    <mergeCell ref="V36:W36"/>
    <mergeCell ref="X36:Y36"/>
    <mergeCell ref="Z36:AA36"/>
    <mergeCell ref="AB36:AC36"/>
    <mergeCell ref="F36:G36"/>
    <mergeCell ref="H36:I36"/>
    <mergeCell ref="J36:K36"/>
    <mergeCell ref="L36:M36"/>
    <mergeCell ref="N36:O36"/>
    <mergeCell ref="P36:Q36"/>
    <mergeCell ref="AH35:AI35"/>
    <mergeCell ref="AJ35:AK35"/>
    <mergeCell ref="AL35:AM35"/>
    <mergeCell ref="AN35:AO35"/>
    <mergeCell ref="AP35:AQ35"/>
    <mergeCell ref="AR35:AS35"/>
    <mergeCell ref="V35:W35"/>
    <mergeCell ref="X35:Y35"/>
    <mergeCell ref="Z35:AA35"/>
    <mergeCell ref="AB35:AC35"/>
    <mergeCell ref="AD35:AE35"/>
    <mergeCell ref="AF35:AG35"/>
    <mergeCell ref="AP34:AQ34"/>
    <mergeCell ref="AR34:AS34"/>
    <mergeCell ref="F35:G35"/>
    <mergeCell ref="H35:I35"/>
    <mergeCell ref="J35:K35"/>
    <mergeCell ref="L35:M35"/>
    <mergeCell ref="N35:O35"/>
    <mergeCell ref="P35:Q35"/>
    <mergeCell ref="R35:S35"/>
    <mergeCell ref="T35:U35"/>
    <mergeCell ref="AD34:AE34"/>
    <mergeCell ref="AF34:AG34"/>
    <mergeCell ref="AH34:AI34"/>
    <mergeCell ref="AJ34:AK34"/>
    <mergeCell ref="AL34:AM34"/>
    <mergeCell ref="AN34:AO34"/>
    <mergeCell ref="R34:S34"/>
    <mergeCell ref="T34:U34"/>
    <mergeCell ref="AL33:AM33"/>
    <mergeCell ref="AN33:AO33"/>
    <mergeCell ref="AP33:AQ33"/>
    <mergeCell ref="AR33:AS33"/>
    <mergeCell ref="F34:G34"/>
    <mergeCell ref="H34:I34"/>
    <mergeCell ref="J34:K34"/>
    <mergeCell ref="L34:M34"/>
    <mergeCell ref="N34:O34"/>
    <mergeCell ref="P34:Q34"/>
    <mergeCell ref="Z33:AA33"/>
    <mergeCell ref="AB33:AC33"/>
    <mergeCell ref="AD33:AE33"/>
    <mergeCell ref="AF33:AG33"/>
    <mergeCell ref="AH33:AI33"/>
    <mergeCell ref="AJ33:AK33"/>
    <mergeCell ref="N33:O33"/>
    <mergeCell ref="P33:Q33"/>
    <mergeCell ref="R33:S33"/>
    <mergeCell ref="T33:U33"/>
    <mergeCell ref="V33:W33"/>
    <mergeCell ref="X33:Y33"/>
    <mergeCell ref="AR32:AS32"/>
    <mergeCell ref="C33:C36"/>
    <mergeCell ref="F33:G33"/>
    <mergeCell ref="H33:I33"/>
    <mergeCell ref="J33:K33"/>
    <mergeCell ref="L33:M33"/>
    <mergeCell ref="X32:Y32"/>
    <mergeCell ref="Z32:AA32"/>
    <mergeCell ref="AB32:AC32"/>
    <mergeCell ref="AD32:AE32"/>
    <mergeCell ref="AF32:AG32"/>
    <mergeCell ref="AH32:AI32"/>
    <mergeCell ref="AT31:AT32"/>
    <mergeCell ref="F32:G32"/>
    <mergeCell ref="H32:I32"/>
    <mergeCell ref="J32:K32"/>
    <mergeCell ref="L32:M32"/>
    <mergeCell ref="N32:O32"/>
    <mergeCell ref="P32:Q32"/>
    <mergeCell ref="R32:S32"/>
    <mergeCell ref="T32:U32"/>
    <mergeCell ref="V32:W32"/>
    <mergeCell ref="AH31:AI31"/>
    <mergeCell ref="AJ31:AK31"/>
    <mergeCell ref="AL31:AM31"/>
    <mergeCell ref="AN31:AO31"/>
    <mergeCell ref="AP31:AQ31"/>
    <mergeCell ref="AR31:AS31"/>
    <mergeCell ref="V34:W34"/>
    <mergeCell ref="X34:Y34"/>
    <mergeCell ref="Z34:AA34"/>
    <mergeCell ref="AB34:AC34"/>
    <mergeCell ref="V31:W31"/>
    <mergeCell ref="X31:Y31"/>
    <mergeCell ref="Z31:AA31"/>
    <mergeCell ref="AB31:AC31"/>
    <mergeCell ref="AD31:AE31"/>
    <mergeCell ref="AF31:AG31"/>
    <mergeCell ref="AR30:AS30"/>
    <mergeCell ref="C31:C32"/>
    <mergeCell ref="F31:G31"/>
    <mergeCell ref="H31:I31"/>
    <mergeCell ref="J31:K31"/>
    <mergeCell ref="L31:M31"/>
    <mergeCell ref="N31:O31"/>
    <mergeCell ref="P31:Q31"/>
    <mergeCell ref="R31:S31"/>
    <mergeCell ref="T31:U31"/>
    <mergeCell ref="AF30:AG30"/>
    <mergeCell ref="AH30:AI30"/>
    <mergeCell ref="AJ30:AK30"/>
    <mergeCell ref="AL30:AM30"/>
    <mergeCell ref="AN30:AO30"/>
    <mergeCell ref="AP30:AQ30"/>
    <mergeCell ref="T30:U30"/>
    <mergeCell ref="V30:W30"/>
    <mergeCell ref="X30:Y30"/>
    <mergeCell ref="Z30:AA30"/>
    <mergeCell ref="AB30:AC30"/>
    <mergeCell ref="AD30:AE30"/>
    <mergeCell ref="AJ32:AK32"/>
    <mergeCell ref="AL32:AM32"/>
    <mergeCell ref="AN32:AO32"/>
    <mergeCell ref="AP32:AQ32"/>
    <mergeCell ref="AN29:AO29"/>
    <mergeCell ref="AP29:AQ29"/>
    <mergeCell ref="AR29:AS29"/>
    <mergeCell ref="F30:G30"/>
    <mergeCell ref="H30:I30"/>
    <mergeCell ref="J30:K30"/>
    <mergeCell ref="L30:M30"/>
    <mergeCell ref="N30:O30"/>
    <mergeCell ref="P30:Q30"/>
    <mergeCell ref="R30:S30"/>
    <mergeCell ref="AB29:AC29"/>
    <mergeCell ref="AD29:AE29"/>
    <mergeCell ref="AF29:AG29"/>
    <mergeCell ref="AH29:AI29"/>
    <mergeCell ref="AJ29:AK29"/>
    <mergeCell ref="AL29:AM29"/>
    <mergeCell ref="P29:Q29"/>
    <mergeCell ref="R29:S29"/>
    <mergeCell ref="T29:U29"/>
    <mergeCell ref="V29:W29"/>
    <mergeCell ref="X29:Y29"/>
    <mergeCell ref="Z29:AA29"/>
    <mergeCell ref="AJ28:AK28"/>
    <mergeCell ref="AL28:AM28"/>
    <mergeCell ref="AN28:AO28"/>
    <mergeCell ref="AP28:AQ28"/>
    <mergeCell ref="AR28:AS28"/>
    <mergeCell ref="F29:G29"/>
    <mergeCell ref="H29:I29"/>
    <mergeCell ref="J29:K29"/>
    <mergeCell ref="L29:M29"/>
    <mergeCell ref="N29:O29"/>
    <mergeCell ref="X28:Y28"/>
    <mergeCell ref="Z28:AA28"/>
    <mergeCell ref="AB28:AC28"/>
    <mergeCell ref="AD28:AE28"/>
    <mergeCell ref="AF28:AG28"/>
    <mergeCell ref="AH28:AI28"/>
    <mergeCell ref="AR27:AS27"/>
    <mergeCell ref="F28:G28"/>
    <mergeCell ref="H28:I28"/>
    <mergeCell ref="J28:K28"/>
    <mergeCell ref="L28:M28"/>
    <mergeCell ref="N28:O28"/>
    <mergeCell ref="P28:Q28"/>
    <mergeCell ref="R28:S28"/>
    <mergeCell ref="T28:U28"/>
    <mergeCell ref="V28:W28"/>
    <mergeCell ref="AF27:AG27"/>
    <mergeCell ref="AH27:AI27"/>
    <mergeCell ref="AJ27:AK27"/>
    <mergeCell ref="AL27:AM27"/>
    <mergeCell ref="AN27:AO27"/>
    <mergeCell ref="AP27:AQ27"/>
    <mergeCell ref="T27:U27"/>
    <mergeCell ref="V27:W27"/>
    <mergeCell ref="X27:Y27"/>
    <mergeCell ref="Z27:AA27"/>
    <mergeCell ref="AB27:AC27"/>
    <mergeCell ref="AD27:AE27"/>
    <mergeCell ref="AP26:AQ26"/>
    <mergeCell ref="AR26:AS26"/>
    <mergeCell ref="C27:C30"/>
    <mergeCell ref="F27:G27"/>
    <mergeCell ref="H27:I27"/>
    <mergeCell ref="J27:K27"/>
    <mergeCell ref="L27:M27"/>
    <mergeCell ref="N27:O27"/>
    <mergeCell ref="P27:Q27"/>
    <mergeCell ref="R27:S27"/>
    <mergeCell ref="AD26:AE26"/>
    <mergeCell ref="AF26:AG26"/>
    <mergeCell ref="AH26:AI26"/>
    <mergeCell ref="AJ26:AK26"/>
    <mergeCell ref="AL26:AM26"/>
    <mergeCell ref="AN26:AO26"/>
    <mergeCell ref="R26:S26"/>
    <mergeCell ref="T26:U26"/>
    <mergeCell ref="V26:W26"/>
    <mergeCell ref="X26:Y26"/>
    <mergeCell ref="Z26:AA26"/>
    <mergeCell ref="AB26:AC26"/>
    <mergeCell ref="F26:G26"/>
    <mergeCell ref="H26:I26"/>
    <mergeCell ref="J26:K26"/>
    <mergeCell ref="L26:M26"/>
    <mergeCell ref="N26:O26"/>
    <mergeCell ref="P26:Q26"/>
    <mergeCell ref="AH25:AI25"/>
    <mergeCell ref="AJ25:AK25"/>
    <mergeCell ref="AL25:AM25"/>
    <mergeCell ref="AN25:AO25"/>
    <mergeCell ref="AP25:AQ25"/>
    <mergeCell ref="AR25:AS25"/>
    <mergeCell ref="V25:W25"/>
    <mergeCell ref="X25:Y25"/>
    <mergeCell ref="Z25:AA25"/>
    <mergeCell ref="AB25:AC25"/>
    <mergeCell ref="AD25:AE25"/>
    <mergeCell ref="AF25:AG25"/>
    <mergeCell ref="AR24:AS24"/>
    <mergeCell ref="C25:C26"/>
    <mergeCell ref="F25:G25"/>
    <mergeCell ref="H25:I25"/>
    <mergeCell ref="J25:K25"/>
    <mergeCell ref="L25:M25"/>
    <mergeCell ref="N25:O25"/>
    <mergeCell ref="P25:Q25"/>
    <mergeCell ref="R25:S25"/>
    <mergeCell ref="T25:U25"/>
    <mergeCell ref="AF24:AG24"/>
    <mergeCell ref="AH24:AI24"/>
    <mergeCell ref="AJ24:AK24"/>
    <mergeCell ref="AL24:AM24"/>
    <mergeCell ref="AN24:AO24"/>
    <mergeCell ref="AP24:AQ24"/>
    <mergeCell ref="T24:U24"/>
    <mergeCell ref="V24:W24"/>
    <mergeCell ref="AP23:AQ23"/>
    <mergeCell ref="AR23:AS23"/>
    <mergeCell ref="F24:G24"/>
    <mergeCell ref="H24:I24"/>
    <mergeCell ref="J24:K24"/>
    <mergeCell ref="L24:M24"/>
    <mergeCell ref="N24:O24"/>
    <mergeCell ref="P24:Q24"/>
    <mergeCell ref="R24:S24"/>
    <mergeCell ref="AB23:AC23"/>
    <mergeCell ref="AD23:AE23"/>
    <mergeCell ref="AF23:AG23"/>
    <mergeCell ref="AH23:AI23"/>
    <mergeCell ref="AJ23:AK23"/>
    <mergeCell ref="AL23:AM23"/>
    <mergeCell ref="P23:Q23"/>
    <mergeCell ref="R23:S23"/>
    <mergeCell ref="T23:U23"/>
    <mergeCell ref="V23:W23"/>
    <mergeCell ref="X23:Y23"/>
    <mergeCell ref="Z23:AA23"/>
    <mergeCell ref="L23:M23"/>
    <mergeCell ref="N23:O23"/>
    <mergeCell ref="AP22:AQ22"/>
    <mergeCell ref="AR22:AS22"/>
    <mergeCell ref="F23:G23"/>
    <mergeCell ref="H23:I23"/>
    <mergeCell ref="J23:K23"/>
    <mergeCell ref="X22:Y22"/>
    <mergeCell ref="Z22:AA22"/>
    <mergeCell ref="AB22:AC22"/>
    <mergeCell ref="AD22:AE22"/>
    <mergeCell ref="AF22:AG22"/>
    <mergeCell ref="AH22:AI22"/>
    <mergeCell ref="AR21:AS21"/>
    <mergeCell ref="F22:G22"/>
    <mergeCell ref="H22:I22"/>
    <mergeCell ref="J22:K22"/>
    <mergeCell ref="L22:M22"/>
    <mergeCell ref="N22:O22"/>
    <mergeCell ref="P22:Q22"/>
    <mergeCell ref="R22:S22"/>
    <mergeCell ref="T22:U22"/>
    <mergeCell ref="V22:W22"/>
    <mergeCell ref="AF21:AG21"/>
    <mergeCell ref="AH21:AI21"/>
    <mergeCell ref="AJ21:AK21"/>
    <mergeCell ref="AL21:AM21"/>
    <mergeCell ref="AN21:AO21"/>
    <mergeCell ref="AP21:AQ21"/>
    <mergeCell ref="T21:U21"/>
    <mergeCell ref="V21:W21"/>
    <mergeCell ref="X21:Y21"/>
    <mergeCell ref="Z21:AA21"/>
    <mergeCell ref="AB21:AC21"/>
    <mergeCell ref="C21:C24"/>
    <mergeCell ref="F21:G21"/>
    <mergeCell ref="H21:I21"/>
    <mergeCell ref="J21:K21"/>
    <mergeCell ref="L21:M21"/>
    <mergeCell ref="N21:O21"/>
    <mergeCell ref="P21:Q21"/>
    <mergeCell ref="R21:S21"/>
    <mergeCell ref="AD20:AE20"/>
    <mergeCell ref="AF20:AG20"/>
    <mergeCell ref="AH20:AI20"/>
    <mergeCell ref="AJ20:AK20"/>
    <mergeCell ref="AL20:AM20"/>
    <mergeCell ref="AN20:AO20"/>
    <mergeCell ref="R20:S20"/>
    <mergeCell ref="T20:U20"/>
    <mergeCell ref="V20:W20"/>
    <mergeCell ref="X20:Y20"/>
    <mergeCell ref="Z20:AA20"/>
    <mergeCell ref="AB20:AC20"/>
    <mergeCell ref="AJ22:AK22"/>
    <mergeCell ref="AL22:AM22"/>
    <mergeCell ref="AN22:AO22"/>
    <mergeCell ref="AD21:AE21"/>
    <mergeCell ref="X24:Y24"/>
    <mergeCell ref="Z24:AA24"/>
    <mergeCell ref="AB24:AC24"/>
    <mergeCell ref="AD24:AE24"/>
    <mergeCell ref="AN23:AO23"/>
    <mergeCell ref="AP18:AQ18"/>
    <mergeCell ref="AR18:AS18"/>
    <mergeCell ref="C19:C20"/>
    <mergeCell ref="AT19:AT20"/>
    <mergeCell ref="F20:G20"/>
    <mergeCell ref="H20:I20"/>
    <mergeCell ref="J20:K20"/>
    <mergeCell ref="L20:M20"/>
    <mergeCell ref="N20:O20"/>
    <mergeCell ref="P20:Q20"/>
    <mergeCell ref="AD18:AE18"/>
    <mergeCell ref="AF18:AG18"/>
    <mergeCell ref="AH18:AI18"/>
    <mergeCell ref="AJ18:AK18"/>
    <mergeCell ref="AL18:AM18"/>
    <mergeCell ref="AN18:AO18"/>
    <mergeCell ref="R18:S18"/>
    <mergeCell ref="T18:U18"/>
    <mergeCell ref="V18:W18"/>
    <mergeCell ref="X18:Y18"/>
    <mergeCell ref="Z18:AA18"/>
    <mergeCell ref="AB18:AC18"/>
    <mergeCell ref="F18:G18"/>
    <mergeCell ref="H18:I18"/>
    <mergeCell ref="J18:K18"/>
    <mergeCell ref="L18:M18"/>
    <mergeCell ref="N18:O18"/>
    <mergeCell ref="P18:Q18"/>
    <mergeCell ref="AP20:AQ20"/>
    <mergeCell ref="AR20:AS20"/>
    <mergeCell ref="F17:G17"/>
    <mergeCell ref="H17:I17"/>
    <mergeCell ref="J17:K17"/>
    <mergeCell ref="L17:M17"/>
    <mergeCell ref="N17:O17"/>
    <mergeCell ref="P17:Q17"/>
    <mergeCell ref="R17:S17"/>
    <mergeCell ref="T17:U17"/>
    <mergeCell ref="AD16:AE16"/>
    <mergeCell ref="AF16:AG16"/>
    <mergeCell ref="AH16:AI16"/>
    <mergeCell ref="AJ16:AK16"/>
    <mergeCell ref="AL16:AM16"/>
    <mergeCell ref="AN16:AO16"/>
    <mergeCell ref="R16:S16"/>
    <mergeCell ref="T16:U16"/>
    <mergeCell ref="V16:W16"/>
    <mergeCell ref="X16:Y16"/>
    <mergeCell ref="L16:M16"/>
    <mergeCell ref="N16:O16"/>
    <mergeCell ref="P16:Q16"/>
    <mergeCell ref="AH15:AI15"/>
    <mergeCell ref="AJ15:AK15"/>
    <mergeCell ref="AL15:AM15"/>
    <mergeCell ref="AN15:AO15"/>
    <mergeCell ref="AP15:AQ15"/>
    <mergeCell ref="AR15:AS15"/>
    <mergeCell ref="V15:W15"/>
    <mergeCell ref="X15:Y15"/>
    <mergeCell ref="Z15:AA15"/>
    <mergeCell ref="AB15:AC15"/>
    <mergeCell ref="AD15:AE15"/>
    <mergeCell ref="AF15:AG15"/>
    <mergeCell ref="AH17:AI17"/>
    <mergeCell ref="AJ17:AK17"/>
    <mergeCell ref="AL17:AM17"/>
    <mergeCell ref="AN17:AO17"/>
    <mergeCell ref="AP17:AQ17"/>
    <mergeCell ref="AR17:AS17"/>
    <mergeCell ref="V17:W17"/>
    <mergeCell ref="X17:Y17"/>
    <mergeCell ref="Z17:AA17"/>
    <mergeCell ref="AB17:AC17"/>
    <mergeCell ref="AD17:AE17"/>
    <mergeCell ref="AF17:AG17"/>
    <mergeCell ref="AP16:AQ16"/>
    <mergeCell ref="AR16:AS16"/>
    <mergeCell ref="AT13:AT14"/>
    <mergeCell ref="F14:G14"/>
    <mergeCell ref="H14:I14"/>
    <mergeCell ref="J14:K14"/>
    <mergeCell ref="L14:M14"/>
    <mergeCell ref="N14:O14"/>
    <mergeCell ref="P14:Q14"/>
    <mergeCell ref="R14:S14"/>
    <mergeCell ref="AD13:AE13"/>
    <mergeCell ref="AF13:AG13"/>
    <mergeCell ref="AH13:AI13"/>
    <mergeCell ref="AJ13:AK13"/>
    <mergeCell ref="AL13:AM13"/>
    <mergeCell ref="AN13:AO13"/>
    <mergeCell ref="R13:S13"/>
    <mergeCell ref="T13:U13"/>
    <mergeCell ref="V13:W13"/>
    <mergeCell ref="X13:Y13"/>
    <mergeCell ref="Z13:AA13"/>
    <mergeCell ref="AB13:AC13"/>
    <mergeCell ref="AR14:AS14"/>
    <mergeCell ref="AF14:AG14"/>
    <mergeCell ref="AH14:AI14"/>
    <mergeCell ref="AJ14:AK14"/>
    <mergeCell ref="AL14:AM14"/>
    <mergeCell ref="AN14:AO14"/>
    <mergeCell ref="AP14:AQ14"/>
    <mergeCell ref="T14:U14"/>
    <mergeCell ref="V14:W14"/>
    <mergeCell ref="X14:Y14"/>
    <mergeCell ref="Z14:AA14"/>
    <mergeCell ref="AB14:AC14"/>
    <mergeCell ref="AN12:AO12"/>
    <mergeCell ref="AP12:AQ12"/>
    <mergeCell ref="AR12:AS12"/>
    <mergeCell ref="C13:C14"/>
    <mergeCell ref="F13:G13"/>
    <mergeCell ref="H13:I13"/>
    <mergeCell ref="J13:K13"/>
    <mergeCell ref="L13:M13"/>
    <mergeCell ref="N13:O13"/>
    <mergeCell ref="P13:Q13"/>
    <mergeCell ref="AB12:AC12"/>
    <mergeCell ref="AD12:AE12"/>
    <mergeCell ref="AF12:AG12"/>
    <mergeCell ref="AH12:AI12"/>
    <mergeCell ref="AJ12:AK12"/>
    <mergeCell ref="AL12:AM12"/>
    <mergeCell ref="P12:Q12"/>
    <mergeCell ref="R12:S12"/>
    <mergeCell ref="T12:U12"/>
    <mergeCell ref="V12:W12"/>
    <mergeCell ref="X12:Y12"/>
    <mergeCell ref="Z12:AA12"/>
    <mergeCell ref="AP13:AQ13"/>
    <mergeCell ref="AR13:AS13"/>
    <mergeCell ref="AD14:AE14"/>
    <mergeCell ref="B12:B50"/>
    <mergeCell ref="F12:G12"/>
    <mergeCell ref="H12:I12"/>
    <mergeCell ref="J12:K12"/>
    <mergeCell ref="L12:M12"/>
    <mergeCell ref="N12:O12"/>
    <mergeCell ref="AA11:AB11"/>
    <mergeCell ref="AC11:AD11"/>
    <mergeCell ref="AE11:AF11"/>
    <mergeCell ref="AG11:AH11"/>
    <mergeCell ref="AI11:AJ11"/>
    <mergeCell ref="AK11:AL11"/>
    <mergeCell ref="O11:P11"/>
    <mergeCell ref="Q11:R11"/>
    <mergeCell ref="S11:T11"/>
    <mergeCell ref="U11:V11"/>
    <mergeCell ref="W11:X11"/>
    <mergeCell ref="Y11:Z11"/>
    <mergeCell ref="C15:C18"/>
    <mergeCell ref="F15:G15"/>
    <mergeCell ref="H15:I15"/>
    <mergeCell ref="J15:K15"/>
    <mergeCell ref="L15:M15"/>
    <mergeCell ref="N15:O15"/>
    <mergeCell ref="P15:Q15"/>
    <mergeCell ref="R15:S15"/>
    <mergeCell ref="T15:U15"/>
    <mergeCell ref="Z16:AA16"/>
    <mergeCell ref="AB16:AC16"/>
    <mergeCell ref="F16:G16"/>
    <mergeCell ref="H16:I16"/>
    <mergeCell ref="J16:K16"/>
    <mergeCell ref="AK10:AL10"/>
    <mergeCell ref="AM10:AN10"/>
    <mergeCell ref="AO10:AP10"/>
    <mergeCell ref="AQ10:AR10"/>
    <mergeCell ref="AS10:AT10"/>
    <mergeCell ref="B9:D9"/>
    <mergeCell ref="E9:F9"/>
    <mergeCell ref="G9:H9"/>
    <mergeCell ref="I9:J9"/>
    <mergeCell ref="K9:L9"/>
    <mergeCell ref="B11:D11"/>
    <mergeCell ref="E11:F11"/>
    <mergeCell ref="G11:H11"/>
    <mergeCell ref="I11:J11"/>
    <mergeCell ref="M11:N11"/>
    <mergeCell ref="Y10:Z10"/>
    <mergeCell ref="AA10:AB10"/>
    <mergeCell ref="AC10:AD10"/>
    <mergeCell ref="AE10:AF10"/>
    <mergeCell ref="AG10:AH10"/>
    <mergeCell ref="AI10:AJ10"/>
    <mergeCell ref="M10:N10"/>
    <mergeCell ref="O10:P10"/>
    <mergeCell ref="Q10:R10"/>
    <mergeCell ref="S10:T10"/>
    <mergeCell ref="U10:V10"/>
    <mergeCell ref="W10:X10"/>
    <mergeCell ref="AM11:AN11"/>
    <mergeCell ref="AO11:AP11"/>
    <mergeCell ref="AQ11:AR11"/>
    <mergeCell ref="AS11:AT11"/>
    <mergeCell ref="AK7:AL7"/>
    <mergeCell ref="AM7:AN7"/>
    <mergeCell ref="AO7:AP7"/>
    <mergeCell ref="AQ7:AR7"/>
    <mergeCell ref="AS7:AT7"/>
    <mergeCell ref="AK8:AL8"/>
    <mergeCell ref="AM8:AN8"/>
    <mergeCell ref="AO8:AP8"/>
    <mergeCell ref="AQ8:AR8"/>
    <mergeCell ref="AS8:AT8"/>
    <mergeCell ref="AK9:AL9"/>
    <mergeCell ref="AM9:AN9"/>
    <mergeCell ref="AO9:AP9"/>
    <mergeCell ref="AQ9:AR9"/>
    <mergeCell ref="AS9:AT9"/>
    <mergeCell ref="B10:D10"/>
    <mergeCell ref="E10:F10"/>
    <mergeCell ref="G10:H10"/>
    <mergeCell ref="I10:J10"/>
    <mergeCell ref="K10:L10"/>
    <mergeCell ref="Y9:Z9"/>
    <mergeCell ref="AA9:AB9"/>
    <mergeCell ref="AC9:AD9"/>
    <mergeCell ref="AE9:AF9"/>
    <mergeCell ref="AG9:AH9"/>
    <mergeCell ref="AI9:AJ9"/>
    <mergeCell ref="M9:N9"/>
    <mergeCell ref="O9:P9"/>
    <mergeCell ref="Q9:R9"/>
    <mergeCell ref="S9:T9"/>
    <mergeCell ref="U9:V9"/>
    <mergeCell ref="W9:X9"/>
    <mergeCell ref="B8:D8"/>
    <mergeCell ref="E8:F8"/>
    <mergeCell ref="G8:H8"/>
    <mergeCell ref="I8:J8"/>
    <mergeCell ref="K8:L8"/>
    <mergeCell ref="Y7:Z7"/>
    <mergeCell ref="AA7:AB7"/>
    <mergeCell ref="AC7:AD7"/>
    <mergeCell ref="AE7:AF7"/>
    <mergeCell ref="AG7:AH7"/>
    <mergeCell ref="AI7:AJ7"/>
    <mergeCell ref="M7:N7"/>
    <mergeCell ref="O7:P7"/>
    <mergeCell ref="Q7:R7"/>
    <mergeCell ref="S7:T7"/>
    <mergeCell ref="U7:V7"/>
    <mergeCell ref="W7:X7"/>
    <mergeCell ref="Y8:Z8"/>
    <mergeCell ref="AA8:AB8"/>
    <mergeCell ref="AC8:AD8"/>
    <mergeCell ref="AE8:AF8"/>
    <mergeCell ref="AG8:AH8"/>
    <mergeCell ref="AI8:AJ8"/>
    <mergeCell ref="M8:N8"/>
    <mergeCell ref="O8:P8"/>
    <mergeCell ref="Q8:R8"/>
    <mergeCell ref="S8:T8"/>
    <mergeCell ref="U8:V8"/>
    <mergeCell ref="W8:X8"/>
    <mergeCell ref="L2:W2"/>
    <mergeCell ref="AC2:AJ2"/>
    <mergeCell ref="AK2:AT2"/>
    <mergeCell ref="L4:AC4"/>
    <mergeCell ref="AK4:AT4"/>
    <mergeCell ref="B6:D6"/>
    <mergeCell ref="E6:F6"/>
    <mergeCell ref="G6:H6"/>
    <mergeCell ref="I6:J6"/>
    <mergeCell ref="K6:L6"/>
    <mergeCell ref="AK6:AL6"/>
    <mergeCell ref="AM6:AN6"/>
    <mergeCell ref="AO6:AP6"/>
    <mergeCell ref="AQ6:AR6"/>
    <mergeCell ref="AS6:AT6"/>
    <mergeCell ref="B7:D7"/>
    <mergeCell ref="E7:F7"/>
    <mergeCell ref="G7:H7"/>
    <mergeCell ref="I7:J7"/>
    <mergeCell ref="K7:L7"/>
    <mergeCell ref="Y6:Z6"/>
    <mergeCell ref="AA6:AB6"/>
    <mergeCell ref="AC6:AD6"/>
    <mergeCell ref="AE6:AF6"/>
    <mergeCell ref="AG6:AH6"/>
    <mergeCell ref="AI6:AJ6"/>
    <mergeCell ref="M6:N6"/>
    <mergeCell ref="O6:P6"/>
    <mergeCell ref="Q6:R6"/>
    <mergeCell ref="S6:T6"/>
    <mergeCell ref="U6:V6"/>
    <mergeCell ref="W6:X6"/>
  </mergeCells>
  <pageMargins left="0.39370078740157483" right="0.39370078740157483" top="0.35433070866141736" bottom="0.35433070866141736" header="0.31496062992125984" footer="0.31496062992125984"/>
  <pageSetup paperSize="9" scale="3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pageSetUpPr fitToPage="1"/>
  </sheetPr>
  <dimension ref="B1:AT89"/>
  <sheetViews>
    <sheetView view="pageBreakPreview" zoomScale="40" zoomScaleNormal="40" zoomScaleSheetLayoutView="40" workbookViewId="0">
      <selection activeCell="AT84" sqref="AT84"/>
    </sheetView>
  </sheetViews>
  <sheetFormatPr defaultColWidth="9.21875" defaultRowHeight="14.4" x14ac:dyDescent="0.3"/>
  <cols>
    <col min="1" max="1" width="0.21875" customWidth="1"/>
    <col min="2" max="2" width="10.77734375" customWidth="1"/>
    <col min="3" max="4" width="13.77734375" customWidth="1"/>
    <col min="5" max="46" width="8.77734375" customWidth="1"/>
    <col min="47" max="49" width="3" customWidth="1"/>
  </cols>
  <sheetData>
    <row r="1" spans="2:46" x14ac:dyDescent="0.3">
      <c r="B1" s="1"/>
      <c r="AQ1" s="1"/>
    </row>
    <row r="2" spans="2:46" ht="50.1" customHeight="1" thickBot="1" x14ac:dyDescent="0.8">
      <c r="B2" s="65" t="s">
        <v>85</v>
      </c>
      <c r="C2" s="62"/>
      <c r="D2" s="63"/>
      <c r="E2" s="63"/>
      <c r="F2" s="64"/>
      <c r="G2" s="63"/>
      <c r="H2" s="64"/>
      <c r="I2" s="64"/>
      <c r="J2" s="64"/>
      <c r="K2" s="64"/>
      <c r="L2" s="423" t="str">
        <f>'Plot Data'!I7</f>
        <v>High Total Sulphur (%)</v>
      </c>
      <c r="M2" s="423"/>
      <c r="N2" s="423"/>
      <c r="O2" s="423"/>
      <c r="P2" s="423"/>
      <c r="Q2" s="423"/>
      <c r="R2" s="423"/>
      <c r="S2" s="423"/>
      <c r="T2" s="423"/>
      <c r="U2" s="423"/>
      <c r="V2" s="423"/>
      <c r="W2" s="423"/>
      <c r="X2" s="63"/>
      <c r="Y2" s="63"/>
      <c r="Z2" s="63"/>
      <c r="AA2" s="63"/>
      <c r="AB2" s="65"/>
      <c r="AC2" s="424" t="s">
        <v>92</v>
      </c>
      <c r="AD2" s="424"/>
      <c r="AE2" s="424"/>
      <c r="AF2" s="424"/>
      <c r="AG2" s="424"/>
      <c r="AH2" s="424"/>
      <c r="AI2" s="424"/>
      <c r="AJ2" s="424"/>
      <c r="AK2" s="425" t="e">
        <f>'Data Input'!#REF!</f>
        <v>#REF!</v>
      </c>
      <c r="AL2" s="425"/>
      <c r="AM2" s="425"/>
      <c r="AN2" s="425"/>
      <c r="AO2" s="425"/>
      <c r="AP2" s="425"/>
      <c r="AQ2" s="425"/>
      <c r="AR2" s="425"/>
      <c r="AS2" s="425"/>
      <c r="AT2" s="425"/>
    </row>
    <row r="3" spans="2:46" ht="14.25" customHeight="1" x14ac:dyDescent="0.85">
      <c r="B3" s="61"/>
      <c r="C3" s="66"/>
      <c r="D3" s="66"/>
      <c r="E3" s="66"/>
      <c r="F3" s="67"/>
      <c r="G3" s="66"/>
      <c r="H3" s="67"/>
      <c r="I3" s="67"/>
      <c r="J3" s="66"/>
      <c r="K3" s="66"/>
      <c r="L3" s="66"/>
      <c r="M3" s="66"/>
      <c r="N3" s="66"/>
      <c r="O3" s="66"/>
      <c r="P3" s="66"/>
      <c r="Q3" s="66"/>
      <c r="R3" s="66"/>
      <c r="S3" s="66"/>
      <c r="T3" s="66"/>
      <c r="U3" s="66"/>
      <c r="V3" s="66"/>
      <c r="W3" s="66"/>
      <c r="X3" s="66"/>
      <c r="Y3" s="66"/>
      <c r="Z3" s="66"/>
      <c r="AA3" s="66"/>
      <c r="AB3" s="66"/>
      <c r="AC3" s="66"/>
      <c r="AD3" s="66"/>
      <c r="AE3" s="66"/>
      <c r="AF3" s="66"/>
      <c r="AG3" s="66"/>
      <c r="AH3" s="68"/>
      <c r="AI3" s="66"/>
      <c r="AJ3" s="68"/>
      <c r="AK3" s="66"/>
      <c r="AL3" s="66"/>
      <c r="AM3" s="66"/>
      <c r="AN3" s="66"/>
      <c r="AO3" s="67"/>
      <c r="AP3" s="66"/>
      <c r="AQ3" s="67"/>
      <c r="AR3" s="66"/>
      <c r="AS3" s="66"/>
    </row>
    <row r="4" spans="2:46" ht="50.1" customHeight="1" x14ac:dyDescent="0.85">
      <c r="B4" s="60"/>
      <c r="C4" s="66"/>
      <c r="D4" s="66"/>
      <c r="E4" s="66"/>
      <c r="F4" s="66"/>
      <c r="G4" s="66"/>
      <c r="H4" s="66"/>
      <c r="I4" s="66"/>
      <c r="J4" s="66"/>
      <c r="K4" s="66"/>
      <c r="L4" s="426" t="s">
        <v>87</v>
      </c>
      <c r="M4" s="426"/>
      <c r="N4" s="426"/>
      <c r="O4" s="426"/>
      <c r="P4" s="426"/>
      <c r="Q4" s="426"/>
      <c r="R4" s="426"/>
      <c r="S4" s="426"/>
      <c r="T4" s="426"/>
      <c r="U4" s="426"/>
      <c r="V4" s="426"/>
      <c r="W4" s="426"/>
      <c r="X4" s="426"/>
      <c r="Y4" s="426"/>
      <c r="Z4" s="426"/>
      <c r="AA4" s="426"/>
      <c r="AB4" s="426"/>
      <c r="AC4" s="426"/>
      <c r="AD4" s="69" t="s">
        <v>93</v>
      </c>
      <c r="AE4" s="66"/>
      <c r="AF4" s="66"/>
      <c r="AG4" s="66"/>
      <c r="AH4" s="66"/>
      <c r="AI4" s="66"/>
      <c r="AJ4" s="66"/>
      <c r="AK4" s="427" t="s">
        <v>89</v>
      </c>
      <c r="AL4" s="427"/>
      <c r="AM4" s="427"/>
      <c r="AN4" s="427"/>
      <c r="AO4" s="427"/>
      <c r="AP4" s="427"/>
      <c r="AQ4" s="427"/>
      <c r="AR4" s="427"/>
      <c r="AS4" s="427"/>
      <c r="AT4" s="427"/>
    </row>
    <row r="5" spans="2:46" ht="12" customHeight="1" thickBot="1" x14ac:dyDescent="0.35">
      <c r="K5" s="2"/>
    </row>
    <row r="6" spans="2:46" ht="50.1" customHeight="1" thickBot="1" x14ac:dyDescent="0.35">
      <c r="B6" s="656" t="s">
        <v>0</v>
      </c>
      <c r="C6" s="656"/>
      <c r="D6" s="656"/>
      <c r="E6" s="657"/>
      <c r="F6" s="657"/>
      <c r="G6" s="657"/>
      <c r="H6" s="657"/>
      <c r="I6" s="657"/>
      <c r="J6" s="657"/>
      <c r="K6" s="657"/>
      <c r="L6" s="657"/>
      <c r="M6" s="657"/>
      <c r="N6" s="657"/>
      <c r="O6" s="657"/>
      <c r="P6" s="657"/>
      <c r="Q6" s="657"/>
      <c r="R6" s="657"/>
      <c r="S6" s="657"/>
      <c r="T6" s="657"/>
      <c r="U6" s="657"/>
      <c r="V6" s="657"/>
      <c r="W6" s="657"/>
      <c r="X6" s="657"/>
      <c r="Y6" s="657"/>
      <c r="Z6" s="657"/>
      <c r="AA6" s="657"/>
      <c r="AB6" s="657"/>
      <c r="AC6" s="657"/>
      <c r="AD6" s="657"/>
      <c r="AE6" s="657"/>
      <c r="AF6" s="657"/>
      <c r="AG6" s="657"/>
      <c r="AH6" s="657"/>
      <c r="AI6" s="657"/>
      <c r="AJ6" s="657"/>
      <c r="AK6" s="657"/>
      <c r="AL6" s="657"/>
      <c r="AM6" s="657"/>
      <c r="AN6" s="657"/>
      <c r="AO6" s="657"/>
      <c r="AP6" s="657"/>
      <c r="AQ6" s="657"/>
      <c r="AR6" s="657"/>
      <c r="AS6" s="657"/>
      <c r="AT6" s="657"/>
    </row>
    <row r="7" spans="2:46" ht="50.1" customHeight="1" thickBot="1" x14ac:dyDescent="0.35">
      <c r="B7" s="656" t="s">
        <v>1</v>
      </c>
      <c r="C7" s="656"/>
      <c r="D7" s="656"/>
      <c r="E7" s="657"/>
      <c r="F7" s="657"/>
      <c r="G7" s="657"/>
      <c r="H7" s="657"/>
      <c r="I7" s="657"/>
      <c r="J7" s="657"/>
      <c r="K7" s="657"/>
      <c r="L7" s="657"/>
      <c r="M7" s="657"/>
      <c r="N7" s="657"/>
      <c r="O7" s="657"/>
      <c r="P7" s="657"/>
      <c r="Q7" s="657"/>
      <c r="R7" s="657"/>
      <c r="S7" s="657"/>
      <c r="T7" s="657"/>
      <c r="U7" s="657"/>
      <c r="V7" s="657"/>
      <c r="W7" s="657"/>
      <c r="X7" s="657"/>
      <c r="Y7" s="657"/>
      <c r="Z7" s="657"/>
      <c r="AA7" s="657"/>
      <c r="AB7" s="657"/>
      <c r="AC7" s="657"/>
      <c r="AD7" s="657"/>
      <c r="AE7" s="657"/>
      <c r="AF7" s="657"/>
      <c r="AG7" s="657"/>
      <c r="AH7" s="657"/>
      <c r="AI7" s="657"/>
      <c r="AJ7" s="657"/>
      <c r="AK7" s="657"/>
      <c r="AL7" s="657"/>
      <c r="AM7" s="657"/>
      <c r="AN7" s="657"/>
      <c r="AO7" s="657"/>
      <c r="AP7" s="657"/>
      <c r="AQ7" s="657"/>
      <c r="AR7" s="657"/>
      <c r="AS7" s="657"/>
      <c r="AT7" s="657"/>
    </row>
    <row r="8" spans="2:46" ht="50.1" customHeight="1" thickBot="1" x14ac:dyDescent="0.35">
      <c r="B8" s="438" t="s">
        <v>2</v>
      </c>
      <c r="C8" s="439"/>
      <c r="D8" s="440"/>
      <c r="E8" s="441"/>
      <c r="F8" s="442"/>
      <c r="G8" s="441"/>
      <c r="H8" s="442"/>
      <c r="I8" s="441"/>
      <c r="J8" s="442"/>
      <c r="K8" s="441"/>
      <c r="L8" s="442"/>
      <c r="M8" s="441"/>
      <c r="N8" s="442"/>
      <c r="O8" s="441"/>
      <c r="P8" s="442"/>
      <c r="Q8" s="441"/>
      <c r="R8" s="442"/>
      <c r="S8" s="441"/>
      <c r="T8" s="442"/>
      <c r="U8" s="441"/>
      <c r="V8" s="442"/>
      <c r="W8" s="441"/>
      <c r="X8" s="442"/>
      <c r="Y8" s="441"/>
      <c r="Z8" s="442"/>
      <c r="AA8" s="441"/>
      <c r="AB8" s="442"/>
      <c r="AC8" s="441"/>
      <c r="AD8" s="442"/>
      <c r="AE8" s="441"/>
      <c r="AF8" s="442"/>
      <c r="AG8" s="441"/>
      <c r="AH8" s="442"/>
      <c r="AI8" s="441"/>
      <c r="AJ8" s="442"/>
      <c r="AK8" s="441"/>
      <c r="AL8" s="442"/>
      <c r="AM8" s="441"/>
      <c r="AN8" s="442"/>
      <c r="AO8" s="441"/>
      <c r="AP8" s="442"/>
      <c r="AQ8" s="441"/>
      <c r="AR8" s="442"/>
      <c r="AS8" s="441"/>
      <c r="AT8" s="442"/>
    </row>
    <row r="9" spans="2:46" ht="50.1" customHeight="1" thickBot="1" x14ac:dyDescent="0.35">
      <c r="B9" s="447" t="s">
        <v>3</v>
      </c>
      <c r="C9" s="448"/>
      <c r="D9" s="449"/>
      <c r="E9" s="443"/>
      <c r="F9" s="444"/>
      <c r="G9" s="443"/>
      <c r="H9" s="444"/>
      <c r="I9" s="443"/>
      <c r="J9" s="444"/>
      <c r="K9" s="443"/>
      <c r="L9" s="444"/>
      <c r="M9" s="443"/>
      <c r="N9" s="444"/>
      <c r="O9" s="443"/>
      <c r="P9" s="444"/>
      <c r="Q9" s="443"/>
      <c r="R9" s="444"/>
      <c r="S9" s="443"/>
      <c r="T9" s="444"/>
      <c r="U9" s="443"/>
      <c r="V9" s="444"/>
      <c r="W9" s="443"/>
      <c r="X9" s="444"/>
      <c r="Y9" s="443"/>
      <c r="Z9" s="444"/>
      <c r="AA9" s="443"/>
      <c r="AB9" s="444"/>
      <c r="AC9" s="443"/>
      <c r="AD9" s="444"/>
      <c r="AE9" s="443"/>
      <c r="AF9" s="444"/>
      <c r="AG9" s="443"/>
      <c r="AH9" s="444"/>
      <c r="AI9" s="443"/>
      <c r="AJ9" s="444"/>
      <c r="AK9" s="443"/>
      <c r="AL9" s="444"/>
      <c r="AM9" s="443"/>
      <c r="AN9" s="444"/>
      <c r="AO9" s="443"/>
      <c r="AP9" s="444"/>
      <c r="AQ9" s="443"/>
      <c r="AR9" s="444"/>
      <c r="AS9" s="443"/>
      <c r="AT9" s="444"/>
    </row>
    <row r="10" spans="2:46" ht="50.1" customHeight="1" thickBot="1" x14ac:dyDescent="0.35">
      <c r="B10" s="447" t="s">
        <v>4</v>
      </c>
      <c r="C10" s="448"/>
      <c r="D10" s="449"/>
      <c r="E10" s="441"/>
      <c r="F10" s="442"/>
      <c r="G10" s="441"/>
      <c r="H10" s="442"/>
      <c r="I10" s="441"/>
      <c r="J10" s="442"/>
      <c r="K10" s="445"/>
      <c r="L10" s="446"/>
      <c r="M10" s="441"/>
      <c r="N10" s="442"/>
      <c r="O10" s="441"/>
      <c r="P10" s="442"/>
      <c r="Q10" s="441"/>
      <c r="R10" s="442"/>
      <c r="S10" s="441"/>
      <c r="T10" s="442"/>
      <c r="U10" s="441"/>
      <c r="V10" s="442"/>
      <c r="W10" s="441"/>
      <c r="X10" s="442"/>
      <c r="Y10" s="441"/>
      <c r="Z10" s="442"/>
      <c r="AA10" s="441"/>
      <c r="AB10" s="442"/>
      <c r="AC10" s="441"/>
      <c r="AD10" s="442"/>
      <c r="AE10" s="441"/>
      <c r="AF10" s="442"/>
      <c r="AG10" s="441"/>
      <c r="AH10" s="442"/>
      <c r="AI10" s="441"/>
      <c r="AJ10" s="442"/>
      <c r="AK10" s="441"/>
      <c r="AL10" s="442"/>
      <c r="AM10" s="441"/>
      <c r="AN10" s="442"/>
      <c r="AO10" s="441"/>
      <c r="AP10" s="442"/>
      <c r="AQ10" s="441"/>
      <c r="AR10" s="442"/>
      <c r="AS10" s="441"/>
      <c r="AT10" s="442"/>
    </row>
    <row r="11" spans="2:46" ht="50.1" customHeight="1" thickBot="1" x14ac:dyDescent="0.35">
      <c r="B11" s="658" t="s">
        <v>5</v>
      </c>
      <c r="C11" s="659"/>
      <c r="D11" s="660"/>
      <c r="E11" s="441"/>
      <c r="F11" s="442"/>
      <c r="G11" s="441"/>
      <c r="H11" s="442"/>
      <c r="I11" s="441"/>
      <c r="J11" s="442"/>
      <c r="K11" s="72"/>
      <c r="L11" s="72"/>
      <c r="M11" s="441"/>
      <c r="N11" s="442"/>
      <c r="O11" s="441"/>
      <c r="P11" s="442"/>
      <c r="Q11" s="441"/>
      <c r="R11" s="442"/>
      <c r="S11" s="441"/>
      <c r="T11" s="442"/>
      <c r="U11" s="441"/>
      <c r="V11" s="442"/>
      <c r="W11" s="441"/>
      <c r="X11" s="442"/>
      <c r="Y11" s="441"/>
      <c r="Z11" s="442"/>
      <c r="AA11" s="441"/>
      <c r="AB11" s="442"/>
      <c r="AC11" s="441"/>
      <c r="AD11" s="442"/>
      <c r="AE11" s="441"/>
      <c r="AF11" s="442"/>
      <c r="AG11" s="441"/>
      <c r="AH11" s="442"/>
      <c r="AI11" s="441"/>
      <c r="AJ11" s="442"/>
      <c r="AK11" s="441"/>
      <c r="AL11" s="442"/>
      <c r="AM11" s="441"/>
      <c r="AN11" s="442"/>
      <c r="AO11" s="441"/>
      <c r="AP11" s="442"/>
      <c r="AQ11" s="441"/>
      <c r="AR11" s="442"/>
      <c r="AS11" s="441"/>
      <c r="AT11" s="442"/>
    </row>
    <row r="12" spans="2:46" ht="18" customHeight="1" thickTop="1" x14ac:dyDescent="0.6">
      <c r="B12" s="453" t="s">
        <v>6</v>
      </c>
      <c r="C12" s="98"/>
      <c r="D12" s="73"/>
      <c r="E12" s="74"/>
      <c r="F12" s="456"/>
      <c r="G12" s="457"/>
      <c r="H12" s="456"/>
      <c r="I12" s="457"/>
      <c r="J12" s="456"/>
      <c r="K12" s="457"/>
      <c r="L12" s="456"/>
      <c r="M12" s="457"/>
      <c r="N12" s="456"/>
      <c r="O12" s="457"/>
      <c r="P12" s="456"/>
      <c r="Q12" s="457"/>
      <c r="R12" s="456"/>
      <c r="S12" s="457"/>
      <c r="T12" s="456"/>
      <c r="U12" s="457"/>
      <c r="V12" s="456"/>
      <c r="W12" s="457"/>
      <c r="X12" s="456"/>
      <c r="Y12" s="457"/>
      <c r="Z12" s="456"/>
      <c r="AA12" s="457"/>
      <c r="AB12" s="456"/>
      <c r="AC12" s="457"/>
      <c r="AD12" s="456"/>
      <c r="AE12" s="457"/>
      <c r="AF12" s="456"/>
      <c r="AG12" s="457"/>
      <c r="AH12" s="456"/>
      <c r="AI12" s="457"/>
      <c r="AJ12" s="456"/>
      <c r="AK12" s="457"/>
      <c r="AL12" s="456"/>
      <c r="AM12" s="457"/>
      <c r="AN12" s="456"/>
      <c r="AO12" s="457"/>
      <c r="AP12" s="456"/>
      <c r="AQ12" s="457"/>
      <c r="AR12" s="456"/>
      <c r="AS12" s="457"/>
      <c r="AT12" s="93"/>
    </row>
    <row r="13" spans="2:46" ht="18" customHeight="1" thickBot="1" x14ac:dyDescent="0.35">
      <c r="B13" s="454"/>
      <c r="C13" s="458" t="e">
        <f>'Plot Data'!I64</f>
        <v>#REF!</v>
      </c>
      <c r="D13" s="5"/>
      <c r="E13" s="6"/>
      <c r="F13" s="461"/>
      <c r="G13" s="462"/>
      <c r="H13" s="461"/>
      <c r="I13" s="462"/>
      <c r="J13" s="461"/>
      <c r="K13" s="462"/>
      <c r="L13" s="461"/>
      <c r="M13" s="462"/>
      <c r="N13" s="461"/>
      <c r="O13" s="462"/>
      <c r="P13" s="461"/>
      <c r="Q13" s="462"/>
      <c r="R13" s="461"/>
      <c r="S13" s="462"/>
      <c r="T13" s="461"/>
      <c r="U13" s="462"/>
      <c r="V13" s="461"/>
      <c r="W13" s="462"/>
      <c r="X13" s="461"/>
      <c r="Y13" s="462"/>
      <c r="Z13" s="461"/>
      <c r="AA13" s="462"/>
      <c r="AB13" s="461"/>
      <c r="AC13" s="462"/>
      <c r="AD13" s="461"/>
      <c r="AE13" s="462"/>
      <c r="AF13" s="461"/>
      <c r="AG13" s="462"/>
      <c r="AH13" s="461"/>
      <c r="AI13" s="462"/>
      <c r="AJ13" s="461"/>
      <c r="AK13" s="462"/>
      <c r="AL13" s="461"/>
      <c r="AM13" s="462"/>
      <c r="AN13" s="461"/>
      <c r="AO13" s="462"/>
      <c r="AP13" s="461"/>
      <c r="AQ13" s="462"/>
      <c r="AR13" s="461"/>
      <c r="AS13" s="462"/>
      <c r="AT13" s="463" t="s">
        <v>48</v>
      </c>
    </row>
    <row r="14" spans="2:46" ht="18" customHeight="1" thickTop="1" x14ac:dyDescent="0.3">
      <c r="B14" s="454"/>
      <c r="C14" s="458"/>
      <c r="D14" s="7"/>
      <c r="E14" s="8"/>
      <c r="F14" s="459"/>
      <c r="G14" s="460"/>
      <c r="H14" s="459"/>
      <c r="I14" s="460"/>
      <c r="J14" s="459"/>
      <c r="K14" s="460"/>
      <c r="L14" s="459"/>
      <c r="M14" s="460"/>
      <c r="N14" s="459"/>
      <c r="O14" s="460"/>
      <c r="P14" s="459"/>
      <c r="Q14" s="460"/>
      <c r="R14" s="459"/>
      <c r="S14" s="460"/>
      <c r="T14" s="459"/>
      <c r="U14" s="460"/>
      <c r="V14" s="459"/>
      <c r="W14" s="460"/>
      <c r="X14" s="459"/>
      <c r="Y14" s="460"/>
      <c r="Z14" s="459"/>
      <c r="AA14" s="460"/>
      <c r="AB14" s="459"/>
      <c r="AC14" s="460"/>
      <c r="AD14" s="459"/>
      <c r="AE14" s="460"/>
      <c r="AF14" s="459"/>
      <c r="AG14" s="460"/>
      <c r="AH14" s="459"/>
      <c r="AI14" s="460"/>
      <c r="AJ14" s="459"/>
      <c r="AK14" s="460"/>
      <c r="AL14" s="459"/>
      <c r="AM14" s="460"/>
      <c r="AN14" s="459"/>
      <c r="AO14" s="460"/>
      <c r="AP14" s="459"/>
      <c r="AQ14" s="460"/>
      <c r="AR14" s="459"/>
      <c r="AS14" s="460"/>
      <c r="AT14" s="464"/>
    </row>
    <row r="15" spans="2:46" ht="18" customHeight="1" x14ac:dyDescent="0.6">
      <c r="B15" s="454"/>
      <c r="C15" s="458" t="e">
        <f>C19+(C13-C19)/2</f>
        <v>#REF!</v>
      </c>
      <c r="D15" s="13"/>
      <c r="E15" s="8"/>
      <c r="F15" s="459"/>
      <c r="G15" s="460"/>
      <c r="H15" s="459"/>
      <c r="I15" s="460"/>
      <c r="J15" s="459"/>
      <c r="K15" s="460"/>
      <c r="L15" s="459"/>
      <c r="M15" s="460"/>
      <c r="N15" s="459"/>
      <c r="O15" s="460"/>
      <c r="P15" s="459"/>
      <c r="Q15" s="460"/>
      <c r="R15" s="459"/>
      <c r="S15" s="460"/>
      <c r="T15" s="459"/>
      <c r="U15" s="460"/>
      <c r="V15" s="459"/>
      <c r="W15" s="460"/>
      <c r="X15" s="459"/>
      <c r="Y15" s="460"/>
      <c r="Z15" s="459"/>
      <c r="AA15" s="460"/>
      <c r="AB15" s="459"/>
      <c r="AC15" s="460"/>
      <c r="AD15" s="459"/>
      <c r="AE15" s="460"/>
      <c r="AF15" s="459"/>
      <c r="AG15" s="460"/>
      <c r="AH15" s="459"/>
      <c r="AI15" s="460"/>
      <c r="AJ15" s="459"/>
      <c r="AK15" s="460"/>
      <c r="AL15" s="459"/>
      <c r="AM15" s="460"/>
      <c r="AN15" s="459"/>
      <c r="AO15" s="460"/>
      <c r="AP15" s="459"/>
      <c r="AQ15" s="460"/>
      <c r="AR15" s="459"/>
      <c r="AS15" s="460"/>
      <c r="AT15" s="94"/>
    </row>
    <row r="16" spans="2:46" ht="18" customHeight="1" x14ac:dyDescent="0.6">
      <c r="B16" s="454"/>
      <c r="C16" s="458"/>
      <c r="D16" s="3"/>
      <c r="E16" s="8"/>
      <c r="F16" s="459"/>
      <c r="G16" s="460"/>
      <c r="H16" s="459"/>
      <c r="I16" s="460"/>
      <c r="J16" s="459"/>
      <c r="K16" s="460"/>
      <c r="L16" s="459"/>
      <c r="M16" s="460"/>
      <c r="N16" s="459"/>
      <c r="O16" s="460"/>
      <c r="P16" s="459"/>
      <c r="Q16" s="460"/>
      <c r="R16" s="459"/>
      <c r="S16" s="460"/>
      <c r="T16" s="459"/>
      <c r="U16" s="460"/>
      <c r="V16" s="459"/>
      <c r="W16" s="460"/>
      <c r="X16" s="459"/>
      <c r="Y16" s="460"/>
      <c r="Z16" s="459"/>
      <c r="AA16" s="460"/>
      <c r="AB16" s="459"/>
      <c r="AC16" s="460"/>
      <c r="AD16" s="459"/>
      <c r="AE16" s="460"/>
      <c r="AF16" s="459"/>
      <c r="AG16" s="460"/>
      <c r="AH16" s="459"/>
      <c r="AI16" s="460"/>
      <c r="AJ16" s="459"/>
      <c r="AK16" s="460"/>
      <c r="AL16" s="459"/>
      <c r="AM16" s="460"/>
      <c r="AN16" s="459"/>
      <c r="AO16" s="460"/>
      <c r="AP16" s="459"/>
      <c r="AQ16" s="460"/>
      <c r="AR16" s="459"/>
      <c r="AS16" s="460"/>
      <c r="AT16" s="94"/>
    </row>
    <row r="17" spans="2:46" ht="18" customHeight="1" x14ac:dyDescent="0.6">
      <c r="B17" s="454"/>
      <c r="C17" s="458"/>
      <c r="D17" s="3"/>
      <c r="E17" s="8"/>
      <c r="F17" s="459"/>
      <c r="G17" s="460"/>
      <c r="H17" s="459"/>
      <c r="I17" s="460"/>
      <c r="J17" s="459"/>
      <c r="K17" s="460"/>
      <c r="L17" s="459"/>
      <c r="M17" s="460"/>
      <c r="N17" s="459"/>
      <c r="O17" s="460"/>
      <c r="P17" s="459"/>
      <c r="Q17" s="460"/>
      <c r="R17" s="459"/>
      <c r="S17" s="460"/>
      <c r="T17" s="459"/>
      <c r="U17" s="460"/>
      <c r="V17" s="459"/>
      <c r="W17" s="460"/>
      <c r="X17" s="459"/>
      <c r="Y17" s="460"/>
      <c r="Z17" s="459"/>
      <c r="AA17" s="460"/>
      <c r="AB17" s="459"/>
      <c r="AC17" s="460"/>
      <c r="AD17" s="459"/>
      <c r="AE17" s="460"/>
      <c r="AF17" s="459"/>
      <c r="AG17" s="460"/>
      <c r="AH17" s="459"/>
      <c r="AI17" s="460"/>
      <c r="AJ17" s="459"/>
      <c r="AK17" s="460"/>
      <c r="AL17" s="459"/>
      <c r="AM17" s="460"/>
      <c r="AN17" s="459"/>
      <c r="AO17" s="460"/>
      <c r="AP17" s="459"/>
      <c r="AQ17" s="460"/>
      <c r="AR17" s="459"/>
      <c r="AS17" s="460"/>
      <c r="AT17" s="94"/>
    </row>
    <row r="18" spans="2:46" ht="18" customHeight="1" x14ac:dyDescent="0.6">
      <c r="B18" s="454"/>
      <c r="C18" s="458"/>
      <c r="D18" s="7"/>
      <c r="E18" s="8"/>
      <c r="F18" s="459"/>
      <c r="G18" s="460"/>
      <c r="H18" s="459"/>
      <c r="I18" s="460"/>
      <c r="J18" s="459"/>
      <c r="K18" s="460"/>
      <c r="L18" s="459"/>
      <c r="M18" s="460"/>
      <c r="N18" s="459"/>
      <c r="O18" s="460"/>
      <c r="P18" s="459"/>
      <c r="Q18" s="460"/>
      <c r="R18" s="459"/>
      <c r="S18" s="460"/>
      <c r="T18" s="459"/>
      <c r="U18" s="460"/>
      <c r="V18" s="459"/>
      <c r="W18" s="460"/>
      <c r="X18" s="459"/>
      <c r="Y18" s="460"/>
      <c r="Z18" s="459"/>
      <c r="AA18" s="460"/>
      <c r="AB18" s="459"/>
      <c r="AC18" s="460"/>
      <c r="AD18" s="459"/>
      <c r="AE18" s="460"/>
      <c r="AF18" s="459"/>
      <c r="AG18" s="460"/>
      <c r="AH18" s="459"/>
      <c r="AI18" s="460"/>
      <c r="AJ18" s="459"/>
      <c r="AK18" s="460"/>
      <c r="AL18" s="459"/>
      <c r="AM18" s="460"/>
      <c r="AN18" s="459"/>
      <c r="AO18" s="460"/>
      <c r="AP18" s="459"/>
      <c r="AQ18" s="460"/>
      <c r="AR18" s="459"/>
      <c r="AS18" s="460"/>
      <c r="AT18" s="94"/>
    </row>
    <row r="19" spans="2:46" ht="18" customHeight="1" thickBot="1" x14ac:dyDescent="0.35">
      <c r="B19" s="454"/>
      <c r="C19" s="458" t="e">
        <f>'Plot Data'!I62</f>
        <v>#REF!</v>
      </c>
      <c r="D19" s="9"/>
      <c r="E19" s="10"/>
      <c r="F19" s="11"/>
      <c r="G19" s="12"/>
      <c r="H19" s="11"/>
      <c r="I19" s="12"/>
      <c r="J19" s="11"/>
      <c r="K19" s="12"/>
      <c r="L19" s="11"/>
      <c r="M19" s="12"/>
      <c r="N19" s="11"/>
      <c r="O19" s="12"/>
      <c r="P19" s="11"/>
      <c r="Q19" s="12"/>
      <c r="R19" s="11"/>
      <c r="S19" s="12"/>
      <c r="T19" s="11"/>
      <c r="U19" s="12"/>
      <c r="V19" s="11"/>
      <c r="W19" s="12"/>
      <c r="X19" s="11"/>
      <c r="Y19" s="12"/>
      <c r="Z19" s="11"/>
      <c r="AA19" s="12"/>
      <c r="AB19" s="11"/>
      <c r="AC19" s="12"/>
      <c r="AD19" s="11"/>
      <c r="AE19" s="12"/>
      <c r="AF19" s="11"/>
      <c r="AG19" s="12"/>
      <c r="AH19" s="11"/>
      <c r="AI19" s="12"/>
      <c r="AJ19" s="11"/>
      <c r="AK19" s="12"/>
      <c r="AL19" s="11"/>
      <c r="AM19" s="12"/>
      <c r="AN19" s="11"/>
      <c r="AO19" s="12"/>
      <c r="AP19" s="11"/>
      <c r="AQ19" s="12"/>
      <c r="AR19" s="11"/>
      <c r="AS19" s="12"/>
      <c r="AT19" s="463" t="s">
        <v>47</v>
      </c>
    </row>
    <row r="20" spans="2:46" ht="18" customHeight="1" x14ac:dyDescent="0.3">
      <c r="B20" s="454"/>
      <c r="C20" s="458"/>
      <c r="D20" s="7"/>
      <c r="E20" s="8"/>
      <c r="F20" s="459"/>
      <c r="G20" s="460"/>
      <c r="H20" s="459"/>
      <c r="I20" s="460"/>
      <c r="J20" s="459"/>
      <c r="K20" s="460"/>
      <c r="L20" s="459"/>
      <c r="M20" s="460"/>
      <c r="N20" s="459"/>
      <c r="O20" s="460"/>
      <c r="P20" s="459"/>
      <c r="Q20" s="460"/>
      <c r="R20" s="459"/>
      <c r="S20" s="460"/>
      <c r="T20" s="459"/>
      <c r="U20" s="460"/>
      <c r="V20" s="459"/>
      <c r="W20" s="460"/>
      <c r="X20" s="459"/>
      <c r="Y20" s="460"/>
      <c r="Z20" s="459"/>
      <c r="AA20" s="460"/>
      <c r="AB20" s="459"/>
      <c r="AC20" s="460"/>
      <c r="AD20" s="459"/>
      <c r="AE20" s="460"/>
      <c r="AF20" s="459"/>
      <c r="AG20" s="460"/>
      <c r="AH20" s="459"/>
      <c r="AI20" s="460"/>
      <c r="AJ20" s="459"/>
      <c r="AK20" s="460"/>
      <c r="AL20" s="459"/>
      <c r="AM20" s="460"/>
      <c r="AN20" s="459"/>
      <c r="AO20" s="460"/>
      <c r="AP20" s="459"/>
      <c r="AQ20" s="460"/>
      <c r="AR20" s="459"/>
      <c r="AS20" s="460"/>
      <c r="AT20" s="464"/>
    </row>
    <row r="21" spans="2:46" ht="18" customHeight="1" x14ac:dyDescent="0.6">
      <c r="B21" s="454"/>
      <c r="C21" s="458" t="e">
        <f>C25+(C19-C25)/2</f>
        <v>#REF!</v>
      </c>
      <c r="D21" s="13"/>
      <c r="E21" s="8"/>
      <c r="F21" s="459"/>
      <c r="G21" s="460"/>
      <c r="H21" s="459"/>
      <c r="I21" s="460"/>
      <c r="J21" s="459"/>
      <c r="K21" s="460"/>
      <c r="L21" s="459"/>
      <c r="M21" s="460"/>
      <c r="N21" s="459"/>
      <c r="O21" s="460"/>
      <c r="P21" s="459"/>
      <c r="Q21" s="460"/>
      <c r="R21" s="459"/>
      <c r="S21" s="460"/>
      <c r="T21" s="459"/>
      <c r="U21" s="460"/>
      <c r="V21" s="459"/>
      <c r="W21" s="460"/>
      <c r="X21" s="459"/>
      <c r="Y21" s="460"/>
      <c r="Z21" s="459"/>
      <c r="AA21" s="460"/>
      <c r="AB21" s="459"/>
      <c r="AC21" s="460"/>
      <c r="AD21" s="459"/>
      <c r="AE21" s="460"/>
      <c r="AF21" s="459"/>
      <c r="AG21" s="460"/>
      <c r="AH21" s="459"/>
      <c r="AI21" s="460"/>
      <c r="AJ21" s="459"/>
      <c r="AK21" s="460"/>
      <c r="AL21" s="459"/>
      <c r="AM21" s="460"/>
      <c r="AN21" s="459"/>
      <c r="AO21" s="460"/>
      <c r="AP21" s="459"/>
      <c r="AQ21" s="460"/>
      <c r="AR21" s="459"/>
      <c r="AS21" s="460"/>
      <c r="AT21" s="94"/>
    </row>
    <row r="22" spans="2:46" ht="18" customHeight="1" x14ac:dyDescent="0.6">
      <c r="B22" s="454"/>
      <c r="C22" s="458"/>
      <c r="D22" s="3"/>
      <c r="E22" s="8"/>
      <c r="F22" s="459"/>
      <c r="G22" s="460"/>
      <c r="H22" s="459"/>
      <c r="I22" s="460"/>
      <c r="J22" s="459"/>
      <c r="K22" s="460"/>
      <c r="L22" s="459"/>
      <c r="M22" s="460"/>
      <c r="N22" s="459"/>
      <c r="O22" s="460"/>
      <c r="P22" s="459"/>
      <c r="Q22" s="460"/>
      <c r="R22" s="459"/>
      <c r="S22" s="460"/>
      <c r="T22" s="459"/>
      <c r="U22" s="460"/>
      <c r="V22" s="459"/>
      <c r="W22" s="460"/>
      <c r="X22" s="459"/>
      <c r="Y22" s="460"/>
      <c r="Z22" s="459"/>
      <c r="AA22" s="460"/>
      <c r="AB22" s="459"/>
      <c r="AC22" s="460"/>
      <c r="AD22" s="459"/>
      <c r="AE22" s="460"/>
      <c r="AF22" s="459"/>
      <c r="AG22" s="460"/>
      <c r="AH22" s="459"/>
      <c r="AI22" s="460"/>
      <c r="AJ22" s="459"/>
      <c r="AK22" s="460"/>
      <c r="AL22" s="459"/>
      <c r="AM22" s="460"/>
      <c r="AN22" s="459"/>
      <c r="AO22" s="460"/>
      <c r="AP22" s="459"/>
      <c r="AQ22" s="460"/>
      <c r="AR22" s="459"/>
      <c r="AS22" s="460"/>
      <c r="AT22" s="94"/>
    </row>
    <row r="23" spans="2:46" ht="18" customHeight="1" x14ac:dyDescent="0.6">
      <c r="B23" s="454"/>
      <c r="C23" s="458"/>
      <c r="D23" s="3"/>
      <c r="E23" s="8"/>
      <c r="F23" s="459"/>
      <c r="G23" s="460"/>
      <c r="H23" s="459"/>
      <c r="I23" s="460"/>
      <c r="J23" s="459"/>
      <c r="K23" s="460"/>
      <c r="L23" s="459"/>
      <c r="M23" s="460"/>
      <c r="N23" s="459"/>
      <c r="O23" s="460"/>
      <c r="P23" s="459"/>
      <c r="Q23" s="460"/>
      <c r="R23" s="459"/>
      <c r="S23" s="460"/>
      <c r="T23" s="459"/>
      <c r="U23" s="460"/>
      <c r="V23" s="459"/>
      <c r="W23" s="460"/>
      <c r="X23" s="459"/>
      <c r="Y23" s="460"/>
      <c r="Z23" s="459"/>
      <c r="AA23" s="460"/>
      <c r="AB23" s="459"/>
      <c r="AC23" s="460"/>
      <c r="AD23" s="459"/>
      <c r="AE23" s="460"/>
      <c r="AF23" s="459"/>
      <c r="AG23" s="460"/>
      <c r="AH23" s="459"/>
      <c r="AI23" s="460"/>
      <c r="AJ23" s="459"/>
      <c r="AK23" s="460"/>
      <c r="AL23" s="459"/>
      <c r="AM23" s="460"/>
      <c r="AN23" s="459"/>
      <c r="AO23" s="460"/>
      <c r="AP23" s="459"/>
      <c r="AQ23" s="460"/>
      <c r="AR23" s="459"/>
      <c r="AS23" s="460"/>
      <c r="AT23" s="94"/>
    </row>
    <row r="24" spans="2:46" ht="18" customHeight="1" x14ac:dyDescent="0.6">
      <c r="B24" s="454"/>
      <c r="C24" s="458"/>
      <c r="D24" s="7"/>
      <c r="E24" s="8"/>
      <c r="F24" s="459"/>
      <c r="G24" s="460"/>
      <c r="H24" s="459"/>
      <c r="I24" s="460"/>
      <c r="J24" s="459"/>
      <c r="K24" s="460"/>
      <c r="L24" s="459"/>
      <c r="M24" s="460"/>
      <c r="N24" s="459"/>
      <c r="O24" s="460"/>
      <c r="P24" s="459"/>
      <c r="Q24" s="460"/>
      <c r="R24" s="459"/>
      <c r="S24" s="460"/>
      <c r="T24" s="459"/>
      <c r="U24" s="460"/>
      <c r="V24" s="459"/>
      <c r="W24" s="460"/>
      <c r="X24" s="459"/>
      <c r="Y24" s="460"/>
      <c r="Z24" s="459"/>
      <c r="AA24" s="460"/>
      <c r="AB24" s="459"/>
      <c r="AC24" s="460"/>
      <c r="AD24" s="459"/>
      <c r="AE24" s="460"/>
      <c r="AF24" s="459"/>
      <c r="AG24" s="460"/>
      <c r="AH24" s="459"/>
      <c r="AI24" s="460"/>
      <c r="AJ24" s="459"/>
      <c r="AK24" s="460"/>
      <c r="AL24" s="459"/>
      <c r="AM24" s="460"/>
      <c r="AN24" s="459"/>
      <c r="AO24" s="460"/>
      <c r="AP24" s="459"/>
      <c r="AQ24" s="460"/>
      <c r="AR24" s="459"/>
      <c r="AS24" s="460"/>
      <c r="AT24" s="94"/>
    </row>
    <row r="25" spans="2:46" ht="18" customHeight="1" x14ac:dyDescent="0.6">
      <c r="B25" s="454"/>
      <c r="C25" s="458" t="e">
        <f>'Plot Data'!I63</f>
        <v>#REF!</v>
      </c>
      <c r="D25" s="13"/>
      <c r="E25" s="8"/>
      <c r="F25" s="459"/>
      <c r="G25" s="460"/>
      <c r="H25" s="459"/>
      <c r="I25" s="460"/>
      <c r="J25" s="459"/>
      <c r="K25" s="460"/>
      <c r="L25" s="459"/>
      <c r="M25" s="460"/>
      <c r="N25" s="459"/>
      <c r="O25" s="460"/>
      <c r="P25" s="459"/>
      <c r="Q25" s="460"/>
      <c r="R25" s="459"/>
      <c r="S25" s="460"/>
      <c r="T25" s="459"/>
      <c r="U25" s="460"/>
      <c r="V25" s="459"/>
      <c r="W25" s="460"/>
      <c r="X25" s="459"/>
      <c r="Y25" s="460"/>
      <c r="Z25" s="459"/>
      <c r="AA25" s="460"/>
      <c r="AB25" s="459"/>
      <c r="AC25" s="460"/>
      <c r="AD25" s="459"/>
      <c r="AE25" s="460"/>
      <c r="AF25" s="459"/>
      <c r="AG25" s="460"/>
      <c r="AH25" s="459"/>
      <c r="AI25" s="460"/>
      <c r="AJ25" s="459"/>
      <c r="AK25" s="460"/>
      <c r="AL25" s="459"/>
      <c r="AM25" s="460"/>
      <c r="AN25" s="459"/>
      <c r="AO25" s="460"/>
      <c r="AP25" s="459"/>
      <c r="AQ25" s="460"/>
      <c r="AR25" s="459"/>
      <c r="AS25" s="460"/>
      <c r="AT25" s="94"/>
    </row>
    <row r="26" spans="2:46" ht="18" customHeight="1" x14ac:dyDescent="0.6">
      <c r="B26" s="454"/>
      <c r="C26" s="458"/>
      <c r="D26" s="7"/>
      <c r="E26" s="8"/>
      <c r="F26" s="459"/>
      <c r="G26" s="460"/>
      <c r="H26" s="459"/>
      <c r="I26" s="460"/>
      <c r="J26" s="459"/>
      <c r="K26" s="460"/>
      <c r="L26" s="459"/>
      <c r="M26" s="460"/>
      <c r="N26" s="459"/>
      <c r="O26" s="460"/>
      <c r="P26" s="459"/>
      <c r="Q26" s="460"/>
      <c r="R26" s="459"/>
      <c r="S26" s="460"/>
      <c r="T26" s="459"/>
      <c r="U26" s="460"/>
      <c r="V26" s="459"/>
      <c r="W26" s="460"/>
      <c r="X26" s="459"/>
      <c r="Y26" s="460"/>
      <c r="Z26" s="459"/>
      <c r="AA26" s="460"/>
      <c r="AB26" s="459"/>
      <c r="AC26" s="460"/>
      <c r="AD26" s="459"/>
      <c r="AE26" s="460"/>
      <c r="AF26" s="459"/>
      <c r="AG26" s="460"/>
      <c r="AH26" s="459"/>
      <c r="AI26" s="460"/>
      <c r="AJ26" s="459"/>
      <c r="AK26" s="460"/>
      <c r="AL26" s="459"/>
      <c r="AM26" s="460"/>
      <c r="AN26" s="459"/>
      <c r="AO26" s="460"/>
      <c r="AP26" s="459"/>
      <c r="AQ26" s="460"/>
      <c r="AR26" s="459"/>
      <c r="AS26" s="460"/>
      <c r="AT26" s="94"/>
    </row>
    <row r="27" spans="2:46" ht="18" customHeight="1" x14ac:dyDescent="0.6">
      <c r="B27" s="454"/>
      <c r="C27" s="458" t="e">
        <f>C31+(C25-C31)/2</f>
        <v>#REF!</v>
      </c>
      <c r="D27" s="13"/>
      <c r="E27" s="8"/>
      <c r="F27" s="459"/>
      <c r="G27" s="460"/>
      <c r="H27" s="459"/>
      <c r="I27" s="460"/>
      <c r="J27" s="459"/>
      <c r="K27" s="460"/>
      <c r="L27" s="459"/>
      <c r="M27" s="460"/>
      <c r="N27" s="459"/>
      <c r="O27" s="460"/>
      <c r="P27" s="459"/>
      <c r="Q27" s="460"/>
      <c r="R27" s="459"/>
      <c r="S27" s="460"/>
      <c r="T27" s="459"/>
      <c r="U27" s="460"/>
      <c r="V27" s="459"/>
      <c r="W27" s="460"/>
      <c r="X27" s="459"/>
      <c r="Y27" s="460"/>
      <c r="Z27" s="459"/>
      <c r="AA27" s="460"/>
      <c r="AB27" s="459"/>
      <c r="AC27" s="460"/>
      <c r="AD27" s="459"/>
      <c r="AE27" s="460"/>
      <c r="AF27" s="459"/>
      <c r="AG27" s="460"/>
      <c r="AH27" s="459"/>
      <c r="AI27" s="460"/>
      <c r="AJ27" s="459"/>
      <c r="AK27" s="460"/>
      <c r="AL27" s="459"/>
      <c r="AM27" s="460"/>
      <c r="AN27" s="459"/>
      <c r="AO27" s="460"/>
      <c r="AP27" s="459"/>
      <c r="AQ27" s="460"/>
      <c r="AR27" s="459"/>
      <c r="AS27" s="460"/>
      <c r="AT27" s="94"/>
    </row>
    <row r="28" spans="2:46" ht="18" customHeight="1" x14ac:dyDescent="0.6">
      <c r="B28" s="454"/>
      <c r="C28" s="458"/>
      <c r="D28" s="3"/>
      <c r="E28" s="8"/>
      <c r="F28" s="459"/>
      <c r="G28" s="460"/>
      <c r="H28" s="459"/>
      <c r="I28" s="460"/>
      <c r="J28" s="459"/>
      <c r="K28" s="460"/>
      <c r="L28" s="459"/>
      <c r="M28" s="460"/>
      <c r="N28" s="459"/>
      <c r="O28" s="460"/>
      <c r="P28" s="459"/>
      <c r="Q28" s="460"/>
      <c r="R28" s="459"/>
      <c r="S28" s="460"/>
      <c r="T28" s="459"/>
      <c r="U28" s="460"/>
      <c r="V28" s="459"/>
      <c r="W28" s="460"/>
      <c r="X28" s="459"/>
      <c r="Y28" s="460"/>
      <c r="Z28" s="459"/>
      <c r="AA28" s="460"/>
      <c r="AB28" s="459"/>
      <c r="AC28" s="460"/>
      <c r="AD28" s="459"/>
      <c r="AE28" s="460"/>
      <c r="AF28" s="459"/>
      <c r="AG28" s="460"/>
      <c r="AH28" s="459"/>
      <c r="AI28" s="460"/>
      <c r="AJ28" s="459"/>
      <c r="AK28" s="460"/>
      <c r="AL28" s="459"/>
      <c r="AM28" s="460"/>
      <c r="AN28" s="459"/>
      <c r="AO28" s="460"/>
      <c r="AP28" s="459"/>
      <c r="AQ28" s="460"/>
      <c r="AR28" s="459"/>
      <c r="AS28" s="460"/>
      <c r="AT28" s="94"/>
    </row>
    <row r="29" spans="2:46" ht="18" customHeight="1" x14ac:dyDescent="0.6">
      <c r="B29" s="454"/>
      <c r="C29" s="458"/>
      <c r="D29" s="3"/>
      <c r="E29" s="8"/>
      <c r="F29" s="459"/>
      <c r="G29" s="460"/>
      <c r="H29" s="459"/>
      <c r="I29" s="460"/>
      <c r="J29" s="459"/>
      <c r="K29" s="460"/>
      <c r="L29" s="459"/>
      <c r="M29" s="460"/>
      <c r="N29" s="459"/>
      <c r="O29" s="460"/>
      <c r="P29" s="459"/>
      <c r="Q29" s="460"/>
      <c r="R29" s="459"/>
      <c r="S29" s="460"/>
      <c r="T29" s="459"/>
      <c r="U29" s="460"/>
      <c r="V29" s="459"/>
      <c r="W29" s="460"/>
      <c r="X29" s="459"/>
      <c r="Y29" s="460"/>
      <c r="Z29" s="459"/>
      <c r="AA29" s="460"/>
      <c r="AB29" s="459"/>
      <c r="AC29" s="460"/>
      <c r="AD29" s="459"/>
      <c r="AE29" s="460"/>
      <c r="AF29" s="459"/>
      <c r="AG29" s="460"/>
      <c r="AH29" s="459"/>
      <c r="AI29" s="460"/>
      <c r="AJ29" s="459"/>
      <c r="AK29" s="460"/>
      <c r="AL29" s="459"/>
      <c r="AM29" s="460"/>
      <c r="AN29" s="459"/>
      <c r="AO29" s="460"/>
      <c r="AP29" s="459"/>
      <c r="AQ29" s="460"/>
      <c r="AR29" s="459"/>
      <c r="AS29" s="460"/>
      <c r="AT29" s="94"/>
    </row>
    <row r="30" spans="2:46" ht="18" customHeight="1" x14ac:dyDescent="0.6">
      <c r="B30" s="454"/>
      <c r="C30" s="458"/>
      <c r="D30" s="7"/>
      <c r="E30" s="8"/>
      <c r="F30" s="459"/>
      <c r="G30" s="460"/>
      <c r="H30" s="459"/>
      <c r="I30" s="460"/>
      <c r="J30" s="459"/>
      <c r="K30" s="460"/>
      <c r="L30" s="459"/>
      <c r="M30" s="460"/>
      <c r="N30" s="459"/>
      <c r="O30" s="460"/>
      <c r="P30" s="459"/>
      <c r="Q30" s="460"/>
      <c r="R30" s="459"/>
      <c r="S30" s="460"/>
      <c r="T30" s="459"/>
      <c r="U30" s="460"/>
      <c r="V30" s="459"/>
      <c r="W30" s="460"/>
      <c r="X30" s="459"/>
      <c r="Y30" s="460"/>
      <c r="Z30" s="459"/>
      <c r="AA30" s="460"/>
      <c r="AB30" s="459"/>
      <c r="AC30" s="460"/>
      <c r="AD30" s="459"/>
      <c r="AE30" s="460"/>
      <c r="AF30" s="459"/>
      <c r="AG30" s="460"/>
      <c r="AH30" s="459"/>
      <c r="AI30" s="460"/>
      <c r="AJ30" s="459"/>
      <c r="AK30" s="460"/>
      <c r="AL30" s="459"/>
      <c r="AM30" s="460"/>
      <c r="AN30" s="459"/>
      <c r="AO30" s="460"/>
      <c r="AP30" s="459"/>
      <c r="AQ30" s="460"/>
      <c r="AR30" s="459"/>
      <c r="AS30" s="460"/>
      <c r="AT30" s="94"/>
    </row>
    <row r="31" spans="2:46" ht="18" customHeight="1" thickBot="1" x14ac:dyDescent="0.35">
      <c r="B31" s="454"/>
      <c r="C31" s="458" t="e">
        <f>'Plot Data'!I58</f>
        <v>#REF!</v>
      </c>
      <c r="D31" s="14"/>
      <c r="E31" s="15"/>
      <c r="F31" s="465"/>
      <c r="G31" s="466"/>
      <c r="H31" s="465"/>
      <c r="I31" s="466"/>
      <c r="J31" s="465"/>
      <c r="K31" s="466"/>
      <c r="L31" s="465"/>
      <c r="M31" s="466"/>
      <c r="N31" s="465"/>
      <c r="O31" s="466"/>
      <c r="P31" s="465"/>
      <c r="Q31" s="466"/>
      <c r="R31" s="465"/>
      <c r="S31" s="466"/>
      <c r="T31" s="465"/>
      <c r="U31" s="466"/>
      <c r="V31" s="465"/>
      <c r="W31" s="466"/>
      <c r="X31" s="465"/>
      <c r="Y31" s="466"/>
      <c r="Z31" s="465"/>
      <c r="AA31" s="466"/>
      <c r="AB31" s="465"/>
      <c r="AC31" s="466"/>
      <c r="AD31" s="465"/>
      <c r="AE31" s="466"/>
      <c r="AF31" s="465"/>
      <c r="AG31" s="466"/>
      <c r="AH31" s="465"/>
      <c r="AI31" s="466"/>
      <c r="AJ31" s="465"/>
      <c r="AK31" s="466"/>
      <c r="AL31" s="465"/>
      <c r="AM31" s="466"/>
      <c r="AN31" s="465"/>
      <c r="AO31" s="466"/>
      <c r="AP31" s="465"/>
      <c r="AQ31" s="466"/>
      <c r="AR31" s="465"/>
      <c r="AS31" s="466"/>
      <c r="AT31" s="469" t="s">
        <v>90</v>
      </c>
    </row>
    <row r="32" spans="2:46" ht="18" customHeight="1" x14ac:dyDescent="0.3">
      <c r="B32" s="454"/>
      <c r="C32" s="458"/>
      <c r="D32" s="16"/>
      <c r="E32" s="17"/>
      <c r="F32" s="467"/>
      <c r="G32" s="468"/>
      <c r="H32" s="467"/>
      <c r="I32" s="468"/>
      <c r="J32" s="467"/>
      <c r="K32" s="468"/>
      <c r="L32" s="467"/>
      <c r="M32" s="468"/>
      <c r="N32" s="467"/>
      <c r="O32" s="468"/>
      <c r="P32" s="467"/>
      <c r="Q32" s="468"/>
      <c r="R32" s="467"/>
      <c r="S32" s="468"/>
      <c r="T32" s="467"/>
      <c r="U32" s="468"/>
      <c r="V32" s="467"/>
      <c r="W32" s="468"/>
      <c r="X32" s="467"/>
      <c r="Y32" s="468"/>
      <c r="Z32" s="467"/>
      <c r="AA32" s="468"/>
      <c r="AB32" s="467"/>
      <c r="AC32" s="468"/>
      <c r="AD32" s="467"/>
      <c r="AE32" s="468"/>
      <c r="AF32" s="467"/>
      <c r="AG32" s="468"/>
      <c r="AH32" s="467"/>
      <c r="AI32" s="468"/>
      <c r="AJ32" s="467"/>
      <c r="AK32" s="468"/>
      <c r="AL32" s="467"/>
      <c r="AM32" s="468"/>
      <c r="AN32" s="467"/>
      <c r="AO32" s="468"/>
      <c r="AP32" s="467"/>
      <c r="AQ32" s="468"/>
      <c r="AR32" s="467"/>
      <c r="AS32" s="468"/>
      <c r="AT32" s="464"/>
    </row>
    <row r="33" spans="2:46" ht="18" customHeight="1" x14ac:dyDescent="0.6">
      <c r="B33" s="454"/>
      <c r="C33" s="458" t="e">
        <f>C37+(C31-C37)/2</f>
        <v>#REF!</v>
      </c>
      <c r="D33" s="13"/>
      <c r="E33" s="8"/>
      <c r="F33" s="459"/>
      <c r="G33" s="460"/>
      <c r="H33" s="459"/>
      <c r="I33" s="460"/>
      <c r="J33" s="459"/>
      <c r="K33" s="460"/>
      <c r="L33" s="459"/>
      <c r="M33" s="460"/>
      <c r="N33" s="459"/>
      <c r="O33" s="460"/>
      <c r="P33" s="459"/>
      <c r="Q33" s="460"/>
      <c r="R33" s="459"/>
      <c r="S33" s="460"/>
      <c r="T33" s="459"/>
      <c r="U33" s="460"/>
      <c r="V33" s="459"/>
      <c r="W33" s="460"/>
      <c r="X33" s="459"/>
      <c r="Y33" s="460"/>
      <c r="Z33" s="459"/>
      <c r="AA33" s="460"/>
      <c r="AB33" s="459"/>
      <c r="AC33" s="460"/>
      <c r="AD33" s="459"/>
      <c r="AE33" s="460"/>
      <c r="AF33" s="459"/>
      <c r="AG33" s="460"/>
      <c r="AH33" s="459"/>
      <c r="AI33" s="460"/>
      <c r="AJ33" s="459"/>
      <c r="AK33" s="460"/>
      <c r="AL33" s="459"/>
      <c r="AM33" s="460"/>
      <c r="AN33" s="459"/>
      <c r="AO33" s="460"/>
      <c r="AP33" s="459"/>
      <c r="AQ33" s="460"/>
      <c r="AR33" s="459"/>
      <c r="AS33" s="460"/>
      <c r="AT33" s="94"/>
    </row>
    <row r="34" spans="2:46" ht="18" customHeight="1" x14ac:dyDescent="0.6">
      <c r="B34" s="454"/>
      <c r="C34" s="458"/>
      <c r="D34" s="13"/>
      <c r="E34" s="8"/>
      <c r="F34" s="459"/>
      <c r="G34" s="460"/>
      <c r="H34" s="459"/>
      <c r="I34" s="460"/>
      <c r="J34" s="459"/>
      <c r="K34" s="460"/>
      <c r="L34" s="459"/>
      <c r="M34" s="460"/>
      <c r="N34" s="459"/>
      <c r="O34" s="460"/>
      <c r="P34" s="459"/>
      <c r="Q34" s="460"/>
      <c r="R34" s="459"/>
      <c r="S34" s="460"/>
      <c r="T34" s="459"/>
      <c r="U34" s="460"/>
      <c r="V34" s="459"/>
      <c r="W34" s="460"/>
      <c r="X34" s="459"/>
      <c r="Y34" s="460"/>
      <c r="Z34" s="459"/>
      <c r="AA34" s="460"/>
      <c r="AB34" s="459"/>
      <c r="AC34" s="460"/>
      <c r="AD34" s="459"/>
      <c r="AE34" s="460"/>
      <c r="AF34" s="459"/>
      <c r="AG34" s="460"/>
      <c r="AH34" s="459"/>
      <c r="AI34" s="460"/>
      <c r="AJ34" s="459"/>
      <c r="AK34" s="460"/>
      <c r="AL34" s="459"/>
      <c r="AM34" s="460"/>
      <c r="AN34" s="459"/>
      <c r="AO34" s="460"/>
      <c r="AP34" s="459"/>
      <c r="AQ34" s="460"/>
      <c r="AR34" s="459"/>
      <c r="AS34" s="460"/>
      <c r="AT34" s="94"/>
    </row>
    <row r="35" spans="2:46" ht="18" customHeight="1" x14ac:dyDescent="0.6">
      <c r="B35" s="454"/>
      <c r="C35" s="458"/>
      <c r="D35" s="13"/>
      <c r="E35" s="8"/>
      <c r="F35" s="459"/>
      <c r="G35" s="460"/>
      <c r="H35" s="459"/>
      <c r="I35" s="460"/>
      <c r="J35" s="459"/>
      <c r="K35" s="460"/>
      <c r="L35" s="459"/>
      <c r="M35" s="460"/>
      <c r="N35" s="459"/>
      <c r="O35" s="460"/>
      <c r="P35" s="459"/>
      <c r="Q35" s="460"/>
      <c r="R35" s="459"/>
      <c r="S35" s="460"/>
      <c r="T35" s="459"/>
      <c r="U35" s="460"/>
      <c r="V35" s="459"/>
      <c r="W35" s="460"/>
      <c r="X35" s="459"/>
      <c r="Y35" s="460"/>
      <c r="Z35" s="459"/>
      <c r="AA35" s="460"/>
      <c r="AB35" s="459"/>
      <c r="AC35" s="460"/>
      <c r="AD35" s="459"/>
      <c r="AE35" s="460"/>
      <c r="AF35" s="459"/>
      <c r="AG35" s="460"/>
      <c r="AH35" s="459"/>
      <c r="AI35" s="460"/>
      <c r="AJ35" s="459"/>
      <c r="AK35" s="460"/>
      <c r="AL35" s="459"/>
      <c r="AM35" s="460"/>
      <c r="AN35" s="459"/>
      <c r="AO35" s="460"/>
      <c r="AP35" s="459"/>
      <c r="AQ35" s="460"/>
      <c r="AR35" s="459"/>
      <c r="AS35" s="460"/>
      <c r="AT35" s="94"/>
    </row>
    <row r="36" spans="2:46" ht="18" customHeight="1" x14ac:dyDescent="0.6">
      <c r="B36" s="454"/>
      <c r="C36" s="458"/>
      <c r="D36" s="92"/>
      <c r="E36" s="8"/>
      <c r="F36" s="459"/>
      <c r="G36" s="460"/>
      <c r="H36" s="459"/>
      <c r="I36" s="460"/>
      <c r="J36" s="459"/>
      <c r="K36" s="460"/>
      <c r="L36" s="459"/>
      <c r="M36" s="460"/>
      <c r="N36" s="459"/>
      <c r="O36" s="460"/>
      <c r="P36" s="459"/>
      <c r="Q36" s="460"/>
      <c r="R36" s="459"/>
      <c r="S36" s="460"/>
      <c r="T36" s="459"/>
      <c r="U36" s="460"/>
      <c r="V36" s="459"/>
      <c r="W36" s="460"/>
      <c r="X36" s="459"/>
      <c r="Y36" s="460"/>
      <c r="Z36" s="459"/>
      <c r="AA36" s="460"/>
      <c r="AB36" s="459"/>
      <c r="AC36" s="460"/>
      <c r="AD36" s="459"/>
      <c r="AE36" s="460"/>
      <c r="AF36" s="459"/>
      <c r="AG36" s="460"/>
      <c r="AH36" s="459"/>
      <c r="AI36" s="460"/>
      <c r="AJ36" s="459"/>
      <c r="AK36" s="460"/>
      <c r="AL36" s="459"/>
      <c r="AM36" s="460"/>
      <c r="AN36" s="459"/>
      <c r="AO36" s="460"/>
      <c r="AP36" s="459"/>
      <c r="AQ36" s="460"/>
      <c r="AR36" s="459"/>
      <c r="AS36" s="460"/>
      <c r="AT36" s="94"/>
    </row>
    <row r="37" spans="2:46" ht="18" customHeight="1" x14ac:dyDescent="0.6">
      <c r="B37" s="454"/>
      <c r="C37" s="458" t="e">
        <f>'Plot Data'!I66</f>
        <v>#REF!</v>
      </c>
      <c r="D37" s="13"/>
      <c r="E37" s="8"/>
      <c r="F37" s="470"/>
      <c r="G37" s="471"/>
      <c r="H37" s="459"/>
      <c r="I37" s="460"/>
      <c r="J37" s="459"/>
      <c r="K37" s="460"/>
      <c r="L37" s="459"/>
      <c r="M37" s="460"/>
      <c r="N37" s="459"/>
      <c r="O37" s="460"/>
      <c r="P37" s="459"/>
      <c r="Q37" s="460"/>
      <c r="R37" s="459"/>
      <c r="S37" s="460"/>
      <c r="T37" s="459"/>
      <c r="U37" s="460"/>
      <c r="V37" s="459"/>
      <c r="W37" s="460"/>
      <c r="X37" s="459"/>
      <c r="Y37" s="460"/>
      <c r="Z37" s="459"/>
      <c r="AA37" s="460"/>
      <c r="AB37" s="459"/>
      <c r="AC37" s="460"/>
      <c r="AD37" s="459"/>
      <c r="AE37" s="460"/>
      <c r="AF37" s="459"/>
      <c r="AG37" s="460"/>
      <c r="AH37" s="459"/>
      <c r="AI37" s="460"/>
      <c r="AJ37" s="459"/>
      <c r="AK37" s="460"/>
      <c r="AL37" s="459"/>
      <c r="AM37" s="460"/>
      <c r="AN37" s="459"/>
      <c r="AO37" s="460"/>
      <c r="AP37" s="459"/>
      <c r="AQ37" s="460"/>
      <c r="AR37" s="459"/>
      <c r="AS37" s="460"/>
      <c r="AT37" s="94"/>
    </row>
    <row r="38" spans="2:46" ht="18" customHeight="1" x14ac:dyDescent="0.6">
      <c r="B38" s="454"/>
      <c r="C38" s="458"/>
      <c r="D38" s="7"/>
      <c r="E38" s="8"/>
      <c r="F38" s="459"/>
      <c r="G38" s="460"/>
      <c r="H38" s="459"/>
      <c r="I38" s="460"/>
      <c r="J38" s="459"/>
      <c r="K38" s="460"/>
      <c r="L38" s="459"/>
      <c r="M38" s="460"/>
      <c r="N38" s="459"/>
      <c r="O38" s="460"/>
      <c r="P38" s="459"/>
      <c r="Q38" s="460"/>
      <c r="R38" s="459"/>
      <c r="S38" s="460"/>
      <c r="T38" s="459"/>
      <c r="U38" s="460"/>
      <c r="V38" s="459"/>
      <c r="W38" s="460"/>
      <c r="X38" s="459"/>
      <c r="Y38" s="460"/>
      <c r="Z38" s="459"/>
      <c r="AA38" s="460"/>
      <c r="AB38" s="459"/>
      <c r="AC38" s="460"/>
      <c r="AD38" s="459"/>
      <c r="AE38" s="460"/>
      <c r="AF38" s="459"/>
      <c r="AG38" s="460"/>
      <c r="AH38" s="459"/>
      <c r="AI38" s="460"/>
      <c r="AJ38" s="459"/>
      <c r="AK38" s="460"/>
      <c r="AL38" s="459"/>
      <c r="AM38" s="460"/>
      <c r="AN38" s="459"/>
      <c r="AO38" s="460"/>
      <c r="AP38" s="459"/>
      <c r="AQ38" s="460"/>
      <c r="AR38" s="459"/>
      <c r="AS38" s="460"/>
      <c r="AT38" s="94"/>
    </row>
    <row r="39" spans="2:46" ht="18" customHeight="1" x14ac:dyDescent="0.6">
      <c r="B39" s="454"/>
      <c r="C39" s="458" t="e">
        <f>C43+(C37-C43)/2</f>
        <v>#REF!</v>
      </c>
      <c r="D39" s="13"/>
      <c r="E39" s="8"/>
      <c r="F39" s="459"/>
      <c r="G39" s="460"/>
      <c r="H39" s="459"/>
      <c r="I39" s="460"/>
      <c r="J39" s="459"/>
      <c r="K39" s="460"/>
      <c r="L39" s="459"/>
      <c r="M39" s="460"/>
      <c r="N39" s="459"/>
      <c r="O39" s="460"/>
      <c r="P39" s="459"/>
      <c r="Q39" s="460"/>
      <c r="R39" s="459"/>
      <c r="S39" s="460"/>
      <c r="T39" s="459"/>
      <c r="U39" s="460"/>
      <c r="V39" s="459"/>
      <c r="W39" s="460"/>
      <c r="X39" s="459"/>
      <c r="Y39" s="460"/>
      <c r="Z39" s="459"/>
      <c r="AA39" s="460"/>
      <c r="AB39" s="459"/>
      <c r="AC39" s="460"/>
      <c r="AD39" s="459"/>
      <c r="AE39" s="460"/>
      <c r="AF39" s="459"/>
      <c r="AG39" s="460"/>
      <c r="AH39" s="459"/>
      <c r="AI39" s="460"/>
      <c r="AJ39" s="459"/>
      <c r="AK39" s="460"/>
      <c r="AL39" s="459"/>
      <c r="AM39" s="460"/>
      <c r="AN39" s="459"/>
      <c r="AO39" s="460"/>
      <c r="AP39" s="459"/>
      <c r="AQ39" s="460"/>
      <c r="AR39" s="459"/>
      <c r="AS39" s="460"/>
      <c r="AT39" s="94"/>
    </row>
    <row r="40" spans="2:46" ht="18" customHeight="1" x14ac:dyDescent="0.6">
      <c r="B40" s="454"/>
      <c r="C40" s="458"/>
      <c r="D40" s="3"/>
      <c r="E40" s="8"/>
      <c r="F40" s="459"/>
      <c r="G40" s="460"/>
      <c r="H40" s="459"/>
      <c r="I40" s="460"/>
      <c r="J40" s="459"/>
      <c r="K40" s="460"/>
      <c r="L40" s="459"/>
      <c r="M40" s="460"/>
      <c r="N40" s="459"/>
      <c r="O40" s="460"/>
      <c r="P40" s="459"/>
      <c r="Q40" s="460"/>
      <c r="R40" s="459"/>
      <c r="S40" s="460"/>
      <c r="T40" s="459"/>
      <c r="U40" s="460"/>
      <c r="V40" s="459"/>
      <c r="W40" s="460"/>
      <c r="X40" s="459"/>
      <c r="Y40" s="460"/>
      <c r="Z40" s="459"/>
      <c r="AA40" s="460"/>
      <c r="AB40" s="459"/>
      <c r="AC40" s="460"/>
      <c r="AD40" s="459"/>
      <c r="AE40" s="460"/>
      <c r="AF40" s="459"/>
      <c r="AG40" s="460"/>
      <c r="AH40" s="459"/>
      <c r="AI40" s="460"/>
      <c r="AJ40" s="459"/>
      <c r="AK40" s="460"/>
      <c r="AL40" s="459"/>
      <c r="AM40" s="460"/>
      <c r="AN40" s="459"/>
      <c r="AO40" s="460"/>
      <c r="AP40" s="459"/>
      <c r="AQ40" s="460"/>
      <c r="AR40" s="459"/>
      <c r="AS40" s="460"/>
      <c r="AT40" s="94"/>
    </row>
    <row r="41" spans="2:46" ht="18" customHeight="1" x14ac:dyDescent="0.6">
      <c r="B41" s="454"/>
      <c r="C41" s="458"/>
      <c r="D41" s="3"/>
      <c r="E41" s="8"/>
      <c r="F41" s="459"/>
      <c r="G41" s="460"/>
      <c r="H41" s="459"/>
      <c r="I41" s="460"/>
      <c r="J41" s="459"/>
      <c r="K41" s="460"/>
      <c r="L41" s="459"/>
      <c r="M41" s="460"/>
      <c r="N41" s="459"/>
      <c r="O41" s="460"/>
      <c r="P41" s="459"/>
      <c r="Q41" s="460"/>
      <c r="R41" s="459"/>
      <c r="S41" s="460"/>
      <c r="T41" s="459"/>
      <c r="U41" s="460"/>
      <c r="V41" s="459"/>
      <c r="W41" s="460"/>
      <c r="X41" s="459"/>
      <c r="Y41" s="460"/>
      <c r="Z41" s="459"/>
      <c r="AA41" s="460"/>
      <c r="AB41" s="459"/>
      <c r="AC41" s="460"/>
      <c r="AD41" s="459"/>
      <c r="AE41" s="460"/>
      <c r="AF41" s="459"/>
      <c r="AG41" s="460"/>
      <c r="AH41" s="459"/>
      <c r="AI41" s="460"/>
      <c r="AJ41" s="459"/>
      <c r="AK41" s="460"/>
      <c r="AL41" s="459"/>
      <c r="AM41" s="460"/>
      <c r="AN41" s="459"/>
      <c r="AO41" s="460"/>
      <c r="AP41" s="459"/>
      <c r="AQ41" s="460"/>
      <c r="AR41" s="459"/>
      <c r="AS41" s="460"/>
      <c r="AT41" s="94"/>
    </row>
    <row r="42" spans="2:46" ht="18" customHeight="1" x14ac:dyDescent="0.6">
      <c r="B42" s="454"/>
      <c r="C42" s="458"/>
      <c r="D42" s="7"/>
      <c r="E42" s="8"/>
      <c r="F42" s="459"/>
      <c r="G42" s="460"/>
      <c r="H42" s="459"/>
      <c r="I42" s="460"/>
      <c r="J42" s="459"/>
      <c r="K42" s="460"/>
      <c r="L42" s="459"/>
      <c r="M42" s="460"/>
      <c r="N42" s="459"/>
      <c r="O42" s="460"/>
      <c r="P42" s="459"/>
      <c r="Q42" s="460"/>
      <c r="R42" s="459"/>
      <c r="S42" s="460"/>
      <c r="T42" s="459"/>
      <c r="U42" s="460"/>
      <c r="V42" s="459"/>
      <c r="W42" s="460"/>
      <c r="X42" s="459"/>
      <c r="Y42" s="460"/>
      <c r="Z42" s="459"/>
      <c r="AA42" s="460"/>
      <c r="AB42" s="459"/>
      <c r="AC42" s="460"/>
      <c r="AD42" s="459"/>
      <c r="AE42" s="460"/>
      <c r="AF42" s="459"/>
      <c r="AG42" s="460"/>
      <c r="AH42" s="459"/>
      <c r="AI42" s="460"/>
      <c r="AJ42" s="459"/>
      <c r="AK42" s="460"/>
      <c r="AL42" s="459"/>
      <c r="AM42" s="460"/>
      <c r="AN42" s="459"/>
      <c r="AO42" s="460"/>
      <c r="AP42" s="459"/>
      <c r="AQ42" s="460"/>
      <c r="AR42" s="459"/>
      <c r="AS42" s="460"/>
      <c r="AT42" s="94"/>
    </row>
    <row r="43" spans="2:46" ht="18" customHeight="1" thickBot="1" x14ac:dyDescent="0.35">
      <c r="B43" s="454"/>
      <c r="C43" s="458" t="e">
        <f>'Plot Data'!I65</f>
        <v>#REF!</v>
      </c>
      <c r="D43" s="9"/>
      <c r="E43" s="10"/>
      <c r="F43" s="11"/>
      <c r="G43" s="12"/>
      <c r="H43" s="11"/>
      <c r="I43" s="12"/>
      <c r="J43" s="11"/>
      <c r="K43" s="12"/>
      <c r="L43" s="11"/>
      <c r="M43" s="12"/>
      <c r="N43" s="11"/>
      <c r="O43" s="12"/>
      <c r="P43" s="11"/>
      <c r="Q43" s="12"/>
      <c r="R43" s="11"/>
      <c r="S43" s="12"/>
      <c r="T43" s="11"/>
      <c r="U43" s="12"/>
      <c r="V43" s="11"/>
      <c r="W43" s="12"/>
      <c r="X43" s="11"/>
      <c r="Y43" s="12"/>
      <c r="Z43" s="11"/>
      <c r="AA43" s="12"/>
      <c r="AB43" s="11"/>
      <c r="AC43" s="12"/>
      <c r="AD43" s="11"/>
      <c r="AE43" s="12"/>
      <c r="AF43" s="11"/>
      <c r="AG43" s="12"/>
      <c r="AH43" s="11"/>
      <c r="AI43" s="12"/>
      <c r="AJ43" s="11"/>
      <c r="AK43" s="12"/>
      <c r="AL43" s="11"/>
      <c r="AM43" s="12"/>
      <c r="AN43" s="11"/>
      <c r="AO43" s="12"/>
      <c r="AP43" s="11"/>
      <c r="AQ43" s="12"/>
      <c r="AR43" s="11"/>
      <c r="AS43" s="12"/>
      <c r="AT43" s="463" t="s">
        <v>46</v>
      </c>
    </row>
    <row r="44" spans="2:46" ht="18" customHeight="1" x14ac:dyDescent="0.3">
      <c r="B44" s="454"/>
      <c r="C44" s="458"/>
      <c r="D44" s="7"/>
      <c r="E44" s="8"/>
      <c r="F44" s="459"/>
      <c r="G44" s="460"/>
      <c r="H44" s="459"/>
      <c r="I44" s="460"/>
      <c r="J44" s="459"/>
      <c r="K44" s="460"/>
      <c r="L44" s="459"/>
      <c r="M44" s="460"/>
      <c r="N44" s="459"/>
      <c r="O44" s="460"/>
      <c r="P44" s="459"/>
      <c r="Q44" s="460"/>
      <c r="R44" s="459"/>
      <c r="S44" s="460"/>
      <c r="T44" s="459"/>
      <c r="U44" s="460"/>
      <c r="V44" s="459"/>
      <c r="W44" s="460"/>
      <c r="X44" s="459"/>
      <c r="Y44" s="460"/>
      <c r="Z44" s="459"/>
      <c r="AA44" s="460"/>
      <c r="AB44" s="459"/>
      <c r="AC44" s="460"/>
      <c r="AD44" s="459"/>
      <c r="AE44" s="460"/>
      <c r="AF44" s="459"/>
      <c r="AG44" s="460"/>
      <c r="AH44" s="459"/>
      <c r="AI44" s="460"/>
      <c r="AJ44" s="459"/>
      <c r="AK44" s="460"/>
      <c r="AL44" s="459"/>
      <c r="AM44" s="460"/>
      <c r="AN44" s="459"/>
      <c r="AO44" s="460"/>
      <c r="AP44" s="459"/>
      <c r="AQ44" s="460"/>
      <c r="AR44" s="459"/>
      <c r="AS44" s="460"/>
      <c r="AT44" s="464"/>
    </row>
    <row r="45" spans="2:46" ht="18" customHeight="1" x14ac:dyDescent="0.6">
      <c r="B45" s="454"/>
      <c r="C45" s="458" t="e">
        <f>C49+(C43-C49)/2</f>
        <v>#REF!</v>
      </c>
      <c r="D45" s="13"/>
      <c r="E45" s="8"/>
      <c r="F45" s="459"/>
      <c r="G45" s="460"/>
      <c r="H45" s="459"/>
      <c r="I45" s="460"/>
      <c r="J45" s="459"/>
      <c r="K45" s="460"/>
      <c r="L45" s="459"/>
      <c r="M45" s="460"/>
      <c r="N45" s="459"/>
      <c r="O45" s="460"/>
      <c r="P45" s="459"/>
      <c r="Q45" s="460"/>
      <c r="R45" s="459"/>
      <c r="S45" s="460"/>
      <c r="T45" s="459"/>
      <c r="U45" s="460"/>
      <c r="V45" s="459"/>
      <c r="W45" s="460"/>
      <c r="X45" s="459"/>
      <c r="Y45" s="460"/>
      <c r="Z45" s="459"/>
      <c r="AA45" s="460"/>
      <c r="AB45" s="459"/>
      <c r="AC45" s="460"/>
      <c r="AD45" s="459"/>
      <c r="AE45" s="460"/>
      <c r="AF45" s="459"/>
      <c r="AG45" s="460"/>
      <c r="AH45" s="459"/>
      <c r="AI45" s="460"/>
      <c r="AJ45" s="459"/>
      <c r="AK45" s="460"/>
      <c r="AL45" s="459"/>
      <c r="AM45" s="460"/>
      <c r="AN45" s="459"/>
      <c r="AO45" s="460"/>
      <c r="AP45" s="459"/>
      <c r="AQ45" s="460"/>
      <c r="AR45" s="459"/>
      <c r="AS45" s="460"/>
      <c r="AT45" s="94"/>
    </row>
    <row r="46" spans="2:46" ht="18" customHeight="1" x14ac:dyDescent="0.6">
      <c r="B46" s="454"/>
      <c r="C46" s="458"/>
      <c r="D46" s="3"/>
      <c r="E46" s="8"/>
      <c r="F46" s="459"/>
      <c r="G46" s="460"/>
      <c r="H46" s="459"/>
      <c r="I46" s="460"/>
      <c r="J46" s="459"/>
      <c r="K46" s="460"/>
      <c r="L46" s="459"/>
      <c r="M46" s="460"/>
      <c r="N46" s="459"/>
      <c r="O46" s="460"/>
      <c r="P46" s="459"/>
      <c r="Q46" s="460"/>
      <c r="R46" s="459"/>
      <c r="S46" s="460"/>
      <c r="T46" s="459"/>
      <c r="U46" s="460"/>
      <c r="V46" s="459"/>
      <c r="W46" s="460"/>
      <c r="X46" s="459"/>
      <c r="Y46" s="460"/>
      <c r="Z46" s="459"/>
      <c r="AA46" s="460"/>
      <c r="AB46" s="459"/>
      <c r="AC46" s="460"/>
      <c r="AD46" s="459"/>
      <c r="AE46" s="460"/>
      <c r="AF46" s="459"/>
      <c r="AG46" s="460"/>
      <c r="AH46" s="459"/>
      <c r="AI46" s="460"/>
      <c r="AJ46" s="459"/>
      <c r="AK46" s="460"/>
      <c r="AL46" s="459"/>
      <c r="AM46" s="460"/>
      <c r="AN46" s="459"/>
      <c r="AO46" s="460"/>
      <c r="AP46" s="459"/>
      <c r="AQ46" s="460"/>
      <c r="AR46" s="459"/>
      <c r="AS46" s="460"/>
      <c r="AT46" s="94"/>
    </row>
    <row r="47" spans="2:46" ht="18" customHeight="1" x14ac:dyDescent="0.6">
      <c r="B47" s="454"/>
      <c r="C47" s="458"/>
      <c r="D47" s="3"/>
      <c r="E47" s="8"/>
      <c r="F47" s="459"/>
      <c r="G47" s="460"/>
      <c r="H47" s="459"/>
      <c r="I47" s="460"/>
      <c r="J47" s="459"/>
      <c r="K47" s="460"/>
      <c r="L47" s="459"/>
      <c r="M47" s="460"/>
      <c r="N47" s="459"/>
      <c r="O47" s="460"/>
      <c r="P47" s="459"/>
      <c r="Q47" s="460"/>
      <c r="R47" s="459"/>
      <c r="S47" s="460"/>
      <c r="T47" s="459"/>
      <c r="U47" s="460"/>
      <c r="V47" s="459"/>
      <c r="W47" s="460"/>
      <c r="X47" s="459"/>
      <c r="Y47" s="460"/>
      <c r="Z47" s="459"/>
      <c r="AA47" s="460"/>
      <c r="AB47" s="459"/>
      <c r="AC47" s="460"/>
      <c r="AD47" s="459"/>
      <c r="AE47" s="460"/>
      <c r="AF47" s="459"/>
      <c r="AG47" s="460"/>
      <c r="AH47" s="459"/>
      <c r="AI47" s="460"/>
      <c r="AJ47" s="459"/>
      <c r="AK47" s="460"/>
      <c r="AL47" s="459"/>
      <c r="AM47" s="460"/>
      <c r="AN47" s="459"/>
      <c r="AO47" s="460"/>
      <c r="AP47" s="459"/>
      <c r="AQ47" s="460"/>
      <c r="AR47" s="459"/>
      <c r="AS47" s="460"/>
      <c r="AT47" s="94"/>
    </row>
    <row r="48" spans="2:46" ht="18" customHeight="1" x14ac:dyDescent="0.6">
      <c r="B48" s="454"/>
      <c r="C48" s="458"/>
      <c r="D48" s="7"/>
      <c r="E48" s="8"/>
      <c r="F48" s="459"/>
      <c r="G48" s="460"/>
      <c r="H48" s="459"/>
      <c r="I48" s="460"/>
      <c r="J48" s="459"/>
      <c r="K48" s="460"/>
      <c r="L48" s="459"/>
      <c r="M48" s="460"/>
      <c r="N48" s="459"/>
      <c r="O48" s="460"/>
      <c r="P48" s="459"/>
      <c r="Q48" s="460"/>
      <c r="R48" s="459"/>
      <c r="S48" s="460"/>
      <c r="T48" s="459"/>
      <c r="U48" s="460"/>
      <c r="V48" s="459"/>
      <c r="W48" s="460"/>
      <c r="X48" s="459"/>
      <c r="Y48" s="460"/>
      <c r="Z48" s="459"/>
      <c r="AA48" s="460"/>
      <c r="AB48" s="459"/>
      <c r="AC48" s="460"/>
      <c r="AD48" s="459"/>
      <c r="AE48" s="460"/>
      <c r="AF48" s="459"/>
      <c r="AG48" s="460"/>
      <c r="AH48" s="459"/>
      <c r="AI48" s="460"/>
      <c r="AJ48" s="459"/>
      <c r="AK48" s="460"/>
      <c r="AL48" s="459"/>
      <c r="AM48" s="460"/>
      <c r="AN48" s="459"/>
      <c r="AO48" s="460"/>
      <c r="AP48" s="459"/>
      <c r="AQ48" s="460"/>
      <c r="AR48" s="459"/>
      <c r="AS48" s="460"/>
      <c r="AT48" s="94"/>
    </row>
    <row r="49" spans="2:46" ht="18" customHeight="1" thickBot="1" x14ac:dyDescent="0.35">
      <c r="B49" s="454"/>
      <c r="C49" s="458" t="e">
        <f>'Plot Data'!I67</f>
        <v>#REF!</v>
      </c>
      <c r="D49" s="5"/>
      <c r="E49" s="6"/>
      <c r="F49" s="461"/>
      <c r="G49" s="462"/>
      <c r="H49" s="461"/>
      <c r="I49" s="462"/>
      <c r="J49" s="461"/>
      <c r="K49" s="462"/>
      <c r="L49" s="461"/>
      <c r="M49" s="462"/>
      <c r="N49" s="461"/>
      <c r="O49" s="462"/>
      <c r="P49" s="461"/>
      <c r="Q49" s="462"/>
      <c r="R49" s="461"/>
      <c r="S49" s="462"/>
      <c r="T49" s="461"/>
      <c r="U49" s="462"/>
      <c r="V49" s="461"/>
      <c r="W49" s="462"/>
      <c r="X49" s="461"/>
      <c r="Y49" s="462"/>
      <c r="Z49" s="461"/>
      <c r="AA49" s="462"/>
      <c r="AB49" s="461"/>
      <c r="AC49" s="462"/>
      <c r="AD49" s="461"/>
      <c r="AE49" s="462"/>
      <c r="AF49" s="461"/>
      <c r="AG49" s="462"/>
      <c r="AH49" s="461"/>
      <c r="AI49" s="462"/>
      <c r="AJ49" s="461"/>
      <c r="AK49" s="462"/>
      <c r="AL49" s="461"/>
      <c r="AM49" s="462"/>
      <c r="AN49" s="461"/>
      <c r="AO49" s="462"/>
      <c r="AP49" s="461"/>
      <c r="AQ49" s="462"/>
      <c r="AR49" s="461"/>
      <c r="AS49" s="462"/>
      <c r="AT49" s="463" t="s">
        <v>45</v>
      </c>
    </row>
    <row r="50" spans="2:46" ht="18" customHeight="1" thickTop="1" thickBot="1" x14ac:dyDescent="0.35">
      <c r="B50" s="455"/>
      <c r="C50" s="472"/>
      <c r="D50" s="77"/>
      <c r="E50" s="78"/>
      <c r="F50" s="473"/>
      <c r="G50" s="474"/>
      <c r="H50" s="473"/>
      <c r="I50" s="474"/>
      <c r="J50" s="473"/>
      <c r="K50" s="474"/>
      <c r="L50" s="473"/>
      <c r="M50" s="474"/>
      <c r="N50" s="473"/>
      <c r="O50" s="474"/>
      <c r="P50" s="473"/>
      <c r="Q50" s="474"/>
      <c r="R50" s="473"/>
      <c r="S50" s="474"/>
      <c r="T50" s="473"/>
      <c r="U50" s="474"/>
      <c r="V50" s="473"/>
      <c r="W50" s="474"/>
      <c r="X50" s="473"/>
      <c r="Y50" s="474"/>
      <c r="Z50" s="473"/>
      <c r="AA50" s="474"/>
      <c r="AB50" s="473"/>
      <c r="AC50" s="474"/>
      <c r="AD50" s="473"/>
      <c r="AE50" s="474"/>
      <c r="AF50" s="473"/>
      <c r="AG50" s="474"/>
      <c r="AH50" s="473"/>
      <c r="AI50" s="474"/>
      <c r="AJ50" s="473"/>
      <c r="AK50" s="474"/>
      <c r="AL50" s="473"/>
      <c r="AM50" s="474"/>
      <c r="AN50" s="473"/>
      <c r="AO50" s="474"/>
      <c r="AP50" s="473"/>
      <c r="AQ50" s="474"/>
      <c r="AR50" s="473"/>
      <c r="AS50" s="474"/>
      <c r="AT50" s="477"/>
    </row>
    <row r="51" spans="2:46" ht="30" customHeight="1" thickTop="1" thickBot="1" x14ac:dyDescent="0.35">
      <c r="B51" s="88"/>
      <c r="C51" s="95"/>
      <c r="D51" s="90"/>
      <c r="E51" s="89"/>
      <c r="F51" s="475"/>
      <c r="G51" s="476"/>
      <c r="H51" s="475"/>
      <c r="I51" s="476"/>
      <c r="J51" s="475"/>
      <c r="K51" s="476"/>
      <c r="L51" s="475"/>
      <c r="M51" s="476"/>
      <c r="N51" s="475"/>
      <c r="O51" s="476"/>
      <c r="P51" s="475"/>
      <c r="Q51" s="476"/>
      <c r="R51" s="475"/>
      <c r="S51" s="476"/>
      <c r="T51" s="475"/>
      <c r="U51" s="476"/>
      <c r="V51" s="475"/>
      <c r="W51" s="476"/>
      <c r="X51" s="475"/>
      <c r="Y51" s="476"/>
      <c r="Z51" s="475"/>
      <c r="AA51" s="476"/>
      <c r="AB51" s="475"/>
      <c r="AC51" s="476"/>
      <c r="AD51" s="475"/>
      <c r="AE51" s="476"/>
      <c r="AF51" s="475"/>
      <c r="AG51" s="476"/>
      <c r="AH51" s="475"/>
      <c r="AI51" s="476"/>
      <c r="AJ51" s="475"/>
      <c r="AK51" s="476"/>
      <c r="AL51" s="475"/>
      <c r="AM51" s="476"/>
      <c r="AN51" s="475"/>
      <c r="AO51" s="476"/>
      <c r="AP51" s="475"/>
      <c r="AQ51" s="476"/>
      <c r="AR51" s="475"/>
      <c r="AS51" s="476"/>
      <c r="AT51" s="91"/>
    </row>
    <row r="52" spans="2:46" ht="9" customHeight="1" thickTop="1" x14ac:dyDescent="0.3">
      <c r="B52" s="478" t="s">
        <v>7</v>
      </c>
      <c r="C52" s="96"/>
      <c r="D52" s="79"/>
      <c r="E52" s="74"/>
      <c r="F52" s="456"/>
      <c r="G52" s="457"/>
      <c r="H52" s="456"/>
      <c r="I52" s="457"/>
      <c r="J52" s="456"/>
      <c r="K52" s="457"/>
      <c r="L52" s="456"/>
      <c r="M52" s="457"/>
      <c r="N52" s="456"/>
      <c r="O52" s="457"/>
      <c r="P52" s="456"/>
      <c r="Q52" s="457"/>
      <c r="R52" s="456"/>
      <c r="S52" s="457"/>
      <c r="T52" s="456"/>
      <c r="U52" s="457"/>
      <c r="V52" s="456"/>
      <c r="W52" s="457"/>
      <c r="X52" s="456"/>
      <c r="Y52" s="457"/>
      <c r="Z52" s="456"/>
      <c r="AA52" s="457"/>
      <c r="AB52" s="456"/>
      <c r="AC52" s="457"/>
      <c r="AD52" s="456"/>
      <c r="AE52" s="457"/>
      <c r="AF52" s="456"/>
      <c r="AG52" s="457"/>
      <c r="AH52" s="456"/>
      <c r="AI52" s="457"/>
      <c r="AJ52" s="456"/>
      <c r="AK52" s="457"/>
      <c r="AL52" s="456"/>
      <c r="AM52" s="457"/>
      <c r="AN52" s="456"/>
      <c r="AO52" s="457"/>
      <c r="AP52" s="456"/>
      <c r="AQ52" s="457"/>
      <c r="AR52" s="456"/>
      <c r="AS52" s="457"/>
      <c r="AT52" s="75"/>
    </row>
    <row r="53" spans="2:46" ht="9" customHeight="1" x14ac:dyDescent="0.3">
      <c r="B53" s="479"/>
      <c r="C53" s="97"/>
      <c r="D53" s="13"/>
      <c r="E53" s="4"/>
      <c r="F53" s="481"/>
      <c r="G53" s="482"/>
      <c r="H53" s="481"/>
      <c r="I53" s="482"/>
      <c r="J53" s="481"/>
      <c r="K53" s="482"/>
      <c r="L53" s="481"/>
      <c r="M53" s="482"/>
      <c r="N53" s="481"/>
      <c r="O53" s="482"/>
      <c r="P53" s="481"/>
      <c r="Q53" s="482"/>
      <c r="R53" s="481"/>
      <c r="S53" s="482"/>
      <c r="T53" s="481"/>
      <c r="U53" s="482"/>
      <c r="V53" s="481"/>
      <c r="W53" s="482"/>
      <c r="X53" s="481"/>
      <c r="Y53" s="482"/>
      <c r="Z53" s="481"/>
      <c r="AA53" s="482"/>
      <c r="AB53" s="481"/>
      <c r="AC53" s="482"/>
      <c r="AD53" s="481"/>
      <c r="AE53" s="482"/>
      <c r="AF53" s="481"/>
      <c r="AG53" s="482"/>
      <c r="AH53" s="481"/>
      <c r="AI53" s="482"/>
      <c r="AJ53" s="481"/>
      <c r="AK53" s="482"/>
      <c r="AL53" s="481"/>
      <c r="AM53" s="482"/>
      <c r="AN53" s="481"/>
      <c r="AO53" s="482"/>
      <c r="AP53" s="481"/>
      <c r="AQ53" s="482"/>
      <c r="AR53" s="481"/>
      <c r="AS53" s="482"/>
      <c r="AT53" s="80"/>
    </row>
    <row r="54" spans="2:46" ht="9" customHeight="1" x14ac:dyDescent="0.3">
      <c r="B54" s="479"/>
      <c r="C54" s="97"/>
      <c r="D54" s="3"/>
      <c r="E54" s="8"/>
      <c r="F54" s="459"/>
      <c r="G54" s="460"/>
      <c r="H54" s="459"/>
      <c r="I54" s="460"/>
      <c r="J54" s="459"/>
      <c r="K54" s="460"/>
      <c r="L54" s="459"/>
      <c r="M54" s="460"/>
      <c r="N54" s="459"/>
      <c r="O54" s="460"/>
      <c r="P54" s="459"/>
      <c r="Q54" s="460"/>
      <c r="R54" s="459"/>
      <c r="S54" s="460"/>
      <c r="T54" s="459"/>
      <c r="U54" s="460"/>
      <c r="V54" s="459"/>
      <c r="W54" s="460"/>
      <c r="X54" s="459"/>
      <c r="Y54" s="460"/>
      <c r="Z54" s="459"/>
      <c r="AA54" s="460"/>
      <c r="AB54" s="459"/>
      <c r="AC54" s="460"/>
      <c r="AD54" s="459"/>
      <c r="AE54" s="460"/>
      <c r="AF54" s="459"/>
      <c r="AG54" s="460"/>
      <c r="AH54" s="459"/>
      <c r="AI54" s="460"/>
      <c r="AJ54" s="459"/>
      <c r="AK54" s="460"/>
      <c r="AL54" s="459"/>
      <c r="AM54" s="460"/>
      <c r="AN54" s="459"/>
      <c r="AO54" s="460"/>
      <c r="AP54" s="459"/>
      <c r="AQ54" s="460"/>
      <c r="AR54" s="459"/>
      <c r="AS54" s="460"/>
      <c r="AT54" s="76"/>
    </row>
    <row r="55" spans="2:46" ht="9" customHeight="1" thickBot="1" x14ac:dyDescent="0.4">
      <c r="B55" s="479"/>
      <c r="C55" s="661" t="e">
        <f>'Plot Data'!I68</f>
        <v>#REF!</v>
      </c>
      <c r="D55" s="70"/>
      <c r="E55" s="71"/>
      <c r="F55" s="483"/>
      <c r="G55" s="484"/>
      <c r="H55" s="483"/>
      <c r="I55" s="484"/>
      <c r="J55" s="483"/>
      <c r="K55" s="484"/>
      <c r="L55" s="483"/>
      <c r="M55" s="484"/>
      <c r="N55" s="483"/>
      <c r="O55" s="484"/>
      <c r="P55" s="483"/>
      <c r="Q55" s="484"/>
      <c r="R55" s="483"/>
      <c r="S55" s="484"/>
      <c r="T55" s="483"/>
      <c r="U55" s="484"/>
      <c r="V55" s="483"/>
      <c r="W55" s="484"/>
      <c r="X55" s="483"/>
      <c r="Y55" s="484"/>
      <c r="Z55" s="483"/>
      <c r="AA55" s="484"/>
      <c r="AB55" s="483"/>
      <c r="AC55" s="484"/>
      <c r="AD55" s="483"/>
      <c r="AE55" s="484"/>
      <c r="AF55" s="483"/>
      <c r="AG55" s="484"/>
      <c r="AH55" s="483"/>
      <c r="AI55" s="484"/>
      <c r="AJ55" s="483"/>
      <c r="AK55" s="484"/>
      <c r="AL55" s="483"/>
      <c r="AM55" s="484"/>
      <c r="AN55" s="483"/>
      <c r="AO55" s="484"/>
      <c r="AP55" s="483"/>
      <c r="AQ55" s="484"/>
      <c r="AR55" s="483"/>
      <c r="AS55" s="484"/>
      <c r="AT55" s="81"/>
    </row>
    <row r="56" spans="2:46" ht="9" customHeight="1" thickTop="1" x14ac:dyDescent="0.3">
      <c r="B56" s="479"/>
      <c r="C56" s="661"/>
      <c r="D56" s="19"/>
      <c r="E56" s="20"/>
      <c r="F56" s="487"/>
      <c r="G56" s="488"/>
      <c r="H56" s="487"/>
      <c r="I56" s="488"/>
      <c r="J56" s="487"/>
      <c r="K56" s="488"/>
      <c r="L56" s="487"/>
      <c r="M56" s="488"/>
      <c r="N56" s="487"/>
      <c r="O56" s="488"/>
      <c r="P56" s="487"/>
      <c r="Q56" s="488"/>
      <c r="R56" s="487"/>
      <c r="S56" s="488"/>
      <c r="T56" s="487"/>
      <c r="U56" s="488"/>
      <c r="V56" s="487"/>
      <c r="W56" s="488"/>
      <c r="X56" s="487"/>
      <c r="Y56" s="488"/>
      <c r="Z56" s="487"/>
      <c r="AA56" s="488"/>
      <c r="AB56" s="487"/>
      <c r="AC56" s="488"/>
      <c r="AD56" s="487"/>
      <c r="AE56" s="488"/>
      <c r="AF56" s="487"/>
      <c r="AG56" s="488"/>
      <c r="AH56" s="487"/>
      <c r="AI56" s="488"/>
      <c r="AJ56" s="487"/>
      <c r="AK56" s="488"/>
      <c r="AL56" s="487"/>
      <c r="AM56" s="488"/>
      <c r="AN56" s="487"/>
      <c r="AO56" s="488"/>
      <c r="AP56" s="487"/>
      <c r="AQ56" s="488"/>
      <c r="AR56" s="487"/>
      <c r="AS56" s="488"/>
      <c r="AT56" s="82"/>
    </row>
    <row r="57" spans="2:46" ht="9" customHeight="1" x14ac:dyDescent="0.3">
      <c r="B57" s="479"/>
      <c r="C57" s="662"/>
      <c r="D57" s="13"/>
      <c r="E57" s="8"/>
      <c r="F57" s="459"/>
      <c r="G57" s="460"/>
      <c r="H57" s="459"/>
      <c r="I57" s="460"/>
      <c r="J57" s="459"/>
      <c r="K57" s="460"/>
      <c r="L57" s="459"/>
      <c r="M57" s="460"/>
      <c r="N57" s="459"/>
      <c r="O57" s="460"/>
      <c r="P57" s="459"/>
      <c r="Q57" s="460"/>
      <c r="R57" s="459"/>
      <c r="S57" s="460"/>
      <c r="T57" s="459"/>
      <c r="U57" s="460"/>
      <c r="V57" s="459"/>
      <c r="W57" s="460"/>
      <c r="X57" s="459"/>
      <c r="Y57" s="460"/>
      <c r="Z57" s="459"/>
      <c r="AA57" s="460"/>
      <c r="AB57" s="459"/>
      <c r="AC57" s="460"/>
      <c r="AD57" s="459"/>
      <c r="AE57" s="460"/>
      <c r="AF57" s="459"/>
      <c r="AG57" s="460"/>
      <c r="AH57" s="459"/>
      <c r="AI57" s="460"/>
      <c r="AJ57" s="459"/>
      <c r="AK57" s="460"/>
      <c r="AL57" s="459"/>
      <c r="AM57" s="460"/>
      <c r="AN57" s="459"/>
      <c r="AO57" s="460"/>
      <c r="AP57" s="459"/>
      <c r="AQ57" s="460"/>
      <c r="AR57" s="459"/>
      <c r="AS57" s="460"/>
      <c r="AT57" s="76"/>
    </row>
    <row r="58" spans="2:46" ht="9" customHeight="1" x14ac:dyDescent="0.3">
      <c r="B58" s="479"/>
      <c r="C58" s="662"/>
      <c r="D58" s="3"/>
      <c r="E58" s="8"/>
      <c r="F58" s="459"/>
      <c r="G58" s="460"/>
      <c r="H58" s="459"/>
      <c r="I58" s="460"/>
      <c r="J58" s="459"/>
      <c r="K58" s="460"/>
      <c r="L58" s="459"/>
      <c r="M58" s="460"/>
      <c r="N58" s="459"/>
      <c r="O58" s="460"/>
      <c r="P58" s="459"/>
      <c r="Q58" s="460"/>
      <c r="R58" s="459"/>
      <c r="S58" s="460"/>
      <c r="T58" s="459"/>
      <c r="U58" s="460"/>
      <c r="V58" s="459"/>
      <c r="W58" s="460"/>
      <c r="X58" s="459"/>
      <c r="Y58" s="460"/>
      <c r="Z58" s="459"/>
      <c r="AA58" s="460"/>
      <c r="AB58" s="459"/>
      <c r="AC58" s="460"/>
      <c r="AD58" s="459"/>
      <c r="AE58" s="460"/>
      <c r="AF58" s="459"/>
      <c r="AG58" s="460"/>
      <c r="AH58" s="459"/>
      <c r="AI58" s="460"/>
      <c r="AJ58" s="459"/>
      <c r="AK58" s="460"/>
      <c r="AL58" s="459"/>
      <c r="AM58" s="460"/>
      <c r="AN58" s="459"/>
      <c r="AO58" s="460"/>
      <c r="AP58" s="459"/>
      <c r="AQ58" s="460"/>
      <c r="AR58" s="459"/>
      <c r="AS58" s="460"/>
      <c r="AT58" s="76"/>
    </row>
    <row r="59" spans="2:46" ht="9" customHeight="1" x14ac:dyDescent="0.3">
      <c r="B59" s="479"/>
      <c r="C59" s="662" t="e">
        <f>C63+(C55-C63)/2</f>
        <v>#REF!</v>
      </c>
      <c r="D59" s="13"/>
      <c r="E59" s="4"/>
      <c r="F59" s="459"/>
      <c r="G59" s="460"/>
      <c r="H59" s="459"/>
      <c r="I59" s="460"/>
      <c r="J59" s="459"/>
      <c r="K59" s="460"/>
      <c r="L59" s="459"/>
      <c r="M59" s="460"/>
      <c r="N59" s="459"/>
      <c r="O59" s="460"/>
      <c r="P59" s="459"/>
      <c r="Q59" s="460"/>
      <c r="R59" s="459"/>
      <c r="S59" s="460"/>
      <c r="T59" s="459"/>
      <c r="U59" s="460"/>
      <c r="V59" s="459"/>
      <c r="W59" s="460"/>
      <c r="X59" s="459"/>
      <c r="Y59" s="460"/>
      <c r="Z59" s="459"/>
      <c r="AA59" s="460"/>
      <c r="AB59" s="459"/>
      <c r="AC59" s="460"/>
      <c r="AD59" s="459"/>
      <c r="AE59" s="460"/>
      <c r="AF59" s="459"/>
      <c r="AG59" s="460"/>
      <c r="AH59" s="459"/>
      <c r="AI59" s="460"/>
      <c r="AJ59" s="459"/>
      <c r="AK59" s="460"/>
      <c r="AL59" s="459"/>
      <c r="AM59" s="460"/>
      <c r="AN59" s="459"/>
      <c r="AO59" s="460"/>
      <c r="AP59" s="459"/>
      <c r="AQ59" s="460"/>
      <c r="AR59" s="459"/>
      <c r="AS59" s="460"/>
      <c r="AT59" s="80"/>
    </row>
    <row r="60" spans="2:46" ht="9" customHeight="1" x14ac:dyDescent="0.3">
      <c r="B60" s="479"/>
      <c r="C60" s="662"/>
      <c r="D60" s="13"/>
      <c r="E60" s="4"/>
      <c r="F60" s="459"/>
      <c r="G60" s="460"/>
      <c r="H60" s="459"/>
      <c r="I60" s="460"/>
      <c r="J60" s="459"/>
      <c r="K60" s="460"/>
      <c r="L60" s="459"/>
      <c r="M60" s="460"/>
      <c r="N60" s="459"/>
      <c r="O60" s="460"/>
      <c r="P60" s="459"/>
      <c r="Q60" s="460"/>
      <c r="R60" s="459"/>
      <c r="S60" s="460"/>
      <c r="T60" s="459"/>
      <c r="U60" s="460"/>
      <c r="V60" s="459"/>
      <c r="W60" s="460"/>
      <c r="X60" s="459"/>
      <c r="Y60" s="460"/>
      <c r="Z60" s="459"/>
      <c r="AA60" s="460"/>
      <c r="AB60" s="459"/>
      <c r="AC60" s="460"/>
      <c r="AD60" s="459"/>
      <c r="AE60" s="460"/>
      <c r="AF60" s="459"/>
      <c r="AG60" s="460"/>
      <c r="AH60" s="459"/>
      <c r="AI60" s="460"/>
      <c r="AJ60" s="459"/>
      <c r="AK60" s="460"/>
      <c r="AL60" s="459"/>
      <c r="AM60" s="460"/>
      <c r="AN60" s="459"/>
      <c r="AO60" s="460"/>
      <c r="AP60" s="459"/>
      <c r="AQ60" s="460"/>
      <c r="AR60" s="459"/>
      <c r="AS60" s="460"/>
      <c r="AT60" s="80"/>
    </row>
    <row r="61" spans="2:46" ht="9" customHeight="1" x14ac:dyDescent="0.3">
      <c r="B61" s="479"/>
      <c r="C61" s="662"/>
      <c r="D61" s="7"/>
      <c r="E61" s="18"/>
      <c r="F61" s="489"/>
      <c r="G61" s="490"/>
      <c r="H61" s="489"/>
      <c r="I61" s="490"/>
      <c r="J61" s="489"/>
      <c r="K61" s="490"/>
      <c r="L61" s="489"/>
      <c r="M61" s="490"/>
      <c r="N61" s="489"/>
      <c r="O61" s="490"/>
      <c r="P61" s="489"/>
      <c r="Q61" s="490"/>
      <c r="R61" s="489"/>
      <c r="S61" s="490"/>
      <c r="T61" s="489"/>
      <c r="U61" s="490"/>
      <c r="V61" s="489"/>
      <c r="W61" s="490"/>
      <c r="X61" s="489"/>
      <c r="Y61" s="490"/>
      <c r="Z61" s="489"/>
      <c r="AA61" s="490"/>
      <c r="AB61" s="489"/>
      <c r="AC61" s="490"/>
      <c r="AD61" s="489"/>
      <c r="AE61" s="490"/>
      <c r="AF61" s="489"/>
      <c r="AG61" s="490"/>
      <c r="AH61" s="489"/>
      <c r="AI61" s="490"/>
      <c r="AJ61" s="489"/>
      <c r="AK61" s="490"/>
      <c r="AL61" s="489"/>
      <c r="AM61" s="490"/>
      <c r="AN61" s="489"/>
      <c r="AO61" s="490"/>
      <c r="AP61" s="489"/>
      <c r="AQ61" s="490"/>
      <c r="AR61" s="489"/>
      <c r="AS61" s="490"/>
      <c r="AT61" s="83"/>
    </row>
    <row r="62" spans="2:46" ht="9" customHeight="1" x14ac:dyDescent="0.3">
      <c r="B62" s="479"/>
      <c r="C62" s="662"/>
      <c r="D62" s="21"/>
      <c r="E62" s="22"/>
      <c r="F62" s="491"/>
      <c r="G62" s="492"/>
      <c r="H62" s="491"/>
      <c r="I62" s="492"/>
      <c r="J62" s="491"/>
      <c r="K62" s="492"/>
      <c r="L62" s="491"/>
      <c r="M62" s="492"/>
      <c r="N62" s="491"/>
      <c r="O62" s="492"/>
      <c r="P62" s="491"/>
      <c r="Q62" s="492"/>
      <c r="R62" s="491"/>
      <c r="S62" s="492"/>
      <c r="T62" s="491"/>
      <c r="U62" s="492"/>
      <c r="V62" s="491"/>
      <c r="W62" s="492"/>
      <c r="X62" s="491"/>
      <c r="Y62" s="492"/>
      <c r="Z62" s="491"/>
      <c r="AA62" s="492"/>
      <c r="AB62" s="491"/>
      <c r="AC62" s="492"/>
      <c r="AD62" s="491"/>
      <c r="AE62" s="492"/>
      <c r="AF62" s="491"/>
      <c r="AG62" s="492"/>
      <c r="AH62" s="491"/>
      <c r="AI62" s="492"/>
      <c r="AJ62" s="491"/>
      <c r="AK62" s="492"/>
      <c r="AL62" s="491"/>
      <c r="AM62" s="492"/>
      <c r="AN62" s="491"/>
      <c r="AO62" s="492"/>
      <c r="AP62" s="491"/>
      <c r="AQ62" s="492"/>
      <c r="AR62" s="491"/>
      <c r="AS62" s="492"/>
      <c r="AT62" s="84"/>
    </row>
    <row r="63" spans="2:46" ht="9" customHeight="1" x14ac:dyDescent="0.3">
      <c r="B63" s="479"/>
      <c r="C63" s="662" t="e">
        <f>C69+(C55-C69)/2</f>
        <v>#REF!</v>
      </c>
      <c r="D63" s="13"/>
      <c r="E63" s="4"/>
      <c r="F63" s="459"/>
      <c r="G63" s="460"/>
      <c r="H63" s="459"/>
      <c r="I63" s="460"/>
      <c r="J63" s="459"/>
      <c r="K63" s="460"/>
      <c r="L63" s="459"/>
      <c r="M63" s="460"/>
      <c r="N63" s="459"/>
      <c r="O63" s="460"/>
      <c r="P63" s="459"/>
      <c r="Q63" s="460"/>
      <c r="R63" s="459"/>
      <c r="S63" s="460"/>
      <c r="T63" s="459"/>
      <c r="U63" s="460"/>
      <c r="V63" s="459"/>
      <c r="W63" s="460"/>
      <c r="X63" s="459"/>
      <c r="Y63" s="460"/>
      <c r="Z63" s="459"/>
      <c r="AA63" s="460"/>
      <c r="AB63" s="459"/>
      <c r="AC63" s="460"/>
      <c r="AD63" s="459"/>
      <c r="AE63" s="460"/>
      <c r="AF63" s="459"/>
      <c r="AG63" s="460"/>
      <c r="AH63" s="459"/>
      <c r="AI63" s="460"/>
      <c r="AJ63" s="459"/>
      <c r="AK63" s="460"/>
      <c r="AL63" s="459"/>
      <c r="AM63" s="460"/>
      <c r="AN63" s="459"/>
      <c r="AO63" s="460"/>
      <c r="AP63" s="459"/>
      <c r="AQ63" s="460"/>
      <c r="AR63" s="459"/>
      <c r="AS63" s="460"/>
      <c r="AT63" s="80"/>
    </row>
    <row r="64" spans="2:46" ht="9" customHeight="1" x14ac:dyDescent="0.3">
      <c r="B64" s="479"/>
      <c r="C64" s="662"/>
      <c r="D64" s="13"/>
      <c r="E64" s="4"/>
      <c r="F64" s="459"/>
      <c r="G64" s="460"/>
      <c r="H64" s="459"/>
      <c r="I64" s="460"/>
      <c r="J64" s="459"/>
      <c r="K64" s="460"/>
      <c r="L64" s="459"/>
      <c r="M64" s="460"/>
      <c r="N64" s="459"/>
      <c r="O64" s="460"/>
      <c r="P64" s="459"/>
      <c r="Q64" s="460"/>
      <c r="R64" s="459"/>
      <c r="S64" s="460"/>
      <c r="T64" s="459"/>
      <c r="U64" s="460"/>
      <c r="V64" s="459"/>
      <c r="W64" s="460"/>
      <c r="X64" s="459"/>
      <c r="Y64" s="460"/>
      <c r="Z64" s="459"/>
      <c r="AA64" s="460"/>
      <c r="AB64" s="459"/>
      <c r="AC64" s="460"/>
      <c r="AD64" s="459"/>
      <c r="AE64" s="460"/>
      <c r="AF64" s="459"/>
      <c r="AG64" s="460"/>
      <c r="AH64" s="459"/>
      <c r="AI64" s="460"/>
      <c r="AJ64" s="459"/>
      <c r="AK64" s="460"/>
      <c r="AL64" s="459"/>
      <c r="AM64" s="460"/>
      <c r="AN64" s="459"/>
      <c r="AO64" s="460"/>
      <c r="AP64" s="459"/>
      <c r="AQ64" s="460"/>
      <c r="AR64" s="459"/>
      <c r="AS64" s="460"/>
      <c r="AT64" s="80"/>
    </row>
    <row r="65" spans="2:46" x14ac:dyDescent="0.3">
      <c r="B65" s="479"/>
      <c r="C65" s="662"/>
      <c r="D65" s="13"/>
      <c r="E65" s="4"/>
      <c r="F65" s="459"/>
      <c r="G65" s="460"/>
      <c r="H65" s="459"/>
      <c r="I65" s="460"/>
      <c r="J65" s="459"/>
      <c r="K65" s="460"/>
      <c r="L65" s="459"/>
      <c r="M65" s="460"/>
      <c r="N65" s="459"/>
      <c r="O65" s="460"/>
      <c r="P65" s="459"/>
      <c r="Q65" s="460"/>
      <c r="R65" s="459"/>
      <c r="S65" s="460"/>
      <c r="T65" s="459"/>
      <c r="U65" s="460"/>
      <c r="V65" s="459"/>
      <c r="W65" s="460"/>
      <c r="X65" s="459"/>
      <c r="Y65" s="460"/>
      <c r="Z65" s="459"/>
      <c r="AA65" s="460"/>
      <c r="AB65" s="459"/>
      <c r="AC65" s="460"/>
      <c r="AD65" s="459"/>
      <c r="AE65" s="460"/>
      <c r="AF65" s="459"/>
      <c r="AG65" s="460"/>
      <c r="AH65" s="459"/>
      <c r="AI65" s="460"/>
      <c r="AJ65" s="459"/>
      <c r="AK65" s="460"/>
      <c r="AL65" s="459"/>
      <c r="AM65" s="460"/>
      <c r="AN65" s="459"/>
      <c r="AO65" s="460"/>
      <c r="AP65" s="459"/>
      <c r="AQ65" s="460"/>
      <c r="AR65" s="459"/>
      <c r="AS65" s="460"/>
      <c r="AT65" s="80"/>
    </row>
    <row r="66" spans="2:46" x14ac:dyDescent="0.3">
      <c r="B66" s="479"/>
      <c r="C66" s="662"/>
      <c r="D66" s="13"/>
      <c r="E66" s="4"/>
      <c r="F66" s="459"/>
      <c r="G66" s="460"/>
      <c r="H66" s="459"/>
      <c r="I66" s="460"/>
      <c r="J66" s="459"/>
      <c r="K66" s="460"/>
      <c r="L66" s="459"/>
      <c r="M66" s="460"/>
      <c r="N66" s="459"/>
      <c r="O66" s="460"/>
      <c r="P66" s="459"/>
      <c r="Q66" s="460"/>
      <c r="R66" s="459"/>
      <c r="S66" s="460"/>
      <c r="T66" s="459"/>
      <c r="U66" s="460"/>
      <c r="V66" s="459"/>
      <c r="W66" s="460"/>
      <c r="X66" s="459"/>
      <c r="Y66" s="460"/>
      <c r="Z66" s="459"/>
      <c r="AA66" s="460"/>
      <c r="AB66" s="459"/>
      <c r="AC66" s="460"/>
      <c r="AD66" s="459"/>
      <c r="AE66" s="460"/>
      <c r="AF66" s="459"/>
      <c r="AG66" s="460"/>
      <c r="AH66" s="459"/>
      <c r="AI66" s="460"/>
      <c r="AJ66" s="459"/>
      <c r="AK66" s="460"/>
      <c r="AL66" s="459"/>
      <c r="AM66" s="460"/>
      <c r="AN66" s="459"/>
      <c r="AO66" s="460"/>
      <c r="AP66" s="459"/>
      <c r="AQ66" s="460"/>
      <c r="AR66" s="459"/>
      <c r="AS66" s="460"/>
      <c r="AT66" s="80"/>
    </row>
    <row r="67" spans="2:46" x14ac:dyDescent="0.3">
      <c r="B67" s="479"/>
      <c r="C67" s="662"/>
      <c r="D67" s="13"/>
      <c r="E67" s="4"/>
      <c r="F67" s="459"/>
      <c r="G67" s="460"/>
      <c r="H67" s="459"/>
      <c r="I67" s="460"/>
      <c r="J67" s="459"/>
      <c r="K67" s="460"/>
      <c r="L67" s="459"/>
      <c r="M67" s="460"/>
      <c r="N67" s="459"/>
      <c r="O67" s="460"/>
      <c r="P67" s="459"/>
      <c r="Q67" s="460"/>
      <c r="R67" s="459"/>
      <c r="S67" s="460"/>
      <c r="T67" s="459"/>
      <c r="U67" s="460"/>
      <c r="V67" s="459"/>
      <c r="W67" s="460"/>
      <c r="X67" s="459"/>
      <c r="Y67" s="460"/>
      <c r="Z67" s="459"/>
      <c r="AA67" s="460"/>
      <c r="AB67" s="459"/>
      <c r="AC67" s="460"/>
      <c r="AD67" s="459"/>
      <c r="AE67" s="460"/>
      <c r="AF67" s="459"/>
      <c r="AG67" s="460"/>
      <c r="AH67" s="459"/>
      <c r="AI67" s="460"/>
      <c r="AJ67" s="459"/>
      <c r="AK67" s="460"/>
      <c r="AL67" s="459"/>
      <c r="AM67" s="460"/>
      <c r="AN67" s="459"/>
      <c r="AO67" s="460"/>
      <c r="AP67" s="459"/>
      <c r="AQ67" s="460"/>
      <c r="AR67" s="459"/>
      <c r="AS67" s="460"/>
      <c r="AT67" s="80"/>
    </row>
    <row r="68" spans="2:46" x14ac:dyDescent="0.3">
      <c r="B68" s="479"/>
      <c r="C68" s="662"/>
      <c r="D68" s="13"/>
      <c r="E68" s="4"/>
      <c r="F68" s="459"/>
      <c r="G68" s="460"/>
      <c r="H68" s="459"/>
      <c r="I68" s="460"/>
      <c r="J68" s="459"/>
      <c r="K68" s="460"/>
      <c r="L68" s="459"/>
      <c r="M68" s="460"/>
      <c r="N68" s="459"/>
      <c r="O68" s="460"/>
      <c r="P68" s="459"/>
      <c r="Q68" s="460"/>
      <c r="R68" s="459"/>
      <c r="S68" s="460"/>
      <c r="T68" s="459"/>
      <c r="U68" s="460"/>
      <c r="V68" s="459"/>
      <c r="W68" s="460"/>
      <c r="X68" s="459"/>
      <c r="Y68" s="460"/>
      <c r="Z68" s="459"/>
      <c r="AA68" s="460"/>
      <c r="AB68" s="459"/>
      <c r="AC68" s="460"/>
      <c r="AD68" s="459"/>
      <c r="AE68" s="460"/>
      <c r="AF68" s="459"/>
      <c r="AG68" s="460"/>
      <c r="AH68" s="459"/>
      <c r="AI68" s="460"/>
      <c r="AJ68" s="459"/>
      <c r="AK68" s="460"/>
      <c r="AL68" s="459"/>
      <c r="AM68" s="460"/>
      <c r="AN68" s="459"/>
      <c r="AO68" s="460"/>
      <c r="AP68" s="459"/>
      <c r="AQ68" s="460"/>
      <c r="AR68" s="459"/>
      <c r="AS68" s="460"/>
      <c r="AT68" s="80"/>
    </row>
    <row r="69" spans="2:46" x14ac:dyDescent="0.3">
      <c r="B69" s="479"/>
      <c r="C69" s="662" t="e">
        <f>C55/2</f>
        <v>#REF!</v>
      </c>
      <c r="D69" s="13"/>
      <c r="E69" s="4"/>
      <c r="F69" s="459"/>
      <c r="G69" s="460"/>
      <c r="H69" s="459"/>
      <c r="I69" s="460"/>
      <c r="J69" s="459"/>
      <c r="K69" s="460"/>
      <c r="L69" s="459"/>
      <c r="M69" s="460"/>
      <c r="N69" s="459"/>
      <c r="O69" s="460"/>
      <c r="P69" s="459"/>
      <c r="Q69" s="460"/>
      <c r="R69" s="459"/>
      <c r="S69" s="460"/>
      <c r="T69" s="459"/>
      <c r="U69" s="460"/>
      <c r="V69" s="459"/>
      <c r="W69" s="460"/>
      <c r="X69" s="459"/>
      <c r="Y69" s="460"/>
      <c r="Z69" s="459"/>
      <c r="AA69" s="460"/>
      <c r="AB69" s="459"/>
      <c r="AC69" s="460"/>
      <c r="AD69" s="459"/>
      <c r="AE69" s="460"/>
      <c r="AF69" s="459"/>
      <c r="AG69" s="460"/>
      <c r="AH69" s="459"/>
      <c r="AI69" s="460"/>
      <c r="AJ69" s="459"/>
      <c r="AK69" s="460"/>
      <c r="AL69" s="459"/>
      <c r="AM69" s="460"/>
      <c r="AN69" s="459"/>
      <c r="AO69" s="460"/>
      <c r="AP69" s="459"/>
      <c r="AQ69" s="460"/>
      <c r="AR69" s="459"/>
      <c r="AS69" s="460"/>
      <c r="AT69" s="80"/>
    </row>
    <row r="70" spans="2:46" x14ac:dyDescent="0.3">
      <c r="B70" s="479"/>
      <c r="C70" s="662"/>
      <c r="D70" s="13"/>
      <c r="E70" s="4"/>
      <c r="F70" s="459"/>
      <c r="G70" s="460"/>
      <c r="H70" s="459"/>
      <c r="I70" s="460"/>
      <c r="J70" s="459"/>
      <c r="K70" s="460"/>
      <c r="L70" s="459"/>
      <c r="M70" s="460"/>
      <c r="N70" s="459"/>
      <c r="O70" s="460"/>
      <c r="P70" s="459"/>
      <c r="Q70" s="460"/>
      <c r="R70" s="459"/>
      <c r="S70" s="460"/>
      <c r="T70" s="459"/>
      <c r="U70" s="460"/>
      <c r="V70" s="459"/>
      <c r="W70" s="460"/>
      <c r="X70" s="459"/>
      <c r="Y70" s="460"/>
      <c r="Z70" s="459"/>
      <c r="AA70" s="460"/>
      <c r="AB70" s="459"/>
      <c r="AC70" s="460"/>
      <c r="AD70" s="459"/>
      <c r="AE70" s="460"/>
      <c r="AF70" s="459"/>
      <c r="AG70" s="460"/>
      <c r="AH70" s="459"/>
      <c r="AI70" s="460"/>
      <c r="AJ70" s="459"/>
      <c r="AK70" s="460"/>
      <c r="AL70" s="459"/>
      <c r="AM70" s="460"/>
      <c r="AN70" s="459"/>
      <c r="AO70" s="460"/>
      <c r="AP70" s="459"/>
      <c r="AQ70" s="460"/>
      <c r="AR70" s="459"/>
      <c r="AS70" s="460"/>
      <c r="AT70" s="80"/>
    </row>
    <row r="71" spans="2:46" x14ac:dyDescent="0.3">
      <c r="B71" s="479"/>
      <c r="C71" s="662"/>
      <c r="D71" s="13"/>
      <c r="E71" s="4"/>
      <c r="F71" s="459"/>
      <c r="G71" s="460"/>
      <c r="H71" s="459"/>
      <c r="I71" s="460"/>
      <c r="J71" s="459"/>
      <c r="K71" s="460"/>
      <c r="L71" s="459"/>
      <c r="M71" s="460"/>
      <c r="N71" s="459"/>
      <c r="O71" s="460"/>
      <c r="P71" s="459"/>
      <c r="Q71" s="460"/>
      <c r="R71" s="459"/>
      <c r="S71" s="460"/>
      <c r="T71" s="459"/>
      <c r="U71" s="460"/>
      <c r="V71" s="459"/>
      <c r="W71" s="460"/>
      <c r="X71" s="459"/>
      <c r="Y71" s="460"/>
      <c r="Z71" s="459"/>
      <c r="AA71" s="460"/>
      <c r="AB71" s="459"/>
      <c r="AC71" s="460"/>
      <c r="AD71" s="459"/>
      <c r="AE71" s="460"/>
      <c r="AF71" s="459"/>
      <c r="AG71" s="460"/>
      <c r="AH71" s="459"/>
      <c r="AI71" s="460"/>
      <c r="AJ71" s="459"/>
      <c r="AK71" s="460"/>
      <c r="AL71" s="459"/>
      <c r="AM71" s="460"/>
      <c r="AN71" s="459"/>
      <c r="AO71" s="460"/>
      <c r="AP71" s="459"/>
      <c r="AQ71" s="460"/>
      <c r="AR71" s="459"/>
      <c r="AS71" s="460"/>
      <c r="AT71" s="80"/>
    </row>
    <row r="72" spans="2:46" x14ac:dyDescent="0.3">
      <c r="B72" s="479"/>
      <c r="C72" s="662"/>
      <c r="D72" s="13"/>
      <c r="E72" s="4"/>
      <c r="F72" s="459"/>
      <c r="G72" s="460"/>
      <c r="H72" s="459"/>
      <c r="I72" s="460"/>
      <c r="J72" s="459"/>
      <c r="K72" s="460"/>
      <c r="L72" s="459"/>
      <c r="M72" s="460"/>
      <c r="N72" s="459"/>
      <c r="O72" s="460"/>
      <c r="P72" s="459"/>
      <c r="Q72" s="460"/>
      <c r="R72" s="459"/>
      <c r="S72" s="460"/>
      <c r="T72" s="459"/>
      <c r="U72" s="460"/>
      <c r="V72" s="459"/>
      <c r="W72" s="460"/>
      <c r="X72" s="459"/>
      <c r="Y72" s="460"/>
      <c r="Z72" s="459"/>
      <c r="AA72" s="460"/>
      <c r="AB72" s="459"/>
      <c r="AC72" s="460"/>
      <c r="AD72" s="459"/>
      <c r="AE72" s="460"/>
      <c r="AF72" s="459"/>
      <c r="AG72" s="460"/>
      <c r="AH72" s="459"/>
      <c r="AI72" s="460"/>
      <c r="AJ72" s="459"/>
      <c r="AK72" s="460"/>
      <c r="AL72" s="459"/>
      <c r="AM72" s="460"/>
      <c r="AN72" s="459"/>
      <c r="AO72" s="460"/>
      <c r="AP72" s="459"/>
      <c r="AQ72" s="460"/>
      <c r="AR72" s="459"/>
      <c r="AS72" s="460"/>
      <c r="AT72" s="80"/>
    </row>
    <row r="73" spans="2:46" x14ac:dyDescent="0.3">
      <c r="B73" s="479"/>
      <c r="C73" s="662"/>
      <c r="D73" s="13"/>
      <c r="E73" s="4"/>
      <c r="F73" s="459"/>
      <c r="G73" s="460"/>
      <c r="H73" s="459"/>
      <c r="I73" s="460"/>
      <c r="J73" s="459"/>
      <c r="K73" s="460"/>
      <c r="L73" s="459"/>
      <c r="M73" s="460"/>
      <c r="N73" s="459"/>
      <c r="O73" s="460"/>
      <c r="P73" s="459"/>
      <c r="Q73" s="460"/>
      <c r="R73" s="459"/>
      <c r="S73" s="460"/>
      <c r="T73" s="459"/>
      <c r="U73" s="460"/>
      <c r="V73" s="459"/>
      <c r="W73" s="460"/>
      <c r="X73" s="459"/>
      <c r="Y73" s="460"/>
      <c r="Z73" s="459"/>
      <c r="AA73" s="460"/>
      <c r="AB73" s="459"/>
      <c r="AC73" s="460"/>
      <c r="AD73" s="459"/>
      <c r="AE73" s="460"/>
      <c r="AF73" s="459"/>
      <c r="AG73" s="460"/>
      <c r="AH73" s="459"/>
      <c r="AI73" s="460"/>
      <c r="AJ73" s="459"/>
      <c r="AK73" s="460"/>
      <c r="AL73" s="459"/>
      <c r="AM73" s="460"/>
      <c r="AN73" s="459"/>
      <c r="AO73" s="460"/>
      <c r="AP73" s="459"/>
      <c r="AQ73" s="460"/>
      <c r="AR73" s="459"/>
      <c r="AS73" s="460"/>
      <c r="AT73" s="80"/>
    </row>
    <row r="74" spans="2:46" x14ac:dyDescent="0.3">
      <c r="B74" s="479"/>
      <c r="C74" s="662"/>
      <c r="D74" s="13"/>
      <c r="E74" s="4"/>
      <c r="F74" s="459"/>
      <c r="G74" s="460"/>
      <c r="H74" s="459"/>
      <c r="I74" s="460"/>
      <c r="J74" s="459"/>
      <c r="K74" s="460"/>
      <c r="L74" s="459"/>
      <c r="M74" s="460"/>
      <c r="N74" s="459"/>
      <c r="O74" s="460"/>
      <c r="P74" s="459"/>
      <c r="Q74" s="460"/>
      <c r="R74" s="459"/>
      <c r="S74" s="460"/>
      <c r="T74" s="459"/>
      <c r="U74" s="460"/>
      <c r="V74" s="459"/>
      <c r="W74" s="460"/>
      <c r="X74" s="459"/>
      <c r="Y74" s="460"/>
      <c r="Z74" s="459"/>
      <c r="AA74" s="460"/>
      <c r="AB74" s="459"/>
      <c r="AC74" s="460"/>
      <c r="AD74" s="459"/>
      <c r="AE74" s="460"/>
      <c r="AF74" s="459"/>
      <c r="AG74" s="460"/>
      <c r="AH74" s="459"/>
      <c r="AI74" s="460"/>
      <c r="AJ74" s="459"/>
      <c r="AK74" s="460"/>
      <c r="AL74" s="459"/>
      <c r="AM74" s="460"/>
      <c r="AN74" s="459"/>
      <c r="AO74" s="460"/>
      <c r="AP74" s="459"/>
      <c r="AQ74" s="460"/>
      <c r="AR74" s="459"/>
      <c r="AS74" s="460"/>
      <c r="AT74" s="80"/>
    </row>
    <row r="75" spans="2:46" x14ac:dyDescent="0.3">
      <c r="B75" s="479"/>
      <c r="C75" s="662"/>
      <c r="D75" s="13"/>
      <c r="E75" s="4"/>
      <c r="F75" s="459"/>
      <c r="G75" s="460"/>
      <c r="H75" s="459"/>
      <c r="I75" s="460"/>
      <c r="J75" s="459"/>
      <c r="K75" s="460"/>
      <c r="L75" s="459"/>
      <c r="M75" s="460"/>
      <c r="N75" s="459"/>
      <c r="O75" s="460"/>
      <c r="P75" s="459"/>
      <c r="Q75" s="460"/>
      <c r="R75" s="459"/>
      <c r="S75" s="460"/>
      <c r="T75" s="459"/>
      <c r="U75" s="460"/>
      <c r="V75" s="459"/>
      <c r="W75" s="460"/>
      <c r="X75" s="459"/>
      <c r="Y75" s="460"/>
      <c r="Z75" s="459"/>
      <c r="AA75" s="460"/>
      <c r="AB75" s="459"/>
      <c r="AC75" s="460"/>
      <c r="AD75" s="459"/>
      <c r="AE75" s="460"/>
      <c r="AF75" s="459"/>
      <c r="AG75" s="460"/>
      <c r="AH75" s="459"/>
      <c r="AI75" s="460"/>
      <c r="AJ75" s="459"/>
      <c r="AK75" s="460"/>
      <c r="AL75" s="459"/>
      <c r="AM75" s="460"/>
      <c r="AN75" s="459"/>
      <c r="AO75" s="460"/>
      <c r="AP75" s="459"/>
      <c r="AQ75" s="460"/>
      <c r="AR75" s="459"/>
      <c r="AS75" s="460"/>
      <c r="AT75" s="80"/>
    </row>
    <row r="76" spans="2:46" x14ac:dyDescent="0.3">
      <c r="B76" s="479"/>
      <c r="C76" s="662"/>
      <c r="D76" s="13"/>
      <c r="E76" s="4"/>
      <c r="F76" s="459"/>
      <c r="G76" s="460"/>
      <c r="H76" s="459"/>
      <c r="I76" s="460"/>
      <c r="J76" s="459"/>
      <c r="K76" s="460"/>
      <c r="L76" s="459"/>
      <c r="M76" s="460"/>
      <c r="N76" s="459"/>
      <c r="O76" s="460"/>
      <c r="P76" s="459"/>
      <c r="Q76" s="460"/>
      <c r="R76" s="459"/>
      <c r="S76" s="460"/>
      <c r="T76" s="459"/>
      <c r="U76" s="460"/>
      <c r="V76" s="459"/>
      <c r="W76" s="460"/>
      <c r="X76" s="459"/>
      <c r="Y76" s="460"/>
      <c r="Z76" s="459"/>
      <c r="AA76" s="460"/>
      <c r="AB76" s="459"/>
      <c r="AC76" s="460"/>
      <c r="AD76" s="459"/>
      <c r="AE76" s="460"/>
      <c r="AF76" s="459"/>
      <c r="AG76" s="460"/>
      <c r="AH76" s="459"/>
      <c r="AI76" s="460"/>
      <c r="AJ76" s="459"/>
      <c r="AK76" s="460"/>
      <c r="AL76" s="459"/>
      <c r="AM76" s="460"/>
      <c r="AN76" s="459"/>
      <c r="AO76" s="460"/>
      <c r="AP76" s="459"/>
      <c r="AQ76" s="460"/>
      <c r="AR76" s="459"/>
      <c r="AS76" s="460"/>
      <c r="AT76" s="80"/>
    </row>
    <row r="77" spans="2:46" x14ac:dyDescent="0.3">
      <c r="B77" s="479"/>
      <c r="C77" s="662" t="e">
        <f>C69/2</f>
        <v>#REF!</v>
      </c>
      <c r="D77" s="13"/>
      <c r="E77" s="4"/>
      <c r="F77" s="459"/>
      <c r="G77" s="460"/>
      <c r="H77" s="459"/>
      <c r="I77" s="460"/>
      <c r="J77" s="459"/>
      <c r="K77" s="460"/>
      <c r="L77" s="459"/>
      <c r="M77" s="460"/>
      <c r="N77" s="459"/>
      <c r="O77" s="460"/>
      <c r="P77" s="459"/>
      <c r="Q77" s="460"/>
      <c r="R77" s="459"/>
      <c r="S77" s="460"/>
      <c r="T77" s="459"/>
      <c r="U77" s="460"/>
      <c r="V77" s="459"/>
      <c r="W77" s="460"/>
      <c r="X77" s="459"/>
      <c r="Y77" s="460"/>
      <c r="Z77" s="459"/>
      <c r="AA77" s="460"/>
      <c r="AB77" s="459"/>
      <c r="AC77" s="460"/>
      <c r="AD77" s="459"/>
      <c r="AE77" s="460"/>
      <c r="AF77" s="459"/>
      <c r="AG77" s="460"/>
      <c r="AH77" s="459"/>
      <c r="AI77" s="460"/>
      <c r="AJ77" s="459"/>
      <c r="AK77" s="460"/>
      <c r="AL77" s="459"/>
      <c r="AM77" s="460"/>
      <c r="AN77" s="459"/>
      <c r="AO77" s="460"/>
      <c r="AP77" s="459"/>
      <c r="AQ77" s="460"/>
      <c r="AR77" s="459"/>
      <c r="AS77" s="460"/>
      <c r="AT77" s="80"/>
    </row>
    <row r="78" spans="2:46" x14ac:dyDescent="0.3">
      <c r="B78" s="479"/>
      <c r="C78" s="662"/>
      <c r="D78" s="13"/>
      <c r="E78" s="4"/>
      <c r="F78" s="459"/>
      <c r="G78" s="460"/>
      <c r="H78" s="459"/>
      <c r="I78" s="460"/>
      <c r="J78" s="459"/>
      <c r="K78" s="460"/>
      <c r="L78" s="459"/>
      <c r="M78" s="460"/>
      <c r="N78" s="459"/>
      <c r="O78" s="460"/>
      <c r="P78" s="459"/>
      <c r="Q78" s="460"/>
      <c r="R78" s="459"/>
      <c r="S78" s="460"/>
      <c r="T78" s="459"/>
      <c r="U78" s="460"/>
      <c r="V78" s="459"/>
      <c r="W78" s="460"/>
      <c r="X78" s="459"/>
      <c r="Y78" s="460"/>
      <c r="Z78" s="459"/>
      <c r="AA78" s="460"/>
      <c r="AB78" s="459"/>
      <c r="AC78" s="460"/>
      <c r="AD78" s="459"/>
      <c r="AE78" s="460"/>
      <c r="AF78" s="459"/>
      <c r="AG78" s="460"/>
      <c r="AH78" s="459"/>
      <c r="AI78" s="460"/>
      <c r="AJ78" s="459"/>
      <c r="AK78" s="460"/>
      <c r="AL78" s="459"/>
      <c r="AM78" s="460"/>
      <c r="AN78" s="459"/>
      <c r="AO78" s="460"/>
      <c r="AP78" s="459"/>
      <c r="AQ78" s="460"/>
      <c r="AR78" s="459"/>
      <c r="AS78" s="460"/>
      <c r="AT78" s="80"/>
    </row>
    <row r="79" spans="2:46" x14ac:dyDescent="0.3">
      <c r="B79" s="479"/>
      <c r="C79" s="662"/>
      <c r="D79" s="13"/>
      <c r="E79" s="4"/>
      <c r="F79" s="459"/>
      <c r="G79" s="460"/>
      <c r="H79" s="459"/>
      <c r="I79" s="460"/>
      <c r="J79" s="459"/>
      <c r="K79" s="460"/>
      <c r="L79" s="459"/>
      <c r="M79" s="460"/>
      <c r="N79" s="459"/>
      <c r="O79" s="460"/>
      <c r="P79" s="459"/>
      <c r="Q79" s="460"/>
      <c r="R79" s="459"/>
      <c r="S79" s="460"/>
      <c r="T79" s="459"/>
      <c r="U79" s="460"/>
      <c r="V79" s="459"/>
      <c r="W79" s="460"/>
      <c r="X79" s="459"/>
      <c r="Y79" s="460"/>
      <c r="Z79" s="459"/>
      <c r="AA79" s="460"/>
      <c r="AB79" s="459"/>
      <c r="AC79" s="460"/>
      <c r="AD79" s="459"/>
      <c r="AE79" s="460"/>
      <c r="AF79" s="459"/>
      <c r="AG79" s="460"/>
      <c r="AH79" s="459"/>
      <c r="AI79" s="460"/>
      <c r="AJ79" s="459"/>
      <c r="AK79" s="460"/>
      <c r="AL79" s="459"/>
      <c r="AM79" s="460"/>
      <c r="AN79" s="459"/>
      <c r="AO79" s="460"/>
      <c r="AP79" s="459"/>
      <c r="AQ79" s="460"/>
      <c r="AR79" s="459"/>
      <c r="AS79" s="460"/>
      <c r="AT79" s="80"/>
    </row>
    <row r="80" spans="2:46" x14ac:dyDescent="0.3">
      <c r="B80" s="479"/>
      <c r="C80" s="662"/>
      <c r="D80" s="13"/>
      <c r="E80" s="4"/>
      <c r="F80" s="459"/>
      <c r="G80" s="460"/>
      <c r="H80" s="459"/>
      <c r="I80" s="460"/>
      <c r="J80" s="459"/>
      <c r="K80" s="460"/>
      <c r="L80" s="459"/>
      <c r="M80" s="460"/>
      <c r="N80" s="459"/>
      <c r="O80" s="460"/>
      <c r="P80" s="459"/>
      <c r="Q80" s="460"/>
      <c r="R80" s="459"/>
      <c r="S80" s="460"/>
      <c r="T80" s="459"/>
      <c r="U80" s="460"/>
      <c r="V80" s="459"/>
      <c r="W80" s="460"/>
      <c r="X80" s="459"/>
      <c r="Y80" s="460"/>
      <c r="Z80" s="459"/>
      <c r="AA80" s="460"/>
      <c r="AB80" s="459"/>
      <c r="AC80" s="460"/>
      <c r="AD80" s="459"/>
      <c r="AE80" s="460"/>
      <c r="AF80" s="459"/>
      <c r="AG80" s="460"/>
      <c r="AH80" s="459"/>
      <c r="AI80" s="460"/>
      <c r="AJ80" s="459"/>
      <c r="AK80" s="460"/>
      <c r="AL80" s="459"/>
      <c r="AM80" s="460"/>
      <c r="AN80" s="459"/>
      <c r="AO80" s="460"/>
      <c r="AP80" s="459"/>
      <c r="AQ80" s="460"/>
      <c r="AR80" s="459"/>
      <c r="AS80" s="460"/>
      <c r="AT80" s="80"/>
    </row>
    <row r="81" spans="2:46" x14ac:dyDescent="0.3">
      <c r="B81" s="479"/>
      <c r="C81" s="662" t="e">
        <f>C77/2</f>
        <v>#REF!</v>
      </c>
      <c r="D81" s="13"/>
      <c r="E81" s="4"/>
      <c r="F81" s="459"/>
      <c r="G81" s="460"/>
      <c r="H81" s="459"/>
      <c r="I81" s="460"/>
      <c r="J81" s="459"/>
      <c r="K81" s="460"/>
      <c r="L81" s="459"/>
      <c r="M81" s="460"/>
      <c r="N81" s="459"/>
      <c r="O81" s="460"/>
      <c r="P81" s="459"/>
      <c r="Q81" s="460"/>
      <c r="R81" s="459"/>
      <c r="S81" s="460"/>
      <c r="T81" s="459"/>
      <c r="U81" s="460"/>
      <c r="V81" s="459"/>
      <c r="W81" s="460"/>
      <c r="X81" s="459"/>
      <c r="Y81" s="460"/>
      <c r="Z81" s="459"/>
      <c r="AA81" s="460"/>
      <c r="AB81" s="459"/>
      <c r="AC81" s="460"/>
      <c r="AD81" s="459"/>
      <c r="AE81" s="460"/>
      <c r="AF81" s="459"/>
      <c r="AG81" s="460"/>
      <c r="AH81" s="459"/>
      <c r="AI81" s="460"/>
      <c r="AJ81" s="459"/>
      <c r="AK81" s="460"/>
      <c r="AL81" s="459"/>
      <c r="AM81" s="460"/>
      <c r="AN81" s="459"/>
      <c r="AO81" s="460"/>
      <c r="AP81" s="459"/>
      <c r="AQ81" s="460"/>
      <c r="AR81" s="459"/>
      <c r="AS81" s="460"/>
      <c r="AT81" s="80"/>
    </row>
    <row r="82" spans="2:46" x14ac:dyDescent="0.3">
      <c r="B82" s="479"/>
      <c r="C82" s="662"/>
      <c r="D82" s="13"/>
      <c r="E82" s="4"/>
      <c r="F82" s="459"/>
      <c r="G82" s="460"/>
      <c r="H82" s="459"/>
      <c r="I82" s="460"/>
      <c r="J82" s="459"/>
      <c r="K82" s="460"/>
      <c r="L82" s="459"/>
      <c r="M82" s="460"/>
      <c r="N82" s="459"/>
      <c r="O82" s="460"/>
      <c r="P82" s="459"/>
      <c r="Q82" s="460"/>
      <c r="R82" s="459"/>
      <c r="S82" s="460"/>
      <c r="T82" s="459"/>
      <c r="U82" s="460"/>
      <c r="V82" s="459"/>
      <c r="W82" s="460"/>
      <c r="X82" s="459"/>
      <c r="Y82" s="460"/>
      <c r="Z82" s="459"/>
      <c r="AA82" s="460"/>
      <c r="AB82" s="459"/>
      <c r="AC82" s="460"/>
      <c r="AD82" s="459"/>
      <c r="AE82" s="460"/>
      <c r="AF82" s="459"/>
      <c r="AG82" s="460"/>
      <c r="AH82" s="459"/>
      <c r="AI82" s="460"/>
      <c r="AJ82" s="459"/>
      <c r="AK82" s="460"/>
      <c r="AL82" s="459"/>
      <c r="AM82" s="460"/>
      <c r="AN82" s="459"/>
      <c r="AO82" s="460"/>
      <c r="AP82" s="459"/>
      <c r="AQ82" s="460"/>
      <c r="AR82" s="459"/>
      <c r="AS82" s="460"/>
      <c r="AT82" s="80"/>
    </row>
    <row r="83" spans="2:46" x14ac:dyDescent="0.3">
      <c r="B83" s="479"/>
      <c r="C83" s="499"/>
      <c r="D83" s="3"/>
      <c r="E83" s="8"/>
      <c r="F83" s="459"/>
      <c r="G83" s="460"/>
      <c r="H83" s="459"/>
      <c r="I83" s="460"/>
      <c r="J83" s="459"/>
      <c r="K83" s="460"/>
      <c r="L83" s="459"/>
      <c r="M83" s="460"/>
      <c r="N83" s="459"/>
      <c r="O83" s="460"/>
      <c r="P83" s="459"/>
      <c r="Q83" s="460"/>
      <c r="R83" s="459"/>
      <c r="S83" s="460"/>
      <c r="T83" s="459"/>
      <c r="U83" s="460"/>
      <c r="V83" s="459"/>
      <c r="W83" s="460"/>
      <c r="X83" s="459"/>
      <c r="Y83" s="460"/>
      <c r="Z83" s="459"/>
      <c r="AA83" s="460"/>
      <c r="AB83" s="459"/>
      <c r="AC83" s="460"/>
      <c r="AD83" s="459"/>
      <c r="AE83" s="460"/>
      <c r="AF83" s="459"/>
      <c r="AG83" s="460"/>
      <c r="AH83" s="459"/>
      <c r="AI83" s="460"/>
      <c r="AJ83" s="459"/>
      <c r="AK83" s="460"/>
      <c r="AL83" s="459"/>
      <c r="AM83" s="460"/>
      <c r="AN83" s="459"/>
      <c r="AO83" s="460"/>
      <c r="AP83" s="459"/>
      <c r="AQ83" s="460"/>
      <c r="AR83" s="459"/>
      <c r="AS83" s="460"/>
      <c r="AT83" s="76"/>
    </row>
    <row r="84" spans="2:46" ht="15" thickBot="1" x14ac:dyDescent="0.35">
      <c r="B84" s="480"/>
      <c r="C84" s="500"/>
      <c r="D84" s="85"/>
      <c r="E84" s="86"/>
      <c r="F84" s="494"/>
      <c r="G84" s="495"/>
      <c r="H84" s="494"/>
      <c r="I84" s="495"/>
      <c r="J84" s="494"/>
      <c r="K84" s="495"/>
      <c r="L84" s="494"/>
      <c r="M84" s="495"/>
      <c r="N84" s="494"/>
      <c r="O84" s="495"/>
      <c r="P84" s="494"/>
      <c r="Q84" s="495"/>
      <c r="R84" s="494"/>
      <c r="S84" s="495"/>
      <c r="T84" s="494"/>
      <c r="U84" s="495"/>
      <c r="V84" s="494"/>
      <c r="W84" s="495"/>
      <c r="X84" s="494"/>
      <c r="Y84" s="495"/>
      <c r="Z84" s="494"/>
      <c r="AA84" s="495"/>
      <c r="AB84" s="494"/>
      <c r="AC84" s="495"/>
      <c r="AD84" s="494"/>
      <c r="AE84" s="495"/>
      <c r="AF84" s="494"/>
      <c r="AG84" s="495"/>
      <c r="AH84" s="494"/>
      <c r="AI84" s="495"/>
      <c r="AJ84" s="494"/>
      <c r="AK84" s="495"/>
      <c r="AL84" s="494"/>
      <c r="AM84" s="495"/>
      <c r="AN84" s="494"/>
      <c r="AO84" s="495"/>
      <c r="AP84" s="494"/>
      <c r="AQ84" s="495"/>
      <c r="AR84" s="494"/>
      <c r="AS84" s="495"/>
      <c r="AT84" s="87"/>
    </row>
    <row r="85" spans="2:46" s="48" customFormat="1" ht="26.4" thickTop="1" x14ac:dyDescent="0.5">
      <c r="E85" s="493">
        <v>1</v>
      </c>
      <c r="F85" s="493"/>
      <c r="G85" s="493">
        <v>2</v>
      </c>
      <c r="H85" s="493"/>
      <c r="I85" s="493">
        <v>3</v>
      </c>
      <c r="J85" s="493"/>
      <c r="K85" s="493">
        <v>4</v>
      </c>
      <c r="L85" s="493"/>
      <c r="M85" s="493">
        <v>5</v>
      </c>
      <c r="N85" s="493"/>
      <c r="O85" s="493">
        <v>6</v>
      </c>
      <c r="P85" s="493"/>
      <c r="Q85" s="493">
        <v>7</v>
      </c>
      <c r="R85" s="493"/>
      <c r="S85" s="493">
        <v>8</v>
      </c>
      <c r="T85" s="493"/>
      <c r="U85" s="493">
        <v>9</v>
      </c>
      <c r="V85" s="493"/>
      <c r="W85" s="493">
        <v>10</v>
      </c>
      <c r="X85" s="493"/>
      <c r="Y85" s="493">
        <v>11</v>
      </c>
      <c r="Z85" s="493"/>
      <c r="AA85" s="493">
        <v>12</v>
      </c>
      <c r="AB85" s="493"/>
      <c r="AC85" s="493">
        <v>13</v>
      </c>
      <c r="AD85" s="493"/>
      <c r="AE85" s="493">
        <v>14</v>
      </c>
      <c r="AF85" s="493"/>
      <c r="AG85" s="493">
        <v>15</v>
      </c>
      <c r="AH85" s="493"/>
      <c r="AI85" s="493">
        <v>16</v>
      </c>
      <c r="AJ85" s="493"/>
      <c r="AK85" s="493">
        <v>17</v>
      </c>
      <c r="AL85" s="493"/>
      <c r="AM85" s="493">
        <v>18</v>
      </c>
      <c r="AN85" s="493"/>
      <c r="AO85" s="493">
        <v>19</v>
      </c>
      <c r="AP85" s="493"/>
      <c r="AQ85" s="493">
        <v>20</v>
      </c>
      <c r="AR85" s="493"/>
      <c r="AS85" s="493">
        <v>21</v>
      </c>
      <c r="AT85" s="493"/>
    </row>
    <row r="86" spans="2:46" s="47" customFormat="1" ht="29.4" thickBot="1" x14ac:dyDescent="0.55000000000000004">
      <c r="B86" s="99" t="s">
        <v>91</v>
      </c>
      <c r="C86" s="99"/>
      <c r="D86" s="99"/>
      <c r="E86" s="99"/>
      <c r="F86" s="99"/>
      <c r="G86" s="99"/>
      <c r="H86" s="99" t="s">
        <v>88</v>
      </c>
      <c r="I86" s="99"/>
      <c r="J86" s="99"/>
      <c r="K86" s="99"/>
      <c r="L86" s="99"/>
      <c r="M86" s="99"/>
      <c r="N86" s="99"/>
      <c r="O86" s="99"/>
      <c r="P86" s="99"/>
      <c r="Q86" s="99"/>
      <c r="R86" s="99"/>
      <c r="S86" s="99"/>
      <c r="T86" s="99"/>
      <c r="U86" s="99"/>
      <c r="V86" s="99"/>
      <c r="W86" s="99"/>
      <c r="X86" s="99"/>
      <c r="Y86" s="99"/>
      <c r="Z86" s="99"/>
      <c r="AA86" s="99"/>
      <c r="AB86" s="100" t="s">
        <v>8</v>
      </c>
      <c r="AC86" s="99"/>
      <c r="AD86" s="496" t="s">
        <v>9</v>
      </c>
      <c r="AE86" s="496"/>
      <c r="AF86" s="496"/>
      <c r="AG86" s="496"/>
      <c r="AH86" s="99"/>
      <c r="AI86" s="99"/>
      <c r="AJ86" s="497" t="s">
        <v>10</v>
      </c>
      <c r="AK86" s="497"/>
      <c r="AL86" s="497"/>
      <c r="AM86" s="497"/>
      <c r="AN86" s="99"/>
      <c r="AO86" s="99"/>
      <c r="AP86" s="498" t="s">
        <v>11</v>
      </c>
      <c r="AQ86" s="498"/>
      <c r="AR86" s="498"/>
      <c r="AS86" s="498"/>
    </row>
    <row r="87" spans="2:46" s="48" customFormat="1" ht="25.8" x14ac:dyDescent="0.5"/>
    <row r="88" spans="2:46" s="48" customFormat="1" ht="25.8" x14ac:dyDescent="0.5"/>
    <row r="89" spans="2:46" x14ac:dyDescent="0.3">
      <c r="B89" s="23"/>
    </row>
  </sheetData>
  <mergeCells count="1614">
    <mergeCell ref="L2:W2"/>
    <mergeCell ref="AC2:AJ2"/>
    <mergeCell ref="AK2:AT2"/>
    <mergeCell ref="L4:AC4"/>
    <mergeCell ref="AK4:AT4"/>
    <mergeCell ref="B6:D6"/>
    <mergeCell ref="E6:F6"/>
    <mergeCell ref="G6:H6"/>
    <mergeCell ref="I6:J6"/>
    <mergeCell ref="K6:L6"/>
    <mergeCell ref="AK6:AL6"/>
    <mergeCell ref="AM6:AN6"/>
    <mergeCell ref="AO6:AP6"/>
    <mergeCell ref="AQ6:AR6"/>
    <mergeCell ref="AS6:AT6"/>
    <mergeCell ref="B7:D7"/>
    <mergeCell ref="E7:F7"/>
    <mergeCell ref="G7:H7"/>
    <mergeCell ref="I7:J7"/>
    <mergeCell ref="K7:L7"/>
    <mergeCell ref="Y6:Z6"/>
    <mergeCell ref="AA6:AB6"/>
    <mergeCell ref="AC6:AD6"/>
    <mergeCell ref="AE6:AF6"/>
    <mergeCell ref="AG6:AH6"/>
    <mergeCell ref="AI6:AJ6"/>
    <mergeCell ref="M6:N6"/>
    <mergeCell ref="O6:P6"/>
    <mergeCell ref="Q6:R6"/>
    <mergeCell ref="S6:T6"/>
    <mergeCell ref="U6:V6"/>
    <mergeCell ref="W6:X6"/>
    <mergeCell ref="B8:D8"/>
    <mergeCell ref="E8:F8"/>
    <mergeCell ref="G8:H8"/>
    <mergeCell ref="I8:J8"/>
    <mergeCell ref="K8:L8"/>
    <mergeCell ref="Y7:Z7"/>
    <mergeCell ref="AA7:AB7"/>
    <mergeCell ref="AC7:AD7"/>
    <mergeCell ref="AE7:AF7"/>
    <mergeCell ref="AG7:AH7"/>
    <mergeCell ref="AI7:AJ7"/>
    <mergeCell ref="M7:N7"/>
    <mergeCell ref="O7:P7"/>
    <mergeCell ref="Q7:R7"/>
    <mergeCell ref="S7:T7"/>
    <mergeCell ref="U7:V7"/>
    <mergeCell ref="W7:X7"/>
    <mergeCell ref="Y8:Z8"/>
    <mergeCell ref="AA8:AB8"/>
    <mergeCell ref="AC8:AD8"/>
    <mergeCell ref="AE8:AF8"/>
    <mergeCell ref="AG8:AH8"/>
    <mergeCell ref="AI8:AJ8"/>
    <mergeCell ref="M8:N8"/>
    <mergeCell ref="O8:P8"/>
    <mergeCell ref="Q8:R8"/>
    <mergeCell ref="S8:T8"/>
    <mergeCell ref="U8:V8"/>
    <mergeCell ref="W8:X8"/>
    <mergeCell ref="AK7:AL7"/>
    <mergeCell ref="AM7:AN7"/>
    <mergeCell ref="AO7:AP7"/>
    <mergeCell ref="AQ7:AR7"/>
    <mergeCell ref="AS7:AT7"/>
    <mergeCell ref="AK8:AL8"/>
    <mergeCell ref="AM8:AN8"/>
    <mergeCell ref="AO8:AP8"/>
    <mergeCell ref="AQ8:AR8"/>
    <mergeCell ref="AS8:AT8"/>
    <mergeCell ref="AK9:AL9"/>
    <mergeCell ref="AM9:AN9"/>
    <mergeCell ref="AO9:AP9"/>
    <mergeCell ref="AQ9:AR9"/>
    <mergeCell ref="AS9:AT9"/>
    <mergeCell ref="B10:D10"/>
    <mergeCell ref="E10:F10"/>
    <mergeCell ref="G10:H10"/>
    <mergeCell ref="I10:J10"/>
    <mergeCell ref="K10:L10"/>
    <mergeCell ref="Y9:Z9"/>
    <mergeCell ref="AA9:AB9"/>
    <mergeCell ref="AC9:AD9"/>
    <mergeCell ref="AE9:AF9"/>
    <mergeCell ref="AG9:AH9"/>
    <mergeCell ref="AI9:AJ9"/>
    <mergeCell ref="M9:N9"/>
    <mergeCell ref="O9:P9"/>
    <mergeCell ref="Q9:R9"/>
    <mergeCell ref="S9:T9"/>
    <mergeCell ref="U9:V9"/>
    <mergeCell ref="W9:X9"/>
    <mergeCell ref="AK10:AL10"/>
    <mergeCell ref="AM10:AN10"/>
    <mergeCell ref="AO10:AP10"/>
    <mergeCell ref="AQ10:AR10"/>
    <mergeCell ref="AS10:AT10"/>
    <mergeCell ref="B9:D9"/>
    <mergeCell ref="E9:F9"/>
    <mergeCell ref="G9:H9"/>
    <mergeCell ref="I9:J9"/>
    <mergeCell ref="K9:L9"/>
    <mergeCell ref="B11:D11"/>
    <mergeCell ref="E11:F11"/>
    <mergeCell ref="G11:H11"/>
    <mergeCell ref="I11:J11"/>
    <mergeCell ref="M11:N11"/>
    <mergeCell ref="Y10:Z10"/>
    <mergeCell ref="AA10:AB10"/>
    <mergeCell ref="AC10:AD10"/>
    <mergeCell ref="AE10:AF10"/>
    <mergeCell ref="AG10:AH10"/>
    <mergeCell ref="AI10:AJ10"/>
    <mergeCell ref="M10:N10"/>
    <mergeCell ref="O10:P10"/>
    <mergeCell ref="Q10:R10"/>
    <mergeCell ref="S10:T10"/>
    <mergeCell ref="U10:V10"/>
    <mergeCell ref="W10:X10"/>
    <mergeCell ref="AM11:AN11"/>
    <mergeCell ref="AO11:AP11"/>
    <mergeCell ref="AQ11:AR11"/>
    <mergeCell ref="AS11:AT11"/>
    <mergeCell ref="B12:B50"/>
    <mergeCell ref="F12:G12"/>
    <mergeCell ref="H12:I12"/>
    <mergeCell ref="J12:K12"/>
    <mergeCell ref="L12:M12"/>
    <mergeCell ref="N12:O12"/>
    <mergeCell ref="AA11:AB11"/>
    <mergeCell ref="AC11:AD11"/>
    <mergeCell ref="AE11:AF11"/>
    <mergeCell ref="AG11:AH11"/>
    <mergeCell ref="AI11:AJ11"/>
    <mergeCell ref="AK11:AL11"/>
    <mergeCell ref="O11:P11"/>
    <mergeCell ref="Q11:R11"/>
    <mergeCell ref="S11:T11"/>
    <mergeCell ref="U11:V11"/>
    <mergeCell ref="W11:X11"/>
    <mergeCell ref="Y11:Z11"/>
    <mergeCell ref="C15:C18"/>
    <mergeCell ref="F15:G15"/>
    <mergeCell ref="H15:I15"/>
    <mergeCell ref="J15:K15"/>
    <mergeCell ref="L15:M15"/>
    <mergeCell ref="N15:O15"/>
    <mergeCell ref="P15:Q15"/>
    <mergeCell ref="R15:S15"/>
    <mergeCell ref="T15:U15"/>
    <mergeCell ref="Z16:AA16"/>
    <mergeCell ref="AB16:AC16"/>
    <mergeCell ref="F16:G16"/>
    <mergeCell ref="H16:I16"/>
    <mergeCell ref="J16:K16"/>
    <mergeCell ref="AN12:AO12"/>
    <mergeCell ref="AP12:AQ12"/>
    <mergeCell ref="AR12:AS12"/>
    <mergeCell ref="C13:C14"/>
    <mergeCell ref="F13:G13"/>
    <mergeCell ref="H13:I13"/>
    <mergeCell ref="J13:K13"/>
    <mergeCell ref="L13:M13"/>
    <mergeCell ref="N13:O13"/>
    <mergeCell ref="P13:Q13"/>
    <mergeCell ref="AB12:AC12"/>
    <mergeCell ref="AD12:AE12"/>
    <mergeCell ref="AF12:AG12"/>
    <mergeCell ref="AH12:AI12"/>
    <mergeCell ref="AJ12:AK12"/>
    <mergeCell ref="AL12:AM12"/>
    <mergeCell ref="P12:Q12"/>
    <mergeCell ref="R12:S12"/>
    <mergeCell ref="T12:U12"/>
    <mergeCell ref="V12:W12"/>
    <mergeCell ref="X12:Y12"/>
    <mergeCell ref="Z12:AA12"/>
    <mergeCell ref="AP13:AQ13"/>
    <mergeCell ref="AR13:AS13"/>
    <mergeCell ref="AD14:AE14"/>
    <mergeCell ref="AT13:AT14"/>
    <mergeCell ref="F14:G14"/>
    <mergeCell ref="H14:I14"/>
    <mergeCell ref="J14:K14"/>
    <mergeCell ref="L14:M14"/>
    <mergeCell ref="N14:O14"/>
    <mergeCell ref="P14:Q14"/>
    <mergeCell ref="R14:S14"/>
    <mergeCell ref="AD13:AE13"/>
    <mergeCell ref="AF13:AG13"/>
    <mergeCell ref="AH13:AI13"/>
    <mergeCell ref="AJ13:AK13"/>
    <mergeCell ref="AL13:AM13"/>
    <mergeCell ref="AN13:AO13"/>
    <mergeCell ref="R13:S13"/>
    <mergeCell ref="T13:U13"/>
    <mergeCell ref="V13:W13"/>
    <mergeCell ref="X13:Y13"/>
    <mergeCell ref="Z13:AA13"/>
    <mergeCell ref="AB13:AC13"/>
    <mergeCell ref="AR14:AS14"/>
    <mergeCell ref="AF14:AG14"/>
    <mergeCell ref="AH14:AI14"/>
    <mergeCell ref="AJ14:AK14"/>
    <mergeCell ref="AL14:AM14"/>
    <mergeCell ref="AN14:AO14"/>
    <mergeCell ref="AP14:AQ14"/>
    <mergeCell ref="T14:U14"/>
    <mergeCell ref="V14:W14"/>
    <mergeCell ref="X14:Y14"/>
    <mergeCell ref="Z14:AA14"/>
    <mergeCell ref="AB14:AC14"/>
    <mergeCell ref="AH15:AI15"/>
    <mergeCell ref="AJ15:AK15"/>
    <mergeCell ref="AL15:AM15"/>
    <mergeCell ref="AN15:AO15"/>
    <mergeCell ref="AP15:AQ15"/>
    <mergeCell ref="AR15:AS15"/>
    <mergeCell ref="V15:W15"/>
    <mergeCell ref="X15:Y15"/>
    <mergeCell ref="Z15:AA15"/>
    <mergeCell ref="AB15:AC15"/>
    <mergeCell ref="AD15:AE15"/>
    <mergeCell ref="AF15:AG15"/>
    <mergeCell ref="AH17:AI17"/>
    <mergeCell ref="AJ17:AK17"/>
    <mergeCell ref="AL17:AM17"/>
    <mergeCell ref="AN17:AO17"/>
    <mergeCell ref="AP17:AQ17"/>
    <mergeCell ref="AR17:AS17"/>
    <mergeCell ref="V17:W17"/>
    <mergeCell ref="X17:Y17"/>
    <mergeCell ref="Z17:AA17"/>
    <mergeCell ref="AB17:AC17"/>
    <mergeCell ref="AD17:AE17"/>
    <mergeCell ref="AF17:AG17"/>
    <mergeCell ref="AP16:AQ16"/>
    <mergeCell ref="AR16:AS16"/>
    <mergeCell ref="F17:G17"/>
    <mergeCell ref="H17:I17"/>
    <mergeCell ref="J17:K17"/>
    <mergeCell ref="L17:M17"/>
    <mergeCell ref="N17:O17"/>
    <mergeCell ref="P17:Q17"/>
    <mergeCell ref="R17:S17"/>
    <mergeCell ref="T17:U17"/>
    <mergeCell ref="AD16:AE16"/>
    <mergeCell ref="AF16:AG16"/>
    <mergeCell ref="AH16:AI16"/>
    <mergeCell ref="AJ16:AK16"/>
    <mergeCell ref="AL16:AM16"/>
    <mergeCell ref="AN16:AO16"/>
    <mergeCell ref="R16:S16"/>
    <mergeCell ref="T16:U16"/>
    <mergeCell ref="V16:W16"/>
    <mergeCell ref="X16:Y16"/>
    <mergeCell ref="L16:M16"/>
    <mergeCell ref="N16:O16"/>
    <mergeCell ref="P16:Q16"/>
    <mergeCell ref="AP18:AQ18"/>
    <mergeCell ref="AR18:AS18"/>
    <mergeCell ref="C19:C20"/>
    <mergeCell ref="AT19:AT20"/>
    <mergeCell ref="F20:G20"/>
    <mergeCell ref="H20:I20"/>
    <mergeCell ref="J20:K20"/>
    <mergeCell ref="L20:M20"/>
    <mergeCell ref="N20:O20"/>
    <mergeCell ref="P20:Q20"/>
    <mergeCell ref="AD18:AE18"/>
    <mergeCell ref="AF18:AG18"/>
    <mergeCell ref="AH18:AI18"/>
    <mergeCell ref="AJ18:AK18"/>
    <mergeCell ref="AL18:AM18"/>
    <mergeCell ref="AN18:AO18"/>
    <mergeCell ref="R18:S18"/>
    <mergeCell ref="T18:U18"/>
    <mergeCell ref="V18:W18"/>
    <mergeCell ref="X18:Y18"/>
    <mergeCell ref="Z18:AA18"/>
    <mergeCell ref="AB18:AC18"/>
    <mergeCell ref="F18:G18"/>
    <mergeCell ref="H18:I18"/>
    <mergeCell ref="J18:K18"/>
    <mergeCell ref="L18:M18"/>
    <mergeCell ref="N18:O18"/>
    <mergeCell ref="P18:Q18"/>
    <mergeCell ref="AP20:AQ20"/>
    <mergeCell ref="AR20:AS20"/>
    <mergeCell ref="C21:C24"/>
    <mergeCell ref="F21:G21"/>
    <mergeCell ref="H21:I21"/>
    <mergeCell ref="J21:K21"/>
    <mergeCell ref="L21:M21"/>
    <mergeCell ref="N21:O21"/>
    <mergeCell ref="P21:Q21"/>
    <mergeCell ref="R21:S21"/>
    <mergeCell ref="AD20:AE20"/>
    <mergeCell ref="AF20:AG20"/>
    <mergeCell ref="AH20:AI20"/>
    <mergeCell ref="AJ20:AK20"/>
    <mergeCell ref="AL20:AM20"/>
    <mergeCell ref="AN20:AO20"/>
    <mergeCell ref="R20:S20"/>
    <mergeCell ref="T20:U20"/>
    <mergeCell ref="V20:W20"/>
    <mergeCell ref="X20:Y20"/>
    <mergeCell ref="Z20:AA20"/>
    <mergeCell ref="AB20:AC20"/>
    <mergeCell ref="AJ22:AK22"/>
    <mergeCell ref="AL22:AM22"/>
    <mergeCell ref="AN22:AO22"/>
    <mergeCell ref="AD21:AE21"/>
    <mergeCell ref="X24:Y24"/>
    <mergeCell ref="Z24:AA24"/>
    <mergeCell ref="AB24:AC24"/>
    <mergeCell ref="AD24:AE24"/>
    <mergeCell ref="AN23:AO23"/>
    <mergeCell ref="AP22:AQ22"/>
    <mergeCell ref="AR22:AS22"/>
    <mergeCell ref="F23:G23"/>
    <mergeCell ref="H23:I23"/>
    <mergeCell ref="J23:K23"/>
    <mergeCell ref="X22:Y22"/>
    <mergeCell ref="Z22:AA22"/>
    <mergeCell ref="AB22:AC22"/>
    <mergeCell ref="AD22:AE22"/>
    <mergeCell ref="AF22:AG22"/>
    <mergeCell ref="AH22:AI22"/>
    <mergeCell ref="AR21:AS21"/>
    <mergeCell ref="F22:G22"/>
    <mergeCell ref="H22:I22"/>
    <mergeCell ref="J22:K22"/>
    <mergeCell ref="L22:M22"/>
    <mergeCell ref="N22:O22"/>
    <mergeCell ref="P22:Q22"/>
    <mergeCell ref="R22:S22"/>
    <mergeCell ref="T22:U22"/>
    <mergeCell ref="V22:W22"/>
    <mergeCell ref="AF21:AG21"/>
    <mergeCell ref="AH21:AI21"/>
    <mergeCell ref="AJ21:AK21"/>
    <mergeCell ref="AL21:AM21"/>
    <mergeCell ref="AN21:AO21"/>
    <mergeCell ref="AP21:AQ21"/>
    <mergeCell ref="T21:U21"/>
    <mergeCell ref="V21:W21"/>
    <mergeCell ref="X21:Y21"/>
    <mergeCell ref="Z21:AA21"/>
    <mergeCell ref="AB21:AC21"/>
    <mergeCell ref="AP23:AQ23"/>
    <mergeCell ref="AR23:AS23"/>
    <mergeCell ref="F24:G24"/>
    <mergeCell ref="H24:I24"/>
    <mergeCell ref="J24:K24"/>
    <mergeCell ref="L24:M24"/>
    <mergeCell ref="N24:O24"/>
    <mergeCell ref="P24:Q24"/>
    <mergeCell ref="R24:S24"/>
    <mergeCell ref="AB23:AC23"/>
    <mergeCell ref="AD23:AE23"/>
    <mergeCell ref="AF23:AG23"/>
    <mergeCell ref="AH23:AI23"/>
    <mergeCell ref="AJ23:AK23"/>
    <mergeCell ref="AL23:AM23"/>
    <mergeCell ref="P23:Q23"/>
    <mergeCell ref="R23:S23"/>
    <mergeCell ref="T23:U23"/>
    <mergeCell ref="V23:W23"/>
    <mergeCell ref="X23:Y23"/>
    <mergeCell ref="Z23:AA23"/>
    <mergeCell ref="L23:M23"/>
    <mergeCell ref="N23:O23"/>
    <mergeCell ref="N26:O26"/>
    <mergeCell ref="P26:Q26"/>
    <mergeCell ref="AH25:AI25"/>
    <mergeCell ref="AJ25:AK25"/>
    <mergeCell ref="AL25:AM25"/>
    <mergeCell ref="AN25:AO25"/>
    <mergeCell ref="AP25:AQ25"/>
    <mergeCell ref="AR25:AS25"/>
    <mergeCell ref="V25:W25"/>
    <mergeCell ref="X25:Y25"/>
    <mergeCell ref="Z25:AA25"/>
    <mergeCell ref="AB25:AC25"/>
    <mergeCell ref="AD25:AE25"/>
    <mergeCell ref="AF25:AG25"/>
    <mergeCell ref="AR24:AS24"/>
    <mergeCell ref="C25:C26"/>
    <mergeCell ref="F25:G25"/>
    <mergeCell ref="H25:I25"/>
    <mergeCell ref="J25:K25"/>
    <mergeCell ref="L25:M25"/>
    <mergeCell ref="N25:O25"/>
    <mergeCell ref="P25:Q25"/>
    <mergeCell ref="R25:S25"/>
    <mergeCell ref="T25:U25"/>
    <mergeCell ref="AF24:AG24"/>
    <mergeCell ref="AH24:AI24"/>
    <mergeCell ref="AJ24:AK24"/>
    <mergeCell ref="AL24:AM24"/>
    <mergeCell ref="AN24:AO24"/>
    <mergeCell ref="AP24:AQ24"/>
    <mergeCell ref="T24:U24"/>
    <mergeCell ref="V24:W24"/>
    <mergeCell ref="T27:U27"/>
    <mergeCell ref="V27:W27"/>
    <mergeCell ref="X27:Y27"/>
    <mergeCell ref="Z27:AA27"/>
    <mergeCell ref="AB27:AC27"/>
    <mergeCell ref="AD27:AE27"/>
    <mergeCell ref="AP26:AQ26"/>
    <mergeCell ref="AR26:AS26"/>
    <mergeCell ref="C27:C30"/>
    <mergeCell ref="F27:G27"/>
    <mergeCell ref="H27:I27"/>
    <mergeCell ref="J27:K27"/>
    <mergeCell ref="L27:M27"/>
    <mergeCell ref="N27:O27"/>
    <mergeCell ref="P27:Q27"/>
    <mergeCell ref="R27:S27"/>
    <mergeCell ref="AD26:AE26"/>
    <mergeCell ref="AF26:AG26"/>
    <mergeCell ref="AH26:AI26"/>
    <mergeCell ref="AJ26:AK26"/>
    <mergeCell ref="AL26:AM26"/>
    <mergeCell ref="AN26:AO26"/>
    <mergeCell ref="R26:S26"/>
    <mergeCell ref="T26:U26"/>
    <mergeCell ref="V26:W26"/>
    <mergeCell ref="X26:Y26"/>
    <mergeCell ref="Z26:AA26"/>
    <mergeCell ref="AB26:AC26"/>
    <mergeCell ref="F26:G26"/>
    <mergeCell ref="H26:I26"/>
    <mergeCell ref="J26:K26"/>
    <mergeCell ref="L26:M26"/>
    <mergeCell ref="AJ28:AK28"/>
    <mergeCell ref="AL28:AM28"/>
    <mergeCell ref="AN28:AO28"/>
    <mergeCell ref="AP28:AQ28"/>
    <mergeCell ref="AR28:AS28"/>
    <mergeCell ref="F29:G29"/>
    <mergeCell ref="H29:I29"/>
    <mergeCell ref="J29:K29"/>
    <mergeCell ref="L29:M29"/>
    <mergeCell ref="N29:O29"/>
    <mergeCell ref="X28:Y28"/>
    <mergeCell ref="Z28:AA28"/>
    <mergeCell ref="AB28:AC28"/>
    <mergeCell ref="AD28:AE28"/>
    <mergeCell ref="AF28:AG28"/>
    <mergeCell ref="AH28:AI28"/>
    <mergeCell ref="AR27:AS27"/>
    <mergeCell ref="F28:G28"/>
    <mergeCell ref="H28:I28"/>
    <mergeCell ref="J28:K28"/>
    <mergeCell ref="L28:M28"/>
    <mergeCell ref="N28:O28"/>
    <mergeCell ref="P28:Q28"/>
    <mergeCell ref="R28:S28"/>
    <mergeCell ref="T28:U28"/>
    <mergeCell ref="V28:W28"/>
    <mergeCell ref="AF27:AG27"/>
    <mergeCell ref="AH27:AI27"/>
    <mergeCell ref="AJ27:AK27"/>
    <mergeCell ref="AL27:AM27"/>
    <mergeCell ref="AN27:AO27"/>
    <mergeCell ref="AP27:AQ27"/>
    <mergeCell ref="AN29:AO29"/>
    <mergeCell ref="AP29:AQ29"/>
    <mergeCell ref="AR29:AS29"/>
    <mergeCell ref="F30:G30"/>
    <mergeCell ref="H30:I30"/>
    <mergeCell ref="J30:K30"/>
    <mergeCell ref="L30:M30"/>
    <mergeCell ref="N30:O30"/>
    <mergeCell ref="P30:Q30"/>
    <mergeCell ref="R30:S30"/>
    <mergeCell ref="AB29:AC29"/>
    <mergeCell ref="AD29:AE29"/>
    <mergeCell ref="AF29:AG29"/>
    <mergeCell ref="AH29:AI29"/>
    <mergeCell ref="AJ29:AK29"/>
    <mergeCell ref="AL29:AM29"/>
    <mergeCell ref="P29:Q29"/>
    <mergeCell ref="R29:S29"/>
    <mergeCell ref="T29:U29"/>
    <mergeCell ref="V29:W29"/>
    <mergeCell ref="X29:Y29"/>
    <mergeCell ref="Z29:AA29"/>
    <mergeCell ref="V31:W31"/>
    <mergeCell ref="X31:Y31"/>
    <mergeCell ref="Z31:AA31"/>
    <mergeCell ref="AB31:AC31"/>
    <mergeCell ref="AD31:AE31"/>
    <mergeCell ref="AF31:AG31"/>
    <mergeCell ref="AR30:AS30"/>
    <mergeCell ref="C31:C32"/>
    <mergeCell ref="F31:G31"/>
    <mergeCell ref="H31:I31"/>
    <mergeCell ref="J31:K31"/>
    <mergeCell ref="L31:M31"/>
    <mergeCell ref="N31:O31"/>
    <mergeCell ref="P31:Q31"/>
    <mergeCell ref="R31:S31"/>
    <mergeCell ref="T31:U31"/>
    <mergeCell ref="AF30:AG30"/>
    <mergeCell ref="AH30:AI30"/>
    <mergeCell ref="AJ30:AK30"/>
    <mergeCell ref="AL30:AM30"/>
    <mergeCell ref="AN30:AO30"/>
    <mergeCell ref="AP30:AQ30"/>
    <mergeCell ref="T30:U30"/>
    <mergeCell ref="V30:W30"/>
    <mergeCell ref="X30:Y30"/>
    <mergeCell ref="Z30:AA30"/>
    <mergeCell ref="AB30:AC30"/>
    <mergeCell ref="AD30:AE30"/>
    <mergeCell ref="AJ32:AK32"/>
    <mergeCell ref="AL32:AM32"/>
    <mergeCell ref="AN32:AO32"/>
    <mergeCell ref="AP32:AQ32"/>
    <mergeCell ref="AR32:AS32"/>
    <mergeCell ref="C33:C36"/>
    <mergeCell ref="F33:G33"/>
    <mergeCell ref="H33:I33"/>
    <mergeCell ref="J33:K33"/>
    <mergeCell ref="L33:M33"/>
    <mergeCell ref="X32:Y32"/>
    <mergeCell ref="Z32:AA32"/>
    <mergeCell ref="AB32:AC32"/>
    <mergeCell ref="AD32:AE32"/>
    <mergeCell ref="AF32:AG32"/>
    <mergeCell ref="AH32:AI32"/>
    <mergeCell ref="AT31:AT32"/>
    <mergeCell ref="F32:G32"/>
    <mergeCell ref="H32:I32"/>
    <mergeCell ref="J32:K32"/>
    <mergeCell ref="L32:M32"/>
    <mergeCell ref="N32:O32"/>
    <mergeCell ref="P32:Q32"/>
    <mergeCell ref="R32:S32"/>
    <mergeCell ref="T32:U32"/>
    <mergeCell ref="V32:W32"/>
    <mergeCell ref="AH31:AI31"/>
    <mergeCell ref="AJ31:AK31"/>
    <mergeCell ref="AL31:AM31"/>
    <mergeCell ref="AN31:AO31"/>
    <mergeCell ref="AP31:AQ31"/>
    <mergeCell ref="AR31:AS31"/>
    <mergeCell ref="V34:W34"/>
    <mergeCell ref="X34:Y34"/>
    <mergeCell ref="Z34:AA34"/>
    <mergeCell ref="AB34:AC34"/>
    <mergeCell ref="AL33:AM33"/>
    <mergeCell ref="AN33:AO33"/>
    <mergeCell ref="AP33:AQ33"/>
    <mergeCell ref="AR33:AS33"/>
    <mergeCell ref="F34:G34"/>
    <mergeCell ref="H34:I34"/>
    <mergeCell ref="J34:K34"/>
    <mergeCell ref="L34:M34"/>
    <mergeCell ref="N34:O34"/>
    <mergeCell ref="P34:Q34"/>
    <mergeCell ref="Z33:AA33"/>
    <mergeCell ref="AB33:AC33"/>
    <mergeCell ref="AD33:AE33"/>
    <mergeCell ref="AF33:AG33"/>
    <mergeCell ref="AH33:AI33"/>
    <mergeCell ref="AJ33:AK33"/>
    <mergeCell ref="N33:O33"/>
    <mergeCell ref="P33:Q33"/>
    <mergeCell ref="R33:S33"/>
    <mergeCell ref="T33:U33"/>
    <mergeCell ref="V33:W33"/>
    <mergeCell ref="X33:Y33"/>
    <mergeCell ref="N36:O36"/>
    <mergeCell ref="P36:Q36"/>
    <mergeCell ref="AH35:AI35"/>
    <mergeCell ref="AJ35:AK35"/>
    <mergeCell ref="AL35:AM35"/>
    <mergeCell ref="AN35:AO35"/>
    <mergeCell ref="AP35:AQ35"/>
    <mergeCell ref="AR35:AS35"/>
    <mergeCell ref="V35:W35"/>
    <mergeCell ref="X35:Y35"/>
    <mergeCell ref="Z35:AA35"/>
    <mergeCell ref="AB35:AC35"/>
    <mergeCell ref="AD35:AE35"/>
    <mergeCell ref="AF35:AG35"/>
    <mergeCell ref="AP34:AQ34"/>
    <mergeCell ref="AR34:AS34"/>
    <mergeCell ref="F35:G35"/>
    <mergeCell ref="H35:I35"/>
    <mergeCell ref="J35:K35"/>
    <mergeCell ref="L35:M35"/>
    <mergeCell ref="N35:O35"/>
    <mergeCell ref="P35:Q35"/>
    <mergeCell ref="R35:S35"/>
    <mergeCell ref="T35:U35"/>
    <mergeCell ref="AD34:AE34"/>
    <mergeCell ref="AF34:AG34"/>
    <mergeCell ref="AH34:AI34"/>
    <mergeCell ref="AJ34:AK34"/>
    <mergeCell ref="AL34:AM34"/>
    <mergeCell ref="AN34:AO34"/>
    <mergeCell ref="R34:S34"/>
    <mergeCell ref="T34:U34"/>
    <mergeCell ref="T37:U37"/>
    <mergeCell ref="V37:W37"/>
    <mergeCell ref="X37:Y37"/>
    <mergeCell ref="Z37:AA37"/>
    <mergeCell ref="AB37:AC37"/>
    <mergeCell ref="AD37:AE37"/>
    <mergeCell ref="AP36:AQ36"/>
    <mergeCell ref="AR36:AS36"/>
    <mergeCell ref="C37:C38"/>
    <mergeCell ref="F37:G37"/>
    <mergeCell ref="H37:I37"/>
    <mergeCell ref="J37:K37"/>
    <mergeCell ref="L37:M37"/>
    <mergeCell ref="N37:O37"/>
    <mergeCell ref="P37:Q37"/>
    <mergeCell ref="R37:S37"/>
    <mergeCell ref="AD36:AE36"/>
    <mergeCell ref="AF36:AG36"/>
    <mergeCell ref="AH36:AI36"/>
    <mergeCell ref="AJ36:AK36"/>
    <mergeCell ref="AL36:AM36"/>
    <mergeCell ref="AN36:AO36"/>
    <mergeCell ref="R36:S36"/>
    <mergeCell ref="T36:U36"/>
    <mergeCell ref="V36:W36"/>
    <mergeCell ref="X36:Y36"/>
    <mergeCell ref="Z36:AA36"/>
    <mergeCell ref="AB36:AC36"/>
    <mergeCell ref="F36:G36"/>
    <mergeCell ref="H36:I36"/>
    <mergeCell ref="J36:K36"/>
    <mergeCell ref="L36:M36"/>
    <mergeCell ref="AJ38:AK38"/>
    <mergeCell ref="AL38:AM38"/>
    <mergeCell ref="AN38:AO38"/>
    <mergeCell ref="AP38:AQ38"/>
    <mergeCell ref="AR38:AS38"/>
    <mergeCell ref="C39:C42"/>
    <mergeCell ref="F39:G39"/>
    <mergeCell ref="H39:I39"/>
    <mergeCell ref="J39:K39"/>
    <mergeCell ref="L39:M39"/>
    <mergeCell ref="X38:Y38"/>
    <mergeCell ref="Z38:AA38"/>
    <mergeCell ref="AB38:AC38"/>
    <mergeCell ref="AD38:AE38"/>
    <mergeCell ref="AF38:AG38"/>
    <mergeCell ref="AH38:AI38"/>
    <mergeCell ref="AR37:AS37"/>
    <mergeCell ref="F38:G38"/>
    <mergeCell ref="H38:I38"/>
    <mergeCell ref="J38:K38"/>
    <mergeCell ref="L38:M38"/>
    <mergeCell ref="N38:O38"/>
    <mergeCell ref="P38:Q38"/>
    <mergeCell ref="R38:S38"/>
    <mergeCell ref="T38:U38"/>
    <mergeCell ref="V38:W38"/>
    <mergeCell ref="AF37:AG37"/>
    <mergeCell ref="AH37:AI37"/>
    <mergeCell ref="AJ37:AK37"/>
    <mergeCell ref="AL37:AM37"/>
    <mergeCell ref="AN37:AO37"/>
    <mergeCell ref="AP37:AQ37"/>
    <mergeCell ref="Z40:AA40"/>
    <mergeCell ref="AB40:AC40"/>
    <mergeCell ref="AL39:AM39"/>
    <mergeCell ref="AN39:AO39"/>
    <mergeCell ref="AP39:AQ39"/>
    <mergeCell ref="AR39:AS39"/>
    <mergeCell ref="F40:G40"/>
    <mergeCell ref="H40:I40"/>
    <mergeCell ref="J40:K40"/>
    <mergeCell ref="L40:M40"/>
    <mergeCell ref="N40:O40"/>
    <mergeCell ref="P40:Q40"/>
    <mergeCell ref="Z39:AA39"/>
    <mergeCell ref="AB39:AC39"/>
    <mergeCell ref="AD39:AE39"/>
    <mergeCell ref="AF39:AG39"/>
    <mergeCell ref="AH39:AI39"/>
    <mergeCell ref="AJ39:AK39"/>
    <mergeCell ref="N39:O39"/>
    <mergeCell ref="P39:Q39"/>
    <mergeCell ref="R39:S39"/>
    <mergeCell ref="T39:U39"/>
    <mergeCell ref="V39:W39"/>
    <mergeCell ref="X39:Y39"/>
    <mergeCell ref="AH41:AI41"/>
    <mergeCell ref="AJ41:AK41"/>
    <mergeCell ref="AL41:AM41"/>
    <mergeCell ref="AN41:AO41"/>
    <mergeCell ref="AP41:AQ41"/>
    <mergeCell ref="AR41:AS41"/>
    <mergeCell ref="V41:W41"/>
    <mergeCell ref="X41:Y41"/>
    <mergeCell ref="Z41:AA41"/>
    <mergeCell ref="AB41:AC41"/>
    <mergeCell ref="AD41:AE41"/>
    <mergeCell ref="AF41:AG41"/>
    <mergeCell ref="AP40:AQ40"/>
    <mergeCell ref="AR40:AS40"/>
    <mergeCell ref="F41:G41"/>
    <mergeCell ref="H41:I41"/>
    <mergeCell ref="J41:K41"/>
    <mergeCell ref="L41:M41"/>
    <mergeCell ref="N41:O41"/>
    <mergeCell ref="P41:Q41"/>
    <mergeCell ref="R41:S41"/>
    <mergeCell ref="T41:U41"/>
    <mergeCell ref="AD40:AE40"/>
    <mergeCell ref="AF40:AG40"/>
    <mergeCell ref="AH40:AI40"/>
    <mergeCell ref="AJ40:AK40"/>
    <mergeCell ref="AL40:AM40"/>
    <mergeCell ref="AN40:AO40"/>
    <mergeCell ref="R40:S40"/>
    <mergeCell ref="T40:U40"/>
    <mergeCell ref="V40:W40"/>
    <mergeCell ref="X40:Y40"/>
    <mergeCell ref="AP42:AQ42"/>
    <mergeCell ref="AR42:AS42"/>
    <mergeCell ref="C43:C44"/>
    <mergeCell ref="AT43:AT44"/>
    <mergeCell ref="F44:G44"/>
    <mergeCell ref="H44:I44"/>
    <mergeCell ref="J44:K44"/>
    <mergeCell ref="L44:M44"/>
    <mergeCell ref="N44:O44"/>
    <mergeCell ref="P44:Q44"/>
    <mergeCell ref="AD42:AE42"/>
    <mergeCell ref="AF42:AG42"/>
    <mergeCell ref="AH42:AI42"/>
    <mergeCell ref="AJ42:AK42"/>
    <mergeCell ref="AL42:AM42"/>
    <mergeCell ref="AN42:AO42"/>
    <mergeCell ref="R42:S42"/>
    <mergeCell ref="T42:U42"/>
    <mergeCell ref="V42:W42"/>
    <mergeCell ref="X42:Y42"/>
    <mergeCell ref="Z42:AA42"/>
    <mergeCell ref="AB42:AC42"/>
    <mergeCell ref="F42:G42"/>
    <mergeCell ref="H42:I42"/>
    <mergeCell ref="J42:K42"/>
    <mergeCell ref="L42:M42"/>
    <mergeCell ref="N42:O42"/>
    <mergeCell ref="P42:Q42"/>
    <mergeCell ref="AP44:AQ44"/>
    <mergeCell ref="AR44:AS44"/>
    <mergeCell ref="AD44:AE44"/>
    <mergeCell ref="AF44:AG44"/>
    <mergeCell ref="AH44:AI44"/>
    <mergeCell ref="AJ44:AK44"/>
    <mergeCell ref="AL44:AM44"/>
    <mergeCell ref="AN44:AO44"/>
    <mergeCell ref="R44:S44"/>
    <mergeCell ref="T44:U44"/>
    <mergeCell ref="V44:W44"/>
    <mergeCell ref="X44:Y44"/>
    <mergeCell ref="Z44:AA44"/>
    <mergeCell ref="AB44:AC44"/>
    <mergeCell ref="AJ46:AK46"/>
    <mergeCell ref="AL46:AM46"/>
    <mergeCell ref="AN46:AO46"/>
    <mergeCell ref="AN47:AO47"/>
    <mergeCell ref="F47:G47"/>
    <mergeCell ref="H47:I47"/>
    <mergeCell ref="J47:K47"/>
    <mergeCell ref="L47:M47"/>
    <mergeCell ref="AR45:AS45"/>
    <mergeCell ref="F46:G46"/>
    <mergeCell ref="H46:I46"/>
    <mergeCell ref="J46:K46"/>
    <mergeCell ref="L46:M46"/>
    <mergeCell ref="N46:O46"/>
    <mergeCell ref="P46:Q46"/>
    <mergeCell ref="R46:S46"/>
    <mergeCell ref="T46:U46"/>
    <mergeCell ref="V46:W46"/>
    <mergeCell ref="AF45:AG45"/>
    <mergeCell ref="AH45:AI45"/>
    <mergeCell ref="AJ45:AK45"/>
    <mergeCell ref="AL45:AM45"/>
    <mergeCell ref="AN45:AO45"/>
    <mergeCell ref="AP45:AQ45"/>
    <mergeCell ref="C45:C48"/>
    <mergeCell ref="F45:G45"/>
    <mergeCell ref="H45:I45"/>
    <mergeCell ref="J45:K45"/>
    <mergeCell ref="L45:M45"/>
    <mergeCell ref="N45:O45"/>
    <mergeCell ref="P45:Q45"/>
    <mergeCell ref="R45:S45"/>
    <mergeCell ref="AP47:AQ47"/>
    <mergeCell ref="AR47:AS47"/>
    <mergeCell ref="T45:U45"/>
    <mergeCell ref="V45:W45"/>
    <mergeCell ref="X45:Y45"/>
    <mergeCell ref="Z45:AA45"/>
    <mergeCell ref="AB45:AC45"/>
    <mergeCell ref="AD45:AE45"/>
    <mergeCell ref="N48:O48"/>
    <mergeCell ref="P48:Q48"/>
    <mergeCell ref="R48:S48"/>
    <mergeCell ref="AB47:AC47"/>
    <mergeCell ref="AD47:AE47"/>
    <mergeCell ref="AF47:AG47"/>
    <mergeCell ref="AH47:AI47"/>
    <mergeCell ref="AJ47:AK47"/>
    <mergeCell ref="AL47:AM47"/>
    <mergeCell ref="P47:Q47"/>
    <mergeCell ref="R47:S47"/>
    <mergeCell ref="T47:U47"/>
    <mergeCell ref="V47:W47"/>
    <mergeCell ref="X47:Y47"/>
    <mergeCell ref="Z47:AA47"/>
    <mergeCell ref="AR46:AS46"/>
    <mergeCell ref="N47:O47"/>
    <mergeCell ref="X46:Y46"/>
    <mergeCell ref="Z46:AA46"/>
    <mergeCell ref="AB46:AC46"/>
    <mergeCell ref="AD46:AE46"/>
    <mergeCell ref="AF46:AG46"/>
    <mergeCell ref="AH46:AI46"/>
    <mergeCell ref="AP46:AQ46"/>
    <mergeCell ref="AD49:AE49"/>
    <mergeCell ref="AF49:AG49"/>
    <mergeCell ref="AR48:AS48"/>
    <mergeCell ref="C49:C50"/>
    <mergeCell ref="F49:G49"/>
    <mergeCell ref="H49:I49"/>
    <mergeCell ref="J49:K49"/>
    <mergeCell ref="L49:M49"/>
    <mergeCell ref="N49:O49"/>
    <mergeCell ref="P49:Q49"/>
    <mergeCell ref="R49:S49"/>
    <mergeCell ref="T49:U49"/>
    <mergeCell ref="AF48:AG48"/>
    <mergeCell ref="AH48:AI48"/>
    <mergeCell ref="AJ48:AK48"/>
    <mergeCell ref="AL48:AM48"/>
    <mergeCell ref="AN48:AO48"/>
    <mergeCell ref="AP48:AQ48"/>
    <mergeCell ref="T48:U48"/>
    <mergeCell ref="V48:W48"/>
    <mergeCell ref="X48:Y48"/>
    <mergeCell ref="Z48:AA48"/>
    <mergeCell ref="AB48:AC48"/>
    <mergeCell ref="AD48:AE48"/>
    <mergeCell ref="AJ50:AK50"/>
    <mergeCell ref="AL50:AM50"/>
    <mergeCell ref="AN50:AO50"/>
    <mergeCell ref="AP50:AQ50"/>
    <mergeCell ref="F48:G48"/>
    <mergeCell ref="H48:I48"/>
    <mergeCell ref="J48:K48"/>
    <mergeCell ref="L48:M48"/>
    <mergeCell ref="AR50:AS50"/>
    <mergeCell ref="F51:G51"/>
    <mergeCell ref="H51:I51"/>
    <mergeCell ref="J51:K51"/>
    <mergeCell ref="L51:M51"/>
    <mergeCell ref="N51:O51"/>
    <mergeCell ref="X50:Y50"/>
    <mergeCell ref="Z50:AA50"/>
    <mergeCell ref="AB50:AC50"/>
    <mergeCell ref="AD50:AE50"/>
    <mergeCell ref="AF50:AG50"/>
    <mergeCell ref="AH50:AI50"/>
    <mergeCell ref="AT49:AT50"/>
    <mergeCell ref="F50:G50"/>
    <mergeCell ref="H50:I50"/>
    <mergeCell ref="J50:K50"/>
    <mergeCell ref="L50:M50"/>
    <mergeCell ref="N50:O50"/>
    <mergeCell ref="P50:Q50"/>
    <mergeCell ref="R50:S50"/>
    <mergeCell ref="T50:U50"/>
    <mergeCell ref="V50:W50"/>
    <mergeCell ref="AH49:AI49"/>
    <mergeCell ref="AJ49:AK49"/>
    <mergeCell ref="AL49:AM49"/>
    <mergeCell ref="AN49:AO49"/>
    <mergeCell ref="AP49:AQ49"/>
    <mergeCell ref="AR49:AS49"/>
    <mergeCell ref="V49:W49"/>
    <mergeCell ref="X49:Y49"/>
    <mergeCell ref="Z49:AA49"/>
    <mergeCell ref="AB49:AC49"/>
    <mergeCell ref="AN51:AO51"/>
    <mergeCell ref="AP51:AQ51"/>
    <mergeCell ref="AR51:AS51"/>
    <mergeCell ref="B52:B84"/>
    <mergeCell ref="F52:G52"/>
    <mergeCell ref="H52:I52"/>
    <mergeCell ref="J52:K52"/>
    <mergeCell ref="L52:M52"/>
    <mergeCell ref="N52:O52"/>
    <mergeCell ref="P52:Q52"/>
    <mergeCell ref="AB51:AC51"/>
    <mergeCell ref="AD51:AE51"/>
    <mergeCell ref="AF51:AG51"/>
    <mergeCell ref="AH51:AI51"/>
    <mergeCell ref="AJ51:AK51"/>
    <mergeCell ref="AL51:AM51"/>
    <mergeCell ref="P51:Q51"/>
    <mergeCell ref="R51:S51"/>
    <mergeCell ref="T51:U51"/>
    <mergeCell ref="V51:W51"/>
    <mergeCell ref="X51:Y51"/>
    <mergeCell ref="Z51:AA51"/>
    <mergeCell ref="N54:O54"/>
    <mergeCell ref="P54:Q54"/>
    <mergeCell ref="AH53:AI53"/>
    <mergeCell ref="AJ53:AK53"/>
    <mergeCell ref="AL53:AM53"/>
    <mergeCell ref="AN53:AO53"/>
    <mergeCell ref="AP53:AQ53"/>
    <mergeCell ref="AR53:AS53"/>
    <mergeCell ref="V53:W53"/>
    <mergeCell ref="X53:Y53"/>
    <mergeCell ref="Z53:AA53"/>
    <mergeCell ref="AB53:AC53"/>
    <mergeCell ref="AD53:AE53"/>
    <mergeCell ref="AF53:AG53"/>
    <mergeCell ref="AP52:AQ52"/>
    <mergeCell ref="AR52:AS52"/>
    <mergeCell ref="F53:G53"/>
    <mergeCell ref="H53:I53"/>
    <mergeCell ref="J53:K53"/>
    <mergeCell ref="L53:M53"/>
    <mergeCell ref="N53:O53"/>
    <mergeCell ref="P53:Q53"/>
    <mergeCell ref="R53:S53"/>
    <mergeCell ref="T53:U53"/>
    <mergeCell ref="AD52:AE52"/>
    <mergeCell ref="AF52:AG52"/>
    <mergeCell ref="AH52:AI52"/>
    <mergeCell ref="AJ52:AK52"/>
    <mergeCell ref="AL52:AM52"/>
    <mergeCell ref="AN52:AO52"/>
    <mergeCell ref="R52:S52"/>
    <mergeCell ref="T52:U52"/>
    <mergeCell ref="V52:W52"/>
    <mergeCell ref="X52:Y52"/>
    <mergeCell ref="Z52:AA52"/>
    <mergeCell ref="AB52:AC52"/>
    <mergeCell ref="T55:U55"/>
    <mergeCell ref="V55:W55"/>
    <mergeCell ref="X55:Y55"/>
    <mergeCell ref="Z55:AA55"/>
    <mergeCell ref="AB55:AC55"/>
    <mergeCell ref="AD55:AE55"/>
    <mergeCell ref="AP54:AQ54"/>
    <mergeCell ref="AR54:AS54"/>
    <mergeCell ref="C55:C56"/>
    <mergeCell ref="F55:G55"/>
    <mergeCell ref="H55:I55"/>
    <mergeCell ref="J55:K55"/>
    <mergeCell ref="L55:M55"/>
    <mergeCell ref="N55:O55"/>
    <mergeCell ref="P55:Q55"/>
    <mergeCell ref="R55:S55"/>
    <mergeCell ref="AD54:AE54"/>
    <mergeCell ref="AF54:AG54"/>
    <mergeCell ref="AH54:AI54"/>
    <mergeCell ref="AJ54:AK54"/>
    <mergeCell ref="AL54:AM54"/>
    <mergeCell ref="AN54:AO54"/>
    <mergeCell ref="R54:S54"/>
    <mergeCell ref="T54:U54"/>
    <mergeCell ref="V54:W54"/>
    <mergeCell ref="X54:Y54"/>
    <mergeCell ref="Z54:AA54"/>
    <mergeCell ref="AB54:AC54"/>
    <mergeCell ref="F54:G54"/>
    <mergeCell ref="H54:I54"/>
    <mergeCell ref="J54:K54"/>
    <mergeCell ref="L54:M54"/>
    <mergeCell ref="AJ56:AK56"/>
    <mergeCell ref="AL56:AM56"/>
    <mergeCell ref="AN56:AO56"/>
    <mergeCell ref="AP56:AQ56"/>
    <mergeCell ref="AR56:AS56"/>
    <mergeCell ref="C57:C58"/>
    <mergeCell ref="F57:G57"/>
    <mergeCell ref="H57:I57"/>
    <mergeCell ref="J57:K57"/>
    <mergeCell ref="L57:M57"/>
    <mergeCell ref="X56:Y56"/>
    <mergeCell ref="Z56:AA56"/>
    <mergeCell ref="AB56:AC56"/>
    <mergeCell ref="AD56:AE56"/>
    <mergeCell ref="AF56:AG56"/>
    <mergeCell ref="AH56:AI56"/>
    <mergeCell ref="AR55:AS55"/>
    <mergeCell ref="F56:G56"/>
    <mergeCell ref="H56:I56"/>
    <mergeCell ref="J56:K56"/>
    <mergeCell ref="L56:M56"/>
    <mergeCell ref="N56:O56"/>
    <mergeCell ref="P56:Q56"/>
    <mergeCell ref="R56:S56"/>
    <mergeCell ref="T56:U56"/>
    <mergeCell ref="V56:W56"/>
    <mergeCell ref="AF55:AG55"/>
    <mergeCell ref="AH55:AI55"/>
    <mergeCell ref="AJ55:AK55"/>
    <mergeCell ref="AL55:AM55"/>
    <mergeCell ref="AN55:AO55"/>
    <mergeCell ref="AP55:AQ55"/>
    <mergeCell ref="AL57:AM57"/>
    <mergeCell ref="AN57:AO57"/>
    <mergeCell ref="AP57:AQ57"/>
    <mergeCell ref="AR57:AS57"/>
    <mergeCell ref="F58:G58"/>
    <mergeCell ref="H58:I58"/>
    <mergeCell ref="J58:K58"/>
    <mergeCell ref="L58:M58"/>
    <mergeCell ref="N58:O58"/>
    <mergeCell ref="P58:Q58"/>
    <mergeCell ref="Z57:AA57"/>
    <mergeCell ref="AB57:AC57"/>
    <mergeCell ref="AD57:AE57"/>
    <mergeCell ref="AF57:AG57"/>
    <mergeCell ref="AH57:AI57"/>
    <mergeCell ref="AJ57:AK57"/>
    <mergeCell ref="N57:O57"/>
    <mergeCell ref="P57:Q57"/>
    <mergeCell ref="R57:S57"/>
    <mergeCell ref="T57:U57"/>
    <mergeCell ref="V57:W57"/>
    <mergeCell ref="X57:Y57"/>
    <mergeCell ref="T59:U59"/>
    <mergeCell ref="V59:W59"/>
    <mergeCell ref="X59:Y59"/>
    <mergeCell ref="Z59:AA59"/>
    <mergeCell ref="AB59:AC59"/>
    <mergeCell ref="AD59:AE59"/>
    <mergeCell ref="AP58:AQ58"/>
    <mergeCell ref="AR58:AS58"/>
    <mergeCell ref="C59:C60"/>
    <mergeCell ref="F59:G59"/>
    <mergeCell ref="H59:I59"/>
    <mergeCell ref="J59:K59"/>
    <mergeCell ref="L59:M59"/>
    <mergeCell ref="N59:O59"/>
    <mergeCell ref="P59:Q59"/>
    <mergeCell ref="R59:S59"/>
    <mergeCell ref="AD58:AE58"/>
    <mergeCell ref="AF58:AG58"/>
    <mergeCell ref="AH58:AI58"/>
    <mergeCell ref="AJ58:AK58"/>
    <mergeCell ref="AL58:AM58"/>
    <mergeCell ref="AN58:AO58"/>
    <mergeCell ref="R58:S58"/>
    <mergeCell ref="T58:U58"/>
    <mergeCell ref="V58:W58"/>
    <mergeCell ref="X58:Y58"/>
    <mergeCell ref="Z58:AA58"/>
    <mergeCell ref="AB58:AC58"/>
    <mergeCell ref="AJ60:AK60"/>
    <mergeCell ref="AL60:AM60"/>
    <mergeCell ref="AN60:AO60"/>
    <mergeCell ref="AP60:AQ60"/>
    <mergeCell ref="AR60:AS60"/>
    <mergeCell ref="C61:C62"/>
    <mergeCell ref="F61:G61"/>
    <mergeCell ref="H61:I61"/>
    <mergeCell ref="J61:K61"/>
    <mergeCell ref="L61:M61"/>
    <mergeCell ref="X60:Y60"/>
    <mergeCell ref="Z60:AA60"/>
    <mergeCell ref="AB60:AC60"/>
    <mergeCell ref="AD60:AE60"/>
    <mergeCell ref="AF60:AG60"/>
    <mergeCell ref="AH60:AI60"/>
    <mergeCell ref="AR59:AS59"/>
    <mergeCell ref="F60:G60"/>
    <mergeCell ref="H60:I60"/>
    <mergeCell ref="J60:K60"/>
    <mergeCell ref="L60:M60"/>
    <mergeCell ref="N60:O60"/>
    <mergeCell ref="P60:Q60"/>
    <mergeCell ref="R60:S60"/>
    <mergeCell ref="T60:U60"/>
    <mergeCell ref="V60:W60"/>
    <mergeCell ref="AF59:AG59"/>
    <mergeCell ref="AH59:AI59"/>
    <mergeCell ref="AJ59:AK59"/>
    <mergeCell ref="AL59:AM59"/>
    <mergeCell ref="AN59:AO59"/>
    <mergeCell ref="AP59:AQ59"/>
    <mergeCell ref="AL61:AM61"/>
    <mergeCell ref="AN61:AO61"/>
    <mergeCell ref="AP61:AQ61"/>
    <mergeCell ref="AR61:AS61"/>
    <mergeCell ref="F62:G62"/>
    <mergeCell ref="H62:I62"/>
    <mergeCell ref="J62:K62"/>
    <mergeCell ref="L62:M62"/>
    <mergeCell ref="N62:O62"/>
    <mergeCell ref="P62:Q62"/>
    <mergeCell ref="Z61:AA61"/>
    <mergeCell ref="AB61:AC61"/>
    <mergeCell ref="AD61:AE61"/>
    <mergeCell ref="AF61:AG61"/>
    <mergeCell ref="AH61:AI61"/>
    <mergeCell ref="AJ61:AK61"/>
    <mergeCell ref="N61:O61"/>
    <mergeCell ref="P61:Q61"/>
    <mergeCell ref="R61:S61"/>
    <mergeCell ref="T61:U61"/>
    <mergeCell ref="V61:W61"/>
    <mergeCell ref="X61:Y61"/>
    <mergeCell ref="T63:U63"/>
    <mergeCell ref="V63:W63"/>
    <mergeCell ref="X63:Y63"/>
    <mergeCell ref="Z63:AA63"/>
    <mergeCell ref="AB63:AC63"/>
    <mergeCell ref="AD63:AE63"/>
    <mergeCell ref="AP62:AQ62"/>
    <mergeCell ref="AR62:AS62"/>
    <mergeCell ref="C63:C64"/>
    <mergeCell ref="F63:G63"/>
    <mergeCell ref="H63:I63"/>
    <mergeCell ref="J63:K63"/>
    <mergeCell ref="L63:M63"/>
    <mergeCell ref="N63:O63"/>
    <mergeCell ref="P63:Q63"/>
    <mergeCell ref="R63:S63"/>
    <mergeCell ref="AD62:AE62"/>
    <mergeCell ref="AF62:AG62"/>
    <mergeCell ref="AH62:AI62"/>
    <mergeCell ref="AJ62:AK62"/>
    <mergeCell ref="AL62:AM62"/>
    <mergeCell ref="AN62:AO62"/>
    <mergeCell ref="R62:S62"/>
    <mergeCell ref="T62:U62"/>
    <mergeCell ref="V62:W62"/>
    <mergeCell ref="X62:Y62"/>
    <mergeCell ref="Z62:AA62"/>
    <mergeCell ref="AB62:AC62"/>
    <mergeCell ref="AJ64:AK64"/>
    <mergeCell ref="AL64:AM64"/>
    <mergeCell ref="AN64:AO64"/>
    <mergeCell ref="AP64:AQ64"/>
    <mergeCell ref="AR64:AS64"/>
    <mergeCell ref="C65:C66"/>
    <mergeCell ref="F65:G65"/>
    <mergeCell ref="H65:I65"/>
    <mergeCell ref="J65:K65"/>
    <mergeCell ref="L65:M65"/>
    <mergeCell ref="X64:Y64"/>
    <mergeCell ref="Z64:AA64"/>
    <mergeCell ref="AB64:AC64"/>
    <mergeCell ref="AD64:AE64"/>
    <mergeCell ref="AF64:AG64"/>
    <mergeCell ref="AH64:AI64"/>
    <mergeCell ref="AR63:AS63"/>
    <mergeCell ref="F64:G64"/>
    <mergeCell ref="H64:I64"/>
    <mergeCell ref="J64:K64"/>
    <mergeCell ref="L64:M64"/>
    <mergeCell ref="N64:O64"/>
    <mergeCell ref="P64:Q64"/>
    <mergeCell ref="R64:S64"/>
    <mergeCell ref="T64:U64"/>
    <mergeCell ref="V64:W64"/>
    <mergeCell ref="AF63:AG63"/>
    <mergeCell ref="AH63:AI63"/>
    <mergeCell ref="AJ63:AK63"/>
    <mergeCell ref="AL63:AM63"/>
    <mergeCell ref="AN63:AO63"/>
    <mergeCell ref="AP63:AQ63"/>
    <mergeCell ref="AL65:AM65"/>
    <mergeCell ref="AN65:AO65"/>
    <mergeCell ref="AP65:AQ65"/>
    <mergeCell ref="AR65:AS65"/>
    <mergeCell ref="F66:G66"/>
    <mergeCell ref="H66:I66"/>
    <mergeCell ref="J66:K66"/>
    <mergeCell ref="L66:M66"/>
    <mergeCell ref="N66:O66"/>
    <mergeCell ref="P66:Q66"/>
    <mergeCell ref="Z65:AA65"/>
    <mergeCell ref="AB65:AC65"/>
    <mergeCell ref="AD65:AE65"/>
    <mergeCell ref="AF65:AG65"/>
    <mergeCell ref="AH65:AI65"/>
    <mergeCell ref="AJ65:AK65"/>
    <mergeCell ref="N65:O65"/>
    <mergeCell ref="P65:Q65"/>
    <mergeCell ref="R65:S65"/>
    <mergeCell ref="T65:U65"/>
    <mergeCell ref="V65:W65"/>
    <mergeCell ref="X65:Y65"/>
    <mergeCell ref="T67:U67"/>
    <mergeCell ref="V67:W67"/>
    <mergeCell ref="X67:Y67"/>
    <mergeCell ref="Z67:AA67"/>
    <mergeCell ref="AB67:AC67"/>
    <mergeCell ref="AD67:AE67"/>
    <mergeCell ref="AP66:AQ66"/>
    <mergeCell ref="AR66:AS66"/>
    <mergeCell ref="C67:C68"/>
    <mergeCell ref="F67:G67"/>
    <mergeCell ref="H67:I67"/>
    <mergeCell ref="J67:K67"/>
    <mergeCell ref="L67:M67"/>
    <mergeCell ref="N67:O67"/>
    <mergeCell ref="P67:Q67"/>
    <mergeCell ref="R67:S67"/>
    <mergeCell ref="AD66:AE66"/>
    <mergeCell ref="AF66:AG66"/>
    <mergeCell ref="AH66:AI66"/>
    <mergeCell ref="AJ66:AK66"/>
    <mergeCell ref="AL66:AM66"/>
    <mergeCell ref="AN66:AO66"/>
    <mergeCell ref="R66:S66"/>
    <mergeCell ref="T66:U66"/>
    <mergeCell ref="V66:W66"/>
    <mergeCell ref="X66:Y66"/>
    <mergeCell ref="Z66:AA66"/>
    <mergeCell ref="AB66:AC66"/>
    <mergeCell ref="AJ68:AK68"/>
    <mergeCell ref="AL68:AM68"/>
    <mergeCell ref="AN68:AO68"/>
    <mergeCell ref="AP68:AQ68"/>
    <mergeCell ref="AR68:AS68"/>
    <mergeCell ref="C69:C72"/>
    <mergeCell ref="F69:G69"/>
    <mergeCell ref="H69:I69"/>
    <mergeCell ref="J69:K69"/>
    <mergeCell ref="L69:M69"/>
    <mergeCell ref="X68:Y68"/>
    <mergeCell ref="Z68:AA68"/>
    <mergeCell ref="AB68:AC68"/>
    <mergeCell ref="AD68:AE68"/>
    <mergeCell ref="AF68:AG68"/>
    <mergeCell ref="AH68:AI68"/>
    <mergeCell ref="AR67:AS67"/>
    <mergeCell ref="F68:G68"/>
    <mergeCell ref="H68:I68"/>
    <mergeCell ref="J68:K68"/>
    <mergeCell ref="L68:M68"/>
    <mergeCell ref="N68:O68"/>
    <mergeCell ref="P68:Q68"/>
    <mergeCell ref="R68:S68"/>
    <mergeCell ref="T68:U68"/>
    <mergeCell ref="V68:W68"/>
    <mergeCell ref="AF67:AG67"/>
    <mergeCell ref="AH67:AI67"/>
    <mergeCell ref="AJ67:AK67"/>
    <mergeCell ref="AL67:AM67"/>
    <mergeCell ref="AN67:AO67"/>
    <mergeCell ref="AP67:AQ67"/>
    <mergeCell ref="V70:W70"/>
    <mergeCell ref="X70:Y70"/>
    <mergeCell ref="Z70:AA70"/>
    <mergeCell ref="AB70:AC70"/>
    <mergeCell ref="AL69:AM69"/>
    <mergeCell ref="AN69:AO69"/>
    <mergeCell ref="AP69:AQ69"/>
    <mergeCell ref="AR69:AS69"/>
    <mergeCell ref="F70:G70"/>
    <mergeCell ref="H70:I70"/>
    <mergeCell ref="J70:K70"/>
    <mergeCell ref="L70:M70"/>
    <mergeCell ref="N70:O70"/>
    <mergeCell ref="P70:Q70"/>
    <mergeCell ref="Z69:AA69"/>
    <mergeCell ref="AB69:AC69"/>
    <mergeCell ref="AD69:AE69"/>
    <mergeCell ref="AF69:AG69"/>
    <mergeCell ref="AH69:AI69"/>
    <mergeCell ref="AJ69:AK69"/>
    <mergeCell ref="N69:O69"/>
    <mergeCell ref="P69:Q69"/>
    <mergeCell ref="R69:S69"/>
    <mergeCell ref="T69:U69"/>
    <mergeCell ref="V69:W69"/>
    <mergeCell ref="X69:Y69"/>
    <mergeCell ref="N72:O72"/>
    <mergeCell ref="P72:Q72"/>
    <mergeCell ref="AH71:AI71"/>
    <mergeCell ref="AJ71:AK71"/>
    <mergeCell ref="AL71:AM71"/>
    <mergeCell ref="AN71:AO71"/>
    <mergeCell ref="AP71:AQ71"/>
    <mergeCell ref="AR71:AS71"/>
    <mergeCell ref="V71:W71"/>
    <mergeCell ref="X71:Y71"/>
    <mergeCell ref="Z71:AA71"/>
    <mergeCell ref="AB71:AC71"/>
    <mergeCell ref="AD71:AE71"/>
    <mergeCell ref="AF71:AG71"/>
    <mergeCell ref="AP70:AQ70"/>
    <mergeCell ref="AR70:AS70"/>
    <mergeCell ref="F71:G71"/>
    <mergeCell ref="H71:I71"/>
    <mergeCell ref="J71:K71"/>
    <mergeCell ref="L71:M71"/>
    <mergeCell ref="N71:O71"/>
    <mergeCell ref="P71:Q71"/>
    <mergeCell ref="R71:S71"/>
    <mergeCell ref="T71:U71"/>
    <mergeCell ref="AD70:AE70"/>
    <mergeCell ref="AF70:AG70"/>
    <mergeCell ref="AH70:AI70"/>
    <mergeCell ref="AJ70:AK70"/>
    <mergeCell ref="AL70:AM70"/>
    <mergeCell ref="AN70:AO70"/>
    <mergeCell ref="R70:S70"/>
    <mergeCell ref="T70:U70"/>
    <mergeCell ref="T73:U73"/>
    <mergeCell ref="V73:W73"/>
    <mergeCell ref="X73:Y73"/>
    <mergeCell ref="Z73:AA73"/>
    <mergeCell ref="AB73:AC73"/>
    <mergeCell ref="AD73:AE73"/>
    <mergeCell ref="AP72:AQ72"/>
    <mergeCell ref="AR72:AS72"/>
    <mergeCell ref="C73:C74"/>
    <mergeCell ref="F73:G73"/>
    <mergeCell ref="H73:I73"/>
    <mergeCell ref="J73:K73"/>
    <mergeCell ref="L73:M73"/>
    <mergeCell ref="N73:O73"/>
    <mergeCell ref="P73:Q73"/>
    <mergeCell ref="R73:S73"/>
    <mergeCell ref="AD72:AE72"/>
    <mergeCell ref="AF72:AG72"/>
    <mergeCell ref="AH72:AI72"/>
    <mergeCell ref="AJ72:AK72"/>
    <mergeCell ref="AL72:AM72"/>
    <mergeCell ref="AN72:AO72"/>
    <mergeCell ref="R72:S72"/>
    <mergeCell ref="T72:U72"/>
    <mergeCell ref="V72:W72"/>
    <mergeCell ref="X72:Y72"/>
    <mergeCell ref="Z72:AA72"/>
    <mergeCell ref="AB72:AC72"/>
    <mergeCell ref="F72:G72"/>
    <mergeCell ref="H72:I72"/>
    <mergeCell ref="J72:K72"/>
    <mergeCell ref="L72:M72"/>
    <mergeCell ref="AJ74:AK74"/>
    <mergeCell ref="AL74:AM74"/>
    <mergeCell ref="AN74:AO74"/>
    <mergeCell ref="AP74:AQ74"/>
    <mergeCell ref="AR74:AS74"/>
    <mergeCell ref="C75:C76"/>
    <mergeCell ref="F75:G75"/>
    <mergeCell ref="H75:I75"/>
    <mergeCell ref="J75:K75"/>
    <mergeCell ref="L75:M75"/>
    <mergeCell ref="X74:Y74"/>
    <mergeCell ref="Z74:AA74"/>
    <mergeCell ref="AB74:AC74"/>
    <mergeCell ref="AD74:AE74"/>
    <mergeCell ref="AF74:AG74"/>
    <mergeCell ref="AH74:AI74"/>
    <mergeCell ref="AR73:AS73"/>
    <mergeCell ref="F74:G74"/>
    <mergeCell ref="H74:I74"/>
    <mergeCell ref="J74:K74"/>
    <mergeCell ref="L74:M74"/>
    <mergeCell ref="N74:O74"/>
    <mergeCell ref="P74:Q74"/>
    <mergeCell ref="R74:S74"/>
    <mergeCell ref="T74:U74"/>
    <mergeCell ref="V74:W74"/>
    <mergeCell ref="AF73:AG73"/>
    <mergeCell ref="AH73:AI73"/>
    <mergeCell ref="AJ73:AK73"/>
    <mergeCell ref="AL73:AM73"/>
    <mergeCell ref="AN73:AO73"/>
    <mergeCell ref="AP73:AQ73"/>
    <mergeCell ref="AP75:AQ75"/>
    <mergeCell ref="AR75:AS75"/>
    <mergeCell ref="F76:G76"/>
    <mergeCell ref="H76:I76"/>
    <mergeCell ref="J76:K76"/>
    <mergeCell ref="L76:M76"/>
    <mergeCell ref="N76:O76"/>
    <mergeCell ref="P76:Q76"/>
    <mergeCell ref="Z75:AA75"/>
    <mergeCell ref="AB75:AC75"/>
    <mergeCell ref="AD75:AE75"/>
    <mergeCell ref="AF75:AG75"/>
    <mergeCell ref="AH75:AI75"/>
    <mergeCell ref="AJ75:AK75"/>
    <mergeCell ref="N75:O75"/>
    <mergeCell ref="P75:Q75"/>
    <mergeCell ref="R75:S75"/>
    <mergeCell ref="T75:U75"/>
    <mergeCell ref="V75:W75"/>
    <mergeCell ref="X75:Y75"/>
    <mergeCell ref="AP76:AQ76"/>
    <mergeCell ref="AR76:AS76"/>
    <mergeCell ref="AD76:AE76"/>
    <mergeCell ref="AF76:AG76"/>
    <mergeCell ref="AH76:AI76"/>
    <mergeCell ref="AJ76:AK76"/>
    <mergeCell ref="AL76:AM76"/>
    <mergeCell ref="AN76:AO76"/>
    <mergeCell ref="R76:S76"/>
    <mergeCell ref="T76:U76"/>
    <mergeCell ref="V76:W76"/>
    <mergeCell ref="X76:Y76"/>
    <mergeCell ref="Z76:AA76"/>
    <mergeCell ref="AB76:AC76"/>
    <mergeCell ref="AJ78:AK78"/>
    <mergeCell ref="AL78:AM78"/>
    <mergeCell ref="AN78:AO78"/>
    <mergeCell ref="AL75:AM75"/>
    <mergeCell ref="AN75:AO75"/>
    <mergeCell ref="F78:G78"/>
    <mergeCell ref="H78:I78"/>
    <mergeCell ref="J78:K78"/>
    <mergeCell ref="L78:M78"/>
    <mergeCell ref="N78:O78"/>
    <mergeCell ref="P78:Q78"/>
    <mergeCell ref="R78:S78"/>
    <mergeCell ref="T78:U78"/>
    <mergeCell ref="V78:W78"/>
    <mergeCell ref="AF77:AG77"/>
    <mergeCell ref="AH77:AI77"/>
    <mergeCell ref="AJ77:AK77"/>
    <mergeCell ref="AL77:AM77"/>
    <mergeCell ref="AN77:AO77"/>
    <mergeCell ref="AP77:AQ77"/>
    <mergeCell ref="C77:C78"/>
    <mergeCell ref="F77:G77"/>
    <mergeCell ref="H77:I77"/>
    <mergeCell ref="J77:K77"/>
    <mergeCell ref="L77:M77"/>
    <mergeCell ref="N77:O77"/>
    <mergeCell ref="P77:Q77"/>
    <mergeCell ref="R77:S77"/>
    <mergeCell ref="AL79:AM79"/>
    <mergeCell ref="AN79:AO79"/>
    <mergeCell ref="AP79:AQ79"/>
    <mergeCell ref="AR79:AS79"/>
    <mergeCell ref="T77:U77"/>
    <mergeCell ref="V77:W77"/>
    <mergeCell ref="X77:Y77"/>
    <mergeCell ref="Z77:AA77"/>
    <mergeCell ref="AB77:AC77"/>
    <mergeCell ref="AD77:AE77"/>
    <mergeCell ref="Z79:AA79"/>
    <mergeCell ref="AB79:AC79"/>
    <mergeCell ref="AD79:AE79"/>
    <mergeCell ref="AF79:AG79"/>
    <mergeCell ref="AH79:AI79"/>
    <mergeCell ref="AJ79:AK79"/>
    <mergeCell ref="N79:O79"/>
    <mergeCell ref="P79:Q79"/>
    <mergeCell ref="R79:S79"/>
    <mergeCell ref="T79:U79"/>
    <mergeCell ref="V79:W79"/>
    <mergeCell ref="X79:Y79"/>
    <mergeCell ref="AR78:AS78"/>
    <mergeCell ref="AP78:AQ78"/>
    <mergeCell ref="AR77:AS77"/>
    <mergeCell ref="C79:C80"/>
    <mergeCell ref="F79:G79"/>
    <mergeCell ref="H79:I79"/>
    <mergeCell ref="J79:K79"/>
    <mergeCell ref="L79:M79"/>
    <mergeCell ref="X78:Y78"/>
    <mergeCell ref="Z78:AA78"/>
    <mergeCell ref="AB78:AC78"/>
    <mergeCell ref="AD78:AE78"/>
    <mergeCell ref="AF78:AG78"/>
    <mergeCell ref="AH78:AI78"/>
    <mergeCell ref="AP80:AQ80"/>
    <mergeCell ref="AR80:AS80"/>
    <mergeCell ref="C81:C82"/>
    <mergeCell ref="F81:G81"/>
    <mergeCell ref="H81:I81"/>
    <mergeCell ref="J81:K81"/>
    <mergeCell ref="L81:M81"/>
    <mergeCell ref="N81:O81"/>
    <mergeCell ref="P81:Q81"/>
    <mergeCell ref="R81:S81"/>
    <mergeCell ref="AD80:AE80"/>
    <mergeCell ref="AF80:AG80"/>
    <mergeCell ref="AH80:AI80"/>
    <mergeCell ref="AJ80:AK80"/>
    <mergeCell ref="AL80:AM80"/>
    <mergeCell ref="AN80:AO80"/>
    <mergeCell ref="R80:S80"/>
    <mergeCell ref="T80:U80"/>
    <mergeCell ref="V80:W80"/>
    <mergeCell ref="X80:Y80"/>
    <mergeCell ref="Z80:AA80"/>
    <mergeCell ref="AR82:AS82"/>
    <mergeCell ref="AB80:AC80"/>
    <mergeCell ref="AJ82:AK82"/>
    <mergeCell ref="AL82:AM82"/>
    <mergeCell ref="AN82:AO82"/>
    <mergeCell ref="AP82:AQ82"/>
    <mergeCell ref="F80:G80"/>
    <mergeCell ref="H80:I80"/>
    <mergeCell ref="J80:K80"/>
    <mergeCell ref="L80:M80"/>
    <mergeCell ref="N80:O80"/>
    <mergeCell ref="P80:Q80"/>
    <mergeCell ref="AR81:AS81"/>
    <mergeCell ref="F82:G82"/>
    <mergeCell ref="H82:I82"/>
    <mergeCell ref="J82:K82"/>
    <mergeCell ref="L82:M82"/>
    <mergeCell ref="N82:O82"/>
    <mergeCell ref="P82:Q82"/>
    <mergeCell ref="R82:S82"/>
    <mergeCell ref="T82:U82"/>
    <mergeCell ref="V82:W82"/>
    <mergeCell ref="AF81:AG81"/>
    <mergeCell ref="AH81:AI81"/>
    <mergeCell ref="AJ81:AK81"/>
    <mergeCell ref="AL81:AM81"/>
    <mergeCell ref="AN81:AO81"/>
    <mergeCell ref="AP81:AQ81"/>
    <mergeCell ref="T81:U81"/>
    <mergeCell ref="V81:W81"/>
    <mergeCell ref="X81:Y81"/>
    <mergeCell ref="Z81:AA81"/>
    <mergeCell ref="AB81:AC81"/>
    <mergeCell ref="AD81:AE81"/>
    <mergeCell ref="Z83:AA83"/>
    <mergeCell ref="AB83:AC83"/>
    <mergeCell ref="AD83:AE83"/>
    <mergeCell ref="AF83:AG83"/>
    <mergeCell ref="AH83:AI83"/>
    <mergeCell ref="AJ83:AK83"/>
    <mergeCell ref="N83:O83"/>
    <mergeCell ref="P83:Q83"/>
    <mergeCell ref="R83:S83"/>
    <mergeCell ref="T83:U83"/>
    <mergeCell ref="V83:W83"/>
    <mergeCell ref="X83:Y83"/>
    <mergeCell ref="X82:Y82"/>
    <mergeCell ref="Z82:AA82"/>
    <mergeCell ref="AB82:AC82"/>
    <mergeCell ref="AD82:AE82"/>
    <mergeCell ref="AF82:AG82"/>
    <mergeCell ref="AH82:AI82"/>
    <mergeCell ref="E85:F85"/>
    <mergeCell ref="G85:H85"/>
    <mergeCell ref="I85:J85"/>
    <mergeCell ref="K85:L85"/>
    <mergeCell ref="M85:N85"/>
    <mergeCell ref="O85:P85"/>
    <mergeCell ref="Q85:R85"/>
    <mergeCell ref="S85:T85"/>
    <mergeCell ref="AD84:AE84"/>
    <mergeCell ref="AF84:AG84"/>
    <mergeCell ref="AH84:AI84"/>
    <mergeCell ref="AD86:AG86"/>
    <mergeCell ref="AJ86:AM86"/>
    <mergeCell ref="AP86:AS86"/>
    <mergeCell ref="AG85:AH85"/>
    <mergeCell ref="AI85:AJ85"/>
    <mergeCell ref="AK85:AL85"/>
    <mergeCell ref="AM85:AN85"/>
    <mergeCell ref="AO85:AP85"/>
    <mergeCell ref="AQ85:AR85"/>
    <mergeCell ref="U85:V85"/>
    <mergeCell ref="W85:X85"/>
    <mergeCell ref="Y85:Z85"/>
    <mergeCell ref="AA85:AB85"/>
    <mergeCell ref="AC85:AD85"/>
    <mergeCell ref="AE85:AF85"/>
    <mergeCell ref="AP84:AQ84"/>
    <mergeCell ref="AS85:AT85"/>
    <mergeCell ref="C83:C84"/>
    <mergeCell ref="F83:G83"/>
    <mergeCell ref="H83:I83"/>
    <mergeCell ref="J83:K83"/>
    <mergeCell ref="L83:M83"/>
    <mergeCell ref="AL83:AM83"/>
    <mergeCell ref="AN83:AO83"/>
    <mergeCell ref="AP83:AQ83"/>
    <mergeCell ref="AR83:AS83"/>
    <mergeCell ref="AR84:AS84"/>
    <mergeCell ref="AJ84:AK84"/>
    <mergeCell ref="AL84:AM84"/>
    <mergeCell ref="AN84:AO84"/>
    <mergeCell ref="R84:S84"/>
    <mergeCell ref="T84:U84"/>
    <mergeCell ref="V84:W84"/>
    <mergeCell ref="X84:Y84"/>
    <mergeCell ref="Z84:AA84"/>
    <mergeCell ref="AB84:AC84"/>
    <mergeCell ref="F84:G84"/>
    <mergeCell ref="H84:I84"/>
    <mergeCell ref="J84:K84"/>
    <mergeCell ref="L84:M84"/>
    <mergeCell ref="N84:O84"/>
    <mergeCell ref="P84:Q84"/>
  </mergeCells>
  <pageMargins left="0.7" right="0.7" top="0.75" bottom="0.75" header="0.3" footer="0.3"/>
  <pageSetup paperSize="9" scale="2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pageSetUpPr fitToPage="1"/>
  </sheetPr>
  <dimension ref="B1:AT89"/>
  <sheetViews>
    <sheetView zoomScale="30" zoomScaleNormal="30" workbookViewId="0">
      <selection activeCell="AK119" sqref="AK119"/>
    </sheetView>
  </sheetViews>
  <sheetFormatPr defaultColWidth="9.21875" defaultRowHeight="14.4" x14ac:dyDescent="0.3"/>
  <cols>
    <col min="1" max="1" width="0.21875" customWidth="1"/>
    <col min="2" max="2" width="10.77734375" customWidth="1"/>
    <col min="3" max="4" width="13.77734375" customWidth="1"/>
    <col min="5" max="46" width="8.77734375" customWidth="1"/>
    <col min="47" max="49" width="3" customWidth="1"/>
  </cols>
  <sheetData>
    <row r="1" spans="2:46" x14ac:dyDescent="0.3">
      <c r="B1" s="1"/>
      <c r="AQ1" s="1"/>
    </row>
    <row r="2" spans="2:46" ht="50.1" customHeight="1" thickBot="1" x14ac:dyDescent="0.8">
      <c r="B2" s="65" t="s">
        <v>85</v>
      </c>
      <c r="C2" s="62"/>
      <c r="D2" s="63"/>
      <c r="E2" s="63"/>
      <c r="F2" s="64"/>
      <c r="G2" s="63"/>
      <c r="H2" s="64"/>
      <c r="I2" s="64"/>
      <c r="J2" s="64"/>
      <c r="K2" s="64"/>
      <c r="L2" s="423" t="str">
        <f>'Plot Data'!E7</f>
        <v>MIAS %</v>
      </c>
      <c r="M2" s="423"/>
      <c r="N2" s="423"/>
      <c r="O2" s="423"/>
      <c r="P2" s="423"/>
      <c r="Q2" s="423"/>
      <c r="R2" s="423"/>
      <c r="S2" s="423"/>
      <c r="T2" s="423"/>
      <c r="U2" s="423"/>
      <c r="V2" s="423"/>
      <c r="W2" s="423"/>
      <c r="X2" s="63"/>
      <c r="Y2" s="63"/>
      <c r="Z2" s="63"/>
      <c r="AA2" s="63"/>
      <c r="AB2" s="65"/>
      <c r="AC2" s="424" t="s">
        <v>92</v>
      </c>
      <c r="AD2" s="424"/>
      <c r="AE2" s="424"/>
      <c r="AF2" s="424"/>
      <c r="AG2" s="424"/>
      <c r="AH2" s="424"/>
      <c r="AI2" s="424"/>
      <c r="AJ2" s="424"/>
      <c r="AK2" s="425" t="str">
        <f>'Data Input'!V11</f>
        <v>AS CRM 002</v>
      </c>
      <c r="AL2" s="425"/>
      <c r="AM2" s="425"/>
      <c r="AN2" s="425"/>
      <c r="AO2" s="425"/>
      <c r="AP2" s="425"/>
      <c r="AQ2" s="425"/>
      <c r="AR2" s="425"/>
      <c r="AS2" s="425"/>
      <c r="AT2" s="425"/>
    </row>
    <row r="3" spans="2:46" ht="22.05" customHeight="1" x14ac:dyDescent="0.85">
      <c r="B3" s="61"/>
      <c r="C3" s="66"/>
      <c r="D3" s="66"/>
      <c r="E3" s="66"/>
      <c r="F3" s="67"/>
      <c r="G3" s="66"/>
      <c r="H3" s="67"/>
      <c r="I3" s="67"/>
      <c r="J3" s="66"/>
      <c r="K3" s="66"/>
      <c r="L3" s="66"/>
      <c r="M3" s="66"/>
      <c r="N3" s="66"/>
      <c r="O3" s="66"/>
      <c r="P3" s="66"/>
      <c r="Q3" s="66"/>
      <c r="R3" s="66"/>
      <c r="S3" s="66"/>
      <c r="T3" s="66"/>
      <c r="U3" s="66"/>
      <c r="V3" s="66"/>
      <c r="W3" s="66"/>
      <c r="X3" s="66"/>
      <c r="Y3" s="66"/>
      <c r="Z3" s="66"/>
      <c r="AA3" s="66"/>
      <c r="AB3" s="66"/>
      <c r="AC3" s="66"/>
      <c r="AD3" s="66"/>
      <c r="AE3" s="66"/>
      <c r="AF3" s="66"/>
      <c r="AG3" s="66"/>
      <c r="AH3" s="68"/>
      <c r="AI3" s="66"/>
      <c r="AJ3" s="68"/>
      <c r="AK3" s="66"/>
      <c r="AL3" s="66"/>
      <c r="AM3" s="66"/>
      <c r="AN3" s="66"/>
      <c r="AO3" s="67"/>
      <c r="AP3" s="66"/>
      <c r="AQ3" s="67"/>
      <c r="AR3" s="66"/>
      <c r="AS3" s="66"/>
    </row>
    <row r="4" spans="2:46" ht="50.1" customHeight="1" x14ac:dyDescent="0.85">
      <c r="B4" s="60"/>
      <c r="C4" s="66"/>
      <c r="D4" s="66"/>
      <c r="E4" s="66"/>
      <c r="F4" s="66"/>
      <c r="G4" s="66"/>
      <c r="H4" s="66"/>
      <c r="I4" s="66"/>
      <c r="J4" s="66"/>
      <c r="K4" s="66"/>
      <c r="L4" s="426" t="s">
        <v>87</v>
      </c>
      <c r="M4" s="426"/>
      <c r="N4" s="426"/>
      <c r="O4" s="426"/>
      <c r="P4" s="426"/>
      <c r="Q4" s="426"/>
      <c r="R4" s="426"/>
      <c r="S4" s="426"/>
      <c r="T4" s="426"/>
      <c r="U4" s="426"/>
      <c r="V4" s="426"/>
      <c r="W4" s="426"/>
      <c r="X4" s="426"/>
      <c r="Y4" s="426"/>
      <c r="Z4" s="426"/>
      <c r="AA4" s="426"/>
      <c r="AB4" s="426"/>
      <c r="AC4" s="426"/>
      <c r="AD4" s="69" t="s">
        <v>101</v>
      </c>
      <c r="AE4" s="66"/>
      <c r="AF4" s="66"/>
      <c r="AG4" s="66"/>
      <c r="AH4" s="66"/>
      <c r="AI4" s="66"/>
      <c r="AJ4" s="66"/>
      <c r="AK4" s="427" t="s">
        <v>89</v>
      </c>
      <c r="AL4" s="427"/>
      <c r="AM4" s="427"/>
      <c r="AN4" s="427"/>
      <c r="AO4" s="427"/>
      <c r="AP4" s="427"/>
      <c r="AQ4" s="427"/>
      <c r="AR4" s="427"/>
      <c r="AS4" s="427"/>
      <c r="AT4" s="427"/>
    </row>
    <row r="5" spans="2:46" ht="22.05" customHeight="1" thickBot="1" x14ac:dyDescent="0.35">
      <c r="K5" s="2"/>
    </row>
    <row r="6" spans="2:46" ht="50.1" customHeight="1" x14ac:dyDescent="0.3">
      <c r="B6" s="428" t="s">
        <v>0</v>
      </c>
      <c r="C6" s="429"/>
      <c r="D6" s="430"/>
      <c r="E6" s="431"/>
      <c r="F6" s="432"/>
      <c r="G6" s="431"/>
      <c r="H6" s="432"/>
      <c r="I6" s="431"/>
      <c r="J6" s="432"/>
      <c r="K6" s="431"/>
      <c r="L6" s="432"/>
      <c r="M6" s="431"/>
      <c r="N6" s="432"/>
      <c r="O6" s="431"/>
      <c r="P6" s="432"/>
      <c r="Q6" s="431"/>
      <c r="R6" s="432"/>
      <c r="S6" s="431"/>
      <c r="T6" s="432"/>
      <c r="U6" s="431"/>
      <c r="V6" s="432"/>
      <c r="W6" s="431"/>
      <c r="X6" s="432"/>
      <c r="Y6" s="431"/>
      <c r="Z6" s="432"/>
      <c r="AA6" s="431"/>
      <c r="AB6" s="432"/>
      <c r="AC6" s="431"/>
      <c r="AD6" s="432"/>
      <c r="AE6" s="431"/>
      <c r="AF6" s="432"/>
      <c r="AG6" s="431"/>
      <c r="AH6" s="432"/>
      <c r="AI6" s="431"/>
      <c r="AJ6" s="432"/>
      <c r="AK6" s="431"/>
      <c r="AL6" s="432"/>
      <c r="AM6" s="431"/>
      <c r="AN6" s="432"/>
      <c r="AO6" s="431"/>
      <c r="AP6" s="432"/>
      <c r="AQ6" s="431"/>
      <c r="AR6" s="432"/>
      <c r="AS6" s="431"/>
      <c r="AT6" s="432"/>
    </row>
    <row r="7" spans="2:46" ht="50.1" customHeight="1" thickBot="1" x14ac:dyDescent="0.35">
      <c r="B7" s="433" t="s">
        <v>1</v>
      </c>
      <c r="C7" s="434"/>
      <c r="D7" s="435"/>
      <c r="E7" s="436"/>
      <c r="F7" s="437"/>
      <c r="G7" s="436"/>
      <c r="H7" s="437"/>
      <c r="I7" s="436"/>
      <c r="J7" s="437"/>
      <c r="K7" s="436"/>
      <c r="L7" s="437"/>
      <c r="M7" s="436"/>
      <c r="N7" s="437"/>
      <c r="O7" s="436"/>
      <c r="P7" s="437"/>
      <c r="Q7" s="436"/>
      <c r="R7" s="437"/>
      <c r="S7" s="436"/>
      <c r="T7" s="437"/>
      <c r="U7" s="436"/>
      <c r="V7" s="437"/>
      <c r="W7" s="436"/>
      <c r="X7" s="437"/>
      <c r="Y7" s="436"/>
      <c r="Z7" s="437"/>
      <c r="AA7" s="436"/>
      <c r="AB7" s="437"/>
      <c r="AC7" s="436"/>
      <c r="AD7" s="437"/>
      <c r="AE7" s="436"/>
      <c r="AF7" s="437"/>
      <c r="AG7" s="436"/>
      <c r="AH7" s="437"/>
      <c r="AI7" s="436"/>
      <c r="AJ7" s="437"/>
      <c r="AK7" s="436"/>
      <c r="AL7" s="437"/>
      <c r="AM7" s="436"/>
      <c r="AN7" s="437"/>
      <c r="AO7" s="436"/>
      <c r="AP7" s="437"/>
      <c r="AQ7" s="436"/>
      <c r="AR7" s="437"/>
      <c r="AS7" s="436"/>
      <c r="AT7" s="437"/>
    </row>
    <row r="8" spans="2:46" ht="50.1" customHeight="1" thickBot="1" x14ac:dyDescent="0.35">
      <c r="B8" s="438" t="s">
        <v>2</v>
      </c>
      <c r="C8" s="439"/>
      <c r="D8" s="440"/>
      <c r="E8" s="441"/>
      <c r="F8" s="442"/>
      <c r="G8" s="441"/>
      <c r="H8" s="442"/>
      <c r="I8" s="441"/>
      <c r="J8" s="442"/>
      <c r="K8" s="441"/>
      <c r="L8" s="442"/>
      <c r="M8" s="441"/>
      <c r="N8" s="442"/>
      <c r="O8" s="441"/>
      <c r="P8" s="442"/>
      <c r="Q8" s="441"/>
      <c r="R8" s="442"/>
      <c r="S8" s="441"/>
      <c r="T8" s="442"/>
      <c r="U8" s="441"/>
      <c r="V8" s="442"/>
      <c r="W8" s="441"/>
      <c r="X8" s="442"/>
      <c r="Y8" s="441"/>
      <c r="Z8" s="442"/>
      <c r="AA8" s="441"/>
      <c r="AB8" s="442"/>
      <c r="AC8" s="441"/>
      <c r="AD8" s="442"/>
      <c r="AE8" s="441"/>
      <c r="AF8" s="442"/>
      <c r="AG8" s="441"/>
      <c r="AH8" s="442"/>
      <c r="AI8" s="441"/>
      <c r="AJ8" s="442"/>
      <c r="AK8" s="441"/>
      <c r="AL8" s="442"/>
      <c r="AM8" s="441"/>
      <c r="AN8" s="442"/>
      <c r="AO8" s="441"/>
      <c r="AP8" s="442"/>
      <c r="AQ8" s="441"/>
      <c r="AR8" s="442"/>
      <c r="AS8" s="441"/>
      <c r="AT8" s="442"/>
    </row>
    <row r="9" spans="2:46" ht="50.1" customHeight="1" thickBot="1" x14ac:dyDescent="0.35">
      <c r="B9" s="447" t="s">
        <v>3</v>
      </c>
      <c r="C9" s="448"/>
      <c r="D9" s="449"/>
      <c r="E9" s="443"/>
      <c r="F9" s="444"/>
      <c r="G9" s="443"/>
      <c r="H9" s="444"/>
      <c r="I9" s="443"/>
      <c r="J9" s="444"/>
      <c r="K9" s="443"/>
      <c r="L9" s="444"/>
      <c r="M9" s="443"/>
      <c r="N9" s="444"/>
      <c r="O9" s="443"/>
      <c r="P9" s="444"/>
      <c r="Q9" s="443"/>
      <c r="R9" s="444"/>
      <c r="S9" s="443"/>
      <c r="T9" s="444"/>
      <c r="U9" s="443"/>
      <c r="V9" s="444"/>
      <c r="W9" s="443"/>
      <c r="X9" s="444"/>
      <c r="Y9" s="443"/>
      <c r="Z9" s="444"/>
      <c r="AA9" s="443"/>
      <c r="AB9" s="444"/>
      <c r="AC9" s="443"/>
      <c r="AD9" s="444"/>
      <c r="AE9" s="443"/>
      <c r="AF9" s="444"/>
      <c r="AG9" s="443"/>
      <c r="AH9" s="444"/>
      <c r="AI9" s="443"/>
      <c r="AJ9" s="444"/>
      <c r="AK9" s="443"/>
      <c r="AL9" s="444"/>
      <c r="AM9" s="443"/>
      <c r="AN9" s="444"/>
      <c r="AO9" s="443"/>
      <c r="AP9" s="444"/>
      <c r="AQ9" s="443"/>
      <c r="AR9" s="444"/>
      <c r="AS9" s="443"/>
      <c r="AT9" s="444"/>
    </row>
    <row r="10" spans="2:46" ht="50.1" customHeight="1" thickBot="1" x14ac:dyDescent="0.35">
      <c r="B10" s="428" t="s">
        <v>4</v>
      </c>
      <c r="C10" s="429"/>
      <c r="D10" s="430"/>
      <c r="E10" s="441"/>
      <c r="F10" s="442"/>
      <c r="G10" s="441"/>
      <c r="H10" s="442"/>
      <c r="I10" s="441"/>
      <c r="J10" s="442"/>
      <c r="K10" s="445"/>
      <c r="L10" s="446"/>
      <c r="M10" s="441"/>
      <c r="N10" s="442"/>
      <c r="O10" s="441"/>
      <c r="P10" s="442"/>
      <c r="Q10" s="441"/>
      <c r="R10" s="442"/>
      <c r="S10" s="441"/>
      <c r="T10" s="442"/>
      <c r="U10" s="441"/>
      <c r="V10" s="442"/>
      <c r="W10" s="441"/>
      <c r="X10" s="442"/>
      <c r="Y10" s="441"/>
      <c r="Z10" s="442"/>
      <c r="AA10" s="441"/>
      <c r="AB10" s="442"/>
      <c r="AC10" s="441"/>
      <c r="AD10" s="442"/>
      <c r="AE10" s="441"/>
      <c r="AF10" s="442"/>
      <c r="AG10" s="441"/>
      <c r="AH10" s="442"/>
      <c r="AI10" s="441"/>
      <c r="AJ10" s="442"/>
      <c r="AK10" s="441"/>
      <c r="AL10" s="442"/>
      <c r="AM10" s="441"/>
      <c r="AN10" s="442"/>
      <c r="AO10" s="441"/>
      <c r="AP10" s="442"/>
      <c r="AQ10" s="441"/>
      <c r="AR10" s="442"/>
      <c r="AS10" s="441"/>
      <c r="AT10" s="442"/>
    </row>
    <row r="11" spans="2:46" ht="50.1" customHeight="1" thickBot="1" x14ac:dyDescent="0.35">
      <c r="B11" s="450" t="s">
        <v>5</v>
      </c>
      <c r="C11" s="451"/>
      <c r="D11" s="452"/>
      <c r="E11" s="441"/>
      <c r="F11" s="442"/>
      <c r="G11" s="441"/>
      <c r="H11" s="442"/>
      <c r="I11" s="441"/>
      <c r="J11" s="442"/>
      <c r="K11" s="72"/>
      <c r="L11" s="72"/>
      <c r="M11" s="441"/>
      <c r="N11" s="442"/>
      <c r="O11" s="441"/>
      <c r="P11" s="442"/>
      <c r="Q11" s="441"/>
      <c r="R11" s="442"/>
      <c r="S11" s="441"/>
      <c r="T11" s="442"/>
      <c r="U11" s="441"/>
      <c r="V11" s="442"/>
      <c r="W11" s="441"/>
      <c r="X11" s="442"/>
      <c r="Y11" s="441"/>
      <c r="Z11" s="442"/>
      <c r="AA11" s="441"/>
      <c r="AB11" s="442"/>
      <c r="AC11" s="441"/>
      <c r="AD11" s="442"/>
      <c r="AE11" s="441"/>
      <c r="AF11" s="442"/>
      <c r="AG11" s="441"/>
      <c r="AH11" s="442"/>
      <c r="AI11" s="441"/>
      <c r="AJ11" s="442"/>
      <c r="AK11" s="441"/>
      <c r="AL11" s="442"/>
      <c r="AM11" s="441"/>
      <c r="AN11" s="442"/>
      <c r="AO11" s="441"/>
      <c r="AP11" s="442"/>
      <c r="AQ11" s="441"/>
      <c r="AR11" s="442"/>
      <c r="AS11" s="441"/>
      <c r="AT11" s="442"/>
    </row>
    <row r="12" spans="2:46" ht="18" customHeight="1" thickTop="1" x14ac:dyDescent="0.6">
      <c r="B12" s="453" t="s">
        <v>6</v>
      </c>
      <c r="C12" s="98"/>
      <c r="D12" s="73"/>
      <c r="E12" s="74"/>
      <c r="F12" s="456"/>
      <c r="G12" s="457"/>
      <c r="H12" s="456"/>
      <c r="I12" s="457"/>
      <c r="J12" s="456"/>
      <c r="K12" s="457"/>
      <c r="L12" s="456"/>
      <c r="M12" s="457"/>
      <c r="N12" s="456"/>
      <c r="O12" s="457"/>
      <c r="P12" s="456"/>
      <c r="Q12" s="457"/>
      <c r="R12" s="456"/>
      <c r="S12" s="457"/>
      <c r="T12" s="456"/>
      <c r="U12" s="457"/>
      <c r="V12" s="456"/>
      <c r="W12" s="457"/>
      <c r="X12" s="456"/>
      <c r="Y12" s="457"/>
      <c r="Z12" s="456"/>
      <c r="AA12" s="457"/>
      <c r="AB12" s="456"/>
      <c r="AC12" s="457"/>
      <c r="AD12" s="456"/>
      <c r="AE12" s="457"/>
      <c r="AF12" s="456"/>
      <c r="AG12" s="457"/>
      <c r="AH12" s="456"/>
      <c r="AI12" s="457"/>
      <c r="AJ12" s="456"/>
      <c r="AK12" s="457"/>
      <c r="AL12" s="456"/>
      <c r="AM12" s="457"/>
      <c r="AN12" s="456"/>
      <c r="AO12" s="457"/>
      <c r="AP12" s="456"/>
      <c r="AQ12" s="457"/>
      <c r="AR12" s="456"/>
      <c r="AS12" s="457"/>
      <c r="AT12" s="93"/>
    </row>
    <row r="13" spans="2:46" ht="18" customHeight="1" thickBot="1" x14ac:dyDescent="0.35">
      <c r="B13" s="454"/>
      <c r="C13" s="458">
        <f>'Plot Data'!E64</f>
        <v>4.1143885221782943</v>
      </c>
      <c r="D13" s="5"/>
      <c r="E13" s="6"/>
      <c r="F13" s="461"/>
      <c r="G13" s="462"/>
      <c r="H13" s="461"/>
      <c r="I13" s="462"/>
      <c r="J13" s="461"/>
      <c r="K13" s="462"/>
      <c r="L13" s="461"/>
      <c r="M13" s="462"/>
      <c r="N13" s="461"/>
      <c r="O13" s="462"/>
      <c r="P13" s="461"/>
      <c r="Q13" s="462"/>
      <c r="R13" s="461"/>
      <c r="S13" s="462"/>
      <c r="T13" s="461"/>
      <c r="U13" s="462"/>
      <c r="V13" s="461"/>
      <c r="W13" s="462"/>
      <c r="X13" s="461"/>
      <c r="Y13" s="462"/>
      <c r="Z13" s="461"/>
      <c r="AA13" s="462"/>
      <c r="AB13" s="461"/>
      <c r="AC13" s="462"/>
      <c r="AD13" s="461"/>
      <c r="AE13" s="462"/>
      <c r="AF13" s="461"/>
      <c r="AG13" s="462"/>
      <c r="AH13" s="461"/>
      <c r="AI13" s="462"/>
      <c r="AJ13" s="461"/>
      <c r="AK13" s="462"/>
      <c r="AL13" s="461"/>
      <c r="AM13" s="462"/>
      <c r="AN13" s="461"/>
      <c r="AO13" s="462"/>
      <c r="AP13" s="461"/>
      <c r="AQ13" s="462"/>
      <c r="AR13" s="461"/>
      <c r="AS13" s="462"/>
      <c r="AT13" s="463" t="s">
        <v>48</v>
      </c>
    </row>
    <row r="14" spans="2:46" ht="18" customHeight="1" thickTop="1" x14ac:dyDescent="0.3">
      <c r="B14" s="454"/>
      <c r="C14" s="458"/>
      <c r="D14" s="7"/>
      <c r="E14" s="8"/>
      <c r="F14" s="459"/>
      <c r="G14" s="460"/>
      <c r="H14" s="459"/>
      <c r="I14" s="460"/>
      <c r="J14" s="459"/>
      <c r="K14" s="460"/>
      <c r="L14" s="459"/>
      <c r="M14" s="460"/>
      <c r="N14" s="459"/>
      <c r="O14" s="460"/>
      <c r="P14" s="459"/>
      <c r="Q14" s="460"/>
      <c r="R14" s="459"/>
      <c r="S14" s="460"/>
      <c r="T14" s="459"/>
      <c r="U14" s="460"/>
      <c r="V14" s="459"/>
      <c r="W14" s="460"/>
      <c r="X14" s="459"/>
      <c r="Y14" s="460"/>
      <c r="Z14" s="459"/>
      <c r="AA14" s="460"/>
      <c r="AB14" s="459"/>
      <c r="AC14" s="460"/>
      <c r="AD14" s="459"/>
      <c r="AE14" s="460"/>
      <c r="AF14" s="459"/>
      <c r="AG14" s="460"/>
      <c r="AH14" s="459"/>
      <c r="AI14" s="460"/>
      <c r="AJ14" s="459"/>
      <c r="AK14" s="460"/>
      <c r="AL14" s="459"/>
      <c r="AM14" s="460"/>
      <c r="AN14" s="459"/>
      <c r="AO14" s="460"/>
      <c r="AP14" s="459"/>
      <c r="AQ14" s="460"/>
      <c r="AR14" s="459"/>
      <c r="AS14" s="460"/>
      <c r="AT14" s="464"/>
    </row>
    <row r="15" spans="2:46" ht="18" customHeight="1" x14ac:dyDescent="0.6">
      <c r="B15" s="454"/>
      <c r="C15" s="458">
        <f>C19+(C13-C19)/2</f>
        <v>4.0387853069434501</v>
      </c>
      <c r="D15" s="13"/>
      <c r="E15" s="8"/>
      <c r="F15" s="459"/>
      <c r="G15" s="460"/>
      <c r="H15" s="459"/>
      <c r="I15" s="460"/>
      <c r="J15" s="459"/>
      <c r="K15" s="460"/>
      <c r="L15" s="459"/>
      <c r="M15" s="460"/>
      <c r="N15" s="459"/>
      <c r="O15" s="460"/>
      <c r="P15" s="459"/>
      <c r="Q15" s="460"/>
      <c r="R15" s="459"/>
      <c r="S15" s="460"/>
      <c r="T15" s="459"/>
      <c r="U15" s="460"/>
      <c r="V15" s="459"/>
      <c r="W15" s="460"/>
      <c r="X15" s="459"/>
      <c r="Y15" s="460"/>
      <c r="Z15" s="459"/>
      <c r="AA15" s="460"/>
      <c r="AB15" s="459"/>
      <c r="AC15" s="460"/>
      <c r="AD15" s="459"/>
      <c r="AE15" s="460"/>
      <c r="AF15" s="459"/>
      <c r="AG15" s="460"/>
      <c r="AH15" s="459"/>
      <c r="AI15" s="460"/>
      <c r="AJ15" s="459"/>
      <c r="AK15" s="460"/>
      <c r="AL15" s="459"/>
      <c r="AM15" s="460"/>
      <c r="AN15" s="459"/>
      <c r="AO15" s="460"/>
      <c r="AP15" s="459"/>
      <c r="AQ15" s="460"/>
      <c r="AR15" s="459"/>
      <c r="AS15" s="460"/>
      <c r="AT15" s="94"/>
    </row>
    <row r="16" spans="2:46" ht="18" customHeight="1" x14ac:dyDescent="0.6">
      <c r="B16" s="454"/>
      <c r="C16" s="458"/>
      <c r="D16" s="3"/>
      <c r="E16" s="8"/>
      <c r="F16" s="459"/>
      <c r="G16" s="460"/>
      <c r="H16" s="459"/>
      <c r="I16" s="460"/>
      <c r="J16" s="459"/>
      <c r="K16" s="460"/>
      <c r="L16" s="459"/>
      <c r="M16" s="460"/>
      <c r="N16" s="459"/>
      <c r="O16" s="460"/>
      <c r="P16" s="459"/>
      <c r="Q16" s="460"/>
      <c r="R16" s="459"/>
      <c r="S16" s="460"/>
      <c r="T16" s="459"/>
      <c r="U16" s="460"/>
      <c r="V16" s="459"/>
      <c r="W16" s="460"/>
      <c r="X16" s="459"/>
      <c r="Y16" s="460"/>
      <c r="Z16" s="459"/>
      <c r="AA16" s="460"/>
      <c r="AB16" s="459"/>
      <c r="AC16" s="460"/>
      <c r="AD16" s="459"/>
      <c r="AE16" s="460"/>
      <c r="AF16" s="459"/>
      <c r="AG16" s="460"/>
      <c r="AH16" s="459"/>
      <c r="AI16" s="460"/>
      <c r="AJ16" s="459"/>
      <c r="AK16" s="460"/>
      <c r="AL16" s="459"/>
      <c r="AM16" s="460"/>
      <c r="AN16" s="459"/>
      <c r="AO16" s="460"/>
      <c r="AP16" s="459"/>
      <c r="AQ16" s="460"/>
      <c r="AR16" s="459"/>
      <c r="AS16" s="460"/>
      <c r="AT16" s="94"/>
    </row>
    <row r="17" spans="2:46" ht="18" customHeight="1" x14ac:dyDescent="0.6">
      <c r="B17" s="454"/>
      <c r="C17" s="458"/>
      <c r="D17" s="3"/>
      <c r="E17" s="8"/>
      <c r="F17" s="459"/>
      <c r="G17" s="460"/>
      <c r="H17" s="459"/>
      <c r="I17" s="460"/>
      <c r="J17" s="459"/>
      <c r="K17" s="460"/>
      <c r="L17" s="459"/>
      <c r="M17" s="460"/>
      <c r="N17" s="459"/>
      <c r="O17" s="460"/>
      <c r="P17" s="459"/>
      <c r="Q17" s="460"/>
      <c r="R17" s="459"/>
      <c r="S17" s="460"/>
      <c r="T17" s="459"/>
      <c r="U17" s="460"/>
      <c r="V17" s="459"/>
      <c r="W17" s="460"/>
      <c r="X17" s="459"/>
      <c r="Y17" s="460"/>
      <c r="Z17" s="459"/>
      <c r="AA17" s="460"/>
      <c r="AB17" s="459"/>
      <c r="AC17" s="460"/>
      <c r="AD17" s="459"/>
      <c r="AE17" s="460"/>
      <c r="AF17" s="459"/>
      <c r="AG17" s="460"/>
      <c r="AH17" s="459"/>
      <c r="AI17" s="460"/>
      <c r="AJ17" s="459"/>
      <c r="AK17" s="460"/>
      <c r="AL17" s="459"/>
      <c r="AM17" s="460"/>
      <c r="AN17" s="459"/>
      <c r="AO17" s="460"/>
      <c r="AP17" s="459"/>
      <c r="AQ17" s="460"/>
      <c r="AR17" s="459"/>
      <c r="AS17" s="460"/>
      <c r="AT17" s="94"/>
    </row>
    <row r="18" spans="2:46" ht="18" customHeight="1" x14ac:dyDescent="0.6">
      <c r="B18" s="454"/>
      <c r="C18" s="458"/>
      <c r="D18" s="7"/>
      <c r="E18" s="8"/>
      <c r="F18" s="459"/>
      <c r="G18" s="460"/>
      <c r="H18" s="459"/>
      <c r="I18" s="460"/>
      <c r="J18" s="459"/>
      <c r="K18" s="460"/>
      <c r="L18" s="459"/>
      <c r="M18" s="460"/>
      <c r="N18" s="459"/>
      <c r="O18" s="460"/>
      <c r="P18" s="459"/>
      <c r="Q18" s="460"/>
      <c r="R18" s="459"/>
      <c r="S18" s="460"/>
      <c r="T18" s="459"/>
      <c r="U18" s="460"/>
      <c r="V18" s="459"/>
      <c r="W18" s="460"/>
      <c r="X18" s="459"/>
      <c r="Y18" s="460"/>
      <c r="Z18" s="459"/>
      <c r="AA18" s="460"/>
      <c r="AB18" s="459"/>
      <c r="AC18" s="460"/>
      <c r="AD18" s="459"/>
      <c r="AE18" s="460"/>
      <c r="AF18" s="459"/>
      <c r="AG18" s="460"/>
      <c r="AH18" s="459"/>
      <c r="AI18" s="460"/>
      <c r="AJ18" s="459"/>
      <c r="AK18" s="460"/>
      <c r="AL18" s="459"/>
      <c r="AM18" s="460"/>
      <c r="AN18" s="459"/>
      <c r="AO18" s="460"/>
      <c r="AP18" s="459"/>
      <c r="AQ18" s="460"/>
      <c r="AR18" s="459"/>
      <c r="AS18" s="460"/>
      <c r="AT18" s="94"/>
    </row>
    <row r="19" spans="2:46" ht="18" customHeight="1" thickBot="1" x14ac:dyDescent="0.35">
      <c r="B19" s="454"/>
      <c r="C19" s="458">
        <f>'Plot Data'!E62</f>
        <v>3.9631820917086062</v>
      </c>
      <c r="D19" s="9"/>
      <c r="E19" s="10"/>
      <c r="F19" s="11"/>
      <c r="G19" s="12"/>
      <c r="H19" s="11"/>
      <c r="I19" s="12"/>
      <c r="J19" s="11"/>
      <c r="K19" s="12"/>
      <c r="L19" s="11"/>
      <c r="M19" s="12"/>
      <c r="N19" s="11"/>
      <c r="O19" s="12"/>
      <c r="P19" s="11"/>
      <c r="Q19" s="12"/>
      <c r="R19" s="11"/>
      <c r="S19" s="12"/>
      <c r="T19" s="11"/>
      <c r="U19" s="12"/>
      <c r="V19" s="11"/>
      <c r="W19" s="12"/>
      <c r="X19" s="11"/>
      <c r="Y19" s="12"/>
      <c r="Z19" s="11"/>
      <c r="AA19" s="12"/>
      <c r="AB19" s="11"/>
      <c r="AC19" s="12"/>
      <c r="AD19" s="11"/>
      <c r="AE19" s="12"/>
      <c r="AF19" s="11"/>
      <c r="AG19" s="12"/>
      <c r="AH19" s="11"/>
      <c r="AI19" s="12"/>
      <c r="AJ19" s="11"/>
      <c r="AK19" s="12"/>
      <c r="AL19" s="11"/>
      <c r="AM19" s="12"/>
      <c r="AN19" s="11"/>
      <c r="AO19" s="12"/>
      <c r="AP19" s="11"/>
      <c r="AQ19" s="12"/>
      <c r="AR19" s="11"/>
      <c r="AS19" s="12"/>
      <c r="AT19" s="463" t="s">
        <v>47</v>
      </c>
    </row>
    <row r="20" spans="2:46" ht="18" customHeight="1" x14ac:dyDescent="0.3">
      <c r="B20" s="454"/>
      <c r="C20" s="458"/>
      <c r="D20" s="7"/>
      <c r="E20" s="8"/>
      <c r="F20" s="459"/>
      <c r="G20" s="460"/>
      <c r="H20" s="459"/>
      <c r="I20" s="460"/>
      <c r="J20" s="459"/>
      <c r="K20" s="460"/>
      <c r="L20" s="459"/>
      <c r="M20" s="460"/>
      <c r="N20" s="459"/>
      <c r="O20" s="460"/>
      <c r="P20" s="459"/>
      <c r="Q20" s="460"/>
      <c r="R20" s="459"/>
      <c r="S20" s="460"/>
      <c r="T20" s="459"/>
      <c r="U20" s="460"/>
      <c r="V20" s="459"/>
      <c r="W20" s="460"/>
      <c r="X20" s="459"/>
      <c r="Y20" s="460"/>
      <c r="Z20" s="459"/>
      <c r="AA20" s="460"/>
      <c r="AB20" s="459"/>
      <c r="AC20" s="460"/>
      <c r="AD20" s="459"/>
      <c r="AE20" s="460"/>
      <c r="AF20" s="459"/>
      <c r="AG20" s="460"/>
      <c r="AH20" s="459"/>
      <c r="AI20" s="460"/>
      <c r="AJ20" s="459"/>
      <c r="AK20" s="460"/>
      <c r="AL20" s="459"/>
      <c r="AM20" s="460"/>
      <c r="AN20" s="459"/>
      <c r="AO20" s="460"/>
      <c r="AP20" s="459"/>
      <c r="AQ20" s="460"/>
      <c r="AR20" s="459"/>
      <c r="AS20" s="460"/>
      <c r="AT20" s="464"/>
    </row>
    <row r="21" spans="2:46" ht="18" customHeight="1" x14ac:dyDescent="0.6">
      <c r="B21" s="454"/>
      <c r="C21" s="458">
        <f>C25+(C19-C25)/2</f>
        <v>3.8875788764737624</v>
      </c>
      <c r="D21" s="13"/>
      <c r="E21" s="8"/>
      <c r="F21" s="459"/>
      <c r="G21" s="460"/>
      <c r="H21" s="459"/>
      <c r="I21" s="460"/>
      <c r="J21" s="459"/>
      <c r="K21" s="460"/>
      <c r="L21" s="459"/>
      <c r="M21" s="460"/>
      <c r="N21" s="459"/>
      <c r="O21" s="460"/>
      <c r="P21" s="459"/>
      <c r="Q21" s="460"/>
      <c r="R21" s="459"/>
      <c r="S21" s="460"/>
      <c r="T21" s="459"/>
      <c r="U21" s="460"/>
      <c r="V21" s="459"/>
      <c r="W21" s="460"/>
      <c r="X21" s="459"/>
      <c r="Y21" s="460"/>
      <c r="Z21" s="459"/>
      <c r="AA21" s="460"/>
      <c r="AB21" s="459"/>
      <c r="AC21" s="460"/>
      <c r="AD21" s="459"/>
      <c r="AE21" s="460"/>
      <c r="AF21" s="459"/>
      <c r="AG21" s="460"/>
      <c r="AH21" s="459"/>
      <c r="AI21" s="460"/>
      <c r="AJ21" s="459"/>
      <c r="AK21" s="460"/>
      <c r="AL21" s="459"/>
      <c r="AM21" s="460"/>
      <c r="AN21" s="459"/>
      <c r="AO21" s="460"/>
      <c r="AP21" s="459"/>
      <c r="AQ21" s="460"/>
      <c r="AR21" s="459"/>
      <c r="AS21" s="460"/>
      <c r="AT21" s="94"/>
    </row>
    <row r="22" spans="2:46" ht="18" customHeight="1" x14ac:dyDescent="0.6">
      <c r="B22" s="454"/>
      <c r="C22" s="458"/>
      <c r="D22" s="3"/>
      <c r="E22" s="8"/>
      <c r="F22" s="459"/>
      <c r="G22" s="460"/>
      <c r="H22" s="459"/>
      <c r="I22" s="460"/>
      <c r="J22" s="459"/>
      <c r="K22" s="460"/>
      <c r="L22" s="459"/>
      <c r="M22" s="460"/>
      <c r="N22" s="459"/>
      <c r="O22" s="460"/>
      <c r="P22" s="459"/>
      <c r="Q22" s="460"/>
      <c r="R22" s="459"/>
      <c r="S22" s="460"/>
      <c r="T22" s="459"/>
      <c r="U22" s="460"/>
      <c r="V22" s="459"/>
      <c r="W22" s="460"/>
      <c r="X22" s="459"/>
      <c r="Y22" s="460"/>
      <c r="Z22" s="459"/>
      <c r="AA22" s="460"/>
      <c r="AB22" s="459"/>
      <c r="AC22" s="460"/>
      <c r="AD22" s="459"/>
      <c r="AE22" s="460"/>
      <c r="AF22" s="459"/>
      <c r="AG22" s="460"/>
      <c r="AH22" s="459"/>
      <c r="AI22" s="460"/>
      <c r="AJ22" s="459"/>
      <c r="AK22" s="460"/>
      <c r="AL22" s="459"/>
      <c r="AM22" s="460"/>
      <c r="AN22" s="459"/>
      <c r="AO22" s="460"/>
      <c r="AP22" s="459"/>
      <c r="AQ22" s="460"/>
      <c r="AR22" s="459"/>
      <c r="AS22" s="460"/>
      <c r="AT22" s="94"/>
    </row>
    <row r="23" spans="2:46" ht="18" customHeight="1" x14ac:dyDescent="0.6">
      <c r="B23" s="454"/>
      <c r="C23" s="458"/>
      <c r="D23" s="3"/>
      <c r="E23" s="8"/>
      <c r="F23" s="459"/>
      <c r="G23" s="460"/>
      <c r="H23" s="459"/>
      <c r="I23" s="460"/>
      <c r="J23" s="459"/>
      <c r="K23" s="460"/>
      <c r="L23" s="459"/>
      <c r="M23" s="460"/>
      <c r="N23" s="459"/>
      <c r="O23" s="460"/>
      <c r="P23" s="459"/>
      <c r="Q23" s="460"/>
      <c r="R23" s="459"/>
      <c r="S23" s="460"/>
      <c r="T23" s="459"/>
      <c r="U23" s="460"/>
      <c r="V23" s="459"/>
      <c r="W23" s="460"/>
      <c r="X23" s="459"/>
      <c r="Y23" s="460"/>
      <c r="Z23" s="459"/>
      <c r="AA23" s="460"/>
      <c r="AB23" s="459"/>
      <c r="AC23" s="460"/>
      <c r="AD23" s="459"/>
      <c r="AE23" s="460"/>
      <c r="AF23" s="459"/>
      <c r="AG23" s="460"/>
      <c r="AH23" s="459"/>
      <c r="AI23" s="460"/>
      <c r="AJ23" s="459"/>
      <c r="AK23" s="460"/>
      <c r="AL23" s="459"/>
      <c r="AM23" s="460"/>
      <c r="AN23" s="459"/>
      <c r="AO23" s="460"/>
      <c r="AP23" s="459"/>
      <c r="AQ23" s="460"/>
      <c r="AR23" s="459"/>
      <c r="AS23" s="460"/>
      <c r="AT23" s="94"/>
    </row>
    <row r="24" spans="2:46" ht="18" customHeight="1" x14ac:dyDescent="0.6">
      <c r="B24" s="454"/>
      <c r="C24" s="458"/>
      <c r="D24" s="7"/>
      <c r="E24" s="8"/>
      <c r="F24" s="459"/>
      <c r="G24" s="460"/>
      <c r="H24" s="459"/>
      <c r="I24" s="460"/>
      <c r="J24" s="459"/>
      <c r="K24" s="460"/>
      <c r="L24" s="459"/>
      <c r="M24" s="460"/>
      <c r="N24" s="459"/>
      <c r="O24" s="460"/>
      <c r="P24" s="459"/>
      <c r="Q24" s="460"/>
      <c r="R24" s="459"/>
      <c r="S24" s="460"/>
      <c r="T24" s="459"/>
      <c r="U24" s="460"/>
      <c r="V24" s="459"/>
      <c r="W24" s="460"/>
      <c r="X24" s="459"/>
      <c r="Y24" s="460"/>
      <c r="Z24" s="459"/>
      <c r="AA24" s="460"/>
      <c r="AB24" s="459"/>
      <c r="AC24" s="460"/>
      <c r="AD24" s="459"/>
      <c r="AE24" s="460"/>
      <c r="AF24" s="459"/>
      <c r="AG24" s="460"/>
      <c r="AH24" s="459"/>
      <c r="AI24" s="460"/>
      <c r="AJ24" s="459"/>
      <c r="AK24" s="460"/>
      <c r="AL24" s="459"/>
      <c r="AM24" s="460"/>
      <c r="AN24" s="459"/>
      <c r="AO24" s="460"/>
      <c r="AP24" s="459"/>
      <c r="AQ24" s="460"/>
      <c r="AR24" s="459"/>
      <c r="AS24" s="460"/>
      <c r="AT24" s="94"/>
    </row>
    <row r="25" spans="2:46" ht="18" customHeight="1" x14ac:dyDescent="0.6">
      <c r="B25" s="454"/>
      <c r="C25" s="458">
        <f>'Plot Data'!E63</f>
        <v>3.8119756612389182</v>
      </c>
      <c r="D25" s="13"/>
      <c r="E25" s="8"/>
      <c r="F25" s="459"/>
      <c r="G25" s="460"/>
      <c r="H25" s="459"/>
      <c r="I25" s="460"/>
      <c r="J25" s="459"/>
      <c r="K25" s="460"/>
      <c r="L25" s="459"/>
      <c r="M25" s="460"/>
      <c r="N25" s="459"/>
      <c r="O25" s="460"/>
      <c r="P25" s="459"/>
      <c r="Q25" s="460"/>
      <c r="R25" s="459"/>
      <c r="S25" s="460"/>
      <c r="T25" s="459"/>
      <c r="U25" s="460"/>
      <c r="V25" s="459"/>
      <c r="W25" s="460"/>
      <c r="X25" s="459"/>
      <c r="Y25" s="460"/>
      <c r="Z25" s="459"/>
      <c r="AA25" s="460"/>
      <c r="AB25" s="459"/>
      <c r="AC25" s="460"/>
      <c r="AD25" s="459"/>
      <c r="AE25" s="460"/>
      <c r="AF25" s="459"/>
      <c r="AG25" s="460"/>
      <c r="AH25" s="459"/>
      <c r="AI25" s="460"/>
      <c r="AJ25" s="459"/>
      <c r="AK25" s="460"/>
      <c r="AL25" s="459"/>
      <c r="AM25" s="460"/>
      <c r="AN25" s="459"/>
      <c r="AO25" s="460"/>
      <c r="AP25" s="459"/>
      <c r="AQ25" s="460"/>
      <c r="AR25" s="459"/>
      <c r="AS25" s="460"/>
      <c r="AT25" s="94"/>
    </row>
    <row r="26" spans="2:46" ht="18" customHeight="1" x14ac:dyDescent="0.6">
      <c r="B26" s="454"/>
      <c r="C26" s="458"/>
      <c r="D26" s="7"/>
      <c r="E26" s="8"/>
      <c r="F26" s="459"/>
      <c r="G26" s="460"/>
      <c r="H26" s="459"/>
      <c r="I26" s="460"/>
      <c r="J26" s="459"/>
      <c r="K26" s="460"/>
      <c r="L26" s="459"/>
      <c r="M26" s="460"/>
      <c r="N26" s="459"/>
      <c r="O26" s="460"/>
      <c r="P26" s="459"/>
      <c r="Q26" s="460"/>
      <c r="R26" s="459"/>
      <c r="S26" s="460"/>
      <c r="T26" s="459"/>
      <c r="U26" s="460"/>
      <c r="V26" s="459"/>
      <c r="W26" s="460"/>
      <c r="X26" s="459"/>
      <c r="Y26" s="460"/>
      <c r="Z26" s="459"/>
      <c r="AA26" s="460"/>
      <c r="AB26" s="459"/>
      <c r="AC26" s="460"/>
      <c r="AD26" s="459"/>
      <c r="AE26" s="460"/>
      <c r="AF26" s="459"/>
      <c r="AG26" s="460"/>
      <c r="AH26" s="459"/>
      <c r="AI26" s="460"/>
      <c r="AJ26" s="459"/>
      <c r="AK26" s="460"/>
      <c r="AL26" s="459"/>
      <c r="AM26" s="460"/>
      <c r="AN26" s="459"/>
      <c r="AO26" s="460"/>
      <c r="AP26" s="459"/>
      <c r="AQ26" s="460"/>
      <c r="AR26" s="459"/>
      <c r="AS26" s="460"/>
      <c r="AT26" s="94"/>
    </row>
    <row r="27" spans="2:46" ht="18" customHeight="1" x14ac:dyDescent="0.6">
      <c r="B27" s="454"/>
      <c r="C27" s="458">
        <f>C31+(C25-C31)/2</f>
        <v>3.7363724460040739</v>
      </c>
      <c r="D27" s="13"/>
      <c r="E27" s="8"/>
      <c r="F27" s="459"/>
      <c r="G27" s="460"/>
      <c r="H27" s="459"/>
      <c r="I27" s="460"/>
      <c r="J27" s="459"/>
      <c r="K27" s="460"/>
      <c r="L27" s="459"/>
      <c r="M27" s="460"/>
      <c r="N27" s="459"/>
      <c r="O27" s="460"/>
      <c r="P27" s="459"/>
      <c r="Q27" s="460"/>
      <c r="R27" s="459"/>
      <c r="S27" s="460"/>
      <c r="T27" s="459"/>
      <c r="U27" s="460"/>
      <c r="V27" s="459"/>
      <c r="W27" s="460"/>
      <c r="X27" s="459"/>
      <c r="Y27" s="460"/>
      <c r="Z27" s="459"/>
      <c r="AA27" s="460"/>
      <c r="AB27" s="459"/>
      <c r="AC27" s="460"/>
      <c r="AD27" s="459"/>
      <c r="AE27" s="460"/>
      <c r="AF27" s="459"/>
      <c r="AG27" s="460"/>
      <c r="AH27" s="459"/>
      <c r="AI27" s="460"/>
      <c r="AJ27" s="459"/>
      <c r="AK27" s="460"/>
      <c r="AL27" s="459"/>
      <c r="AM27" s="460"/>
      <c r="AN27" s="459"/>
      <c r="AO27" s="460"/>
      <c r="AP27" s="459"/>
      <c r="AQ27" s="460"/>
      <c r="AR27" s="459"/>
      <c r="AS27" s="460"/>
      <c r="AT27" s="94"/>
    </row>
    <row r="28" spans="2:46" ht="18" customHeight="1" x14ac:dyDescent="0.6">
      <c r="B28" s="454"/>
      <c r="C28" s="458"/>
      <c r="D28" s="3"/>
      <c r="E28" s="8"/>
      <c r="F28" s="459"/>
      <c r="G28" s="460"/>
      <c r="H28" s="459"/>
      <c r="I28" s="460"/>
      <c r="J28" s="459"/>
      <c r="K28" s="460"/>
      <c r="L28" s="459"/>
      <c r="M28" s="460"/>
      <c r="N28" s="459"/>
      <c r="O28" s="460"/>
      <c r="P28" s="459"/>
      <c r="Q28" s="460"/>
      <c r="R28" s="459"/>
      <c r="S28" s="460"/>
      <c r="T28" s="459"/>
      <c r="U28" s="460"/>
      <c r="V28" s="459"/>
      <c r="W28" s="460"/>
      <c r="X28" s="459"/>
      <c r="Y28" s="460"/>
      <c r="Z28" s="459"/>
      <c r="AA28" s="460"/>
      <c r="AB28" s="459"/>
      <c r="AC28" s="460"/>
      <c r="AD28" s="459"/>
      <c r="AE28" s="460"/>
      <c r="AF28" s="459"/>
      <c r="AG28" s="460"/>
      <c r="AH28" s="459"/>
      <c r="AI28" s="460"/>
      <c r="AJ28" s="459"/>
      <c r="AK28" s="460"/>
      <c r="AL28" s="459"/>
      <c r="AM28" s="460"/>
      <c r="AN28" s="459"/>
      <c r="AO28" s="460"/>
      <c r="AP28" s="459"/>
      <c r="AQ28" s="460"/>
      <c r="AR28" s="459"/>
      <c r="AS28" s="460"/>
      <c r="AT28" s="94"/>
    </row>
    <row r="29" spans="2:46" ht="18" customHeight="1" x14ac:dyDescent="0.6">
      <c r="B29" s="454"/>
      <c r="C29" s="458"/>
      <c r="D29" s="3"/>
      <c r="E29" s="8"/>
      <c r="F29" s="459"/>
      <c r="G29" s="460"/>
      <c r="H29" s="459"/>
      <c r="I29" s="460"/>
      <c r="J29" s="459"/>
      <c r="K29" s="460"/>
      <c r="L29" s="459"/>
      <c r="M29" s="460"/>
      <c r="N29" s="459"/>
      <c r="O29" s="460"/>
      <c r="P29" s="459"/>
      <c r="Q29" s="460"/>
      <c r="R29" s="459"/>
      <c r="S29" s="460"/>
      <c r="T29" s="459"/>
      <c r="U29" s="460"/>
      <c r="V29" s="459"/>
      <c r="W29" s="460"/>
      <c r="X29" s="459"/>
      <c r="Y29" s="460"/>
      <c r="Z29" s="459"/>
      <c r="AA29" s="460"/>
      <c r="AB29" s="459"/>
      <c r="AC29" s="460"/>
      <c r="AD29" s="459"/>
      <c r="AE29" s="460"/>
      <c r="AF29" s="459"/>
      <c r="AG29" s="460"/>
      <c r="AH29" s="459"/>
      <c r="AI29" s="460"/>
      <c r="AJ29" s="459"/>
      <c r="AK29" s="460"/>
      <c r="AL29" s="459"/>
      <c r="AM29" s="460"/>
      <c r="AN29" s="459"/>
      <c r="AO29" s="460"/>
      <c r="AP29" s="459"/>
      <c r="AQ29" s="460"/>
      <c r="AR29" s="459"/>
      <c r="AS29" s="460"/>
      <c r="AT29" s="94"/>
    </row>
    <row r="30" spans="2:46" ht="18" customHeight="1" x14ac:dyDescent="0.6">
      <c r="B30" s="454"/>
      <c r="C30" s="458"/>
      <c r="D30" s="7"/>
      <c r="E30" s="8"/>
      <c r="F30" s="459"/>
      <c r="G30" s="460"/>
      <c r="H30" s="459"/>
      <c r="I30" s="460"/>
      <c r="J30" s="459"/>
      <c r="K30" s="460"/>
      <c r="L30" s="459"/>
      <c r="M30" s="460"/>
      <c r="N30" s="459"/>
      <c r="O30" s="460"/>
      <c r="P30" s="459"/>
      <c r="Q30" s="460"/>
      <c r="R30" s="459"/>
      <c r="S30" s="460"/>
      <c r="T30" s="459"/>
      <c r="U30" s="460"/>
      <c r="V30" s="459"/>
      <c r="W30" s="460"/>
      <c r="X30" s="459"/>
      <c r="Y30" s="460"/>
      <c r="Z30" s="459"/>
      <c r="AA30" s="460"/>
      <c r="AB30" s="459"/>
      <c r="AC30" s="460"/>
      <c r="AD30" s="459"/>
      <c r="AE30" s="460"/>
      <c r="AF30" s="459"/>
      <c r="AG30" s="460"/>
      <c r="AH30" s="459"/>
      <c r="AI30" s="460"/>
      <c r="AJ30" s="459"/>
      <c r="AK30" s="460"/>
      <c r="AL30" s="459"/>
      <c r="AM30" s="460"/>
      <c r="AN30" s="459"/>
      <c r="AO30" s="460"/>
      <c r="AP30" s="459"/>
      <c r="AQ30" s="460"/>
      <c r="AR30" s="459"/>
      <c r="AS30" s="460"/>
      <c r="AT30" s="94"/>
    </row>
    <row r="31" spans="2:46" ht="18" customHeight="1" thickBot="1" x14ac:dyDescent="0.35">
      <c r="B31" s="454"/>
      <c r="C31" s="458">
        <f>'Plot Data'!E58</f>
        <v>3.6607692307692301</v>
      </c>
      <c r="D31" s="14"/>
      <c r="E31" s="15"/>
      <c r="F31" s="465"/>
      <c r="G31" s="466"/>
      <c r="H31" s="465"/>
      <c r="I31" s="466"/>
      <c r="J31" s="465"/>
      <c r="K31" s="466"/>
      <c r="L31" s="465"/>
      <c r="M31" s="466"/>
      <c r="N31" s="465"/>
      <c r="O31" s="466"/>
      <c r="P31" s="465"/>
      <c r="Q31" s="466"/>
      <c r="R31" s="465"/>
      <c r="S31" s="466"/>
      <c r="T31" s="465"/>
      <c r="U31" s="466"/>
      <c r="V31" s="465"/>
      <c r="W31" s="466"/>
      <c r="X31" s="465"/>
      <c r="Y31" s="466"/>
      <c r="Z31" s="465"/>
      <c r="AA31" s="466"/>
      <c r="AB31" s="465"/>
      <c r="AC31" s="466"/>
      <c r="AD31" s="465"/>
      <c r="AE31" s="466"/>
      <c r="AF31" s="465"/>
      <c r="AG31" s="466"/>
      <c r="AH31" s="465"/>
      <c r="AI31" s="466"/>
      <c r="AJ31" s="465"/>
      <c r="AK31" s="466"/>
      <c r="AL31" s="465"/>
      <c r="AM31" s="466"/>
      <c r="AN31" s="465"/>
      <c r="AO31" s="466"/>
      <c r="AP31" s="465"/>
      <c r="AQ31" s="466"/>
      <c r="AR31" s="465"/>
      <c r="AS31" s="466"/>
      <c r="AT31" s="469" t="s">
        <v>90</v>
      </c>
    </row>
    <row r="32" spans="2:46" ht="18" customHeight="1" x14ac:dyDescent="0.3">
      <c r="B32" s="454"/>
      <c r="C32" s="458"/>
      <c r="D32" s="16"/>
      <c r="E32" s="17"/>
      <c r="F32" s="467"/>
      <c r="G32" s="468"/>
      <c r="H32" s="467"/>
      <c r="I32" s="468"/>
      <c r="J32" s="467"/>
      <c r="K32" s="468"/>
      <c r="L32" s="467"/>
      <c r="M32" s="468"/>
      <c r="N32" s="467"/>
      <c r="O32" s="468"/>
      <c r="P32" s="467"/>
      <c r="Q32" s="468"/>
      <c r="R32" s="467"/>
      <c r="S32" s="468"/>
      <c r="T32" s="467"/>
      <c r="U32" s="468"/>
      <c r="V32" s="467"/>
      <c r="W32" s="468"/>
      <c r="X32" s="467"/>
      <c r="Y32" s="468"/>
      <c r="Z32" s="467"/>
      <c r="AA32" s="468"/>
      <c r="AB32" s="467"/>
      <c r="AC32" s="468"/>
      <c r="AD32" s="467"/>
      <c r="AE32" s="468"/>
      <c r="AF32" s="467"/>
      <c r="AG32" s="468"/>
      <c r="AH32" s="467"/>
      <c r="AI32" s="468"/>
      <c r="AJ32" s="467"/>
      <c r="AK32" s="468"/>
      <c r="AL32" s="467"/>
      <c r="AM32" s="468"/>
      <c r="AN32" s="467"/>
      <c r="AO32" s="468"/>
      <c r="AP32" s="467"/>
      <c r="AQ32" s="468"/>
      <c r="AR32" s="467"/>
      <c r="AS32" s="468"/>
      <c r="AT32" s="464"/>
    </row>
    <row r="33" spans="2:46" ht="18" customHeight="1" x14ac:dyDescent="0.6">
      <c r="B33" s="454"/>
      <c r="C33" s="458">
        <f>C37+(C31-C37)/2</f>
        <v>3.5851660155343863</v>
      </c>
      <c r="D33" s="13"/>
      <c r="E33" s="8"/>
      <c r="F33" s="459"/>
      <c r="G33" s="460"/>
      <c r="H33" s="459"/>
      <c r="I33" s="460"/>
      <c r="J33" s="459"/>
      <c r="K33" s="460"/>
      <c r="L33" s="459"/>
      <c r="M33" s="460"/>
      <c r="N33" s="459"/>
      <c r="O33" s="460"/>
      <c r="P33" s="459"/>
      <c r="Q33" s="460"/>
      <c r="R33" s="459"/>
      <c r="S33" s="460"/>
      <c r="T33" s="459"/>
      <c r="U33" s="460"/>
      <c r="V33" s="459"/>
      <c r="W33" s="460"/>
      <c r="X33" s="459"/>
      <c r="Y33" s="460"/>
      <c r="Z33" s="459"/>
      <c r="AA33" s="460"/>
      <c r="AB33" s="459"/>
      <c r="AC33" s="460"/>
      <c r="AD33" s="459"/>
      <c r="AE33" s="460"/>
      <c r="AF33" s="459"/>
      <c r="AG33" s="460"/>
      <c r="AH33" s="459"/>
      <c r="AI33" s="460"/>
      <c r="AJ33" s="459"/>
      <c r="AK33" s="460"/>
      <c r="AL33" s="459"/>
      <c r="AM33" s="460"/>
      <c r="AN33" s="459"/>
      <c r="AO33" s="460"/>
      <c r="AP33" s="459"/>
      <c r="AQ33" s="460"/>
      <c r="AR33" s="459"/>
      <c r="AS33" s="460"/>
      <c r="AT33" s="94"/>
    </row>
    <row r="34" spans="2:46" ht="18" customHeight="1" x14ac:dyDescent="0.6">
      <c r="B34" s="454"/>
      <c r="C34" s="458"/>
      <c r="D34" s="13"/>
      <c r="E34" s="8"/>
      <c r="F34" s="459"/>
      <c r="G34" s="460"/>
      <c r="H34" s="459"/>
      <c r="I34" s="460"/>
      <c r="J34" s="459"/>
      <c r="K34" s="460"/>
      <c r="L34" s="459"/>
      <c r="M34" s="460"/>
      <c r="N34" s="459"/>
      <c r="O34" s="460"/>
      <c r="P34" s="459"/>
      <c r="Q34" s="460"/>
      <c r="R34" s="459"/>
      <c r="S34" s="460"/>
      <c r="T34" s="459"/>
      <c r="U34" s="460"/>
      <c r="V34" s="459"/>
      <c r="W34" s="460"/>
      <c r="X34" s="459"/>
      <c r="Y34" s="460"/>
      <c r="Z34" s="459"/>
      <c r="AA34" s="460"/>
      <c r="AB34" s="459"/>
      <c r="AC34" s="460"/>
      <c r="AD34" s="459"/>
      <c r="AE34" s="460"/>
      <c r="AF34" s="459"/>
      <c r="AG34" s="460"/>
      <c r="AH34" s="459"/>
      <c r="AI34" s="460"/>
      <c r="AJ34" s="459"/>
      <c r="AK34" s="460"/>
      <c r="AL34" s="459"/>
      <c r="AM34" s="460"/>
      <c r="AN34" s="459"/>
      <c r="AO34" s="460"/>
      <c r="AP34" s="459"/>
      <c r="AQ34" s="460"/>
      <c r="AR34" s="459"/>
      <c r="AS34" s="460"/>
      <c r="AT34" s="94"/>
    </row>
    <row r="35" spans="2:46" ht="18" customHeight="1" x14ac:dyDescent="0.6">
      <c r="B35" s="454"/>
      <c r="C35" s="458"/>
      <c r="D35" s="13"/>
      <c r="E35" s="8"/>
      <c r="F35" s="459"/>
      <c r="G35" s="460"/>
      <c r="H35" s="459"/>
      <c r="I35" s="460"/>
      <c r="J35" s="459"/>
      <c r="K35" s="460"/>
      <c r="L35" s="459"/>
      <c r="M35" s="460"/>
      <c r="N35" s="459"/>
      <c r="O35" s="460"/>
      <c r="P35" s="459"/>
      <c r="Q35" s="460"/>
      <c r="R35" s="459"/>
      <c r="S35" s="460"/>
      <c r="T35" s="459"/>
      <c r="U35" s="460"/>
      <c r="V35" s="459"/>
      <c r="W35" s="460"/>
      <c r="X35" s="459"/>
      <c r="Y35" s="460"/>
      <c r="Z35" s="459"/>
      <c r="AA35" s="460"/>
      <c r="AB35" s="459"/>
      <c r="AC35" s="460"/>
      <c r="AD35" s="459"/>
      <c r="AE35" s="460"/>
      <c r="AF35" s="459"/>
      <c r="AG35" s="460"/>
      <c r="AH35" s="459"/>
      <c r="AI35" s="460"/>
      <c r="AJ35" s="459"/>
      <c r="AK35" s="460"/>
      <c r="AL35" s="459"/>
      <c r="AM35" s="460"/>
      <c r="AN35" s="459"/>
      <c r="AO35" s="460"/>
      <c r="AP35" s="459"/>
      <c r="AQ35" s="460"/>
      <c r="AR35" s="459"/>
      <c r="AS35" s="460"/>
      <c r="AT35" s="94"/>
    </row>
    <row r="36" spans="2:46" ht="18" customHeight="1" x14ac:dyDescent="0.6">
      <c r="B36" s="454"/>
      <c r="C36" s="458"/>
      <c r="D36" s="92"/>
      <c r="E36" s="8"/>
      <c r="F36" s="459"/>
      <c r="G36" s="460"/>
      <c r="H36" s="459"/>
      <c r="I36" s="460"/>
      <c r="J36" s="459"/>
      <c r="K36" s="460"/>
      <c r="L36" s="459"/>
      <c r="M36" s="460"/>
      <c r="N36" s="459"/>
      <c r="O36" s="460"/>
      <c r="P36" s="459"/>
      <c r="Q36" s="460"/>
      <c r="R36" s="459"/>
      <c r="S36" s="460"/>
      <c r="T36" s="459"/>
      <c r="U36" s="460"/>
      <c r="V36" s="459"/>
      <c r="W36" s="460"/>
      <c r="X36" s="459"/>
      <c r="Y36" s="460"/>
      <c r="Z36" s="459"/>
      <c r="AA36" s="460"/>
      <c r="AB36" s="459"/>
      <c r="AC36" s="460"/>
      <c r="AD36" s="459"/>
      <c r="AE36" s="460"/>
      <c r="AF36" s="459"/>
      <c r="AG36" s="460"/>
      <c r="AH36" s="459"/>
      <c r="AI36" s="460"/>
      <c r="AJ36" s="459"/>
      <c r="AK36" s="460"/>
      <c r="AL36" s="459"/>
      <c r="AM36" s="460"/>
      <c r="AN36" s="459"/>
      <c r="AO36" s="460"/>
      <c r="AP36" s="459"/>
      <c r="AQ36" s="460"/>
      <c r="AR36" s="459"/>
      <c r="AS36" s="460"/>
      <c r="AT36" s="94"/>
    </row>
    <row r="37" spans="2:46" ht="18" customHeight="1" x14ac:dyDescent="0.6">
      <c r="B37" s="454"/>
      <c r="C37" s="458">
        <f>'Plot Data'!E66</f>
        <v>3.509562800299542</v>
      </c>
      <c r="D37" s="13"/>
      <c r="E37" s="8"/>
      <c r="F37" s="470"/>
      <c r="G37" s="471"/>
      <c r="H37" s="459"/>
      <c r="I37" s="460"/>
      <c r="J37" s="459"/>
      <c r="K37" s="460"/>
      <c r="L37" s="459"/>
      <c r="M37" s="460"/>
      <c r="N37" s="459"/>
      <c r="O37" s="460"/>
      <c r="P37" s="459"/>
      <c r="Q37" s="460"/>
      <c r="R37" s="459"/>
      <c r="S37" s="460"/>
      <c r="T37" s="459"/>
      <c r="U37" s="460"/>
      <c r="V37" s="459"/>
      <c r="W37" s="460"/>
      <c r="X37" s="459"/>
      <c r="Y37" s="460"/>
      <c r="Z37" s="459"/>
      <c r="AA37" s="460"/>
      <c r="AB37" s="459"/>
      <c r="AC37" s="460"/>
      <c r="AD37" s="459"/>
      <c r="AE37" s="460"/>
      <c r="AF37" s="459"/>
      <c r="AG37" s="460"/>
      <c r="AH37" s="459"/>
      <c r="AI37" s="460"/>
      <c r="AJ37" s="459"/>
      <c r="AK37" s="460"/>
      <c r="AL37" s="459"/>
      <c r="AM37" s="460"/>
      <c r="AN37" s="459"/>
      <c r="AO37" s="460"/>
      <c r="AP37" s="459"/>
      <c r="AQ37" s="460"/>
      <c r="AR37" s="459"/>
      <c r="AS37" s="460"/>
      <c r="AT37" s="94"/>
    </row>
    <row r="38" spans="2:46" ht="18" customHeight="1" x14ac:dyDescent="0.6">
      <c r="B38" s="454"/>
      <c r="C38" s="458"/>
      <c r="D38" s="7"/>
      <c r="E38" s="8"/>
      <c r="F38" s="459"/>
      <c r="G38" s="460"/>
      <c r="H38" s="459"/>
      <c r="I38" s="460"/>
      <c r="J38" s="459"/>
      <c r="K38" s="460"/>
      <c r="L38" s="459"/>
      <c r="M38" s="460"/>
      <c r="N38" s="459"/>
      <c r="O38" s="460"/>
      <c r="P38" s="459"/>
      <c r="Q38" s="460"/>
      <c r="R38" s="459"/>
      <c r="S38" s="460"/>
      <c r="T38" s="459"/>
      <c r="U38" s="460"/>
      <c r="V38" s="459"/>
      <c r="W38" s="460"/>
      <c r="X38" s="459"/>
      <c r="Y38" s="460"/>
      <c r="Z38" s="459"/>
      <c r="AA38" s="460"/>
      <c r="AB38" s="459"/>
      <c r="AC38" s="460"/>
      <c r="AD38" s="459"/>
      <c r="AE38" s="460"/>
      <c r="AF38" s="459"/>
      <c r="AG38" s="460"/>
      <c r="AH38" s="459"/>
      <c r="AI38" s="460"/>
      <c r="AJ38" s="459"/>
      <c r="AK38" s="460"/>
      <c r="AL38" s="459"/>
      <c r="AM38" s="460"/>
      <c r="AN38" s="459"/>
      <c r="AO38" s="460"/>
      <c r="AP38" s="459"/>
      <c r="AQ38" s="460"/>
      <c r="AR38" s="459"/>
      <c r="AS38" s="460"/>
      <c r="AT38" s="94"/>
    </row>
    <row r="39" spans="2:46" ht="18" customHeight="1" x14ac:dyDescent="0.6">
      <c r="B39" s="454"/>
      <c r="C39" s="458">
        <f>C43+(C37-C43)/2</f>
        <v>3.4339595850646978</v>
      </c>
      <c r="D39" s="13"/>
      <c r="E39" s="8"/>
      <c r="F39" s="459"/>
      <c r="G39" s="460"/>
      <c r="H39" s="459"/>
      <c r="I39" s="460"/>
      <c r="J39" s="459"/>
      <c r="K39" s="460"/>
      <c r="L39" s="459"/>
      <c r="M39" s="460"/>
      <c r="N39" s="459"/>
      <c r="O39" s="460"/>
      <c r="P39" s="459"/>
      <c r="Q39" s="460"/>
      <c r="R39" s="459"/>
      <c r="S39" s="460"/>
      <c r="T39" s="459"/>
      <c r="U39" s="460"/>
      <c r="V39" s="459"/>
      <c r="W39" s="460"/>
      <c r="X39" s="459"/>
      <c r="Y39" s="460"/>
      <c r="Z39" s="459"/>
      <c r="AA39" s="460"/>
      <c r="AB39" s="459"/>
      <c r="AC39" s="460"/>
      <c r="AD39" s="459"/>
      <c r="AE39" s="460"/>
      <c r="AF39" s="459"/>
      <c r="AG39" s="460"/>
      <c r="AH39" s="459"/>
      <c r="AI39" s="460"/>
      <c r="AJ39" s="459"/>
      <c r="AK39" s="460"/>
      <c r="AL39" s="459"/>
      <c r="AM39" s="460"/>
      <c r="AN39" s="459"/>
      <c r="AO39" s="460"/>
      <c r="AP39" s="459"/>
      <c r="AQ39" s="460"/>
      <c r="AR39" s="459"/>
      <c r="AS39" s="460"/>
      <c r="AT39" s="94"/>
    </row>
    <row r="40" spans="2:46" ht="18" customHeight="1" x14ac:dyDescent="0.6">
      <c r="B40" s="454"/>
      <c r="C40" s="458"/>
      <c r="D40" s="3"/>
      <c r="E40" s="8"/>
      <c r="F40" s="459"/>
      <c r="G40" s="460"/>
      <c r="H40" s="459"/>
      <c r="I40" s="460"/>
      <c r="J40" s="459"/>
      <c r="K40" s="460"/>
      <c r="L40" s="459"/>
      <c r="M40" s="460"/>
      <c r="N40" s="459"/>
      <c r="O40" s="460"/>
      <c r="P40" s="459"/>
      <c r="Q40" s="460"/>
      <c r="R40" s="459"/>
      <c r="S40" s="460"/>
      <c r="T40" s="459"/>
      <c r="U40" s="460"/>
      <c r="V40" s="459"/>
      <c r="W40" s="460"/>
      <c r="X40" s="459"/>
      <c r="Y40" s="460"/>
      <c r="Z40" s="459"/>
      <c r="AA40" s="460"/>
      <c r="AB40" s="459"/>
      <c r="AC40" s="460"/>
      <c r="AD40" s="459"/>
      <c r="AE40" s="460"/>
      <c r="AF40" s="459"/>
      <c r="AG40" s="460"/>
      <c r="AH40" s="459"/>
      <c r="AI40" s="460"/>
      <c r="AJ40" s="459"/>
      <c r="AK40" s="460"/>
      <c r="AL40" s="459"/>
      <c r="AM40" s="460"/>
      <c r="AN40" s="459"/>
      <c r="AO40" s="460"/>
      <c r="AP40" s="459"/>
      <c r="AQ40" s="460"/>
      <c r="AR40" s="459"/>
      <c r="AS40" s="460"/>
      <c r="AT40" s="94"/>
    </row>
    <row r="41" spans="2:46" ht="18" customHeight="1" x14ac:dyDescent="0.6">
      <c r="B41" s="454"/>
      <c r="C41" s="458"/>
      <c r="D41" s="3"/>
      <c r="E41" s="8"/>
      <c r="F41" s="459"/>
      <c r="G41" s="460"/>
      <c r="H41" s="459"/>
      <c r="I41" s="460"/>
      <c r="J41" s="459"/>
      <c r="K41" s="460"/>
      <c r="L41" s="459"/>
      <c r="M41" s="460"/>
      <c r="N41" s="459"/>
      <c r="O41" s="460"/>
      <c r="P41" s="459"/>
      <c r="Q41" s="460"/>
      <c r="R41" s="459"/>
      <c r="S41" s="460"/>
      <c r="T41" s="459"/>
      <c r="U41" s="460"/>
      <c r="V41" s="459"/>
      <c r="W41" s="460"/>
      <c r="X41" s="459"/>
      <c r="Y41" s="460"/>
      <c r="Z41" s="459"/>
      <c r="AA41" s="460"/>
      <c r="AB41" s="459"/>
      <c r="AC41" s="460"/>
      <c r="AD41" s="459"/>
      <c r="AE41" s="460"/>
      <c r="AF41" s="459"/>
      <c r="AG41" s="460"/>
      <c r="AH41" s="459"/>
      <c r="AI41" s="460"/>
      <c r="AJ41" s="459"/>
      <c r="AK41" s="460"/>
      <c r="AL41" s="459"/>
      <c r="AM41" s="460"/>
      <c r="AN41" s="459"/>
      <c r="AO41" s="460"/>
      <c r="AP41" s="459"/>
      <c r="AQ41" s="460"/>
      <c r="AR41" s="459"/>
      <c r="AS41" s="460"/>
      <c r="AT41" s="94"/>
    </row>
    <row r="42" spans="2:46" ht="18" customHeight="1" x14ac:dyDescent="0.6">
      <c r="B42" s="454"/>
      <c r="C42" s="458"/>
      <c r="D42" s="7"/>
      <c r="E42" s="8"/>
      <c r="F42" s="459"/>
      <c r="G42" s="460"/>
      <c r="H42" s="459"/>
      <c r="I42" s="460"/>
      <c r="J42" s="459"/>
      <c r="K42" s="460"/>
      <c r="L42" s="459"/>
      <c r="M42" s="460"/>
      <c r="N42" s="459"/>
      <c r="O42" s="460"/>
      <c r="P42" s="459"/>
      <c r="Q42" s="460"/>
      <c r="R42" s="459"/>
      <c r="S42" s="460"/>
      <c r="T42" s="459"/>
      <c r="U42" s="460"/>
      <c r="V42" s="459"/>
      <c r="W42" s="460"/>
      <c r="X42" s="459"/>
      <c r="Y42" s="460"/>
      <c r="Z42" s="459"/>
      <c r="AA42" s="460"/>
      <c r="AB42" s="459"/>
      <c r="AC42" s="460"/>
      <c r="AD42" s="459"/>
      <c r="AE42" s="460"/>
      <c r="AF42" s="459"/>
      <c r="AG42" s="460"/>
      <c r="AH42" s="459"/>
      <c r="AI42" s="460"/>
      <c r="AJ42" s="459"/>
      <c r="AK42" s="460"/>
      <c r="AL42" s="459"/>
      <c r="AM42" s="460"/>
      <c r="AN42" s="459"/>
      <c r="AO42" s="460"/>
      <c r="AP42" s="459"/>
      <c r="AQ42" s="460"/>
      <c r="AR42" s="459"/>
      <c r="AS42" s="460"/>
      <c r="AT42" s="94"/>
    </row>
    <row r="43" spans="2:46" ht="18" customHeight="1" thickBot="1" x14ac:dyDescent="0.35">
      <c r="B43" s="454"/>
      <c r="C43" s="458">
        <f>'Plot Data'!E65</f>
        <v>3.358356369829854</v>
      </c>
      <c r="D43" s="9"/>
      <c r="E43" s="10"/>
      <c r="F43" s="11"/>
      <c r="G43" s="12"/>
      <c r="H43" s="11"/>
      <c r="I43" s="12"/>
      <c r="J43" s="11"/>
      <c r="K43" s="12"/>
      <c r="L43" s="11"/>
      <c r="M43" s="12"/>
      <c r="N43" s="11"/>
      <c r="O43" s="12"/>
      <c r="P43" s="11"/>
      <c r="Q43" s="12"/>
      <c r="R43" s="11"/>
      <c r="S43" s="12"/>
      <c r="T43" s="11"/>
      <c r="U43" s="12"/>
      <c r="V43" s="11"/>
      <c r="W43" s="12"/>
      <c r="X43" s="11"/>
      <c r="Y43" s="12"/>
      <c r="Z43" s="11"/>
      <c r="AA43" s="12"/>
      <c r="AB43" s="11"/>
      <c r="AC43" s="12"/>
      <c r="AD43" s="11"/>
      <c r="AE43" s="12"/>
      <c r="AF43" s="11"/>
      <c r="AG43" s="12"/>
      <c r="AH43" s="11"/>
      <c r="AI43" s="12"/>
      <c r="AJ43" s="11"/>
      <c r="AK43" s="12"/>
      <c r="AL43" s="11"/>
      <c r="AM43" s="12"/>
      <c r="AN43" s="11"/>
      <c r="AO43" s="12"/>
      <c r="AP43" s="11"/>
      <c r="AQ43" s="12"/>
      <c r="AR43" s="11"/>
      <c r="AS43" s="12"/>
      <c r="AT43" s="463" t="s">
        <v>46</v>
      </c>
    </row>
    <row r="44" spans="2:46" ht="18" customHeight="1" x14ac:dyDescent="0.3">
      <c r="B44" s="454"/>
      <c r="C44" s="458"/>
      <c r="D44" s="7"/>
      <c r="E44" s="8"/>
      <c r="F44" s="459"/>
      <c r="G44" s="460"/>
      <c r="H44" s="459"/>
      <c r="I44" s="460"/>
      <c r="J44" s="459"/>
      <c r="K44" s="460"/>
      <c r="L44" s="459"/>
      <c r="M44" s="460"/>
      <c r="N44" s="459"/>
      <c r="O44" s="460"/>
      <c r="P44" s="459"/>
      <c r="Q44" s="460"/>
      <c r="R44" s="459"/>
      <c r="S44" s="460"/>
      <c r="T44" s="459"/>
      <c r="U44" s="460"/>
      <c r="V44" s="459"/>
      <c r="W44" s="460"/>
      <c r="X44" s="459"/>
      <c r="Y44" s="460"/>
      <c r="Z44" s="459"/>
      <c r="AA44" s="460"/>
      <c r="AB44" s="459"/>
      <c r="AC44" s="460"/>
      <c r="AD44" s="459"/>
      <c r="AE44" s="460"/>
      <c r="AF44" s="459"/>
      <c r="AG44" s="460"/>
      <c r="AH44" s="459"/>
      <c r="AI44" s="460"/>
      <c r="AJ44" s="459"/>
      <c r="AK44" s="460"/>
      <c r="AL44" s="459"/>
      <c r="AM44" s="460"/>
      <c r="AN44" s="459"/>
      <c r="AO44" s="460"/>
      <c r="AP44" s="459"/>
      <c r="AQ44" s="460"/>
      <c r="AR44" s="459"/>
      <c r="AS44" s="460"/>
      <c r="AT44" s="464"/>
    </row>
    <row r="45" spans="2:46" ht="18" customHeight="1" x14ac:dyDescent="0.6">
      <c r="B45" s="454"/>
      <c r="C45" s="458">
        <f>C49+(C43-C49)/2</f>
        <v>3.2827531545950102</v>
      </c>
      <c r="D45" s="13"/>
      <c r="E45" s="8"/>
      <c r="F45" s="459"/>
      <c r="G45" s="460"/>
      <c r="H45" s="459"/>
      <c r="I45" s="460"/>
      <c r="J45" s="459"/>
      <c r="K45" s="460"/>
      <c r="L45" s="459"/>
      <c r="M45" s="460"/>
      <c r="N45" s="459"/>
      <c r="O45" s="460"/>
      <c r="P45" s="459"/>
      <c r="Q45" s="460"/>
      <c r="R45" s="459"/>
      <c r="S45" s="460"/>
      <c r="T45" s="459"/>
      <c r="U45" s="460"/>
      <c r="V45" s="459"/>
      <c r="W45" s="460"/>
      <c r="X45" s="459"/>
      <c r="Y45" s="460"/>
      <c r="Z45" s="459"/>
      <c r="AA45" s="460"/>
      <c r="AB45" s="459"/>
      <c r="AC45" s="460"/>
      <c r="AD45" s="459"/>
      <c r="AE45" s="460"/>
      <c r="AF45" s="459"/>
      <c r="AG45" s="460"/>
      <c r="AH45" s="459"/>
      <c r="AI45" s="460"/>
      <c r="AJ45" s="459"/>
      <c r="AK45" s="460"/>
      <c r="AL45" s="459"/>
      <c r="AM45" s="460"/>
      <c r="AN45" s="459"/>
      <c r="AO45" s="460"/>
      <c r="AP45" s="459"/>
      <c r="AQ45" s="460"/>
      <c r="AR45" s="459"/>
      <c r="AS45" s="460"/>
      <c r="AT45" s="94"/>
    </row>
    <row r="46" spans="2:46" ht="18" customHeight="1" x14ac:dyDescent="0.6">
      <c r="B46" s="454"/>
      <c r="C46" s="458"/>
      <c r="D46" s="3"/>
      <c r="E46" s="8"/>
      <c r="F46" s="459"/>
      <c r="G46" s="460"/>
      <c r="H46" s="459"/>
      <c r="I46" s="460"/>
      <c r="J46" s="459"/>
      <c r="K46" s="460"/>
      <c r="L46" s="459"/>
      <c r="M46" s="460"/>
      <c r="N46" s="459"/>
      <c r="O46" s="460"/>
      <c r="P46" s="459"/>
      <c r="Q46" s="460"/>
      <c r="R46" s="459"/>
      <c r="S46" s="460"/>
      <c r="T46" s="459"/>
      <c r="U46" s="460"/>
      <c r="V46" s="459"/>
      <c r="W46" s="460"/>
      <c r="X46" s="459"/>
      <c r="Y46" s="460"/>
      <c r="Z46" s="459"/>
      <c r="AA46" s="460"/>
      <c r="AB46" s="459"/>
      <c r="AC46" s="460"/>
      <c r="AD46" s="459"/>
      <c r="AE46" s="460"/>
      <c r="AF46" s="459"/>
      <c r="AG46" s="460"/>
      <c r="AH46" s="459"/>
      <c r="AI46" s="460"/>
      <c r="AJ46" s="459"/>
      <c r="AK46" s="460"/>
      <c r="AL46" s="459"/>
      <c r="AM46" s="460"/>
      <c r="AN46" s="459"/>
      <c r="AO46" s="460"/>
      <c r="AP46" s="459"/>
      <c r="AQ46" s="460"/>
      <c r="AR46" s="459"/>
      <c r="AS46" s="460"/>
      <c r="AT46" s="94"/>
    </row>
    <row r="47" spans="2:46" ht="18" customHeight="1" x14ac:dyDescent="0.6">
      <c r="B47" s="454"/>
      <c r="C47" s="458"/>
      <c r="D47" s="3"/>
      <c r="E47" s="8"/>
      <c r="F47" s="459"/>
      <c r="G47" s="460"/>
      <c r="H47" s="459"/>
      <c r="I47" s="460"/>
      <c r="J47" s="459"/>
      <c r="K47" s="460"/>
      <c r="L47" s="459"/>
      <c r="M47" s="460"/>
      <c r="N47" s="459"/>
      <c r="O47" s="460"/>
      <c r="P47" s="459"/>
      <c r="Q47" s="460"/>
      <c r="R47" s="459"/>
      <c r="S47" s="460"/>
      <c r="T47" s="459"/>
      <c r="U47" s="460"/>
      <c r="V47" s="459"/>
      <c r="W47" s="460"/>
      <c r="X47" s="459"/>
      <c r="Y47" s="460"/>
      <c r="Z47" s="459"/>
      <c r="AA47" s="460"/>
      <c r="AB47" s="459"/>
      <c r="AC47" s="460"/>
      <c r="AD47" s="459"/>
      <c r="AE47" s="460"/>
      <c r="AF47" s="459"/>
      <c r="AG47" s="460"/>
      <c r="AH47" s="459"/>
      <c r="AI47" s="460"/>
      <c r="AJ47" s="459"/>
      <c r="AK47" s="460"/>
      <c r="AL47" s="459"/>
      <c r="AM47" s="460"/>
      <c r="AN47" s="459"/>
      <c r="AO47" s="460"/>
      <c r="AP47" s="459"/>
      <c r="AQ47" s="460"/>
      <c r="AR47" s="459"/>
      <c r="AS47" s="460"/>
      <c r="AT47" s="94"/>
    </row>
    <row r="48" spans="2:46" ht="18" customHeight="1" x14ac:dyDescent="0.6">
      <c r="B48" s="454"/>
      <c r="C48" s="458"/>
      <c r="D48" s="7"/>
      <c r="E48" s="8"/>
      <c r="F48" s="459"/>
      <c r="G48" s="460"/>
      <c r="H48" s="459"/>
      <c r="I48" s="460"/>
      <c r="J48" s="459"/>
      <c r="K48" s="460"/>
      <c r="L48" s="459"/>
      <c r="M48" s="460"/>
      <c r="N48" s="459"/>
      <c r="O48" s="460"/>
      <c r="P48" s="459"/>
      <c r="Q48" s="460"/>
      <c r="R48" s="459"/>
      <c r="S48" s="460"/>
      <c r="T48" s="459"/>
      <c r="U48" s="460"/>
      <c r="V48" s="459"/>
      <c r="W48" s="460"/>
      <c r="X48" s="459"/>
      <c r="Y48" s="460"/>
      <c r="Z48" s="459"/>
      <c r="AA48" s="460"/>
      <c r="AB48" s="459"/>
      <c r="AC48" s="460"/>
      <c r="AD48" s="459"/>
      <c r="AE48" s="460"/>
      <c r="AF48" s="459"/>
      <c r="AG48" s="460"/>
      <c r="AH48" s="459"/>
      <c r="AI48" s="460"/>
      <c r="AJ48" s="459"/>
      <c r="AK48" s="460"/>
      <c r="AL48" s="459"/>
      <c r="AM48" s="460"/>
      <c r="AN48" s="459"/>
      <c r="AO48" s="460"/>
      <c r="AP48" s="459"/>
      <c r="AQ48" s="460"/>
      <c r="AR48" s="459"/>
      <c r="AS48" s="460"/>
      <c r="AT48" s="94"/>
    </row>
    <row r="49" spans="2:46" ht="18" customHeight="1" thickBot="1" x14ac:dyDescent="0.35">
      <c r="B49" s="454"/>
      <c r="C49" s="458">
        <f>'Plot Data'!E67</f>
        <v>3.2071499393601659</v>
      </c>
      <c r="D49" s="5"/>
      <c r="E49" s="6"/>
      <c r="F49" s="461"/>
      <c r="G49" s="462"/>
      <c r="H49" s="461"/>
      <c r="I49" s="462"/>
      <c r="J49" s="461"/>
      <c r="K49" s="462"/>
      <c r="L49" s="461"/>
      <c r="M49" s="462"/>
      <c r="N49" s="461"/>
      <c r="O49" s="462"/>
      <c r="P49" s="461"/>
      <c r="Q49" s="462"/>
      <c r="R49" s="461"/>
      <c r="S49" s="462"/>
      <c r="T49" s="461"/>
      <c r="U49" s="462"/>
      <c r="V49" s="461"/>
      <c r="W49" s="462"/>
      <c r="X49" s="461"/>
      <c r="Y49" s="462"/>
      <c r="Z49" s="461"/>
      <c r="AA49" s="462"/>
      <c r="AB49" s="461"/>
      <c r="AC49" s="462"/>
      <c r="AD49" s="461"/>
      <c r="AE49" s="462"/>
      <c r="AF49" s="461"/>
      <c r="AG49" s="462"/>
      <c r="AH49" s="461"/>
      <c r="AI49" s="462"/>
      <c r="AJ49" s="461"/>
      <c r="AK49" s="462"/>
      <c r="AL49" s="461"/>
      <c r="AM49" s="462"/>
      <c r="AN49" s="461"/>
      <c r="AO49" s="462"/>
      <c r="AP49" s="461"/>
      <c r="AQ49" s="462"/>
      <c r="AR49" s="461"/>
      <c r="AS49" s="462"/>
      <c r="AT49" s="463" t="s">
        <v>45</v>
      </c>
    </row>
    <row r="50" spans="2:46" ht="18" customHeight="1" thickTop="1" thickBot="1" x14ac:dyDescent="0.35">
      <c r="B50" s="455"/>
      <c r="C50" s="472"/>
      <c r="D50" s="77"/>
      <c r="E50" s="78"/>
      <c r="F50" s="473"/>
      <c r="G50" s="474"/>
      <c r="H50" s="473"/>
      <c r="I50" s="474"/>
      <c r="J50" s="473"/>
      <c r="K50" s="474"/>
      <c r="L50" s="473"/>
      <c r="M50" s="474"/>
      <c r="N50" s="473"/>
      <c r="O50" s="474"/>
      <c r="P50" s="473"/>
      <c r="Q50" s="474"/>
      <c r="R50" s="473"/>
      <c r="S50" s="474"/>
      <c r="T50" s="473"/>
      <c r="U50" s="474"/>
      <c r="V50" s="473"/>
      <c r="W50" s="474"/>
      <c r="X50" s="473"/>
      <c r="Y50" s="474"/>
      <c r="Z50" s="473"/>
      <c r="AA50" s="474"/>
      <c r="AB50" s="473"/>
      <c r="AC50" s="474"/>
      <c r="AD50" s="473"/>
      <c r="AE50" s="474"/>
      <c r="AF50" s="473"/>
      <c r="AG50" s="474"/>
      <c r="AH50" s="473"/>
      <c r="AI50" s="474"/>
      <c r="AJ50" s="473"/>
      <c r="AK50" s="474"/>
      <c r="AL50" s="473"/>
      <c r="AM50" s="474"/>
      <c r="AN50" s="473"/>
      <c r="AO50" s="474"/>
      <c r="AP50" s="473"/>
      <c r="AQ50" s="474"/>
      <c r="AR50" s="473"/>
      <c r="AS50" s="474"/>
      <c r="AT50" s="477"/>
    </row>
    <row r="51" spans="2:46" ht="30" customHeight="1" thickTop="1" thickBot="1" x14ac:dyDescent="0.35">
      <c r="B51" s="88"/>
      <c r="C51" s="95"/>
      <c r="D51" s="90"/>
      <c r="E51" s="89"/>
      <c r="F51" s="475"/>
      <c r="G51" s="476"/>
      <c r="H51" s="475"/>
      <c r="I51" s="476"/>
      <c r="J51" s="475"/>
      <c r="K51" s="476"/>
      <c r="L51" s="475"/>
      <c r="M51" s="476"/>
      <c r="N51" s="475"/>
      <c r="O51" s="476"/>
      <c r="P51" s="475"/>
      <c r="Q51" s="476"/>
      <c r="R51" s="475"/>
      <c r="S51" s="476"/>
      <c r="T51" s="475"/>
      <c r="U51" s="476"/>
      <c r="V51" s="475"/>
      <c r="W51" s="476"/>
      <c r="X51" s="475"/>
      <c r="Y51" s="476"/>
      <c r="Z51" s="475"/>
      <c r="AA51" s="476"/>
      <c r="AB51" s="475"/>
      <c r="AC51" s="476"/>
      <c r="AD51" s="475"/>
      <c r="AE51" s="476"/>
      <c r="AF51" s="475"/>
      <c r="AG51" s="476"/>
      <c r="AH51" s="475"/>
      <c r="AI51" s="476"/>
      <c r="AJ51" s="475"/>
      <c r="AK51" s="476"/>
      <c r="AL51" s="475"/>
      <c r="AM51" s="476"/>
      <c r="AN51" s="475"/>
      <c r="AO51" s="476"/>
      <c r="AP51" s="475"/>
      <c r="AQ51" s="476"/>
      <c r="AR51" s="475"/>
      <c r="AS51" s="476"/>
      <c r="AT51" s="91"/>
    </row>
    <row r="52" spans="2:46" ht="9" customHeight="1" thickTop="1" x14ac:dyDescent="0.3">
      <c r="B52" s="478" t="s">
        <v>7</v>
      </c>
      <c r="C52" s="96"/>
      <c r="D52" s="79"/>
      <c r="E52" s="74"/>
      <c r="F52" s="456"/>
      <c r="G52" s="457"/>
      <c r="H52" s="456"/>
      <c r="I52" s="457"/>
      <c r="J52" s="456"/>
      <c r="K52" s="457"/>
      <c r="L52" s="456"/>
      <c r="M52" s="457"/>
      <c r="N52" s="456"/>
      <c r="O52" s="457"/>
      <c r="P52" s="456"/>
      <c r="Q52" s="457"/>
      <c r="R52" s="456"/>
      <c r="S52" s="457"/>
      <c r="T52" s="456"/>
      <c r="U52" s="457"/>
      <c r="V52" s="456"/>
      <c r="W52" s="457"/>
      <c r="X52" s="456"/>
      <c r="Y52" s="457"/>
      <c r="Z52" s="456"/>
      <c r="AA52" s="457"/>
      <c r="AB52" s="456"/>
      <c r="AC52" s="457"/>
      <c r="AD52" s="456"/>
      <c r="AE52" s="457"/>
      <c r="AF52" s="456"/>
      <c r="AG52" s="457"/>
      <c r="AH52" s="456"/>
      <c r="AI52" s="457"/>
      <c r="AJ52" s="456"/>
      <c r="AK52" s="457"/>
      <c r="AL52" s="456"/>
      <c r="AM52" s="457"/>
      <c r="AN52" s="456"/>
      <c r="AO52" s="457"/>
      <c r="AP52" s="456"/>
      <c r="AQ52" s="457"/>
      <c r="AR52" s="456"/>
      <c r="AS52" s="457"/>
      <c r="AT52" s="75"/>
    </row>
    <row r="53" spans="2:46" ht="9" customHeight="1" x14ac:dyDescent="0.3">
      <c r="B53" s="479"/>
      <c r="C53" s="97"/>
      <c r="D53" s="13"/>
      <c r="E53" s="4"/>
      <c r="F53" s="481"/>
      <c r="G53" s="482"/>
      <c r="H53" s="481"/>
      <c r="I53" s="482"/>
      <c r="J53" s="481"/>
      <c r="K53" s="482"/>
      <c r="L53" s="481"/>
      <c r="M53" s="482"/>
      <c r="N53" s="481"/>
      <c r="O53" s="482"/>
      <c r="P53" s="481"/>
      <c r="Q53" s="482"/>
      <c r="R53" s="481"/>
      <c r="S53" s="482"/>
      <c r="T53" s="481"/>
      <c r="U53" s="482"/>
      <c r="V53" s="481"/>
      <c r="W53" s="482"/>
      <c r="X53" s="481"/>
      <c r="Y53" s="482"/>
      <c r="Z53" s="481"/>
      <c r="AA53" s="482"/>
      <c r="AB53" s="481"/>
      <c r="AC53" s="482"/>
      <c r="AD53" s="481"/>
      <c r="AE53" s="482"/>
      <c r="AF53" s="481"/>
      <c r="AG53" s="482"/>
      <c r="AH53" s="481"/>
      <c r="AI53" s="482"/>
      <c r="AJ53" s="481"/>
      <c r="AK53" s="482"/>
      <c r="AL53" s="481"/>
      <c r="AM53" s="482"/>
      <c r="AN53" s="481"/>
      <c r="AO53" s="482"/>
      <c r="AP53" s="481"/>
      <c r="AQ53" s="482"/>
      <c r="AR53" s="481"/>
      <c r="AS53" s="482"/>
      <c r="AT53" s="80"/>
    </row>
    <row r="54" spans="2:46" ht="9" customHeight="1" x14ac:dyDescent="0.3">
      <c r="B54" s="479"/>
      <c r="C54" s="97"/>
      <c r="D54" s="3"/>
      <c r="E54" s="8"/>
      <c r="F54" s="459"/>
      <c r="G54" s="460"/>
      <c r="H54" s="459"/>
      <c r="I54" s="460"/>
      <c r="J54" s="459"/>
      <c r="K54" s="460"/>
      <c r="L54" s="459"/>
      <c r="M54" s="460"/>
      <c r="N54" s="459"/>
      <c r="O54" s="460"/>
      <c r="P54" s="459"/>
      <c r="Q54" s="460"/>
      <c r="R54" s="459"/>
      <c r="S54" s="460"/>
      <c r="T54" s="459"/>
      <c r="U54" s="460"/>
      <c r="V54" s="459"/>
      <c r="W54" s="460"/>
      <c r="X54" s="459"/>
      <c r="Y54" s="460"/>
      <c r="Z54" s="459"/>
      <c r="AA54" s="460"/>
      <c r="AB54" s="459"/>
      <c r="AC54" s="460"/>
      <c r="AD54" s="459"/>
      <c r="AE54" s="460"/>
      <c r="AF54" s="459"/>
      <c r="AG54" s="460"/>
      <c r="AH54" s="459"/>
      <c r="AI54" s="460"/>
      <c r="AJ54" s="459"/>
      <c r="AK54" s="460"/>
      <c r="AL54" s="459"/>
      <c r="AM54" s="460"/>
      <c r="AN54" s="459"/>
      <c r="AO54" s="460"/>
      <c r="AP54" s="459"/>
      <c r="AQ54" s="460"/>
      <c r="AR54" s="459"/>
      <c r="AS54" s="460"/>
      <c r="AT54" s="76"/>
    </row>
    <row r="55" spans="2:46" ht="9" customHeight="1" thickBot="1" x14ac:dyDescent="0.4">
      <c r="B55" s="479"/>
      <c r="C55" s="485">
        <f>'Plot Data'!E68</f>
        <v>0.1</v>
      </c>
      <c r="D55" s="70"/>
      <c r="E55" s="71"/>
      <c r="F55" s="483"/>
      <c r="G55" s="484"/>
      <c r="H55" s="483"/>
      <c r="I55" s="484"/>
      <c r="J55" s="483"/>
      <c r="K55" s="484"/>
      <c r="L55" s="483"/>
      <c r="M55" s="484"/>
      <c r="N55" s="483"/>
      <c r="O55" s="484"/>
      <c r="P55" s="483"/>
      <c r="Q55" s="484"/>
      <c r="R55" s="483"/>
      <c r="S55" s="484"/>
      <c r="T55" s="483"/>
      <c r="U55" s="484"/>
      <c r="V55" s="483"/>
      <c r="W55" s="484"/>
      <c r="X55" s="483"/>
      <c r="Y55" s="484"/>
      <c r="Z55" s="483"/>
      <c r="AA55" s="484"/>
      <c r="AB55" s="483"/>
      <c r="AC55" s="484"/>
      <c r="AD55" s="483"/>
      <c r="AE55" s="484"/>
      <c r="AF55" s="483"/>
      <c r="AG55" s="484"/>
      <c r="AH55" s="483"/>
      <c r="AI55" s="484"/>
      <c r="AJ55" s="483"/>
      <c r="AK55" s="484"/>
      <c r="AL55" s="483"/>
      <c r="AM55" s="484"/>
      <c r="AN55" s="483"/>
      <c r="AO55" s="484"/>
      <c r="AP55" s="483"/>
      <c r="AQ55" s="484"/>
      <c r="AR55" s="483"/>
      <c r="AS55" s="484"/>
      <c r="AT55" s="81"/>
    </row>
    <row r="56" spans="2:46" ht="9" customHeight="1" thickTop="1" x14ac:dyDescent="0.3">
      <c r="B56" s="479"/>
      <c r="C56" s="486"/>
      <c r="D56" s="19"/>
      <c r="E56" s="20"/>
      <c r="F56" s="487"/>
      <c r="G56" s="488"/>
      <c r="H56" s="487"/>
      <c r="I56" s="488"/>
      <c r="J56" s="487"/>
      <c r="K56" s="488"/>
      <c r="L56" s="487"/>
      <c r="M56" s="488"/>
      <c r="N56" s="487"/>
      <c r="O56" s="488"/>
      <c r="P56" s="487"/>
      <c r="Q56" s="488"/>
      <c r="R56" s="487"/>
      <c r="S56" s="488"/>
      <c r="T56" s="487"/>
      <c r="U56" s="488"/>
      <c r="V56" s="487"/>
      <c r="W56" s="488"/>
      <c r="X56" s="487"/>
      <c r="Y56" s="488"/>
      <c r="Z56" s="487"/>
      <c r="AA56" s="488"/>
      <c r="AB56" s="487"/>
      <c r="AC56" s="488"/>
      <c r="AD56" s="487"/>
      <c r="AE56" s="488"/>
      <c r="AF56" s="487"/>
      <c r="AG56" s="488"/>
      <c r="AH56" s="487"/>
      <c r="AI56" s="488"/>
      <c r="AJ56" s="487"/>
      <c r="AK56" s="488"/>
      <c r="AL56" s="487"/>
      <c r="AM56" s="488"/>
      <c r="AN56" s="487"/>
      <c r="AO56" s="488"/>
      <c r="AP56" s="487"/>
      <c r="AQ56" s="488"/>
      <c r="AR56" s="487"/>
      <c r="AS56" s="488"/>
      <c r="AT56" s="82"/>
    </row>
    <row r="57" spans="2:46" ht="9" customHeight="1" x14ac:dyDescent="0.3">
      <c r="B57" s="479"/>
      <c r="C57" s="458"/>
      <c r="D57" s="13"/>
      <c r="E57" s="8"/>
      <c r="F57" s="459"/>
      <c r="G57" s="460"/>
      <c r="H57" s="459"/>
      <c r="I57" s="460"/>
      <c r="J57" s="459"/>
      <c r="K57" s="460"/>
      <c r="L57" s="459"/>
      <c r="M57" s="460"/>
      <c r="N57" s="459"/>
      <c r="O57" s="460"/>
      <c r="P57" s="459"/>
      <c r="Q57" s="460"/>
      <c r="R57" s="459"/>
      <c r="S57" s="460"/>
      <c r="T57" s="459"/>
      <c r="U57" s="460"/>
      <c r="V57" s="459"/>
      <c r="W57" s="460"/>
      <c r="X57" s="459"/>
      <c r="Y57" s="460"/>
      <c r="Z57" s="459"/>
      <c r="AA57" s="460"/>
      <c r="AB57" s="459"/>
      <c r="AC57" s="460"/>
      <c r="AD57" s="459"/>
      <c r="AE57" s="460"/>
      <c r="AF57" s="459"/>
      <c r="AG57" s="460"/>
      <c r="AH57" s="459"/>
      <c r="AI57" s="460"/>
      <c r="AJ57" s="459"/>
      <c r="AK57" s="460"/>
      <c r="AL57" s="459"/>
      <c r="AM57" s="460"/>
      <c r="AN57" s="459"/>
      <c r="AO57" s="460"/>
      <c r="AP57" s="459"/>
      <c r="AQ57" s="460"/>
      <c r="AR57" s="459"/>
      <c r="AS57" s="460"/>
      <c r="AT57" s="76"/>
    </row>
    <row r="58" spans="2:46" ht="9" customHeight="1" x14ac:dyDescent="0.3">
      <c r="B58" s="479"/>
      <c r="C58" s="458"/>
      <c r="D58" s="3"/>
      <c r="E58" s="8"/>
      <c r="F58" s="459"/>
      <c r="G58" s="460"/>
      <c r="H58" s="459"/>
      <c r="I58" s="460"/>
      <c r="J58" s="459"/>
      <c r="K58" s="460"/>
      <c r="L58" s="459"/>
      <c r="M58" s="460"/>
      <c r="N58" s="459"/>
      <c r="O58" s="460"/>
      <c r="P58" s="459"/>
      <c r="Q58" s="460"/>
      <c r="R58" s="459"/>
      <c r="S58" s="460"/>
      <c r="T58" s="459"/>
      <c r="U58" s="460"/>
      <c r="V58" s="459"/>
      <c r="W58" s="460"/>
      <c r="X58" s="459"/>
      <c r="Y58" s="460"/>
      <c r="Z58" s="459"/>
      <c r="AA58" s="460"/>
      <c r="AB58" s="459"/>
      <c r="AC58" s="460"/>
      <c r="AD58" s="459"/>
      <c r="AE58" s="460"/>
      <c r="AF58" s="459"/>
      <c r="AG58" s="460"/>
      <c r="AH58" s="459"/>
      <c r="AI58" s="460"/>
      <c r="AJ58" s="459"/>
      <c r="AK58" s="460"/>
      <c r="AL58" s="459"/>
      <c r="AM58" s="460"/>
      <c r="AN58" s="459"/>
      <c r="AO58" s="460"/>
      <c r="AP58" s="459"/>
      <c r="AQ58" s="460"/>
      <c r="AR58" s="459"/>
      <c r="AS58" s="460"/>
      <c r="AT58" s="76"/>
    </row>
    <row r="59" spans="2:46" ht="9" customHeight="1" x14ac:dyDescent="0.3">
      <c r="B59" s="479"/>
      <c r="C59" s="458">
        <f>C63+(C55-C63)/2</f>
        <v>8.7500000000000008E-2</v>
      </c>
      <c r="D59" s="13"/>
      <c r="E59" s="4"/>
      <c r="F59" s="459"/>
      <c r="G59" s="460"/>
      <c r="H59" s="459"/>
      <c r="I59" s="460"/>
      <c r="J59" s="459"/>
      <c r="K59" s="460"/>
      <c r="L59" s="459"/>
      <c r="M59" s="460"/>
      <c r="N59" s="459"/>
      <c r="O59" s="460"/>
      <c r="P59" s="459"/>
      <c r="Q59" s="460"/>
      <c r="R59" s="459"/>
      <c r="S59" s="460"/>
      <c r="T59" s="459"/>
      <c r="U59" s="460"/>
      <c r="V59" s="459"/>
      <c r="W59" s="460"/>
      <c r="X59" s="459"/>
      <c r="Y59" s="460"/>
      <c r="Z59" s="459"/>
      <c r="AA59" s="460"/>
      <c r="AB59" s="459"/>
      <c r="AC59" s="460"/>
      <c r="AD59" s="459"/>
      <c r="AE59" s="460"/>
      <c r="AF59" s="459"/>
      <c r="AG59" s="460"/>
      <c r="AH59" s="459"/>
      <c r="AI59" s="460"/>
      <c r="AJ59" s="459"/>
      <c r="AK59" s="460"/>
      <c r="AL59" s="459"/>
      <c r="AM59" s="460"/>
      <c r="AN59" s="459"/>
      <c r="AO59" s="460"/>
      <c r="AP59" s="459"/>
      <c r="AQ59" s="460"/>
      <c r="AR59" s="459"/>
      <c r="AS59" s="460"/>
      <c r="AT59" s="80"/>
    </row>
    <row r="60" spans="2:46" ht="9" customHeight="1" x14ac:dyDescent="0.3">
      <c r="B60" s="479"/>
      <c r="C60" s="458"/>
      <c r="D60" s="13"/>
      <c r="E60" s="4"/>
      <c r="F60" s="459"/>
      <c r="G60" s="460"/>
      <c r="H60" s="459"/>
      <c r="I60" s="460"/>
      <c r="J60" s="459"/>
      <c r="K60" s="460"/>
      <c r="L60" s="459"/>
      <c r="M60" s="460"/>
      <c r="N60" s="459"/>
      <c r="O60" s="460"/>
      <c r="P60" s="459"/>
      <c r="Q60" s="460"/>
      <c r="R60" s="459"/>
      <c r="S60" s="460"/>
      <c r="T60" s="459"/>
      <c r="U60" s="460"/>
      <c r="V60" s="459"/>
      <c r="W60" s="460"/>
      <c r="X60" s="459"/>
      <c r="Y60" s="460"/>
      <c r="Z60" s="459"/>
      <c r="AA60" s="460"/>
      <c r="AB60" s="459"/>
      <c r="AC60" s="460"/>
      <c r="AD60" s="459"/>
      <c r="AE60" s="460"/>
      <c r="AF60" s="459"/>
      <c r="AG60" s="460"/>
      <c r="AH60" s="459"/>
      <c r="AI60" s="460"/>
      <c r="AJ60" s="459"/>
      <c r="AK60" s="460"/>
      <c r="AL60" s="459"/>
      <c r="AM60" s="460"/>
      <c r="AN60" s="459"/>
      <c r="AO60" s="460"/>
      <c r="AP60" s="459"/>
      <c r="AQ60" s="460"/>
      <c r="AR60" s="459"/>
      <c r="AS60" s="460"/>
      <c r="AT60" s="80"/>
    </row>
    <row r="61" spans="2:46" ht="9" customHeight="1" x14ac:dyDescent="0.3">
      <c r="B61" s="479"/>
      <c r="C61" s="458"/>
      <c r="D61" s="7"/>
      <c r="E61" s="18"/>
      <c r="F61" s="489"/>
      <c r="G61" s="490"/>
      <c r="H61" s="489"/>
      <c r="I61" s="490"/>
      <c r="J61" s="489"/>
      <c r="K61" s="490"/>
      <c r="L61" s="489"/>
      <c r="M61" s="490"/>
      <c r="N61" s="489"/>
      <c r="O61" s="490"/>
      <c r="P61" s="489"/>
      <c r="Q61" s="490"/>
      <c r="R61" s="489"/>
      <c r="S61" s="490"/>
      <c r="T61" s="489"/>
      <c r="U61" s="490"/>
      <c r="V61" s="489"/>
      <c r="W61" s="490"/>
      <c r="X61" s="489"/>
      <c r="Y61" s="490"/>
      <c r="Z61" s="489"/>
      <c r="AA61" s="490"/>
      <c r="AB61" s="489"/>
      <c r="AC61" s="490"/>
      <c r="AD61" s="489"/>
      <c r="AE61" s="490"/>
      <c r="AF61" s="489"/>
      <c r="AG61" s="490"/>
      <c r="AH61" s="489"/>
      <c r="AI61" s="490"/>
      <c r="AJ61" s="489"/>
      <c r="AK61" s="490"/>
      <c r="AL61" s="489"/>
      <c r="AM61" s="490"/>
      <c r="AN61" s="489"/>
      <c r="AO61" s="490"/>
      <c r="AP61" s="489"/>
      <c r="AQ61" s="490"/>
      <c r="AR61" s="489"/>
      <c r="AS61" s="490"/>
      <c r="AT61" s="83"/>
    </row>
    <row r="62" spans="2:46" ht="9" customHeight="1" x14ac:dyDescent="0.3">
      <c r="B62" s="479"/>
      <c r="C62" s="458"/>
      <c r="D62" s="21"/>
      <c r="E62" s="22"/>
      <c r="F62" s="491"/>
      <c r="G62" s="492"/>
      <c r="H62" s="491"/>
      <c r="I62" s="492"/>
      <c r="J62" s="491"/>
      <c r="K62" s="492"/>
      <c r="L62" s="491"/>
      <c r="M62" s="492"/>
      <c r="N62" s="491"/>
      <c r="O62" s="492"/>
      <c r="P62" s="491"/>
      <c r="Q62" s="492"/>
      <c r="R62" s="491"/>
      <c r="S62" s="492"/>
      <c r="T62" s="491"/>
      <c r="U62" s="492"/>
      <c r="V62" s="491"/>
      <c r="W62" s="492"/>
      <c r="X62" s="491"/>
      <c r="Y62" s="492"/>
      <c r="Z62" s="491"/>
      <c r="AA62" s="492"/>
      <c r="AB62" s="491"/>
      <c r="AC62" s="492"/>
      <c r="AD62" s="491"/>
      <c r="AE62" s="492"/>
      <c r="AF62" s="491"/>
      <c r="AG62" s="492"/>
      <c r="AH62" s="491"/>
      <c r="AI62" s="492"/>
      <c r="AJ62" s="491"/>
      <c r="AK62" s="492"/>
      <c r="AL62" s="491"/>
      <c r="AM62" s="492"/>
      <c r="AN62" s="491"/>
      <c r="AO62" s="492"/>
      <c r="AP62" s="491"/>
      <c r="AQ62" s="492"/>
      <c r="AR62" s="491"/>
      <c r="AS62" s="492"/>
      <c r="AT62" s="84"/>
    </row>
    <row r="63" spans="2:46" ht="9" customHeight="1" x14ac:dyDescent="0.3">
      <c r="B63" s="479"/>
      <c r="C63" s="458">
        <f>C69+(C55-C69)/2</f>
        <v>7.5000000000000011E-2</v>
      </c>
      <c r="D63" s="13"/>
      <c r="E63" s="4"/>
      <c r="F63" s="459"/>
      <c r="G63" s="460"/>
      <c r="H63" s="459"/>
      <c r="I63" s="460"/>
      <c r="J63" s="459"/>
      <c r="K63" s="460"/>
      <c r="L63" s="459"/>
      <c r="M63" s="460"/>
      <c r="N63" s="459"/>
      <c r="O63" s="460"/>
      <c r="P63" s="459"/>
      <c r="Q63" s="460"/>
      <c r="R63" s="459"/>
      <c r="S63" s="460"/>
      <c r="T63" s="459"/>
      <c r="U63" s="460"/>
      <c r="V63" s="459"/>
      <c r="W63" s="460"/>
      <c r="X63" s="459"/>
      <c r="Y63" s="460"/>
      <c r="Z63" s="459"/>
      <c r="AA63" s="460"/>
      <c r="AB63" s="459"/>
      <c r="AC63" s="460"/>
      <c r="AD63" s="459"/>
      <c r="AE63" s="460"/>
      <c r="AF63" s="459"/>
      <c r="AG63" s="460"/>
      <c r="AH63" s="459"/>
      <c r="AI63" s="460"/>
      <c r="AJ63" s="459"/>
      <c r="AK63" s="460"/>
      <c r="AL63" s="459"/>
      <c r="AM63" s="460"/>
      <c r="AN63" s="459"/>
      <c r="AO63" s="460"/>
      <c r="AP63" s="459"/>
      <c r="AQ63" s="460"/>
      <c r="AR63" s="459"/>
      <c r="AS63" s="460"/>
      <c r="AT63" s="80"/>
    </row>
    <row r="64" spans="2:46" ht="9" customHeight="1" x14ac:dyDescent="0.3">
      <c r="B64" s="479"/>
      <c r="C64" s="458"/>
      <c r="D64" s="13"/>
      <c r="E64" s="4"/>
      <c r="F64" s="459"/>
      <c r="G64" s="460"/>
      <c r="H64" s="459"/>
      <c r="I64" s="460"/>
      <c r="J64" s="459"/>
      <c r="K64" s="460"/>
      <c r="L64" s="459"/>
      <c r="M64" s="460"/>
      <c r="N64" s="459"/>
      <c r="O64" s="460"/>
      <c r="P64" s="459"/>
      <c r="Q64" s="460"/>
      <c r="R64" s="459"/>
      <c r="S64" s="460"/>
      <c r="T64" s="459"/>
      <c r="U64" s="460"/>
      <c r="V64" s="459"/>
      <c r="W64" s="460"/>
      <c r="X64" s="459"/>
      <c r="Y64" s="460"/>
      <c r="Z64" s="459"/>
      <c r="AA64" s="460"/>
      <c r="AB64" s="459"/>
      <c r="AC64" s="460"/>
      <c r="AD64" s="459"/>
      <c r="AE64" s="460"/>
      <c r="AF64" s="459"/>
      <c r="AG64" s="460"/>
      <c r="AH64" s="459"/>
      <c r="AI64" s="460"/>
      <c r="AJ64" s="459"/>
      <c r="AK64" s="460"/>
      <c r="AL64" s="459"/>
      <c r="AM64" s="460"/>
      <c r="AN64" s="459"/>
      <c r="AO64" s="460"/>
      <c r="AP64" s="459"/>
      <c r="AQ64" s="460"/>
      <c r="AR64" s="459"/>
      <c r="AS64" s="460"/>
      <c r="AT64" s="80"/>
    </row>
    <row r="65" spans="2:46" x14ac:dyDescent="0.3">
      <c r="B65" s="479"/>
      <c r="C65" s="458"/>
      <c r="D65" s="13"/>
      <c r="E65" s="4"/>
      <c r="F65" s="459"/>
      <c r="G65" s="460"/>
      <c r="H65" s="459"/>
      <c r="I65" s="460"/>
      <c r="J65" s="459"/>
      <c r="K65" s="460"/>
      <c r="L65" s="459"/>
      <c r="M65" s="460"/>
      <c r="N65" s="459"/>
      <c r="O65" s="460"/>
      <c r="P65" s="459"/>
      <c r="Q65" s="460"/>
      <c r="R65" s="459"/>
      <c r="S65" s="460"/>
      <c r="T65" s="459"/>
      <c r="U65" s="460"/>
      <c r="V65" s="459"/>
      <c r="W65" s="460"/>
      <c r="X65" s="459"/>
      <c r="Y65" s="460"/>
      <c r="Z65" s="459"/>
      <c r="AA65" s="460"/>
      <c r="AB65" s="459"/>
      <c r="AC65" s="460"/>
      <c r="AD65" s="459"/>
      <c r="AE65" s="460"/>
      <c r="AF65" s="459"/>
      <c r="AG65" s="460"/>
      <c r="AH65" s="459"/>
      <c r="AI65" s="460"/>
      <c r="AJ65" s="459"/>
      <c r="AK65" s="460"/>
      <c r="AL65" s="459"/>
      <c r="AM65" s="460"/>
      <c r="AN65" s="459"/>
      <c r="AO65" s="460"/>
      <c r="AP65" s="459"/>
      <c r="AQ65" s="460"/>
      <c r="AR65" s="459"/>
      <c r="AS65" s="460"/>
      <c r="AT65" s="80"/>
    </row>
    <row r="66" spans="2:46" x14ac:dyDescent="0.3">
      <c r="B66" s="479"/>
      <c r="C66" s="458"/>
      <c r="D66" s="13"/>
      <c r="E66" s="4"/>
      <c r="F66" s="459"/>
      <c r="G66" s="460"/>
      <c r="H66" s="459"/>
      <c r="I66" s="460"/>
      <c r="J66" s="459"/>
      <c r="K66" s="460"/>
      <c r="L66" s="459"/>
      <c r="M66" s="460"/>
      <c r="N66" s="459"/>
      <c r="O66" s="460"/>
      <c r="P66" s="459"/>
      <c r="Q66" s="460"/>
      <c r="R66" s="459"/>
      <c r="S66" s="460"/>
      <c r="T66" s="459"/>
      <c r="U66" s="460"/>
      <c r="V66" s="459"/>
      <c r="W66" s="460"/>
      <c r="X66" s="459"/>
      <c r="Y66" s="460"/>
      <c r="Z66" s="459"/>
      <c r="AA66" s="460"/>
      <c r="AB66" s="459"/>
      <c r="AC66" s="460"/>
      <c r="AD66" s="459"/>
      <c r="AE66" s="460"/>
      <c r="AF66" s="459"/>
      <c r="AG66" s="460"/>
      <c r="AH66" s="459"/>
      <c r="AI66" s="460"/>
      <c r="AJ66" s="459"/>
      <c r="AK66" s="460"/>
      <c r="AL66" s="459"/>
      <c r="AM66" s="460"/>
      <c r="AN66" s="459"/>
      <c r="AO66" s="460"/>
      <c r="AP66" s="459"/>
      <c r="AQ66" s="460"/>
      <c r="AR66" s="459"/>
      <c r="AS66" s="460"/>
      <c r="AT66" s="80"/>
    </row>
    <row r="67" spans="2:46" x14ac:dyDescent="0.3">
      <c r="B67" s="479"/>
      <c r="C67" s="458"/>
      <c r="D67" s="13"/>
      <c r="E67" s="4"/>
      <c r="F67" s="459"/>
      <c r="G67" s="460"/>
      <c r="H67" s="459"/>
      <c r="I67" s="460"/>
      <c r="J67" s="459"/>
      <c r="K67" s="460"/>
      <c r="L67" s="459"/>
      <c r="M67" s="460"/>
      <c r="N67" s="459"/>
      <c r="O67" s="460"/>
      <c r="P67" s="459"/>
      <c r="Q67" s="460"/>
      <c r="R67" s="459"/>
      <c r="S67" s="460"/>
      <c r="T67" s="459"/>
      <c r="U67" s="460"/>
      <c r="V67" s="459"/>
      <c r="W67" s="460"/>
      <c r="X67" s="459"/>
      <c r="Y67" s="460"/>
      <c r="Z67" s="459"/>
      <c r="AA67" s="460"/>
      <c r="AB67" s="459"/>
      <c r="AC67" s="460"/>
      <c r="AD67" s="459"/>
      <c r="AE67" s="460"/>
      <c r="AF67" s="459"/>
      <c r="AG67" s="460"/>
      <c r="AH67" s="459"/>
      <c r="AI67" s="460"/>
      <c r="AJ67" s="459"/>
      <c r="AK67" s="460"/>
      <c r="AL67" s="459"/>
      <c r="AM67" s="460"/>
      <c r="AN67" s="459"/>
      <c r="AO67" s="460"/>
      <c r="AP67" s="459"/>
      <c r="AQ67" s="460"/>
      <c r="AR67" s="459"/>
      <c r="AS67" s="460"/>
      <c r="AT67" s="80"/>
    </row>
    <row r="68" spans="2:46" x14ac:dyDescent="0.3">
      <c r="B68" s="479"/>
      <c r="C68" s="458"/>
      <c r="D68" s="13"/>
      <c r="E68" s="4"/>
      <c r="F68" s="459"/>
      <c r="G68" s="460"/>
      <c r="H68" s="459"/>
      <c r="I68" s="460"/>
      <c r="J68" s="459"/>
      <c r="K68" s="460"/>
      <c r="L68" s="459"/>
      <c r="M68" s="460"/>
      <c r="N68" s="459"/>
      <c r="O68" s="460"/>
      <c r="P68" s="459"/>
      <c r="Q68" s="460"/>
      <c r="R68" s="459"/>
      <c r="S68" s="460"/>
      <c r="T68" s="459"/>
      <c r="U68" s="460"/>
      <c r="V68" s="459"/>
      <c r="W68" s="460"/>
      <c r="X68" s="459"/>
      <c r="Y68" s="460"/>
      <c r="Z68" s="459"/>
      <c r="AA68" s="460"/>
      <c r="AB68" s="459"/>
      <c r="AC68" s="460"/>
      <c r="AD68" s="459"/>
      <c r="AE68" s="460"/>
      <c r="AF68" s="459"/>
      <c r="AG68" s="460"/>
      <c r="AH68" s="459"/>
      <c r="AI68" s="460"/>
      <c r="AJ68" s="459"/>
      <c r="AK68" s="460"/>
      <c r="AL68" s="459"/>
      <c r="AM68" s="460"/>
      <c r="AN68" s="459"/>
      <c r="AO68" s="460"/>
      <c r="AP68" s="459"/>
      <c r="AQ68" s="460"/>
      <c r="AR68" s="459"/>
      <c r="AS68" s="460"/>
      <c r="AT68" s="80"/>
    </row>
    <row r="69" spans="2:46" x14ac:dyDescent="0.3">
      <c r="B69" s="479"/>
      <c r="C69" s="458">
        <f>C55/2</f>
        <v>0.05</v>
      </c>
      <c r="D69" s="13"/>
      <c r="E69" s="4"/>
      <c r="F69" s="459"/>
      <c r="G69" s="460"/>
      <c r="H69" s="459"/>
      <c r="I69" s="460"/>
      <c r="J69" s="459"/>
      <c r="K69" s="460"/>
      <c r="L69" s="459"/>
      <c r="M69" s="460"/>
      <c r="N69" s="459"/>
      <c r="O69" s="460"/>
      <c r="P69" s="459"/>
      <c r="Q69" s="460"/>
      <c r="R69" s="459"/>
      <c r="S69" s="460"/>
      <c r="T69" s="459"/>
      <c r="U69" s="460"/>
      <c r="V69" s="459"/>
      <c r="W69" s="460"/>
      <c r="X69" s="459"/>
      <c r="Y69" s="460"/>
      <c r="Z69" s="459"/>
      <c r="AA69" s="460"/>
      <c r="AB69" s="459"/>
      <c r="AC69" s="460"/>
      <c r="AD69" s="459"/>
      <c r="AE69" s="460"/>
      <c r="AF69" s="459"/>
      <c r="AG69" s="460"/>
      <c r="AH69" s="459"/>
      <c r="AI69" s="460"/>
      <c r="AJ69" s="459"/>
      <c r="AK69" s="460"/>
      <c r="AL69" s="459"/>
      <c r="AM69" s="460"/>
      <c r="AN69" s="459"/>
      <c r="AO69" s="460"/>
      <c r="AP69" s="459"/>
      <c r="AQ69" s="460"/>
      <c r="AR69" s="459"/>
      <c r="AS69" s="460"/>
      <c r="AT69" s="80"/>
    </row>
    <row r="70" spans="2:46" x14ac:dyDescent="0.3">
      <c r="B70" s="479"/>
      <c r="C70" s="458"/>
      <c r="D70" s="13"/>
      <c r="E70" s="4"/>
      <c r="F70" s="459"/>
      <c r="G70" s="460"/>
      <c r="H70" s="459"/>
      <c r="I70" s="460"/>
      <c r="J70" s="459"/>
      <c r="K70" s="460"/>
      <c r="L70" s="459"/>
      <c r="M70" s="460"/>
      <c r="N70" s="459"/>
      <c r="O70" s="460"/>
      <c r="P70" s="459"/>
      <c r="Q70" s="460"/>
      <c r="R70" s="459"/>
      <c r="S70" s="460"/>
      <c r="T70" s="459"/>
      <c r="U70" s="460"/>
      <c r="V70" s="459"/>
      <c r="W70" s="460"/>
      <c r="X70" s="459"/>
      <c r="Y70" s="460"/>
      <c r="Z70" s="459"/>
      <c r="AA70" s="460"/>
      <c r="AB70" s="459"/>
      <c r="AC70" s="460"/>
      <c r="AD70" s="459"/>
      <c r="AE70" s="460"/>
      <c r="AF70" s="459"/>
      <c r="AG70" s="460"/>
      <c r="AH70" s="459"/>
      <c r="AI70" s="460"/>
      <c r="AJ70" s="459"/>
      <c r="AK70" s="460"/>
      <c r="AL70" s="459"/>
      <c r="AM70" s="460"/>
      <c r="AN70" s="459"/>
      <c r="AO70" s="460"/>
      <c r="AP70" s="459"/>
      <c r="AQ70" s="460"/>
      <c r="AR70" s="459"/>
      <c r="AS70" s="460"/>
      <c r="AT70" s="80"/>
    </row>
    <row r="71" spans="2:46" x14ac:dyDescent="0.3">
      <c r="B71" s="479"/>
      <c r="C71" s="458"/>
      <c r="D71" s="13"/>
      <c r="E71" s="4"/>
      <c r="F71" s="459"/>
      <c r="G71" s="460"/>
      <c r="H71" s="459"/>
      <c r="I71" s="460"/>
      <c r="J71" s="459"/>
      <c r="K71" s="460"/>
      <c r="L71" s="459"/>
      <c r="M71" s="460"/>
      <c r="N71" s="459"/>
      <c r="O71" s="460"/>
      <c r="P71" s="459"/>
      <c r="Q71" s="460"/>
      <c r="R71" s="459"/>
      <c r="S71" s="460"/>
      <c r="T71" s="459"/>
      <c r="U71" s="460"/>
      <c r="V71" s="459"/>
      <c r="W71" s="460"/>
      <c r="X71" s="459"/>
      <c r="Y71" s="460"/>
      <c r="Z71" s="459"/>
      <c r="AA71" s="460"/>
      <c r="AB71" s="459"/>
      <c r="AC71" s="460"/>
      <c r="AD71" s="459"/>
      <c r="AE71" s="460"/>
      <c r="AF71" s="459"/>
      <c r="AG71" s="460"/>
      <c r="AH71" s="459"/>
      <c r="AI71" s="460"/>
      <c r="AJ71" s="459"/>
      <c r="AK71" s="460"/>
      <c r="AL71" s="459"/>
      <c r="AM71" s="460"/>
      <c r="AN71" s="459"/>
      <c r="AO71" s="460"/>
      <c r="AP71" s="459"/>
      <c r="AQ71" s="460"/>
      <c r="AR71" s="459"/>
      <c r="AS71" s="460"/>
      <c r="AT71" s="80"/>
    </row>
    <row r="72" spans="2:46" x14ac:dyDescent="0.3">
      <c r="B72" s="479"/>
      <c r="C72" s="458"/>
      <c r="D72" s="13"/>
      <c r="E72" s="4"/>
      <c r="F72" s="459"/>
      <c r="G72" s="460"/>
      <c r="H72" s="459"/>
      <c r="I72" s="460"/>
      <c r="J72" s="459"/>
      <c r="K72" s="460"/>
      <c r="L72" s="459"/>
      <c r="M72" s="460"/>
      <c r="N72" s="459"/>
      <c r="O72" s="460"/>
      <c r="P72" s="459"/>
      <c r="Q72" s="460"/>
      <c r="R72" s="459"/>
      <c r="S72" s="460"/>
      <c r="T72" s="459"/>
      <c r="U72" s="460"/>
      <c r="V72" s="459"/>
      <c r="W72" s="460"/>
      <c r="X72" s="459"/>
      <c r="Y72" s="460"/>
      <c r="Z72" s="459"/>
      <c r="AA72" s="460"/>
      <c r="AB72" s="459"/>
      <c r="AC72" s="460"/>
      <c r="AD72" s="459"/>
      <c r="AE72" s="460"/>
      <c r="AF72" s="459"/>
      <c r="AG72" s="460"/>
      <c r="AH72" s="459"/>
      <c r="AI72" s="460"/>
      <c r="AJ72" s="459"/>
      <c r="AK72" s="460"/>
      <c r="AL72" s="459"/>
      <c r="AM72" s="460"/>
      <c r="AN72" s="459"/>
      <c r="AO72" s="460"/>
      <c r="AP72" s="459"/>
      <c r="AQ72" s="460"/>
      <c r="AR72" s="459"/>
      <c r="AS72" s="460"/>
      <c r="AT72" s="80"/>
    </row>
    <row r="73" spans="2:46" x14ac:dyDescent="0.3">
      <c r="B73" s="479"/>
      <c r="C73" s="458"/>
      <c r="D73" s="13"/>
      <c r="E73" s="4"/>
      <c r="F73" s="459"/>
      <c r="G73" s="460"/>
      <c r="H73" s="459"/>
      <c r="I73" s="460"/>
      <c r="J73" s="459"/>
      <c r="K73" s="460"/>
      <c r="L73" s="459"/>
      <c r="M73" s="460"/>
      <c r="N73" s="459"/>
      <c r="O73" s="460"/>
      <c r="P73" s="459"/>
      <c r="Q73" s="460"/>
      <c r="R73" s="459"/>
      <c r="S73" s="460"/>
      <c r="T73" s="459"/>
      <c r="U73" s="460"/>
      <c r="V73" s="459"/>
      <c r="W73" s="460"/>
      <c r="X73" s="459"/>
      <c r="Y73" s="460"/>
      <c r="Z73" s="459"/>
      <c r="AA73" s="460"/>
      <c r="AB73" s="459"/>
      <c r="AC73" s="460"/>
      <c r="AD73" s="459"/>
      <c r="AE73" s="460"/>
      <c r="AF73" s="459"/>
      <c r="AG73" s="460"/>
      <c r="AH73" s="459"/>
      <c r="AI73" s="460"/>
      <c r="AJ73" s="459"/>
      <c r="AK73" s="460"/>
      <c r="AL73" s="459"/>
      <c r="AM73" s="460"/>
      <c r="AN73" s="459"/>
      <c r="AO73" s="460"/>
      <c r="AP73" s="459"/>
      <c r="AQ73" s="460"/>
      <c r="AR73" s="459"/>
      <c r="AS73" s="460"/>
      <c r="AT73" s="80"/>
    </row>
    <row r="74" spans="2:46" x14ac:dyDescent="0.3">
      <c r="B74" s="479"/>
      <c r="C74" s="458"/>
      <c r="D74" s="13"/>
      <c r="E74" s="4"/>
      <c r="F74" s="459"/>
      <c r="G74" s="460"/>
      <c r="H74" s="459"/>
      <c r="I74" s="460"/>
      <c r="J74" s="459"/>
      <c r="K74" s="460"/>
      <c r="L74" s="459"/>
      <c r="M74" s="460"/>
      <c r="N74" s="459"/>
      <c r="O74" s="460"/>
      <c r="P74" s="459"/>
      <c r="Q74" s="460"/>
      <c r="R74" s="459"/>
      <c r="S74" s="460"/>
      <c r="T74" s="459"/>
      <c r="U74" s="460"/>
      <c r="V74" s="459"/>
      <c r="W74" s="460"/>
      <c r="X74" s="459"/>
      <c r="Y74" s="460"/>
      <c r="Z74" s="459"/>
      <c r="AA74" s="460"/>
      <c r="AB74" s="459"/>
      <c r="AC74" s="460"/>
      <c r="AD74" s="459"/>
      <c r="AE74" s="460"/>
      <c r="AF74" s="459"/>
      <c r="AG74" s="460"/>
      <c r="AH74" s="459"/>
      <c r="AI74" s="460"/>
      <c r="AJ74" s="459"/>
      <c r="AK74" s="460"/>
      <c r="AL74" s="459"/>
      <c r="AM74" s="460"/>
      <c r="AN74" s="459"/>
      <c r="AO74" s="460"/>
      <c r="AP74" s="459"/>
      <c r="AQ74" s="460"/>
      <c r="AR74" s="459"/>
      <c r="AS74" s="460"/>
      <c r="AT74" s="80"/>
    </row>
    <row r="75" spans="2:46" x14ac:dyDescent="0.3">
      <c r="B75" s="479"/>
      <c r="C75" s="458"/>
      <c r="D75" s="13"/>
      <c r="E75" s="4"/>
      <c r="F75" s="459"/>
      <c r="G75" s="460"/>
      <c r="H75" s="459"/>
      <c r="I75" s="460"/>
      <c r="J75" s="459"/>
      <c r="K75" s="460"/>
      <c r="L75" s="459"/>
      <c r="M75" s="460"/>
      <c r="N75" s="459"/>
      <c r="O75" s="460"/>
      <c r="P75" s="459"/>
      <c r="Q75" s="460"/>
      <c r="R75" s="459"/>
      <c r="S75" s="460"/>
      <c r="T75" s="459"/>
      <c r="U75" s="460"/>
      <c r="V75" s="459"/>
      <c r="W75" s="460"/>
      <c r="X75" s="459"/>
      <c r="Y75" s="460"/>
      <c r="Z75" s="459"/>
      <c r="AA75" s="460"/>
      <c r="AB75" s="459"/>
      <c r="AC75" s="460"/>
      <c r="AD75" s="459"/>
      <c r="AE75" s="460"/>
      <c r="AF75" s="459"/>
      <c r="AG75" s="460"/>
      <c r="AH75" s="459"/>
      <c r="AI75" s="460"/>
      <c r="AJ75" s="459"/>
      <c r="AK75" s="460"/>
      <c r="AL75" s="459"/>
      <c r="AM75" s="460"/>
      <c r="AN75" s="459"/>
      <c r="AO75" s="460"/>
      <c r="AP75" s="459"/>
      <c r="AQ75" s="460"/>
      <c r="AR75" s="459"/>
      <c r="AS75" s="460"/>
      <c r="AT75" s="80"/>
    </row>
    <row r="76" spans="2:46" x14ac:dyDescent="0.3">
      <c r="B76" s="479"/>
      <c r="C76" s="458"/>
      <c r="D76" s="13"/>
      <c r="E76" s="4"/>
      <c r="F76" s="459"/>
      <c r="G76" s="460"/>
      <c r="H76" s="459"/>
      <c r="I76" s="460"/>
      <c r="J76" s="459"/>
      <c r="K76" s="460"/>
      <c r="L76" s="459"/>
      <c r="M76" s="460"/>
      <c r="N76" s="459"/>
      <c r="O76" s="460"/>
      <c r="P76" s="459"/>
      <c r="Q76" s="460"/>
      <c r="R76" s="459"/>
      <c r="S76" s="460"/>
      <c r="T76" s="459"/>
      <c r="U76" s="460"/>
      <c r="V76" s="459"/>
      <c r="W76" s="460"/>
      <c r="X76" s="459"/>
      <c r="Y76" s="460"/>
      <c r="Z76" s="459"/>
      <c r="AA76" s="460"/>
      <c r="AB76" s="459"/>
      <c r="AC76" s="460"/>
      <c r="AD76" s="459"/>
      <c r="AE76" s="460"/>
      <c r="AF76" s="459"/>
      <c r="AG76" s="460"/>
      <c r="AH76" s="459"/>
      <c r="AI76" s="460"/>
      <c r="AJ76" s="459"/>
      <c r="AK76" s="460"/>
      <c r="AL76" s="459"/>
      <c r="AM76" s="460"/>
      <c r="AN76" s="459"/>
      <c r="AO76" s="460"/>
      <c r="AP76" s="459"/>
      <c r="AQ76" s="460"/>
      <c r="AR76" s="459"/>
      <c r="AS76" s="460"/>
      <c r="AT76" s="80"/>
    </row>
    <row r="77" spans="2:46" x14ac:dyDescent="0.3">
      <c r="B77" s="479"/>
      <c r="C77" s="458">
        <f>C69/2</f>
        <v>2.5000000000000001E-2</v>
      </c>
      <c r="D77" s="13"/>
      <c r="E77" s="4"/>
      <c r="F77" s="459"/>
      <c r="G77" s="460"/>
      <c r="H77" s="459"/>
      <c r="I77" s="460"/>
      <c r="J77" s="459"/>
      <c r="K77" s="460"/>
      <c r="L77" s="459"/>
      <c r="M77" s="460"/>
      <c r="N77" s="459"/>
      <c r="O77" s="460"/>
      <c r="P77" s="459"/>
      <c r="Q77" s="460"/>
      <c r="R77" s="459"/>
      <c r="S77" s="460"/>
      <c r="T77" s="459"/>
      <c r="U77" s="460"/>
      <c r="V77" s="459"/>
      <c r="W77" s="460"/>
      <c r="X77" s="459"/>
      <c r="Y77" s="460"/>
      <c r="Z77" s="459"/>
      <c r="AA77" s="460"/>
      <c r="AB77" s="459"/>
      <c r="AC77" s="460"/>
      <c r="AD77" s="459"/>
      <c r="AE77" s="460"/>
      <c r="AF77" s="459"/>
      <c r="AG77" s="460"/>
      <c r="AH77" s="459"/>
      <c r="AI77" s="460"/>
      <c r="AJ77" s="459"/>
      <c r="AK77" s="460"/>
      <c r="AL77" s="459"/>
      <c r="AM77" s="460"/>
      <c r="AN77" s="459"/>
      <c r="AO77" s="460"/>
      <c r="AP77" s="459"/>
      <c r="AQ77" s="460"/>
      <c r="AR77" s="459"/>
      <c r="AS77" s="460"/>
      <c r="AT77" s="80"/>
    </row>
    <row r="78" spans="2:46" x14ac:dyDescent="0.3">
      <c r="B78" s="479"/>
      <c r="C78" s="458"/>
      <c r="D78" s="13"/>
      <c r="E78" s="4"/>
      <c r="F78" s="459"/>
      <c r="G78" s="460"/>
      <c r="H78" s="459"/>
      <c r="I78" s="460"/>
      <c r="J78" s="459"/>
      <c r="K78" s="460"/>
      <c r="L78" s="459"/>
      <c r="M78" s="460"/>
      <c r="N78" s="459"/>
      <c r="O78" s="460"/>
      <c r="P78" s="459"/>
      <c r="Q78" s="460"/>
      <c r="R78" s="459"/>
      <c r="S78" s="460"/>
      <c r="T78" s="459"/>
      <c r="U78" s="460"/>
      <c r="V78" s="459"/>
      <c r="W78" s="460"/>
      <c r="X78" s="459"/>
      <c r="Y78" s="460"/>
      <c r="Z78" s="459"/>
      <c r="AA78" s="460"/>
      <c r="AB78" s="459"/>
      <c r="AC78" s="460"/>
      <c r="AD78" s="459"/>
      <c r="AE78" s="460"/>
      <c r="AF78" s="459"/>
      <c r="AG78" s="460"/>
      <c r="AH78" s="459"/>
      <c r="AI78" s="460"/>
      <c r="AJ78" s="459"/>
      <c r="AK78" s="460"/>
      <c r="AL78" s="459"/>
      <c r="AM78" s="460"/>
      <c r="AN78" s="459"/>
      <c r="AO78" s="460"/>
      <c r="AP78" s="459"/>
      <c r="AQ78" s="460"/>
      <c r="AR78" s="459"/>
      <c r="AS78" s="460"/>
      <c r="AT78" s="80"/>
    </row>
    <row r="79" spans="2:46" x14ac:dyDescent="0.3">
      <c r="B79" s="479"/>
      <c r="C79" s="458"/>
      <c r="D79" s="13"/>
      <c r="E79" s="4"/>
      <c r="F79" s="459"/>
      <c r="G79" s="460"/>
      <c r="H79" s="459"/>
      <c r="I79" s="460"/>
      <c r="J79" s="459"/>
      <c r="K79" s="460"/>
      <c r="L79" s="459"/>
      <c r="M79" s="460"/>
      <c r="N79" s="459"/>
      <c r="O79" s="460"/>
      <c r="P79" s="459"/>
      <c r="Q79" s="460"/>
      <c r="R79" s="459"/>
      <c r="S79" s="460"/>
      <c r="T79" s="459"/>
      <c r="U79" s="460"/>
      <c r="V79" s="459"/>
      <c r="W79" s="460"/>
      <c r="X79" s="459"/>
      <c r="Y79" s="460"/>
      <c r="Z79" s="459"/>
      <c r="AA79" s="460"/>
      <c r="AB79" s="459"/>
      <c r="AC79" s="460"/>
      <c r="AD79" s="459"/>
      <c r="AE79" s="460"/>
      <c r="AF79" s="459"/>
      <c r="AG79" s="460"/>
      <c r="AH79" s="459"/>
      <c r="AI79" s="460"/>
      <c r="AJ79" s="459"/>
      <c r="AK79" s="460"/>
      <c r="AL79" s="459"/>
      <c r="AM79" s="460"/>
      <c r="AN79" s="459"/>
      <c r="AO79" s="460"/>
      <c r="AP79" s="459"/>
      <c r="AQ79" s="460"/>
      <c r="AR79" s="459"/>
      <c r="AS79" s="460"/>
      <c r="AT79" s="80"/>
    </row>
    <row r="80" spans="2:46" x14ac:dyDescent="0.3">
      <c r="B80" s="479"/>
      <c r="C80" s="458"/>
      <c r="D80" s="13"/>
      <c r="E80" s="4"/>
      <c r="F80" s="459"/>
      <c r="G80" s="460"/>
      <c r="H80" s="459"/>
      <c r="I80" s="460"/>
      <c r="J80" s="459"/>
      <c r="K80" s="460"/>
      <c r="L80" s="459"/>
      <c r="M80" s="460"/>
      <c r="N80" s="459"/>
      <c r="O80" s="460"/>
      <c r="P80" s="459"/>
      <c r="Q80" s="460"/>
      <c r="R80" s="459"/>
      <c r="S80" s="460"/>
      <c r="T80" s="459"/>
      <c r="U80" s="460"/>
      <c r="V80" s="459"/>
      <c r="W80" s="460"/>
      <c r="X80" s="459"/>
      <c r="Y80" s="460"/>
      <c r="Z80" s="459"/>
      <c r="AA80" s="460"/>
      <c r="AB80" s="459"/>
      <c r="AC80" s="460"/>
      <c r="AD80" s="459"/>
      <c r="AE80" s="460"/>
      <c r="AF80" s="459"/>
      <c r="AG80" s="460"/>
      <c r="AH80" s="459"/>
      <c r="AI80" s="460"/>
      <c r="AJ80" s="459"/>
      <c r="AK80" s="460"/>
      <c r="AL80" s="459"/>
      <c r="AM80" s="460"/>
      <c r="AN80" s="459"/>
      <c r="AO80" s="460"/>
      <c r="AP80" s="459"/>
      <c r="AQ80" s="460"/>
      <c r="AR80" s="459"/>
      <c r="AS80" s="460"/>
      <c r="AT80" s="80"/>
    </row>
    <row r="81" spans="2:46" x14ac:dyDescent="0.3">
      <c r="B81" s="479"/>
      <c r="C81" s="458">
        <f>C77/2</f>
        <v>1.2500000000000001E-2</v>
      </c>
      <c r="D81" s="13"/>
      <c r="E81" s="4"/>
      <c r="F81" s="459"/>
      <c r="G81" s="460"/>
      <c r="H81" s="459"/>
      <c r="I81" s="460"/>
      <c r="J81" s="459"/>
      <c r="K81" s="460"/>
      <c r="L81" s="459"/>
      <c r="M81" s="460"/>
      <c r="N81" s="459"/>
      <c r="O81" s="460"/>
      <c r="P81" s="459"/>
      <c r="Q81" s="460"/>
      <c r="R81" s="459"/>
      <c r="S81" s="460"/>
      <c r="T81" s="459"/>
      <c r="U81" s="460"/>
      <c r="V81" s="459"/>
      <c r="W81" s="460"/>
      <c r="X81" s="459"/>
      <c r="Y81" s="460"/>
      <c r="Z81" s="459"/>
      <c r="AA81" s="460"/>
      <c r="AB81" s="459"/>
      <c r="AC81" s="460"/>
      <c r="AD81" s="459"/>
      <c r="AE81" s="460"/>
      <c r="AF81" s="459"/>
      <c r="AG81" s="460"/>
      <c r="AH81" s="459"/>
      <c r="AI81" s="460"/>
      <c r="AJ81" s="459"/>
      <c r="AK81" s="460"/>
      <c r="AL81" s="459"/>
      <c r="AM81" s="460"/>
      <c r="AN81" s="459"/>
      <c r="AO81" s="460"/>
      <c r="AP81" s="459"/>
      <c r="AQ81" s="460"/>
      <c r="AR81" s="459"/>
      <c r="AS81" s="460"/>
      <c r="AT81" s="80"/>
    </row>
    <row r="82" spans="2:46" x14ac:dyDescent="0.3">
      <c r="B82" s="479"/>
      <c r="C82" s="458"/>
      <c r="D82" s="13"/>
      <c r="E82" s="4"/>
      <c r="F82" s="459"/>
      <c r="G82" s="460"/>
      <c r="H82" s="459"/>
      <c r="I82" s="460"/>
      <c r="J82" s="459"/>
      <c r="K82" s="460"/>
      <c r="L82" s="459"/>
      <c r="M82" s="460"/>
      <c r="N82" s="459"/>
      <c r="O82" s="460"/>
      <c r="P82" s="459"/>
      <c r="Q82" s="460"/>
      <c r="R82" s="459"/>
      <c r="S82" s="460"/>
      <c r="T82" s="459"/>
      <c r="U82" s="460"/>
      <c r="V82" s="459"/>
      <c r="W82" s="460"/>
      <c r="X82" s="459"/>
      <c r="Y82" s="460"/>
      <c r="Z82" s="459"/>
      <c r="AA82" s="460"/>
      <c r="AB82" s="459"/>
      <c r="AC82" s="460"/>
      <c r="AD82" s="459"/>
      <c r="AE82" s="460"/>
      <c r="AF82" s="459"/>
      <c r="AG82" s="460"/>
      <c r="AH82" s="459"/>
      <c r="AI82" s="460"/>
      <c r="AJ82" s="459"/>
      <c r="AK82" s="460"/>
      <c r="AL82" s="459"/>
      <c r="AM82" s="460"/>
      <c r="AN82" s="459"/>
      <c r="AO82" s="460"/>
      <c r="AP82" s="459"/>
      <c r="AQ82" s="460"/>
      <c r="AR82" s="459"/>
      <c r="AS82" s="460"/>
      <c r="AT82" s="80"/>
    </row>
    <row r="83" spans="2:46" x14ac:dyDescent="0.3">
      <c r="B83" s="479"/>
      <c r="C83" s="499"/>
      <c r="D83" s="3"/>
      <c r="E83" s="8"/>
      <c r="F83" s="459"/>
      <c r="G83" s="460"/>
      <c r="H83" s="459"/>
      <c r="I83" s="460"/>
      <c r="J83" s="459"/>
      <c r="K83" s="460"/>
      <c r="L83" s="459"/>
      <c r="M83" s="460"/>
      <c r="N83" s="459"/>
      <c r="O83" s="460"/>
      <c r="P83" s="459"/>
      <c r="Q83" s="460"/>
      <c r="R83" s="459"/>
      <c r="S83" s="460"/>
      <c r="T83" s="459"/>
      <c r="U83" s="460"/>
      <c r="V83" s="459"/>
      <c r="W83" s="460"/>
      <c r="X83" s="459"/>
      <c r="Y83" s="460"/>
      <c r="Z83" s="459"/>
      <c r="AA83" s="460"/>
      <c r="AB83" s="459"/>
      <c r="AC83" s="460"/>
      <c r="AD83" s="459"/>
      <c r="AE83" s="460"/>
      <c r="AF83" s="459"/>
      <c r="AG83" s="460"/>
      <c r="AH83" s="459"/>
      <c r="AI83" s="460"/>
      <c r="AJ83" s="459"/>
      <c r="AK83" s="460"/>
      <c r="AL83" s="459"/>
      <c r="AM83" s="460"/>
      <c r="AN83" s="459"/>
      <c r="AO83" s="460"/>
      <c r="AP83" s="459"/>
      <c r="AQ83" s="460"/>
      <c r="AR83" s="459"/>
      <c r="AS83" s="460"/>
      <c r="AT83" s="76"/>
    </row>
    <row r="84" spans="2:46" ht="15" thickBot="1" x14ac:dyDescent="0.35">
      <c r="B84" s="480"/>
      <c r="C84" s="500"/>
      <c r="D84" s="85"/>
      <c r="E84" s="86"/>
      <c r="F84" s="494"/>
      <c r="G84" s="495"/>
      <c r="H84" s="494"/>
      <c r="I84" s="495"/>
      <c r="J84" s="494"/>
      <c r="K84" s="495"/>
      <c r="L84" s="494"/>
      <c r="M84" s="495"/>
      <c r="N84" s="494"/>
      <c r="O84" s="495"/>
      <c r="P84" s="494"/>
      <c r="Q84" s="495"/>
      <c r="R84" s="494"/>
      <c r="S84" s="495"/>
      <c r="T84" s="494"/>
      <c r="U84" s="495"/>
      <c r="V84" s="494"/>
      <c r="W84" s="495"/>
      <c r="X84" s="494"/>
      <c r="Y84" s="495"/>
      <c r="Z84" s="494"/>
      <c r="AA84" s="495"/>
      <c r="AB84" s="494"/>
      <c r="AC84" s="495"/>
      <c r="AD84" s="494"/>
      <c r="AE84" s="495"/>
      <c r="AF84" s="494"/>
      <c r="AG84" s="495"/>
      <c r="AH84" s="494"/>
      <c r="AI84" s="495"/>
      <c r="AJ84" s="494"/>
      <c r="AK84" s="495"/>
      <c r="AL84" s="494"/>
      <c r="AM84" s="495"/>
      <c r="AN84" s="494"/>
      <c r="AO84" s="495"/>
      <c r="AP84" s="494"/>
      <c r="AQ84" s="495"/>
      <c r="AR84" s="494"/>
      <c r="AS84" s="495"/>
      <c r="AT84" s="87"/>
    </row>
    <row r="85" spans="2:46" s="48" customFormat="1" ht="26.4" thickTop="1" x14ac:dyDescent="0.5">
      <c r="E85" s="493">
        <v>1</v>
      </c>
      <c r="F85" s="493"/>
      <c r="G85" s="493">
        <v>2</v>
      </c>
      <c r="H85" s="493"/>
      <c r="I85" s="493">
        <v>3</v>
      </c>
      <c r="J85" s="493"/>
      <c r="K85" s="493">
        <v>4</v>
      </c>
      <c r="L85" s="493"/>
      <c r="M85" s="493">
        <v>5</v>
      </c>
      <c r="N85" s="493"/>
      <c r="O85" s="493">
        <v>6</v>
      </c>
      <c r="P85" s="493"/>
      <c r="Q85" s="493">
        <v>7</v>
      </c>
      <c r="R85" s="493"/>
      <c r="S85" s="493">
        <v>8</v>
      </c>
      <c r="T85" s="493"/>
      <c r="U85" s="493">
        <v>9</v>
      </c>
      <c r="V85" s="493"/>
      <c r="W85" s="493">
        <v>10</v>
      </c>
      <c r="X85" s="493"/>
      <c r="Y85" s="493">
        <v>11</v>
      </c>
      <c r="Z85" s="493"/>
      <c r="AA85" s="493">
        <v>12</v>
      </c>
      <c r="AB85" s="493"/>
      <c r="AC85" s="493">
        <v>13</v>
      </c>
      <c r="AD85" s="493"/>
      <c r="AE85" s="493">
        <v>14</v>
      </c>
      <c r="AF85" s="493"/>
      <c r="AG85" s="493">
        <v>15</v>
      </c>
      <c r="AH85" s="493"/>
      <c r="AI85" s="493">
        <v>16</v>
      </c>
      <c r="AJ85" s="493"/>
      <c r="AK85" s="493">
        <v>17</v>
      </c>
      <c r="AL85" s="493"/>
      <c r="AM85" s="493">
        <v>18</v>
      </c>
      <c r="AN85" s="493"/>
      <c r="AO85" s="493">
        <v>19</v>
      </c>
      <c r="AP85" s="493"/>
      <c r="AQ85" s="493">
        <v>20</v>
      </c>
      <c r="AR85" s="493"/>
      <c r="AS85" s="493">
        <v>21</v>
      </c>
      <c r="AT85" s="493"/>
    </row>
    <row r="86" spans="2:46" s="47" customFormat="1" ht="29.4" thickBot="1" x14ac:dyDescent="0.55000000000000004">
      <c r="B86" s="99" t="s">
        <v>91</v>
      </c>
      <c r="C86" s="99"/>
      <c r="D86" s="99"/>
      <c r="E86" s="99"/>
      <c r="F86" s="99"/>
      <c r="G86" s="99"/>
      <c r="H86" s="99" t="s">
        <v>88</v>
      </c>
      <c r="I86" s="99"/>
      <c r="J86" s="99"/>
      <c r="K86" s="99"/>
      <c r="L86" s="99"/>
      <c r="M86" s="99"/>
      <c r="N86" s="99"/>
      <c r="O86" s="99"/>
      <c r="P86" s="99"/>
      <c r="Q86" s="99"/>
      <c r="R86" s="99"/>
      <c r="S86" s="99"/>
      <c r="T86" s="99"/>
      <c r="U86" s="99"/>
      <c r="V86" s="99"/>
      <c r="W86" s="99"/>
      <c r="X86" s="99"/>
      <c r="Y86" s="99"/>
      <c r="Z86" s="99"/>
      <c r="AA86" s="99"/>
      <c r="AB86" s="100" t="s">
        <v>8</v>
      </c>
      <c r="AC86" s="99"/>
      <c r="AD86" s="496" t="s">
        <v>9</v>
      </c>
      <c r="AE86" s="496"/>
      <c r="AF86" s="496"/>
      <c r="AG86" s="496"/>
      <c r="AH86" s="99"/>
      <c r="AI86" s="99"/>
      <c r="AJ86" s="497" t="s">
        <v>10</v>
      </c>
      <c r="AK86" s="497"/>
      <c r="AL86" s="497"/>
      <c r="AM86" s="497"/>
      <c r="AN86" s="99"/>
      <c r="AO86" s="99"/>
      <c r="AP86" s="498" t="s">
        <v>11</v>
      </c>
      <c r="AQ86" s="498"/>
      <c r="AR86" s="498"/>
      <c r="AS86" s="498"/>
    </row>
    <row r="87" spans="2:46" s="48" customFormat="1" ht="25.8" x14ac:dyDescent="0.5"/>
    <row r="88" spans="2:46" s="48" customFormat="1" ht="25.8" x14ac:dyDescent="0.5"/>
    <row r="89" spans="2:46" x14ac:dyDescent="0.3">
      <c r="B89" s="23"/>
    </row>
  </sheetData>
  <sheetProtection password="B7E1" sheet="1" objects="1" scenarios="1"/>
  <mergeCells count="1614">
    <mergeCell ref="C83:C84"/>
    <mergeCell ref="F83:G83"/>
    <mergeCell ref="H83:I83"/>
    <mergeCell ref="J83:K83"/>
    <mergeCell ref="L83:M83"/>
    <mergeCell ref="AL83:AM83"/>
    <mergeCell ref="AN83:AO83"/>
    <mergeCell ref="AP83:AQ83"/>
    <mergeCell ref="AR83:AS83"/>
    <mergeCell ref="AR84:AS84"/>
    <mergeCell ref="AJ84:AK84"/>
    <mergeCell ref="AL84:AM84"/>
    <mergeCell ref="AN84:AO84"/>
    <mergeCell ref="R84:S84"/>
    <mergeCell ref="T84:U84"/>
    <mergeCell ref="V84:W84"/>
    <mergeCell ref="X84:Y84"/>
    <mergeCell ref="Z84:AA84"/>
    <mergeCell ref="AB84:AC84"/>
    <mergeCell ref="F84:G84"/>
    <mergeCell ref="H84:I84"/>
    <mergeCell ref="J84:K84"/>
    <mergeCell ref="L84:M84"/>
    <mergeCell ref="N84:O84"/>
    <mergeCell ref="P84:Q84"/>
    <mergeCell ref="E85:F85"/>
    <mergeCell ref="G85:H85"/>
    <mergeCell ref="I85:J85"/>
    <mergeCell ref="K85:L85"/>
    <mergeCell ref="M85:N85"/>
    <mergeCell ref="O85:P85"/>
    <mergeCell ref="Q85:R85"/>
    <mergeCell ref="S85:T85"/>
    <mergeCell ref="AD84:AE84"/>
    <mergeCell ref="AF84:AG84"/>
    <mergeCell ref="AH84:AI84"/>
    <mergeCell ref="AD86:AG86"/>
    <mergeCell ref="AJ86:AM86"/>
    <mergeCell ref="AP86:AS86"/>
    <mergeCell ref="AG85:AH85"/>
    <mergeCell ref="AI85:AJ85"/>
    <mergeCell ref="AK85:AL85"/>
    <mergeCell ref="AM85:AN85"/>
    <mergeCell ref="AO85:AP85"/>
    <mergeCell ref="AQ85:AR85"/>
    <mergeCell ref="U85:V85"/>
    <mergeCell ref="W85:X85"/>
    <mergeCell ref="Y85:Z85"/>
    <mergeCell ref="AA85:AB85"/>
    <mergeCell ref="AC85:AD85"/>
    <mergeCell ref="AE85:AF85"/>
    <mergeCell ref="AP84:AQ84"/>
    <mergeCell ref="AS85:AT85"/>
    <mergeCell ref="X81:Y81"/>
    <mergeCell ref="Z81:AA81"/>
    <mergeCell ref="AB81:AC81"/>
    <mergeCell ref="AD81:AE81"/>
    <mergeCell ref="Z83:AA83"/>
    <mergeCell ref="AB83:AC83"/>
    <mergeCell ref="AD83:AE83"/>
    <mergeCell ref="AF83:AG83"/>
    <mergeCell ref="AH83:AI83"/>
    <mergeCell ref="AJ83:AK83"/>
    <mergeCell ref="N83:O83"/>
    <mergeCell ref="P83:Q83"/>
    <mergeCell ref="R83:S83"/>
    <mergeCell ref="T83:U83"/>
    <mergeCell ref="V83:W83"/>
    <mergeCell ref="X83:Y83"/>
    <mergeCell ref="X82:Y82"/>
    <mergeCell ref="Z82:AA82"/>
    <mergeCell ref="AB82:AC82"/>
    <mergeCell ref="AD82:AE82"/>
    <mergeCell ref="AF82:AG82"/>
    <mergeCell ref="AH82:AI82"/>
    <mergeCell ref="X80:Y80"/>
    <mergeCell ref="Z80:AA80"/>
    <mergeCell ref="AR82:AS82"/>
    <mergeCell ref="AB80:AC80"/>
    <mergeCell ref="AJ82:AK82"/>
    <mergeCell ref="AL82:AM82"/>
    <mergeCell ref="AN82:AO82"/>
    <mergeCell ref="AP82:AQ82"/>
    <mergeCell ref="F80:G80"/>
    <mergeCell ref="H80:I80"/>
    <mergeCell ref="J80:K80"/>
    <mergeCell ref="L80:M80"/>
    <mergeCell ref="N80:O80"/>
    <mergeCell ref="P80:Q80"/>
    <mergeCell ref="AR81:AS81"/>
    <mergeCell ref="F82:G82"/>
    <mergeCell ref="H82:I82"/>
    <mergeCell ref="J82:K82"/>
    <mergeCell ref="L82:M82"/>
    <mergeCell ref="N82:O82"/>
    <mergeCell ref="P82:Q82"/>
    <mergeCell ref="R82:S82"/>
    <mergeCell ref="T82:U82"/>
    <mergeCell ref="V82:W82"/>
    <mergeCell ref="AF81:AG81"/>
    <mergeCell ref="AH81:AI81"/>
    <mergeCell ref="AJ81:AK81"/>
    <mergeCell ref="AL81:AM81"/>
    <mergeCell ref="AN81:AO81"/>
    <mergeCell ref="AP81:AQ81"/>
    <mergeCell ref="T81:U81"/>
    <mergeCell ref="V81:W81"/>
    <mergeCell ref="AP78:AQ78"/>
    <mergeCell ref="AR77:AS77"/>
    <mergeCell ref="C79:C80"/>
    <mergeCell ref="F79:G79"/>
    <mergeCell ref="H79:I79"/>
    <mergeCell ref="J79:K79"/>
    <mergeCell ref="L79:M79"/>
    <mergeCell ref="X78:Y78"/>
    <mergeCell ref="Z78:AA78"/>
    <mergeCell ref="AB78:AC78"/>
    <mergeCell ref="AD78:AE78"/>
    <mergeCell ref="AF78:AG78"/>
    <mergeCell ref="AH78:AI78"/>
    <mergeCell ref="AP80:AQ80"/>
    <mergeCell ref="AR80:AS80"/>
    <mergeCell ref="C81:C82"/>
    <mergeCell ref="F81:G81"/>
    <mergeCell ref="H81:I81"/>
    <mergeCell ref="J81:K81"/>
    <mergeCell ref="L81:M81"/>
    <mergeCell ref="N81:O81"/>
    <mergeCell ref="P81:Q81"/>
    <mergeCell ref="R81:S81"/>
    <mergeCell ref="AD80:AE80"/>
    <mergeCell ref="AF80:AG80"/>
    <mergeCell ref="AH80:AI80"/>
    <mergeCell ref="AJ80:AK80"/>
    <mergeCell ref="AL80:AM80"/>
    <mergeCell ref="AN80:AO80"/>
    <mergeCell ref="R80:S80"/>
    <mergeCell ref="T80:U80"/>
    <mergeCell ref="V80:W80"/>
    <mergeCell ref="AP77:AQ77"/>
    <mergeCell ref="C77:C78"/>
    <mergeCell ref="F77:G77"/>
    <mergeCell ref="H77:I77"/>
    <mergeCell ref="J77:K77"/>
    <mergeCell ref="L77:M77"/>
    <mergeCell ref="N77:O77"/>
    <mergeCell ref="P77:Q77"/>
    <mergeCell ref="R77:S77"/>
    <mergeCell ref="AL79:AM79"/>
    <mergeCell ref="AN79:AO79"/>
    <mergeCell ref="AP79:AQ79"/>
    <mergeCell ref="AR79:AS79"/>
    <mergeCell ref="T77:U77"/>
    <mergeCell ref="V77:W77"/>
    <mergeCell ref="X77:Y77"/>
    <mergeCell ref="Z77:AA77"/>
    <mergeCell ref="AB77:AC77"/>
    <mergeCell ref="AD77:AE77"/>
    <mergeCell ref="Z79:AA79"/>
    <mergeCell ref="AB79:AC79"/>
    <mergeCell ref="AD79:AE79"/>
    <mergeCell ref="AF79:AG79"/>
    <mergeCell ref="AH79:AI79"/>
    <mergeCell ref="AJ79:AK79"/>
    <mergeCell ref="N79:O79"/>
    <mergeCell ref="P79:Q79"/>
    <mergeCell ref="R79:S79"/>
    <mergeCell ref="T79:U79"/>
    <mergeCell ref="V79:W79"/>
    <mergeCell ref="X79:Y79"/>
    <mergeCell ref="AR78:AS78"/>
    <mergeCell ref="Z76:AA76"/>
    <mergeCell ref="AB76:AC76"/>
    <mergeCell ref="AJ78:AK78"/>
    <mergeCell ref="AL78:AM78"/>
    <mergeCell ref="AN78:AO78"/>
    <mergeCell ref="AL75:AM75"/>
    <mergeCell ref="AN75:AO75"/>
    <mergeCell ref="F78:G78"/>
    <mergeCell ref="H78:I78"/>
    <mergeCell ref="J78:K78"/>
    <mergeCell ref="L78:M78"/>
    <mergeCell ref="N78:O78"/>
    <mergeCell ref="P78:Q78"/>
    <mergeCell ref="R78:S78"/>
    <mergeCell ref="T78:U78"/>
    <mergeCell ref="V78:W78"/>
    <mergeCell ref="AF77:AG77"/>
    <mergeCell ref="AH77:AI77"/>
    <mergeCell ref="AJ77:AK77"/>
    <mergeCell ref="AL77:AM77"/>
    <mergeCell ref="AN77:AO77"/>
    <mergeCell ref="AP75:AQ75"/>
    <mergeCell ref="AR75:AS75"/>
    <mergeCell ref="F76:G76"/>
    <mergeCell ref="H76:I76"/>
    <mergeCell ref="J76:K76"/>
    <mergeCell ref="L76:M76"/>
    <mergeCell ref="N76:O76"/>
    <mergeCell ref="P76:Q76"/>
    <mergeCell ref="Z75:AA75"/>
    <mergeCell ref="AB75:AC75"/>
    <mergeCell ref="AD75:AE75"/>
    <mergeCell ref="AF75:AG75"/>
    <mergeCell ref="AH75:AI75"/>
    <mergeCell ref="AJ75:AK75"/>
    <mergeCell ref="N75:O75"/>
    <mergeCell ref="P75:Q75"/>
    <mergeCell ref="R75:S75"/>
    <mergeCell ref="T75:U75"/>
    <mergeCell ref="V75:W75"/>
    <mergeCell ref="X75:Y75"/>
    <mergeCell ref="AP76:AQ76"/>
    <mergeCell ref="AR76:AS76"/>
    <mergeCell ref="AD76:AE76"/>
    <mergeCell ref="AF76:AG76"/>
    <mergeCell ref="AH76:AI76"/>
    <mergeCell ref="AJ76:AK76"/>
    <mergeCell ref="AL76:AM76"/>
    <mergeCell ref="AN76:AO76"/>
    <mergeCell ref="R76:S76"/>
    <mergeCell ref="T76:U76"/>
    <mergeCell ref="V76:W76"/>
    <mergeCell ref="X76:Y76"/>
    <mergeCell ref="AJ74:AK74"/>
    <mergeCell ref="AL74:AM74"/>
    <mergeCell ref="AN74:AO74"/>
    <mergeCell ref="AP74:AQ74"/>
    <mergeCell ref="AR74:AS74"/>
    <mergeCell ref="C75:C76"/>
    <mergeCell ref="F75:G75"/>
    <mergeCell ref="H75:I75"/>
    <mergeCell ref="J75:K75"/>
    <mergeCell ref="L75:M75"/>
    <mergeCell ref="X74:Y74"/>
    <mergeCell ref="Z74:AA74"/>
    <mergeCell ref="AB74:AC74"/>
    <mergeCell ref="AD74:AE74"/>
    <mergeCell ref="AF74:AG74"/>
    <mergeCell ref="AH74:AI74"/>
    <mergeCell ref="AR73:AS73"/>
    <mergeCell ref="F74:G74"/>
    <mergeCell ref="H74:I74"/>
    <mergeCell ref="J74:K74"/>
    <mergeCell ref="L74:M74"/>
    <mergeCell ref="N74:O74"/>
    <mergeCell ref="P74:Q74"/>
    <mergeCell ref="R74:S74"/>
    <mergeCell ref="T74:U74"/>
    <mergeCell ref="V74:W74"/>
    <mergeCell ref="AF73:AG73"/>
    <mergeCell ref="AH73:AI73"/>
    <mergeCell ref="AJ73:AK73"/>
    <mergeCell ref="AL73:AM73"/>
    <mergeCell ref="AN73:AO73"/>
    <mergeCell ref="AP73:AQ73"/>
    <mergeCell ref="T73:U73"/>
    <mergeCell ref="V73:W73"/>
    <mergeCell ref="X73:Y73"/>
    <mergeCell ref="Z73:AA73"/>
    <mergeCell ref="AB73:AC73"/>
    <mergeCell ref="AD73:AE73"/>
    <mergeCell ref="AP72:AQ72"/>
    <mergeCell ref="AR72:AS72"/>
    <mergeCell ref="C73:C74"/>
    <mergeCell ref="F73:G73"/>
    <mergeCell ref="H73:I73"/>
    <mergeCell ref="J73:K73"/>
    <mergeCell ref="L73:M73"/>
    <mergeCell ref="N73:O73"/>
    <mergeCell ref="P73:Q73"/>
    <mergeCell ref="R73:S73"/>
    <mergeCell ref="AD72:AE72"/>
    <mergeCell ref="AF72:AG72"/>
    <mergeCell ref="AH72:AI72"/>
    <mergeCell ref="AJ72:AK72"/>
    <mergeCell ref="AL72:AM72"/>
    <mergeCell ref="AN72:AO72"/>
    <mergeCell ref="R72:S72"/>
    <mergeCell ref="T72:U72"/>
    <mergeCell ref="V72:W72"/>
    <mergeCell ref="X72:Y72"/>
    <mergeCell ref="Z72:AA72"/>
    <mergeCell ref="AB72:AC72"/>
    <mergeCell ref="F72:G72"/>
    <mergeCell ref="H72:I72"/>
    <mergeCell ref="J72:K72"/>
    <mergeCell ref="L72:M72"/>
    <mergeCell ref="N72:O72"/>
    <mergeCell ref="P72:Q72"/>
    <mergeCell ref="AH71:AI71"/>
    <mergeCell ref="AJ71:AK71"/>
    <mergeCell ref="AL71:AM71"/>
    <mergeCell ref="AN71:AO71"/>
    <mergeCell ref="AP71:AQ71"/>
    <mergeCell ref="AR71:AS71"/>
    <mergeCell ref="V71:W71"/>
    <mergeCell ref="X71:Y71"/>
    <mergeCell ref="Z71:AA71"/>
    <mergeCell ref="AB71:AC71"/>
    <mergeCell ref="AD71:AE71"/>
    <mergeCell ref="AF71:AG71"/>
    <mergeCell ref="AP70:AQ70"/>
    <mergeCell ref="AR70:AS70"/>
    <mergeCell ref="F71:G71"/>
    <mergeCell ref="H71:I71"/>
    <mergeCell ref="J71:K71"/>
    <mergeCell ref="L71:M71"/>
    <mergeCell ref="N71:O71"/>
    <mergeCell ref="P71:Q71"/>
    <mergeCell ref="R71:S71"/>
    <mergeCell ref="T71:U71"/>
    <mergeCell ref="AD70:AE70"/>
    <mergeCell ref="AF70:AG70"/>
    <mergeCell ref="AH70:AI70"/>
    <mergeCell ref="AJ70:AK70"/>
    <mergeCell ref="AL70:AM70"/>
    <mergeCell ref="AN70:AO70"/>
    <mergeCell ref="R70:S70"/>
    <mergeCell ref="T70:U70"/>
    <mergeCell ref="AL69:AM69"/>
    <mergeCell ref="AN69:AO69"/>
    <mergeCell ref="AP69:AQ69"/>
    <mergeCell ref="AR69:AS69"/>
    <mergeCell ref="F70:G70"/>
    <mergeCell ref="H70:I70"/>
    <mergeCell ref="J70:K70"/>
    <mergeCell ref="L70:M70"/>
    <mergeCell ref="N70:O70"/>
    <mergeCell ref="P70:Q70"/>
    <mergeCell ref="Z69:AA69"/>
    <mergeCell ref="AB69:AC69"/>
    <mergeCell ref="AD69:AE69"/>
    <mergeCell ref="AF69:AG69"/>
    <mergeCell ref="AH69:AI69"/>
    <mergeCell ref="AJ69:AK69"/>
    <mergeCell ref="N69:O69"/>
    <mergeCell ref="P69:Q69"/>
    <mergeCell ref="R69:S69"/>
    <mergeCell ref="T69:U69"/>
    <mergeCell ref="V69:W69"/>
    <mergeCell ref="X69:Y69"/>
    <mergeCell ref="AR68:AS68"/>
    <mergeCell ref="C69:C72"/>
    <mergeCell ref="F69:G69"/>
    <mergeCell ref="H69:I69"/>
    <mergeCell ref="J69:K69"/>
    <mergeCell ref="L69:M69"/>
    <mergeCell ref="X68:Y68"/>
    <mergeCell ref="Z68:AA68"/>
    <mergeCell ref="AB68:AC68"/>
    <mergeCell ref="AD68:AE68"/>
    <mergeCell ref="AF68:AG68"/>
    <mergeCell ref="AH68:AI68"/>
    <mergeCell ref="AR67:AS67"/>
    <mergeCell ref="F68:G68"/>
    <mergeCell ref="H68:I68"/>
    <mergeCell ref="J68:K68"/>
    <mergeCell ref="L68:M68"/>
    <mergeCell ref="N68:O68"/>
    <mergeCell ref="P68:Q68"/>
    <mergeCell ref="R68:S68"/>
    <mergeCell ref="T68:U68"/>
    <mergeCell ref="V68:W68"/>
    <mergeCell ref="AF67:AG67"/>
    <mergeCell ref="AH67:AI67"/>
    <mergeCell ref="AJ67:AK67"/>
    <mergeCell ref="AL67:AM67"/>
    <mergeCell ref="AN67:AO67"/>
    <mergeCell ref="AP67:AQ67"/>
    <mergeCell ref="V70:W70"/>
    <mergeCell ref="X70:Y70"/>
    <mergeCell ref="Z70:AA70"/>
    <mergeCell ref="AB70:AC70"/>
    <mergeCell ref="T67:U67"/>
    <mergeCell ref="V67:W67"/>
    <mergeCell ref="X67:Y67"/>
    <mergeCell ref="Z67:AA67"/>
    <mergeCell ref="AB67:AC67"/>
    <mergeCell ref="AD67:AE67"/>
    <mergeCell ref="AP66:AQ66"/>
    <mergeCell ref="AR66:AS66"/>
    <mergeCell ref="C67:C68"/>
    <mergeCell ref="F67:G67"/>
    <mergeCell ref="H67:I67"/>
    <mergeCell ref="J67:K67"/>
    <mergeCell ref="L67:M67"/>
    <mergeCell ref="N67:O67"/>
    <mergeCell ref="P67:Q67"/>
    <mergeCell ref="R67:S67"/>
    <mergeCell ref="AD66:AE66"/>
    <mergeCell ref="AF66:AG66"/>
    <mergeCell ref="AH66:AI66"/>
    <mergeCell ref="AJ66:AK66"/>
    <mergeCell ref="AL66:AM66"/>
    <mergeCell ref="AN66:AO66"/>
    <mergeCell ref="R66:S66"/>
    <mergeCell ref="T66:U66"/>
    <mergeCell ref="V66:W66"/>
    <mergeCell ref="X66:Y66"/>
    <mergeCell ref="Z66:AA66"/>
    <mergeCell ref="AB66:AC66"/>
    <mergeCell ref="AJ68:AK68"/>
    <mergeCell ref="AL68:AM68"/>
    <mergeCell ref="AN68:AO68"/>
    <mergeCell ref="AP68:AQ68"/>
    <mergeCell ref="F66:G66"/>
    <mergeCell ref="H66:I66"/>
    <mergeCell ref="J66:K66"/>
    <mergeCell ref="L66:M66"/>
    <mergeCell ref="N66:O66"/>
    <mergeCell ref="P66:Q66"/>
    <mergeCell ref="Z65:AA65"/>
    <mergeCell ref="AB65:AC65"/>
    <mergeCell ref="AD65:AE65"/>
    <mergeCell ref="AF65:AG65"/>
    <mergeCell ref="AH65:AI65"/>
    <mergeCell ref="AJ65:AK65"/>
    <mergeCell ref="N65:O65"/>
    <mergeCell ref="P65:Q65"/>
    <mergeCell ref="R65:S65"/>
    <mergeCell ref="T65:U65"/>
    <mergeCell ref="V65:W65"/>
    <mergeCell ref="X65:Y65"/>
    <mergeCell ref="AR64:AS64"/>
    <mergeCell ref="C65:C66"/>
    <mergeCell ref="F65:G65"/>
    <mergeCell ref="H65:I65"/>
    <mergeCell ref="J65:K65"/>
    <mergeCell ref="L65:M65"/>
    <mergeCell ref="X64:Y64"/>
    <mergeCell ref="Z64:AA64"/>
    <mergeCell ref="AB64:AC64"/>
    <mergeCell ref="AD64:AE64"/>
    <mergeCell ref="AF64:AG64"/>
    <mergeCell ref="AH64:AI64"/>
    <mergeCell ref="AR63:AS63"/>
    <mergeCell ref="F64:G64"/>
    <mergeCell ref="H64:I64"/>
    <mergeCell ref="J64:K64"/>
    <mergeCell ref="L64:M64"/>
    <mergeCell ref="N64:O64"/>
    <mergeCell ref="P64:Q64"/>
    <mergeCell ref="R64:S64"/>
    <mergeCell ref="T64:U64"/>
    <mergeCell ref="V64:W64"/>
    <mergeCell ref="AF63:AG63"/>
    <mergeCell ref="AH63:AI63"/>
    <mergeCell ref="AJ63:AK63"/>
    <mergeCell ref="AL63:AM63"/>
    <mergeCell ref="AN63:AO63"/>
    <mergeCell ref="AP63:AQ63"/>
    <mergeCell ref="AL65:AM65"/>
    <mergeCell ref="AN65:AO65"/>
    <mergeCell ref="AP65:AQ65"/>
    <mergeCell ref="AR65:AS65"/>
    <mergeCell ref="T63:U63"/>
    <mergeCell ref="V63:W63"/>
    <mergeCell ref="X63:Y63"/>
    <mergeCell ref="Z63:AA63"/>
    <mergeCell ref="AB63:AC63"/>
    <mergeCell ref="AD63:AE63"/>
    <mergeCell ref="AP62:AQ62"/>
    <mergeCell ref="AR62:AS62"/>
    <mergeCell ref="C63:C64"/>
    <mergeCell ref="F63:G63"/>
    <mergeCell ref="H63:I63"/>
    <mergeCell ref="J63:K63"/>
    <mergeCell ref="L63:M63"/>
    <mergeCell ref="N63:O63"/>
    <mergeCell ref="P63:Q63"/>
    <mergeCell ref="R63:S63"/>
    <mergeCell ref="AD62:AE62"/>
    <mergeCell ref="AF62:AG62"/>
    <mergeCell ref="AH62:AI62"/>
    <mergeCell ref="AJ62:AK62"/>
    <mergeCell ref="AL62:AM62"/>
    <mergeCell ref="AN62:AO62"/>
    <mergeCell ref="R62:S62"/>
    <mergeCell ref="T62:U62"/>
    <mergeCell ref="V62:W62"/>
    <mergeCell ref="X62:Y62"/>
    <mergeCell ref="Z62:AA62"/>
    <mergeCell ref="AB62:AC62"/>
    <mergeCell ref="AJ64:AK64"/>
    <mergeCell ref="AL64:AM64"/>
    <mergeCell ref="AN64:AO64"/>
    <mergeCell ref="AP64:AQ64"/>
    <mergeCell ref="F62:G62"/>
    <mergeCell ref="H62:I62"/>
    <mergeCell ref="J62:K62"/>
    <mergeCell ref="L62:M62"/>
    <mergeCell ref="N62:O62"/>
    <mergeCell ref="P62:Q62"/>
    <mergeCell ref="Z61:AA61"/>
    <mergeCell ref="AB61:AC61"/>
    <mergeCell ref="AD61:AE61"/>
    <mergeCell ref="AF61:AG61"/>
    <mergeCell ref="AH61:AI61"/>
    <mergeCell ref="AJ61:AK61"/>
    <mergeCell ref="N61:O61"/>
    <mergeCell ref="P61:Q61"/>
    <mergeCell ref="R61:S61"/>
    <mergeCell ref="T61:U61"/>
    <mergeCell ref="V61:W61"/>
    <mergeCell ref="X61:Y61"/>
    <mergeCell ref="AR60:AS60"/>
    <mergeCell ref="C61:C62"/>
    <mergeCell ref="F61:G61"/>
    <mergeCell ref="H61:I61"/>
    <mergeCell ref="J61:K61"/>
    <mergeCell ref="L61:M61"/>
    <mergeCell ref="X60:Y60"/>
    <mergeCell ref="Z60:AA60"/>
    <mergeCell ref="AB60:AC60"/>
    <mergeCell ref="AD60:AE60"/>
    <mergeCell ref="AF60:AG60"/>
    <mergeCell ref="AH60:AI60"/>
    <mergeCell ref="AR59:AS59"/>
    <mergeCell ref="F60:G60"/>
    <mergeCell ref="H60:I60"/>
    <mergeCell ref="J60:K60"/>
    <mergeCell ref="L60:M60"/>
    <mergeCell ref="N60:O60"/>
    <mergeCell ref="P60:Q60"/>
    <mergeCell ref="R60:S60"/>
    <mergeCell ref="T60:U60"/>
    <mergeCell ref="V60:W60"/>
    <mergeCell ref="AF59:AG59"/>
    <mergeCell ref="AH59:AI59"/>
    <mergeCell ref="AJ59:AK59"/>
    <mergeCell ref="AL59:AM59"/>
    <mergeCell ref="AN59:AO59"/>
    <mergeCell ref="AP59:AQ59"/>
    <mergeCell ref="AL61:AM61"/>
    <mergeCell ref="AN61:AO61"/>
    <mergeCell ref="AP61:AQ61"/>
    <mergeCell ref="AR61:AS61"/>
    <mergeCell ref="T59:U59"/>
    <mergeCell ref="V59:W59"/>
    <mergeCell ref="X59:Y59"/>
    <mergeCell ref="Z59:AA59"/>
    <mergeCell ref="AB59:AC59"/>
    <mergeCell ref="AD59:AE59"/>
    <mergeCell ref="AP58:AQ58"/>
    <mergeCell ref="AR58:AS58"/>
    <mergeCell ref="C59:C60"/>
    <mergeCell ref="F59:G59"/>
    <mergeCell ref="H59:I59"/>
    <mergeCell ref="J59:K59"/>
    <mergeCell ref="L59:M59"/>
    <mergeCell ref="N59:O59"/>
    <mergeCell ref="P59:Q59"/>
    <mergeCell ref="R59:S59"/>
    <mergeCell ref="AD58:AE58"/>
    <mergeCell ref="AF58:AG58"/>
    <mergeCell ref="AH58:AI58"/>
    <mergeCell ref="AJ58:AK58"/>
    <mergeCell ref="AL58:AM58"/>
    <mergeCell ref="AN58:AO58"/>
    <mergeCell ref="R58:S58"/>
    <mergeCell ref="T58:U58"/>
    <mergeCell ref="V58:W58"/>
    <mergeCell ref="X58:Y58"/>
    <mergeCell ref="Z58:AA58"/>
    <mergeCell ref="AB58:AC58"/>
    <mergeCell ref="AJ60:AK60"/>
    <mergeCell ref="AL60:AM60"/>
    <mergeCell ref="AN60:AO60"/>
    <mergeCell ref="AP60:AQ60"/>
    <mergeCell ref="AL57:AM57"/>
    <mergeCell ref="AN57:AO57"/>
    <mergeCell ref="AP57:AQ57"/>
    <mergeCell ref="AR57:AS57"/>
    <mergeCell ref="F58:G58"/>
    <mergeCell ref="H58:I58"/>
    <mergeCell ref="J58:K58"/>
    <mergeCell ref="L58:M58"/>
    <mergeCell ref="N58:O58"/>
    <mergeCell ref="P58:Q58"/>
    <mergeCell ref="Z57:AA57"/>
    <mergeCell ref="AB57:AC57"/>
    <mergeCell ref="AD57:AE57"/>
    <mergeCell ref="AF57:AG57"/>
    <mergeCell ref="AH57:AI57"/>
    <mergeCell ref="AJ57:AK57"/>
    <mergeCell ref="N57:O57"/>
    <mergeCell ref="P57:Q57"/>
    <mergeCell ref="R57:S57"/>
    <mergeCell ref="T57:U57"/>
    <mergeCell ref="V57:W57"/>
    <mergeCell ref="X57:Y57"/>
    <mergeCell ref="AJ56:AK56"/>
    <mergeCell ref="AL56:AM56"/>
    <mergeCell ref="AN56:AO56"/>
    <mergeCell ref="AP56:AQ56"/>
    <mergeCell ref="AR56:AS56"/>
    <mergeCell ref="C57:C58"/>
    <mergeCell ref="F57:G57"/>
    <mergeCell ref="H57:I57"/>
    <mergeCell ref="J57:K57"/>
    <mergeCell ref="L57:M57"/>
    <mergeCell ref="X56:Y56"/>
    <mergeCell ref="Z56:AA56"/>
    <mergeCell ref="AB56:AC56"/>
    <mergeCell ref="AD56:AE56"/>
    <mergeCell ref="AF56:AG56"/>
    <mergeCell ref="AH56:AI56"/>
    <mergeCell ref="AR55:AS55"/>
    <mergeCell ref="F56:G56"/>
    <mergeCell ref="H56:I56"/>
    <mergeCell ref="J56:K56"/>
    <mergeCell ref="L56:M56"/>
    <mergeCell ref="N56:O56"/>
    <mergeCell ref="P56:Q56"/>
    <mergeCell ref="R56:S56"/>
    <mergeCell ref="T56:U56"/>
    <mergeCell ref="V56:W56"/>
    <mergeCell ref="AF55:AG55"/>
    <mergeCell ref="AH55:AI55"/>
    <mergeCell ref="AJ55:AK55"/>
    <mergeCell ref="AL55:AM55"/>
    <mergeCell ref="AN55:AO55"/>
    <mergeCell ref="AP55:AQ55"/>
    <mergeCell ref="T55:U55"/>
    <mergeCell ref="V55:W55"/>
    <mergeCell ref="X55:Y55"/>
    <mergeCell ref="Z55:AA55"/>
    <mergeCell ref="AB55:AC55"/>
    <mergeCell ref="AD55:AE55"/>
    <mergeCell ref="AP54:AQ54"/>
    <mergeCell ref="AR54:AS54"/>
    <mergeCell ref="C55:C56"/>
    <mergeCell ref="F55:G55"/>
    <mergeCell ref="H55:I55"/>
    <mergeCell ref="J55:K55"/>
    <mergeCell ref="L55:M55"/>
    <mergeCell ref="N55:O55"/>
    <mergeCell ref="P55:Q55"/>
    <mergeCell ref="R55:S55"/>
    <mergeCell ref="AD54:AE54"/>
    <mergeCell ref="AF54:AG54"/>
    <mergeCell ref="AH54:AI54"/>
    <mergeCell ref="AJ54:AK54"/>
    <mergeCell ref="AL54:AM54"/>
    <mergeCell ref="AN54:AO54"/>
    <mergeCell ref="R54:S54"/>
    <mergeCell ref="T54:U54"/>
    <mergeCell ref="V54:W54"/>
    <mergeCell ref="X54:Y54"/>
    <mergeCell ref="Z54:AA54"/>
    <mergeCell ref="AB54:AC54"/>
    <mergeCell ref="F54:G54"/>
    <mergeCell ref="H54:I54"/>
    <mergeCell ref="J54:K54"/>
    <mergeCell ref="L54:M54"/>
    <mergeCell ref="Z53:AA53"/>
    <mergeCell ref="AB53:AC53"/>
    <mergeCell ref="AD53:AE53"/>
    <mergeCell ref="AF53:AG53"/>
    <mergeCell ref="AP52:AQ52"/>
    <mergeCell ref="AR52:AS52"/>
    <mergeCell ref="F53:G53"/>
    <mergeCell ref="H53:I53"/>
    <mergeCell ref="J53:K53"/>
    <mergeCell ref="L53:M53"/>
    <mergeCell ref="N53:O53"/>
    <mergeCell ref="P53:Q53"/>
    <mergeCell ref="R53:S53"/>
    <mergeCell ref="T53:U53"/>
    <mergeCell ref="AD52:AE52"/>
    <mergeCell ref="AF52:AG52"/>
    <mergeCell ref="AH52:AI52"/>
    <mergeCell ref="AJ52:AK52"/>
    <mergeCell ref="AL52:AM52"/>
    <mergeCell ref="AN52:AO52"/>
    <mergeCell ref="R52:S52"/>
    <mergeCell ref="T52:U52"/>
    <mergeCell ref="V52:W52"/>
    <mergeCell ref="X52:Y52"/>
    <mergeCell ref="Z52:AA52"/>
    <mergeCell ref="AB52:AC52"/>
    <mergeCell ref="AN51:AO51"/>
    <mergeCell ref="AP51:AQ51"/>
    <mergeCell ref="AR51:AS51"/>
    <mergeCell ref="B52:B84"/>
    <mergeCell ref="F52:G52"/>
    <mergeCell ref="H52:I52"/>
    <mergeCell ref="J52:K52"/>
    <mergeCell ref="L52:M52"/>
    <mergeCell ref="N52:O52"/>
    <mergeCell ref="P52:Q52"/>
    <mergeCell ref="AB51:AC51"/>
    <mergeCell ref="AD51:AE51"/>
    <mergeCell ref="AF51:AG51"/>
    <mergeCell ref="AH51:AI51"/>
    <mergeCell ref="AJ51:AK51"/>
    <mergeCell ref="AL51:AM51"/>
    <mergeCell ref="P51:Q51"/>
    <mergeCell ref="R51:S51"/>
    <mergeCell ref="T51:U51"/>
    <mergeCell ref="V51:W51"/>
    <mergeCell ref="X51:Y51"/>
    <mergeCell ref="Z51:AA51"/>
    <mergeCell ref="N54:O54"/>
    <mergeCell ref="P54:Q54"/>
    <mergeCell ref="AH53:AI53"/>
    <mergeCell ref="AJ53:AK53"/>
    <mergeCell ref="AL53:AM53"/>
    <mergeCell ref="AN53:AO53"/>
    <mergeCell ref="AP53:AQ53"/>
    <mergeCell ref="AR53:AS53"/>
    <mergeCell ref="V53:W53"/>
    <mergeCell ref="X53:Y53"/>
    <mergeCell ref="AR50:AS50"/>
    <mergeCell ref="F51:G51"/>
    <mergeCell ref="H51:I51"/>
    <mergeCell ref="J51:K51"/>
    <mergeCell ref="L51:M51"/>
    <mergeCell ref="N51:O51"/>
    <mergeCell ref="X50:Y50"/>
    <mergeCell ref="Z50:AA50"/>
    <mergeCell ref="AB50:AC50"/>
    <mergeCell ref="AD50:AE50"/>
    <mergeCell ref="AF50:AG50"/>
    <mergeCell ref="AH50:AI50"/>
    <mergeCell ref="AT49:AT50"/>
    <mergeCell ref="F50:G50"/>
    <mergeCell ref="H50:I50"/>
    <mergeCell ref="J50:K50"/>
    <mergeCell ref="L50:M50"/>
    <mergeCell ref="N50:O50"/>
    <mergeCell ref="P50:Q50"/>
    <mergeCell ref="R50:S50"/>
    <mergeCell ref="T50:U50"/>
    <mergeCell ref="V50:W50"/>
    <mergeCell ref="AH49:AI49"/>
    <mergeCell ref="AJ49:AK49"/>
    <mergeCell ref="AL49:AM49"/>
    <mergeCell ref="AN49:AO49"/>
    <mergeCell ref="AP49:AQ49"/>
    <mergeCell ref="AR49:AS49"/>
    <mergeCell ref="V49:W49"/>
    <mergeCell ref="X49:Y49"/>
    <mergeCell ref="Z49:AA49"/>
    <mergeCell ref="AB49:AC49"/>
    <mergeCell ref="AD49:AE49"/>
    <mergeCell ref="AF49:AG49"/>
    <mergeCell ref="AR48:AS48"/>
    <mergeCell ref="C49:C50"/>
    <mergeCell ref="F49:G49"/>
    <mergeCell ref="H49:I49"/>
    <mergeCell ref="J49:K49"/>
    <mergeCell ref="L49:M49"/>
    <mergeCell ref="N49:O49"/>
    <mergeCell ref="P49:Q49"/>
    <mergeCell ref="R49:S49"/>
    <mergeCell ref="T49:U49"/>
    <mergeCell ref="AF48:AG48"/>
    <mergeCell ref="AH48:AI48"/>
    <mergeCell ref="AJ48:AK48"/>
    <mergeCell ref="AL48:AM48"/>
    <mergeCell ref="AN48:AO48"/>
    <mergeCell ref="AP48:AQ48"/>
    <mergeCell ref="T48:U48"/>
    <mergeCell ref="V48:W48"/>
    <mergeCell ref="X48:Y48"/>
    <mergeCell ref="Z48:AA48"/>
    <mergeCell ref="AB48:AC48"/>
    <mergeCell ref="AD48:AE48"/>
    <mergeCell ref="AJ50:AK50"/>
    <mergeCell ref="AL50:AM50"/>
    <mergeCell ref="AN50:AO50"/>
    <mergeCell ref="AP50:AQ50"/>
    <mergeCell ref="F48:G48"/>
    <mergeCell ref="H48:I48"/>
    <mergeCell ref="J48:K48"/>
    <mergeCell ref="L48:M48"/>
    <mergeCell ref="N48:O48"/>
    <mergeCell ref="P48:Q48"/>
    <mergeCell ref="R48:S48"/>
    <mergeCell ref="AB47:AC47"/>
    <mergeCell ref="AD47:AE47"/>
    <mergeCell ref="AF47:AG47"/>
    <mergeCell ref="AH47:AI47"/>
    <mergeCell ref="AJ47:AK47"/>
    <mergeCell ref="AL47:AM47"/>
    <mergeCell ref="P47:Q47"/>
    <mergeCell ref="R47:S47"/>
    <mergeCell ref="T47:U47"/>
    <mergeCell ref="V47:W47"/>
    <mergeCell ref="X47:Y47"/>
    <mergeCell ref="Z47:AA47"/>
    <mergeCell ref="AR46:AS46"/>
    <mergeCell ref="N47:O47"/>
    <mergeCell ref="X46:Y46"/>
    <mergeCell ref="Z46:AA46"/>
    <mergeCell ref="AB46:AC46"/>
    <mergeCell ref="AD46:AE46"/>
    <mergeCell ref="AF46:AG46"/>
    <mergeCell ref="AH46:AI46"/>
    <mergeCell ref="AP46:AQ46"/>
    <mergeCell ref="AR45:AS45"/>
    <mergeCell ref="F46:G46"/>
    <mergeCell ref="H46:I46"/>
    <mergeCell ref="J46:K46"/>
    <mergeCell ref="L46:M46"/>
    <mergeCell ref="N46:O46"/>
    <mergeCell ref="P46:Q46"/>
    <mergeCell ref="R46:S46"/>
    <mergeCell ref="T46:U46"/>
    <mergeCell ref="V46:W46"/>
    <mergeCell ref="AF45:AG45"/>
    <mergeCell ref="AH45:AI45"/>
    <mergeCell ref="AJ45:AK45"/>
    <mergeCell ref="AL45:AM45"/>
    <mergeCell ref="AN45:AO45"/>
    <mergeCell ref="AP45:AQ45"/>
    <mergeCell ref="C45:C48"/>
    <mergeCell ref="F45:G45"/>
    <mergeCell ref="H45:I45"/>
    <mergeCell ref="J45:K45"/>
    <mergeCell ref="L45:M45"/>
    <mergeCell ref="N45:O45"/>
    <mergeCell ref="P45:Q45"/>
    <mergeCell ref="R45:S45"/>
    <mergeCell ref="AP47:AQ47"/>
    <mergeCell ref="AR47:AS47"/>
    <mergeCell ref="T45:U45"/>
    <mergeCell ref="V45:W45"/>
    <mergeCell ref="X45:Y45"/>
    <mergeCell ref="Z45:AA45"/>
    <mergeCell ref="AB45:AC45"/>
    <mergeCell ref="AD45:AE45"/>
    <mergeCell ref="AH44:AI44"/>
    <mergeCell ref="AJ44:AK44"/>
    <mergeCell ref="AL44:AM44"/>
    <mergeCell ref="AN44:AO44"/>
    <mergeCell ref="R44:S44"/>
    <mergeCell ref="T44:U44"/>
    <mergeCell ref="V44:W44"/>
    <mergeCell ref="X44:Y44"/>
    <mergeCell ref="Z44:AA44"/>
    <mergeCell ref="AB44:AC44"/>
    <mergeCell ref="AJ46:AK46"/>
    <mergeCell ref="AL46:AM46"/>
    <mergeCell ref="AN46:AO46"/>
    <mergeCell ref="AN47:AO47"/>
    <mergeCell ref="F47:G47"/>
    <mergeCell ref="H47:I47"/>
    <mergeCell ref="J47:K47"/>
    <mergeCell ref="L47:M47"/>
    <mergeCell ref="AP42:AQ42"/>
    <mergeCell ref="AR42:AS42"/>
    <mergeCell ref="C43:C44"/>
    <mergeCell ref="AT43:AT44"/>
    <mergeCell ref="F44:G44"/>
    <mergeCell ref="H44:I44"/>
    <mergeCell ref="J44:K44"/>
    <mergeCell ref="L44:M44"/>
    <mergeCell ref="N44:O44"/>
    <mergeCell ref="P44:Q44"/>
    <mergeCell ref="AD42:AE42"/>
    <mergeCell ref="AF42:AG42"/>
    <mergeCell ref="AH42:AI42"/>
    <mergeCell ref="AJ42:AK42"/>
    <mergeCell ref="AL42:AM42"/>
    <mergeCell ref="AN42:AO42"/>
    <mergeCell ref="R42:S42"/>
    <mergeCell ref="T42:U42"/>
    <mergeCell ref="V42:W42"/>
    <mergeCell ref="X42:Y42"/>
    <mergeCell ref="Z42:AA42"/>
    <mergeCell ref="AB42:AC42"/>
    <mergeCell ref="F42:G42"/>
    <mergeCell ref="H42:I42"/>
    <mergeCell ref="J42:K42"/>
    <mergeCell ref="L42:M42"/>
    <mergeCell ref="N42:O42"/>
    <mergeCell ref="P42:Q42"/>
    <mergeCell ref="AP44:AQ44"/>
    <mergeCell ref="AR44:AS44"/>
    <mergeCell ref="AD44:AE44"/>
    <mergeCell ref="AF44:AG44"/>
    <mergeCell ref="AH41:AI41"/>
    <mergeCell ref="AJ41:AK41"/>
    <mergeCell ref="AL41:AM41"/>
    <mergeCell ref="AN41:AO41"/>
    <mergeCell ref="AP41:AQ41"/>
    <mergeCell ref="AR41:AS41"/>
    <mergeCell ref="V41:W41"/>
    <mergeCell ref="X41:Y41"/>
    <mergeCell ref="Z41:AA41"/>
    <mergeCell ref="AB41:AC41"/>
    <mergeCell ref="AD41:AE41"/>
    <mergeCell ref="AF41:AG41"/>
    <mergeCell ref="AP40:AQ40"/>
    <mergeCell ref="AR40:AS40"/>
    <mergeCell ref="F41:G41"/>
    <mergeCell ref="H41:I41"/>
    <mergeCell ref="J41:K41"/>
    <mergeCell ref="L41:M41"/>
    <mergeCell ref="N41:O41"/>
    <mergeCell ref="P41:Q41"/>
    <mergeCell ref="R41:S41"/>
    <mergeCell ref="T41:U41"/>
    <mergeCell ref="AD40:AE40"/>
    <mergeCell ref="AF40:AG40"/>
    <mergeCell ref="AH40:AI40"/>
    <mergeCell ref="AJ40:AK40"/>
    <mergeCell ref="AL40:AM40"/>
    <mergeCell ref="AN40:AO40"/>
    <mergeCell ref="R40:S40"/>
    <mergeCell ref="T40:U40"/>
    <mergeCell ref="V40:W40"/>
    <mergeCell ref="X40:Y40"/>
    <mergeCell ref="Z40:AA40"/>
    <mergeCell ref="AB40:AC40"/>
    <mergeCell ref="AL39:AM39"/>
    <mergeCell ref="AN39:AO39"/>
    <mergeCell ref="AP39:AQ39"/>
    <mergeCell ref="AR39:AS39"/>
    <mergeCell ref="F40:G40"/>
    <mergeCell ref="H40:I40"/>
    <mergeCell ref="J40:K40"/>
    <mergeCell ref="L40:M40"/>
    <mergeCell ref="N40:O40"/>
    <mergeCell ref="P40:Q40"/>
    <mergeCell ref="Z39:AA39"/>
    <mergeCell ref="AB39:AC39"/>
    <mergeCell ref="AD39:AE39"/>
    <mergeCell ref="AF39:AG39"/>
    <mergeCell ref="AH39:AI39"/>
    <mergeCell ref="AJ39:AK39"/>
    <mergeCell ref="N39:O39"/>
    <mergeCell ref="P39:Q39"/>
    <mergeCell ref="R39:S39"/>
    <mergeCell ref="T39:U39"/>
    <mergeCell ref="V39:W39"/>
    <mergeCell ref="X39:Y39"/>
    <mergeCell ref="AJ38:AK38"/>
    <mergeCell ref="AL38:AM38"/>
    <mergeCell ref="AN38:AO38"/>
    <mergeCell ref="AP38:AQ38"/>
    <mergeCell ref="AR38:AS38"/>
    <mergeCell ref="C39:C42"/>
    <mergeCell ref="F39:G39"/>
    <mergeCell ref="H39:I39"/>
    <mergeCell ref="J39:K39"/>
    <mergeCell ref="L39:M39"/>
    <mergeCell ref="X38:Y38"/>
    <mergeCell ref="Z38:AA38"/>
    <mergeCell ref="AB38:AC38"/>
    <mergeCell ref="AD38:AE38"/>
    <mergeCell ref="AF38:AG38"/>
    <mergeCell ref="AH38:AI38"/>
    <mergeCell ref="AR37:AS37"/>
    <mergeCell ref="F38:G38"/>
    <mergeCell ref="H38:I38"/>
    <mergeCell ref="J38:K38"/>
    <mergeCell ref="L38:M38"/>
    <mergeCell ref="N38:O38"/>
    <mergeCell ref="P38:Q38"/>
    <mergeCell ref="R38:S38"/>
    <mergeCell ref="T38:U38"/>
    <mergeCell ref="V38:W38"/>
    <mergeCell ref="AF37:AG37"/>
    <mergeCell ref="AH37:AI37"/>
    <mergeCell ref="AJ37:AK37"/>
    <mergeCell ref="AL37:AM37"/>
    <mergeCell ref="AN37:AO37"/>
    <mergeCell ref="AP37:AQ37"/>
    <mergeCell ref="T37:U37"/>
    <mergeCell ref="V37:W37"/>
    <mergeCell ref="X37:Y37"/>
    <mergeCell ref="Z37:AA37"/>
    <mergeCell ref="AB37:AC37"/>
    <mergeCell ref="AD37:AE37"/>
    <mergeCell ref="AP36:AQ36"/>
    <mergeCell ref="AR36:AS36"/>
    <mergeCell ref="C37:C38"/>
    <mergeCell ref="F37:G37"/>
    <mergeCell ref="H37:I37"/>
    <mergeCell ref="J37:K37"/>
    <mergeCell ref="L37:M37"/>
    <mergeCell ref="N37:O37"/>
    <mergeCell ref="P37:Q37"/>
    <mergeCell ref="R37:S37"/>
    <mergeCell ref="AD36:AE36"/>
    <mergeCell ref="AF36:AG36"/>
    <mergeCell ref="AH36:AI36"/>
    <mergeCell ref="AJ36:AK36"/>
    <mergeCell ref="AL36:AM36"/>
    <mergeCell ref="AN36:AO36"/>
    <mergeCell ref="R36:S36"/>
    <mergeCell ref="T36:U36"/>
    <mergeCell ref="V36:W36"/>
    <mergeCell ref="X36:Y36"/>
    <mergeCell ref="Z36:AA36"/>
    <mergeCell ref="AB36:AC36"/>
    <mergeCell ref="F36:G36"/>
    <mergeCell ref="H36:I36"/>
    <mergeCell ref="J36:K36"/>
    <mergeCell ref="L36:M36"/>
    <mergeCell ref="N36:O36"/>
    <mergeCell ref="P36:Q36"/>
    <mergeCell ref="AH35:AI35"/>
    <mergeCell ref="AJ35:AK35"/>
    <mergeCell ref="AL35:AM35"/>
    <mergeCell ref="AN35:AO35"/>
    <mergeCell ref="AP35:AQ35"/>
    <mergeCell ref="AR35:AS35"/>
    <mergeCell ref="V35:W35"/>
    <mergeCell ref="X35:Y35"/>
    <mergeCell ref="Z35:AA35"/>
    <mergeCell ref="AB35:AC35"/>
    <mergeCell ref="AD35:AE35"/>
    <mergeCell ref="AF35:AG35"/>
    <mergeCell ref="AP34:AQ34"/>
    <mergeCell ref="AR34:AS34"/>
    <mergeCell ref="F35:G35"/>
    <mergeCell ref="H35:I35"/>
    <mergeCell ref="J35:K35"/>
    <mergeCell ref="L35:M35"/>
    <mergeCell ref="N35:O35"/>
    <mergeCell ref="P35:Q35"/>
    <mergeCell ref="R35:S35"/>
    <mergeCell ref="T35:U35"/>
    <mergeCell ref="AD34:AE34"/>
    <mergeCell ref="AF34:AG34"/>
    <mergeCell ref="AH34:AI34"/>
    <mergeCell ref="AJ34:AK34"/>
    <mergeCell ref="AL34:AM34"/>
    <mergeCell ref="AN34:AO34"/>
    <mergeCell ref="R34:S34"/>
    <mergeCell ref="T34:U34"/>
    <mergeCell ref="AL33:AM33"/>
    <mergeCell ref="AN33:AO33"/>
    <mergeCell ref="AP33:AQ33"/>
    <mergeCell ref="AR33:AS33"/>
    <mergeCell ref="F34:G34"/>
    <mergeCell ref="H34:I34"/>
    <mergeCell ref="J34:K34"/>
    <mergeCell ref="L34:M34"/>
    <mergeCell ref="N34:O34"/>
    <mergeCell ref="P34:Q34"/>
    <mergeCell ref="Z33:AA33"/>
    <mergeCell ref="AB33:AC33"/>
    <mergeCell ref="AD33:AE33"/>
    <mergeCell ref="AF33:AG33"/>
    <mergeCell ref="AH33:AI33"/>
    <mergeCell ref="AJ33:AK33"/>
    <mergeCell ref="N33:O33"/>
    <mergeCell ref="P33:Q33"/>
    <mergeCell ref="R33:S33"/>
    <mergeCell ref="T33:U33"/>
    <mergeCell ref="V33:W33"/>
    <mergeCell ref="X33:Y33"/>
    <mergeCell ref="AR32:AS32"/>
    <mergeCell ref="C33:C36"/>
    <mergeCell ref="F33:G33"/>
    <mergeCell ref="H33:I33"/>
    <mergeCell ref="J33:K33"/>
    <mergeCell ref="L33:M33"/>
    <mergeCell ref="X32:Y32"/>
    <mergeCell ref="Z32:AA32"/>
    <mergeCell ref="AB32:AC32"/>
    <mergeCell ref="AD32:AE32"/>
    <mergeCell ref="AF32:AG32"/>
    <mergeCell ref="AH32:AI32"/>
    <mergeCell ref="AT31:AT32"/>
    <mergeCell ref="F32:G32"/>
    <mergeCell ref="H32:I32"/>
    <mergeCell ref="J32:K32"/>
    <mergeCell ref="L32:M32"/>
    <mergeCell ref="N32:O32"/>
    <mergeCell ref="P32:Q32"/>
    <mergeCell ref="R32:S32"/>
    <mergeCell ref="T32:U32"/>
    <mergeCell ref="V32:W32"/>
    <mergeCell ref="AH31:AI31"/>
    <mergeCell ref="AJ31:AK31"/>
    <mergeCell ref="AL31:AM31"/>
    <mergeCell ref="AN31:AO31"/>
    <mergeCell ref="AP31:AQ31"/>
    <mergeCell ref="AR31:AS31"/>
    <mergeCell ref="V34:W34"/>
    <mergeCell ref="X34:Y34"/>
    <mergeCell ref="Z34:AA34"/>
    <mergeCell ref="AB34:AC34"/>
    <mergeCell ref="V31:W31"/>
    <mergeCell ref="X31:Y31"/>
    <mergeCell ref="Z31:AA31"/>
    <mergeCell ref="AB31:AC31"/>
    <mergeCell ref="AD31:AE31"/>
    <mergeCell ref="AF31:AG31"/>
    <mergeCell ref="AR30:AS30"/>
    <mergeCell ref="C31:C32"/>
    <mergeCell ref="F31:G31"/>
    <mergeCell ref="H31:I31"/>
    <mergeCell ref="J31:K31"/>
    <mergeCell ref="L31:M31"/>
    <mergeCell ref="N31:O31"/>
    <mergeCell ref="P31:Q31"/>
    <mergeCell ref="R31:S31"/>
    <mergeCell ref="T31:U31"/>
    <mergeCell ref="AF30:AG30"/>
    <mergeCell ref="AH30:AI30"/>
    <mergeCell ref="AJ30:AK30"/>
    <mergeCell ref="AL30:AM30"/>
    <mergeCell ref="AN30:AO30"/>
    <mergeCell ref="AP30:AQ30"/>
    <mergeCell ref="T30:U30"/>
    <mergeCell ref="V30:W30"/>
    <mergeCell ref="X30:Y30"/>
    <mergeCell ref="Z30:AA30"/>
    <mergeCell ref="AB30:AC30"/>
    <mergeCell ref="AD30:AE30"/>
    <mergeCell ref="AJ32:AK32"/>
    <mergeCell ref="AL32:AM32"/>
    <mergeCell ref="AN32:AO32"/>
    <mergeCell ref="AP32:AQ32"/>
    <mergeCell ref="AN29:AO29"/>
    <mergeCell ref="AP29:AQ29"/>
    <mergeCell ref="AR29:AS29"/>
    <mergeCell ref="F30:G30"/>
    <mergeCell ref="H30:I30"/>
    <mergeCell ref="J30:K30"/>
    <mergeCell ref="L30:M30"/>
    <mergeCell ref="N30:O30"/>
    <mergeCell ref="P30:Q30"/>
    <mergeCell ref="R30:S30"/>
    <mergeCell ref="AB29:AC29"/>
    <mergeCell ref="AD29:AE29"/>
    <mergeCell ref="AF29:AG29"/>
    <mergeCell ref="AH29:AI29"/>
    <mergeCell ref="AJ29:AK29"/>
    <mergeCell ref="AL29:AM29"/>
    <mergeCell ref="P29:Q29"/>
    <mergeCell ref="R29:S29"/>
    <mergeCell ref="T29:U29"/>
    <mergeCell ref="V29:W29"/>
    <mergeCell ref="X29:Y29"/>
    <mergeCell ref="Z29:AA29"/>
    <mergeCell ref="AJ28:AK28"/>
    <mergeCell ref="AL28:AM28"/>
    <mergeCell ref="AN28:AO28"/>
    <mergeCell ref="AP28:AQ28"/>
    <mergeCell ref="AR28:AS28"/>
    <mergeCell ref="F29:G29"/>
    <mergeCell ref="H29:I29"/>
    <mergeCell ref="J29:K29"/>
    <mergeCell ref="L29:M29"/>
    <mergeCell ref="N29:O29"/>
    <mergeCell ref="X28:Y28"/>
    <mergeCell ref="Z28:AA28"/>
    <mergeCell ref="AB28:AC28"/>
    <mergeCell ref="AD28:AE28"/>
    <mergeCell ref="AF28:AG28"/>
    <mergeCell ref="AH28:AI28"/>
    <mergeCell ref="AR27:AS27"/>
    <mergeCell ref="F28:G28"/>
    <mergeCell ref="H28:I28"/>
    <mergeCell ref="J28:K28"/>
    <mergeCell ref="L28:M28"/>
    <mergeCell ref="N28:O28"/>
    <mergeCell ref="P28:Q28"/>
    <mergeCell ref="R28:S28"/>
    <mergeCell ref="T28:U28"/>
    <mergeCell ref="V28:W28"/>
    <mergeCell ref="AF27:AG27"/>
    <mergeCell ref="AH27:AI27"/>
    <mergeCell ref="AJ27:AK27"/>
    <mergeCell ref="AL27:AM27"/>
    <mergeCell ref="AN27:AO27"/>
    <mergeCell ref="AP27:AQ27"/>
    <mergeCell ref="T27:U27"/>
    <mergeCell ref="V27:W27"/>
    <mergeCell ref="X27:Y27"/>
    <mergeCell ref="Z27:AA27"/>
    <mergeCell ref="AB27:AC27"/>
    <mergeCell ref="AD27:AE27"/>
    <mergeCell ref="AP26:AQ26"/>
    <mergeCell ref="AR26:AS26"/>
    <mergeCell ref="C27:C30"/>
    <mergeCell ref="F27:G27"/>
    <mergeCell ref="H27:I27"/>
    <mergeCell ref="J27:K27"/>
    <mergeCell ref="L27:M27"/>
    <mergeCell ref="N27:O27"/>
    <mergeCell ref="P27:Q27"/>
    <mergeCell ref="R27:S27"/>
    <mergeCell ref="AD26:AE26"/>
    <mergeCell ref="AF26:AG26"/>
    <mergeCell ref="AH26:AI26"/>
    <mergeCell ref="AJ26:AK26"/>
    <mergeCell ref="AL26:AM26"/>
    <mergeCell ref="AN26:AO26"/>
    <mergeCell ref="R26:S26"/>
    <mergeCell ref="T26:U26"/>
    <mergeCell ref="V26:W26"/>
    <mergeCell ref="X26:Y26"/>
    <mergeCell ref="Z26:AA26"/>
    <mergeCell ref="AB26:AC26"/>
    <mergeCell ref="F26:G26"/>
    <mergeCell ref="H26:I26"/>
    <mergeCell ref="J26:K26"/>
    <mergeCell ref="L26:M26"/>
    <mergeCell ref="N26:O26"/>
    <mergeCell ref="P26:Q26"/>
    <mergeCell ref="AH25:AI25"/>
    <mergeCell ref="AJ25:AK25"/>
    <mergeCell ref="AL25:AM25"/>
    <mergeCell ref="AN25:AO25"/>
    <mergeCell ref="AP25:AQ25"/>
    <mergeCell ref="AR25:AS25"/>
    <mergeCell ref="V25:W25"/>
    <mergeCell ref="X25:Y25"/>
    <mergeCell ref="Z25:AA25"/>
    <mergeCell ref="AB25:AC25"/>
    <mergeCell ref="AD25:AE25"/>
    <mergeCell ref="AF25:AG25"/>
    <mergeCell ref="AR24:AS24"/>
    <mergeCell ref="C25:C26"/>
    <mergeCell ref="F25:G25"/>
    <mergeCell ref="H25:I25"/>
    <mergeCell ref="J25:K25"/>
    <mergeCell ref="L25:M25"/>
    <mergeCell ref="N25:O25"/>
    <mergeCell ref="P25:Q25"/>
    <mergeCell ref="R25:S25"/>
    <mergeCell ref="T25:U25"/>
    <mergeCell ref="AF24:AG24"/>
    <mergeCell ref="AH24:AI24"/>
    <mergeCell ref="AJ24:AK24"/>
    <mergeCell ref="AL24:AM24"/>
    <mergeCell ref="AN24:AO24"/>
    <mergeCell ref="AP24:AQ24"/>
    <mergeCell ref="T24:U24"/>
    <mergeCell ref="V24:W24"/>
    <mergeCell ref="AP23:AQ23"/>
    <mergeCell ref="AR23:AS23"/>
    <mergeCell ref="F24:G24"/>
    <mergeCell ref="H24:I24"/>
    <mergeCell ref="J24:K24"/>
    <mergeCell ref="L24:M24"/>
    <mergeCell ref="N24:O24"/>
    <mergeCell ref="P24:Q24"/>
    <mergeCell ref="R24:S24"/>
    <mergeCell ref="AB23:AC23"/>
    <mergeCell ref="AD23:AE23"/>
    <mergeCell ref="AF23:AG23"/>
    <mergeCell ref="AH23:AI23"/>
    <mergeCell ref="AJ23:AK23"/>
    <mergeCell ref="AL23:AM23"/>
    <mergeCell ref="P23:Q23"/>
    <mergeCell ref="R23:S23"/>
    <mergeCell ref="T23:U23"/>
    <mergeCell ref="V23:W23"/>
    <mergeCell ref="X23:Y23"/>
    <mergeCell ref="Z23:AA23"/>
    <mergeCell ref="L23:M23"/>
    <mergeCell ref="N23:O23"/>
    <mergeCell ref="AP22:AQ22"/>
    <mergeCell ref="AR22:AS22"/>
    <mergeCell ref="F23:G23"/>
    <mergeCell ref="H23:I23"/>
    <mergeCell ref="J23:K23"/>
    <mergeCell ref="X22:Y22"/>
    <mergeCell ref="Z22:AA22"/>
    <mergeCell ref="AB22:AC22"/>
    <mergeCell ref="AD22:AE22"/>
    <mergeCell ref="AF22:AG22"/>
    <mergeCell ref="AH22:AI22"/>
    <mergeCell ref="AR21:AS21"/>
    <mergeCell ref="F22:G22"/>
    <mergeCell ref="H22:I22"/>
    <mergeCell ref="J22:K22"/>
    <mergeCell ref="L22:M22"/>
    <mergeCell ref="N22:O22"/>
    <mergeCell ref="P22:Q22"/>
    <mergeCell ref="R22:S22"/>
    <mergeCell ref="T22:U22"/>
    <mergeCell ref="V22:W22"/>
    <mergeCell ref="AF21:AG21"/>
    <mergeCell ref="AH21:AI21"/>
    <mergeCell ref="AJ21:AK21"/>
    <mergeCell ref="AL21:AM21"/>
    <mergeCell ref="AN21:AO21"/>
    <mergeCell ref="AP21:AQ21"/>
    <mergeCell ref="T21:U21"/>
    <mergeCell ref="V21:W21"/>
    <mergeCell ref="X21:Y21"/>
    <mergeCell ref="Z21:AA21"/>
    <mergeCell ref="AB21:AC21"/>
    <mergeCell ref="C21:C24"/>
    <mergeCell ref="F21:G21"/>
    <mergeCell ref="H21:I21"/>
    <mergeCell ref="J21:K21"/>
    <mergeCell ref="L21:M21"/>
    <mergeCell ref="N21:O21"/>
    <mergeCell ref="P21:Q21"/>
    <mergeCell ref="R21:S21"/>
    <mergeCell ref="AD20:AE20"/>
    <mergeCell ref="AF20:AG20"/>
    <mergeCell ref="AH20:AI20"/>
    <mergeCell ref="AJ20:AK20"/>
    <mergeCell ref="AL20:AM20"/>
    <mergeCell ref="AN20:AO20"/>
    <mergeCell ref="R20:S20"/>
    <mergeCell ref="T20:U20"/>
    <mergeCell ref="V20:W20"/>
    <mergeCell ref="X20:Y20"/>
    <mergeCell ref="Z20:AA20"/>
    <mergeCell ref="AB20:AC20"/>
    <mergeCell ref="AJ22:AK22"/>
    <mergeCell ref="AL22:AM22"/>
    <mergeCell ref="AN22:AO22"/>
    <mergeCell ref="AD21:AE21"/>
    <mergeCell ref="X24:Y24"/>
    <mergeCell ref="Z24:AA24"/>
    <mergeCell ref="AB24:AC24"/>
    <mergeCell ref="AD24:AE24"/>
    <mergeCell ref="AN23:AO23"/>
    <mergeCell ref="AP18:AQ18"/>
    <mergeCell ref="AR18:AS18"/>
    <mergeCell ref="C19:C20"/>
    <mergeCell ref="AT19:AT20"/>
    <mergeCell ref="F20:G20"/>
    <mergeCell ref="H20:I20"/>
    <mergeCell ref="J20:K20"/>
    <mergeCell ref="L20:M20"/>
    <mergeCell ref="N20:O20"/>
    <mergeCell ref="P20:Q20"/>
    <mergeCell ref="AD18:AE18"/>
    <mergeCell ref="AF18:AG18"/>
    <mergeCell ref="AH18:AI18"/>
    <mergeCell ref="AJ18:AK18"/>
    <mergeCell ref="AL18:AM18"/>
    <mergeCell ref="AN18:AO18"/>
    <mergeCell ref="R18:S18"/>
    <mergeCell ref="T18:U18"/>
    <mergeCell ref="V18:W18"/>
    <mergeCell ref="X18:Y18"/>
    <mergeCell ref="Z18:AA18"/>
    <mergeCell ref="AB18:AC18"/>
    <mergeCell ref="F18:G18"/>
    <mergeCell ref="H18:I18"/>
    <mergeCell ref="J18:K18"/>
    <mergeCell ref="L18:M18"/>
    <mergeCell ref="N18:O18"/>
    <mergeCell ref="P18:Q18"/>
    <mergeCell ref="AP20:AQ20"/>
    <mergeCell ref="AR20:AS20"/>
    <mergeCell ref="F17:G17"/>
    <mergeCell ref="H17:I17"/>
    <mergeCell ref="J17:K17"/>
    <mergeCell ref="L17:M17"/>
    <mergeCell ref="N17:O17"/>
    <mergeCell ref="P17:Q17"/>
    <mergeCell ref="R17:S17"/>
    <mergeCell ref="T17:U17"/>
    <mergeCell ref="AD16:AE16"/>
    <mergeCell ref="AF16:AG16"/>
    <mergeCell ref="AH16:AI16"/>
    <mergeCell ref="AJ16:AK16"/>
    <mergeCell ref="AL16:AM16"/>
    <mergeCell ref="AN16:AO16"/>
    <mergeCell ref="R16:S16"/>
    <mergeCell ref="T16:U16"/>
    <mergeCell ref="V16:W16"/>
    <mergeCell ref="X16:Y16"/>
    <mergeCell ref="L16:M16"/>
    <mergeCell ref="N16:O16"/>
    <mergeCell ref="P16:Q16"/>
    <mergeCell ref="AH15:AI15"/>
    <mergeCell ref="AJ15:AK15"/>
    <mergeCell ref="AL15:AM15"/>
    <mergeCell ref="AN15:AO15"/>
    <mergeCell ref="AP15:AQ15"/>
    <mergeCell ref="AR15:AS15"/>
    <mergeCell ref="V15:W15"/>
    <mergeCell ref="X15:Y15"/>
    <mergeCell ref="Z15:AA15"/>
    <mergeCell ref="AB15:AC15"/>
    <mergeCell ref="AD15:AE15"/>
    <mergeCell ref="AF15:AG15"/>
    <mergeCell ref="AH17:AI17"/>
    <mergeCell ref="AJ17:AK17"/>
    <mergeCell ref="AL17:AM17"/>
    <mergeCell ref="AN17:AO17"/>
    <mergeCell ref="AP17:AQ17"/>
    <mergeCell ref="AR17:AS17"/>
    <mergeCell ref="V17:W17"/>
    <mergeCell ref="X17:Y17"/>
    <mergeCell ref="Z17:AA17"/>
    <mergeCell ref="AB17:AC17"/>
    <mergeCell ref="AD17:AE17"/>
    <mergeCell ref="AF17:AG17"/>
    <mergeCell ref="AP16:AQ16"/>
    <mergeCell ref="AR16:AS16"/>
    <mergeCell ref="AT13:AT14"/>
    <mergeCell ref="F14:G14"/>
    <mergeCell ref="H14:I14"/>
    <mergeCell ref="J14:K14"/>
    <mergeCell ref="L14:M14"/>
    <mergeCell ref="N14:O14"/>
    <mergeCell ref="P14:Q14"/>
    <mergeCell ref="R14:S14"/>
    <mergeCell ref="AD13:AE13"/>
    <mergeCell ref="AF13:AG13"/>
    <mergeCell ref="AH13:AI13"/>
    <mergeCell ref="AJ13:AK13"/>
    <mergeCell ref="AL13:AM13"/>
    <mergeCell ref="AN13:AO13"/>
    <mergeCell ref="R13:S13"/>
    <mergeCell ref="T13:U13"/>
    <mergeCell ref="V13:W13"/>
    <mergeCell ref="X13:Y13"/>
    <mergeCell ref="Z13:AA13"/>
    <mergeCell ref="AB13:AC13"/>
    <mergeCell ref="AR14:AS14"/>
    <mergeCell ref="AF14:AG14"/>
    <mergeCell ref="AH14:AI14"/>
    <mergeCell ref="AJ14:AK14"/>
    <mergeCell ref="AL14:AM14"/>
    <mergeCell ref="AN14:AO14"/>
    <mergeCell ref="AP14:AQ14"/>
    <mergeCell ref="T14:U14"/>
    <mergeCell ref="V14:W14"/>
    <mergeCell ref="X14:Y14"/>
    <mergeCell ref="Z14:AA14"/>
    <mergeCell ref="AB14:AC14"/>
    <mergeCell ref="AN12:AO12"/>
    <mergeCell ref="AP12:AQ12"/>
    <mergeCell ref="AR12:AS12"/>
    <mergeCell ref="C13:C14"/>
    <mergeCell ref="F13:G13"/>
    <mergeCell ref="H13:I13"/>
    <mergeCell ref="J13:K13"/>
    <mergeCell ref="L13:M13"/>
    <mergeCell ref="N13:O13"/>
    <mergeCell ref="P13:Q13"/>
    <mergeCell ref="AB12:AC12"/>
    <mergeCell ref="AD12:AE12"/>
    <mergeCell ref="AF12:AG12"/>
    <mergeCell ref="AH12:AI12"/>
    <mergeCell ref="AJ12:AK12"/>
    <mergeCell ref="AL12:AM12"/>
    <mergeCell ref="P12:Q12"/>
    <mergeCell ref="R12:S12"/>
    <mergeCell ref="T12:U12"/>
    <mergeCell ref="V12:W12"/>
    <mergeCell ref="X12:Y12"/>
    <mergeCell ref="Z12:AA12"/>
    <mergeCell ref="AP13:AQ13"/>
    <mergeCell ref="AR13:AS13"/>
    <mergeCell ref="AD14:AE14"/>
    <mergeCell ref="B12:B50"/>
    <mergeCell ref="F12:G12"/>
    <mergeCell ref="H12:I12"/>
    <mergeCell ref="J12:K12"/>
    <mergeCell ref="L12:M12"/>
    <mergeCell ref="N12:O12"/>
    <mergeCell ref="AA11:AB11"/>
    <mergeCell ref="AC11:AD11"/>
    <mergeCell ref="AE11:AF11"/>
    <mergeCell ref="AG11:AH11"/>
    <mergeCell ref="AI11:AJ11"/>
    <mergeCell ref="AK11:AL11"/>
    <mergeCell ref="O11:P11"/>
    <mergeCell ref="Q11:R11"/>
    <mergeCell ref="S11:T11"/>
    <mergeCell ref="U11:V11"/>
    <mergeCell ref="W11:X11"/>
    <mergeCell ref="Y11:Z11"/>
    <mergeCell ref="C15:C18"/>
    <mergeCell ref="F15:G15"/>
    <mergeCell ref="H15:I15"/>
    <mergeCell ref="J15:K15"/>
    <mergeCell ref="L15:M15"/>
    <mergeCell ref="N15:O15"/>
    <mergeCell ref="P15:Q15"/>
    <mergeCell ref="R15:S15"/>
    <mergeCell ref="T15:U15"/>
    <mergeCell ref="Z16:AA16"/>
    <mergeCell ref="AB16:AC16"/>
    <mergeCell ref="F16:G16"/>
    <mergeCell ref="H16:I16"/>
    <mergeCell ref="J16:K16"/>
    <mergeCell ref="AK10:AL10"/>
    <mergeCell ref="AM10:AN10"/>
    <mergeCell ref="AO10:AP10"/>
    <mergeCell ref="AQ10:AR10"/>
    <mergeCell ref="AS10:AT10"/>
    <mergeCell ref="B9:D9"/>
    <mergeCell ref="E9:F9"/>
    <mergeCell ref="G9:H9"/>
    <mergeCell ref="I9:J9"/>
    <mergeCell ref="K9:L9"/>
    <mergeCell ref="B11:D11"/>
    <mergeCell ref="E11:F11"/>
    <mergeCell ref="G11:H11"/>
    <mergeCell ref="I11:J11"/>
    <mergeCell ref="M11:N11"/>
    <mergeCell ref="Y10:Z10"/>
    <mergeCell ref="AA10:AB10"/>
    <mergeCell ref="AC10:AD10"/>
    <mergeCell ref="AE10:AF10"/>
    <mergeCell ref="AG10:AH10"/>
    <mergeCell ref="AI10:AJ10"/>
    <mergeCell ref="M10:N10"/>
    <mergeCell ref="O10:P10"/>
    <mergeCell ref="Q10:R10"/>
    <mergeCell ref="S10:T10"/>
    <mergeCell ref="U10:V10"/>
    <mergeCell ref="W10:X10"/>
    <mergeCell ref="AM11:AN11"/>
    <mergeCell ref="AO11:AP11"/>
    <mergeCell ref="AQ11:AR11"/>
    <mergeCell ref="AS11:AT11"/>
    <mergeCell ref="AK7:AL7"/>
    <mergeCell ref="AM7:AN7"/>
    <mergeCell ref="AO7:AP7"/>
    <mergeCell ref="AQ7:AR7"/>
    <mergeCell ref="AS7:AT7"/>
    <mergeCell ref="AK8:AL8"/>
    <mergeCell ref="AM8:AN8"/>
    <mergeCell ref="AO8:AP8"/>
    <mergeCell ref="AQ8:AR8"/>
    <mergeCell ref="AS8:AT8"/>
    <mergeCell ref="AK9:AL9"/>
    <mergeCell ref="AM9:AN9"/>
    <mergeCell ref="AO9:AP9"/>
    <mergeCell ref="AQ9:AR9"/>
    <mergeCell ref="AS9:AT9"/>
    <mergeCell ref="B10:D10"/>
    <mergeCell ref="E10:F10"/>
    <mergeCell ref="G10:H10"/>
    <mergeCell ref="I10:J10"/>
    <mergeCell ref="K10:L10"/>
    <mergeCell ref="Y9:Z9"/>
    <mergeCell ref="AA9:AB9"/>
    <mergeCell ref="AC9:AD9"/>
    <mergeCell ref="AE9:AF9"/>
    <mergeCell ref="AG9:AH9"/>
    <mergeCell ref="AI9:AJ9"/>
    <mergeCell ref="M9:N9"/>
    <mergeCell ref="O9:P9"/>
    <mergeCell ref="Q9:R9"/>
    <mergeCell ref="S9:T9"/>
    <mergeCell ref="U9:V9"/>
    <mergeCell ref="W9:X9"/>
    <mergeCell ref="B8:D8"/>
    <mergeCell ref="E8:F8"/>
    <mergeCell ref="G8:H8"/>
    <mergeCell ref="I8:J8"/>
    <mergeCell ref="K8:L8"/>
    <mergeCell ref="Y7:Z7"/>
    <mergeCell ref="AA7:AB7"/>
    <mergeCell ref="AC7:AD7"/>
    <mergeCell ref="AE7:AF7"/>
    <mergeCell ref="AG7:AH7"/>
    <mergeCell ref="AI7:AJ7"/>
    <mergeCell ref="M7:N7"/>
    <mergeCell ref="O7:P7"/>
    <mergeCell ref="Q7:R7"/>
    <mergeCell ref="S7:T7"/>
    <mergeCell ref="U7:V7"/>
    <mergeCell ref="W7:X7"/>
    <mergeCell ref="Y8:Z8"/>
    <mergeCell ref="AA8:AB8"/>
    <mergeCell ref="AC8:AD8"/>
    <mergeCell ref="AE8:AF8"/>
    <mergeCell ref="AG8:AH8"/>
    <mergeCell ref="AI8:AJ8"/>
    <mergeCell ref="M8:N8"/>
    <mergeCell ref="O8:P8"/>
    <mergeCell ref="Q8:R8"/>
    <mergeCell ref="S8:T8"/>
    <mergeCell ref="U8:V8"/>
    <mergeCell ref="W8:X8"/>
    <mergeCell ref="L2:W2"/>
    <mergeCell ref="AC2:AJ2"/>
    <mergeCell ref="AK2:AT2"/>
    <mergeCell ref="L4:AC4"/>
    <mergeCell ref="AK4:AT4"/>
    <mergeCell ref="B6:D6"/>
    <mergeCell ref="E6:F6"/>
    <mergeCell ref="G6:H6"/>
    <mergeCell ref="I6:J6"/>
    <mergeCell ref="K6:L6"/>
    <mergeCell ref="AK6:AL6"/>
    <mergeCell ref="AM6:AN6"/>
    <mergeCell ref="AO6:AP6"/>
    <mergeCell ref="AQ6:AR6"/>
    <mergeCell ref="AS6:AT6"/>
    <mergeCell ref="B7:D7"/>
    <mergeCell ref="E7:F7"/>
    <mergeCell ref="G7:H7"/>
    <mergeCell ref="I7:J7"/>
    <mergeCell ref="K7:L7"/>
    <mergeCell ref="Y6:Z6"/>
    <mergeCell ref="AA6:AB6"/>
    <mergeCell ref="AC6:AD6"/>
    <mergeCell ref="AE6:AF6"/>
    <mergeCell ref="AG6:AH6"/>
    <mergeCell ref="AI6:AJ6"/>
    <mergeCell ref="M6:N6"/>
    <mergeCell ref="O6:P6"/>
    <mergeCell ref="Q6:R6"/>
    <mergeCell ref="S6:T6"/>
    <mergeCell ref="U6:V6"/>
    <mergeCell ref="W6:X6"/>
  </mergeCells>
  <pageMargins left="0.39370078740157483" right="0.39370078740157483" top="0.35433070866141736" bottom="0.35433070866141736" header="0.31496062992125984" footer="0.31496062992125984"/>
  <pageSetup paperSize="9" scale="32" orientation="landscape" horizont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pageSetUpPr fitToPage="1"/>
  </sheetPr>
  <dimension ref="B1:AT89"/>
  <sheetViews>
    <sheetView tabSelected="1" topLeftCell="A8" zoomScale="40" zoomScaleNormal="40" workbookViewId="0">
      <selection activeCell="C13" sqref="C13:C14"/>
    </sheetView>
  </sheetViews>
  <sheetFormatPr defaultColWidth="9.21875" defaultRowHeight="14.4" x14ac:dyDescent="0.3"/>
  <cols>
    <col min="1" max="1" width="0.21875" customWidth="1"/>
    <col min="2" max="2" width="10.77734375" customWidth="1"/>
    <col min="3" max="4" width="13.77734375" customWidth="1"/>
    <col min="5" max="46" width="8.77734375" customWidth="1"/>
    <col min="47" max="49" width="3" customWidth="1"/>
  </cols>
  <sheetData>
    <row r="1" spans="2:46" x14ac:dyDescent="0.3">
      <c r="B1" s="1"/>
      <c r="AQ1" s="1"/>
    </row>
    <row r="2" spans="2:46" ht="50.1" customHeight="1" thickBot="1" x14ac:dyDescent="0.8">
      <c r="B2" s="65" t="s">
        <v>85</v>
      </c>
      <c r="C2" s="62"/>
      <c r="D2" s="63"/>
      <c r="E2" s="63"/>
      <c r="F2" s="64"/>
      <c r="G2" s="63"/>
      <c r="H2" s="64"/>
      <c r="I2" s="64"/>
      <c r="J2" s="64"/>
      <c r="K2" s="64"/>
      <c r="L2" s="423" t="str">
        <f>'Plot Data'!F7</f>
        <v xml:space="preserve">Volatile Matter % </v>
      </c>
      <c r="M2" s="423"/>
      <c r="N2" s="423"/>
      <c r="O2" s="423"/>
      <c r="P2" s="423"/>
      <c r="Q2" s="423"/>
      <c r="R2" s="423"/>
      <c r="S2" s="423"/>
      <c r="T2" s="423"/>
      <c r="U2" s="423"/>
      <c r="V2" s="423"/>
      <c r="W2" s="423"/>
      <c r="X2" s="63"/>
      <c r="Y2" s="63"/>
      <c r="Z2" s="63"/>
      <c r="AA2" s="63"/>
      <c r="AB2" s="65"/>
      <c r="AC2" s="424" t="s">
        <v>92</v>
      </c>
      <c r="AD2" s="424"/>
      <c r="AE2" s="424"/>
      <c r="AF2" s="424"/>
      <c r="AG2" s="424"/>
      <c r="AH2" s="424"/>
      <c r="AI2" s="424"/>
      <c r="AJ2" s="424"/>
      <c r="AK2" s="425" t="str">
        <f>'Data Input'!AD11</f>
        <v>AS CRM 002</v>
      </c>
      <c r="AL2" s="425"/>
      <c r="AM2" s="425"/>
      <c r="AN2" s="425"/>
      <c r="AO2" s="425"/>
      <c r="AP2" s="425"/>
      <c r="AQ2" s="425"/>
      <c r="AR2" s="425"/>
      <c r="AS2" s="425"/>
      <c r="AT2" s="425"/>
    </row>
    <row r="3" spans="2:46" ht="22.05" customHeight="1" x14ac:dyDescent="0.85">
      <c r="B3" s="61"/>
      <c r="C3" s="66"/>
      <c r="D3" s="66"/>
      <c r="E3" s="66"/>
      <c r="F3" s="67"/>
      <c r="G3" s="66"/>
      <c r="H3" s="67"/>
      <c r="I3" s="67"/>
      <c r="J3" s="66"/>
      <c r="K3" s="66"/>
      <c r="L3" s="66"/>
      <c r="M3" s="66"/>
      <c r="N3" s="66"/>
      <c r="O3" s="66"/>
      <c r="P3" s="66"/>
      <c r="Q3" s="66"/>
      <c r="R3" s="66"/>
      <c r="S3" s="66"/>
      <c r="T3" s="66"/>
      <c r="U3" s="66"/>
      <c r="V3" s="66"/>
      <c r="W3" s="66"/>
      <c r="X3" s="66"/>
      <c r="Y3" s="66"/>
      <c r="Z3" s="66"/>
      <c r="AA3" s="66"/>
      <c r="AB3" s="66"/>
      <c r="AC3" s="66"/>
      <c r="AD3" s="66"/>
      <c r="AE3" s="66"/>
      <c r="AF3" s="66"/>
      <c r="AG3" s="66"/>
      <c r="AH3" s="68"/>
      <c r="AI3" s="66"/>
      <c r="AJ3" s="68"/>
      <c r="AK3" s="66"/>
      <c r="AL3" s="66"/>
      <c r="AM3" s="66"/>
      <c r="AN3" s="66"/>
      <c r="AO3" s="67"/>
      <c r="AP3" s="66"/>
      <c r="AQ3" s="67"/>
      <c r="AR3" s="66"/>
      <c r="AS3" s="66"/>
    </row>
    <row r="4" spans="2:46" ht="50.1" customHeight="1" x14ac:dyDescent="0.85">
      <c r="B4" s="60"/>
      <c r="C4" s="66"/>
      <c r="D4" s="66"/>
      <c r="E4" s="66"/>
      <c r="F4" s="66"/>
      <c r="G4" s="66"/>
      <c r="H4" s="66"/>
      <c r="I4" s="66"/>
      <c r="J4" s="66"/>
      <c r="K4" s="66"/>
      <c r="L4" s="426" t="s">
        <v>87</v>
      </c>
      <c r="M4" s="426"/>
      <c r="N4" s="426"/>
      <c r="O4" s="426"/>
      <c r="P4" s="426"/>
      <c r="Q4" s="426"/>
      <c r="R4" s="426"/>
      <c r="S4" s="426"/>
      <c r="T4" s="426"/>
      <c r="U4" s="426"/>
      <c r="V4" s="426"/>
      <c r="W4" s="426"/>
      <c r="X4" s="426"/>
      <c r="Y4" s="426"/>
      <c r="Z4" s="426"/>
      <c r="AA4" s="426"/>
      <c r="AB4" s="426"/>
      <c r="AC4" s="426"/>
      <c r="AD4" s="69" t="s">
        <v>86</v>
      </c>
      <c r="AE4" s="66"/>
      <c r="AF4" s="66"/>
      <c r="AG4" s="66"/>
      <c r="AH4" s="66"/>
      <c r="AI4" s="66"/>
      <c r="AJ4" s="66"/>
      <c r="AK4" s="427" t="s">
        <v>89</v>
      </c>
      <c r="AL4" s="427"/>
      <c r="AM4" s="427"/>
      <c r="AN4" s="427"/>
      <c r="AO4" s="427"/>
      <c r="AP4" s="427"/>
      <c r="AQ4" s="427"/>
      <c r="AR4" s="427"/>
      <c r="AS4" s="427"/>
      <c r="AT4" s="427"/>
    </row>
    <row r="5" spans="2:46" ht="22.05" customHeight="1" thickBot="1" x14ac:dyDescent="0.35">
      <c r="K5" s="2"/>
    </row>
    <row r="6" spans="2:46" ht="50.1" customHeight="1" x14ac:dyDescent="0.3">
      <c r="B6" s="428" t="s">
        <v>0</v>
      </c>
      <c r="C6" s="429"/>
      <c r="D6" s="430"/>
      <c r="E6" s="431"/>
      <c r="F6" s="432"/>
      <c r="G6" s="431"/>
      <c r="H6" s="432"/>
      <c r="I6" s="431"/>
      <c r="J6" s="432"/>
      <c r="K6" s="431"/>
      <c r="L6" s="432"/>
      <c r="M6" s="431"/>
      <c r="N6" s="432"/>
      <c r="O6" s="431"/>
      <c r="P6" s="432"/>
      <c r="Q6" s="431"/>
      <c r="R6" s="432"/>
      <c r="S6" s="431"/>
      <c r="T6" s="432"/>
      <c r="U6" s="431"/>
      <c r="V6" s="432"/>
      <c r="W6" s="431"/>
      <c r="X6" s="432"/>
      <c r="Y6" s="431"/>
      <c r="Z6" s="432"/>
      <c r="AA6" s="431"/>
      <c r="AB6" s="432"/>
      <c r="AC6" s="431"/>
      <c r="AD6" s="432"/>
      <c r="AE6" s="431"/>
      <c r="AF6" s="432"/>
      <c r="AG6" s="431"/>
      <c r="AH6" s="432"/>
      <c r="AI6" s="431"/>
      <c r="AJ6" s="432"/>
      <c r="AK6" s="431"/>
      <c r="AL6" s="432"/>
      <c r="AM6" s="431"/>
      <c r="AN6" s="432"/>
      <c r="AO6" s="431"/>
      <c r="AP6" s="432"/>
      <c r="AQ6" s="431"/>
      <c r="AR6" s="432"/>
      <c r="AS6" s="431"/>
      <c r="AT6" s="432"/>
    </row>
    <row r="7" spans="2:46" ht="50.1" customHeight="1" thickBot="1" x14ac:dyDescent="0.35">
      <c r="B7" s="433" t="s">
        <v>1</v>
      </c>
      <c r="C7" s="434"/>
      <c r="D7" s="435"/>
      <c r="E7" s="436"/>
      <c r="F7" s="437"/>
      <c r="G7" s="436"/>
      <c r="H7" s="437"/>
      <c r="I7" s="436"/>
      <c r="J7" s="437"/>
      <c r="K7" s="436"/>
      <c r="L7" s="437"/>
      <c r="M7" s="436"/>
      <c r="N7" s="437"/>
      <c r="O7" s="436"/>
      <c r="P7" s="437"/>
      <c r="Q7" s="436"/>
      <c r="R7" s="437"/>
      <c r="S7" s="436"/>
      <c r="T7" s="437"/>
      <c r="U7" s="436"/>
      <c r="V7" s="437"/>
      <c r="W7" s="436"/>
      <c r="X7" s="437"/>
      <c r="Y7" s="436"/>
      <c r="Z7" s="437"/>
      <c r="AA7" s="436"/>
      <c r="AB7" s="437"/>
      <c r="AC7" s="436"/>
      <c r="AD7" s="437"/>
      <c r="AE7" s="436"/>
      <c r="AF7" s="437"/>
      <c r="AG7" s="436"/>
      <c r="AH7" s="437"/>
      <c r="AI7" s="436"/>
      <c r="AJ7" s="437"/>
      <c r="AK7" s="436"/>
      <c r="AL7" s="437"/>
      <c r="AM7" s="436"/>
      <c r="AN7" s="437"/>
      <c r="AO7" s="436"/>
      <c r="AP7" s="437"/>
      <c r="AQ7" s="436"/>
      <c r="AR7" s="437"/>
      <c r="AS7" s="436"/>
      <c r="AT7" s="437"/>
    </row>
    <row r="8" spans="2:46" ht="50.1" customHeight="1" thickBot="1" x14ac:dyDescent="0.35">
      <c r="B8" s="438" t="s">
        <v>2</v>
      </c>
      <c r="C8" s="439"/>
      <c r="D8" s="440"/>
      <c r="E8" s="441"/>
      <c r="F8" s="442"/>
      <c r="G8" s="441"/>
      <c r="H8" s="442"/>
      <c r="I8" s="441"/>
      <c r="J8" s="442"/>
      <c r="K8" s="441"/>
      <c r="L8" s="442"/>
      <c r="M8" s="441"/>
      <c r="N8" s="442"/>
      <c r="O8" s="441"/>
      <c r="P8" s="442"/>
      <c r="Q8" s="441"/>
      <c r="R8" s="442"/>
      <c r="S8" s="441"/>
      <c r="T8" s="442"/>
      <c r="U8" s="441"/>
      <c r="V8" s="442"/>
      <c r="W8" s="441"/>
      <c r="X8" s="442"/>
      <c r="Y8" s="441"/>
      <c r="Z8" s="442"/>
      <c r="AA8" s="441"/>
      <c r="AB8" s="442"/>
      <c r="AC8" s="441"/>
      <c r="AD8" s="442"/>
      <c r="AE8" s="441"/>
      <c r="AF8" s="442"/>
      <c r="AG8" s="441"/>
      <c r="AH8" s="442"/>
      <c r="AI8" s="441"/>
      <c r="AJ8" s="442"/>
      <c r="AK8" s="441"/>
      <c r="AL8" s="442"/>
      <c r="AM8" s="441"/>
      <c r="AN8" s="442"/>
      <c r="AO8" s="441"/>
      <c r="AP8" s="442"/>
      <c r="AQ8" s="441"/>
      <c r="AR8" s="442"/>
      <c r="AS8" s="441"/>
      <c r="AT8" s="442"/>
    </row>
    <row r="9" spans="2:46" ht="50.1" customHeight="1" thickBot="1" x14ac:dyDescent="0.35">
      <c r="B9" s="447" t="s">
        <v>3</v>
      </c>
      <c r="C9" s="448"/>
      <c r="D9" s="449"/>
      <c r="E9" s="443"/>
      <c r="F9" s="444"/>
      <c r="G9" s="443"/>
      <c r="H9" s="444"/>
      <c r="I9" s="443"/>
      <c r="J9" s="444"/>
      <c r="K9" s="443"/>
      <c r="L9" s="444"/>
      <c r="M9" s="443"/>
      <c r="N9" s="444"/>
      <c r="O9" s="443"/>
      <c r="P9" s="444"/>
      <c r="Q9" s="443"/>
      <c r="R9" s="444"/>
      <c r="S9" s="443"/>
      <c r="T9" s="444"/>
      <c r="U9" s="443"/>
      <c r="V9" s="444"/>
      <c r="W9" s="443"/>
      <c r="X9" s="444"/>
      <c r="Y9" s="443"/>
      <c r="Z9" s="444"/>
      <c r="AA9" s="443"/>
      <c r="AB9" s="444"/>
      <c r="AC9" s="443"/>
      <c r="AD9" s="444"/>
      <c r="AE9" s="443"/>
      <c r="AF9" s="444"/>
      <c r="AG9" s="443"/>
      <c r="AH9" s="444"/>
      <c r="AI9" s="443"/>
      <c r="AJ9" s="444"/>
      <c r="AK9" s="443"/>
      <c r="AL9" s="444"/>
      <c r="AM9" s="443"/>
      <c r="AN9" s="444"/>
      <c r="AO9" s="443"/>
      <c r="AP9" s="444"/>
      <c r="AQ9" s="443"/>
      <c r="AR9" s="444"/>
      <c r="AS9" s="443"/>
      <c r="AT9" s="444"/>
    </row>
    <row r="10" spans="2:46" ht="50.1" customHeight="1" thickBot="1" x14ac:dyDescent="0.35">
      <c r="B10" s="428" t="s">
        <v>4</v>
      </c>
      <c r="C10" s="429"/>
      <c r="D10" s="430"/>
      <c r="E10" s="441"/>
      <c r="F10" s="442"/>
      <c r="G10" s="441"/>
      <c r="H10" s="442"/>
      <c r="I10" s="441"/>
      <c r="J10" s="442"/>
      <c r="K10" s="445"/>
      <c r="L10" s="446"/>
      <c r="M10" s="441"/>
      <c r="N10" s="442"/>
      <c r="O10" s="441"/>
      <c r="P10" s="442"/>
      <c r="Q10" s="441"/>
      <c r="R10" s="442"/>
      <c r="S10" s="441"/>
      <c r="T10" s="442"/>
      <c r="U10" s="441"/>
      <c r="V10" s="442"/>
      <c r="W10" s="441"/>
      <c r="X10" s="442"/>
      <c r="Y10" s="441"/>
      <c r="Z10" s="442"/>
      <c r="AA10" s="441"/>
      <c r="AB10" s="442"/>
      <c r="AC10" s="441"/>
      <c r="AD10" s="442"/>
      <c r="AE10" s="441"/>
      <c r="AF10" s="442"/>
      <c r="AG10" s="441"/>
      <c r="AH10" s="442"/>
      <c r="AI10" s="441"/>
      <c r="AJ10" s="442"/>
      <c r="AK10" s="441"/>
      <c r="AL10" s="442"/>
      <c r="AM10" s="441"/>
      <c r="AN10" s="442"/>
      <c r="AO10" s="441"/>
      <c r="AP10" s="442"/>
      <c r="AQ10" s="441"/>
      <c r="AR10" s="442"/>
      <c r="AS10" s="441"/>
      <c r="AT10" s="442"/>
    </row>
    <row r="11" spans="2:46" ht="50.1" customHeight="1" thickBot="1" x14ac:dyDescent="0.35">
      <c r="B11" s="450" t="s">
        <v>5</v>
      </c>
      <c r="C11" s="451"/>
      <c r="D11" s="452"/>
      <c r="E11" s="441"/>
      <c r="F11" s="442"/>
      <c r="G11" s="441"/>
      <c r="H11" s="442"/>
      <c r="I11" s="441"/>
      <c r="J11" s="442"/>
      <c r="K11" s="72"/>
      <c r="L11" s="72"/>
      <c r="M11" s="441"/>
      <c r="N11" s="442"/>
      <c r="O11" s="441"/>
      <c r="P11" s="442"/>
      <c r="Q11" s="441"/>
      <c r="R11" s="442"/>
      <c r="S11" s="441"/>
      <c r="T11" s="442"/>
      <c r="U11" s="441"/>
      <c r="V11" s="442"/>
      <c r="W11" s="441"/>
      <c r="X11" s="442"/>
      <c r="Y11" s="441"/>
      <c r="Z11" s="442"/>
      <c r="AA11" s="441"/>
      <c r="AB11" s="442"/>
      <c r="AC11" s="441"/>
      <c r="AD11" s="442"/>
      <c r="AE11" s="441"/>
      <c r="AF11" s="442"/>
      <c r="AG11" s="441"/>
      <c r="AH11" s="442"/>
      <c r="AI11" s="441"/>
      <c r="AJ11" s="442"/>
      <c r="AK11" s="441"/>
      <c r="AL11" s="442"/>
      <c r="AM11" s="441"/>
      <c r="AN11" s="442"/>
      <c r="AO11" s="441"/>
      <c r="AP11" s="442"/>
      <c r="AQ11" s="441"/>
      <c r="AR11" s="442"/>
      <c r="AS11" s="441"/>
      <c r="AT11" s="442"/>
    </row>
    <row r="12" spans="2:46" ht="18" customHeight="1" thickTop="1" x14ac:dyDescent="0.6">
      <c r="B12" s="453" t="s">
        <v>6</v>
      </c>
      <c r="C12" s="98"/>
      <c r="D12" s="73"/>
      <c r="E12" s="74"/>
      <c r="F12" s="456"/>
      <c r="G12" s="457"/>
      <c r="H12" s="456"/>
      <c r="I12" s="457"/>
      <c r="J12" s="456"/>
      <c r="K12" s="457"/>
      <c r="L12" s="456"/>
      <c r="M12" s="457"/>
      <c r="N12" s="456"/>
      <c r="O12" s="457"/>
      <c r="P12" s="456"/>
      <c r="Q12" s="457"/>
      <c r="R12" s="456"/>
      <c r="S12" s="457"/>
      <c r="T12" s="456"/>
      <c r="U12" s="457"/>
      <c r="V12" s="456"/>
      <c r="W12" s="457"/>
      <c r="X12" s="456"/>
      <c r="Y12" s="457"/>
      <c r="Z12" s="456"/>
      <c r="AA12" s="457"/>
      <c r="AB12" s="456"/>
      <c r="AC12" s="457"/>
      <c r="AD12" s="456"/>
      <c r="AE12" s="457"/>
      <c r="AF12" s="456"/>
      <c r="AG12" s="457"/>
      <c r="AH12" s="456"/>
      <c r="AI12" s="457"/>
      <c r="AJ12" s="456"/>
      <c r="AK12" s="457"/>
      <c r="AL12" s="456"/>
      <c r="AM12" s="457"/>
      <c r="AN12" s="456"/>
      <c r="AO12" s="457"/>
      <c r="AP12" s="456"/>
      <c r="AQ12" s="457"/>
      <c r="AR12" s="456"/>
      <c r="AS12" s="457"/>
      <c r="AT12" s="93"/>
    </row>
    <row r="13" spans="2:46" ht="18" customHeight="1" thickBot="1" x14ac:dyDescent="0.35">
      <c r="B13" s="454"/>
      <c r="C13" s="458">
        <f>'Plot Data'!F64</f>
        <v>29.459784881386774</v>
      </c>
      <c r="D13" s="5"/>
      <c r="E13" s="6"/>
      <c r="F13" s="461"/>
      <c r="G13" s="462"/>
      <c r="H13" s="461"/>
      <c r="I13" s="462"/>
      <c r="J13" s="461"/>
      <c r="K13" s="462"/>
      <c r="L13" s="461"/>
      <c r="M13" s="462"/>
      <c r="N13" s="461"/>
      <c r="O13" s="462"/>
      <c r="P13" s="461"/>
      <c r="Q13" s="462"/>
      <c r="R13" s="461"/>
      <c r="S13" s="462"/>
      <c r="T13" s="461"/>
      <c r="U13" s="462"/>
      <c r="V13" s="461"/>
      <c r="W13" s="462"/>
      <c r="X13" s="461"/>
      <c r="Y13" s="462"/>
      <c r="Z13" s="461"/>
      <c r="AA13" s="462"/>
      <c r="AB13" s="461"/>
      <c r="AC13" s="462"/>
      <c r="AD13" s="461"/>
      <c r="AE13" s="462"/>
      <c r="AF13" s="461"/>
      <c r="AG13" s="462"/>
      <c r="AH13" s="461"/>
      <c r="AI13" s="462"/>
      <c r="AJ13" s="461"/>
      <c r="AK13" s="462"/>
      <c r="AL13" s="461"/>
      <c r="AM13" s="462"/>
      <c r="AN13" s="461"/>
      <c r="AO13" s="462"/>
      <c r="AP13" s="461"/>
      <c r="AQ13" s="462"/>
      <c r="AR13" s="461"/>
      <c r="AS13" s="462"/>
      <c r="AT13" s="463" t="s">
        <v>48</v>
      </c>
    </row>
    <row r="14" spans="2:46" ht="18" customHeight="1" thickTop="1" x14ac:dyDescent="0.3">
      <c r="B14" s="454"/>
      <c r="C14" s="458"/>
      <c r="D14" s="7"/>
      <c r="E14" s="8"/>
      <c r="F14" s="459"/>
      <c r="G14" s="460"/>
      <c r="H14" s="459"/>
      <c r="I14" s="460"/>
      <c r="J14" s="459"/>
      <c r="K14" s="460"/>
      <c r="L14" s="459"/>
      <c r="M14" s="460"/>
      <c r="N14" s="459"/>
      <c r="O14" s="460"/>
      <c r="P14" s="459"/>
      <c r="Q14" s="460"/>
      <c r="R14" s="459"/>
      <c r="S14" s="460"/>
      <c r="T14" s="459"/>
      <c r="U14" s="460"/>
      <c r="V14" s="459"/>
      <c r="W14" s="460"/>
      <c r="X14" s="459"/>
      <c r="Y14" s="460"/>
      <c r="Z14" s="459"/>
      <c r="AA14" s="460"/>
      <c r="AB14" s="459"/>
      <c r="AC14" s="460"/>
      <c r="AD14" s="459"/>
      <c r="AE14" s="460"/>
      <c r="AF14" s="459"/>
      <c r="AG14" s="460"/>
      <c r="AH14" s="459"/>
      <c r="AI14" s="460"/>
      <c r="AJ14" s="459"/>
      <c r="AK14" s="460"/>
      <c r="AL14" s="459"/>
      <c r="AM14" s="460"/>
      <c r="AN14" s="459"/>
      <c r="AO14" s="460"/>
      <c r="AP14" s="459"/>
      <c r="AQ14" s="460"/>
      <c r="AR14" s="459"/>
      <c r="AS14" s="460"/>
      <c r="AT14" s="464"/>
    </row>
    <row r="15" spans="2:46" ht="18" customHeight="1" x14ac:dyDescent="0.6">
      <c r="B15" s="454"/>
      <c r="C15" s="458">
        <f>C19+(C13-C19)/2</f>
        <v>29.316789501841043</v>
      </c>
      <c r="D15" s="13"/>
      <c r="E15" s="8"/>
      <c r="F15" s="459"/>
      <c r="G15" s="460"/>
      <c r="H15" s="459"/>
      <c r="I15" s="460"/>
      <c r="J15" s="459"/>
      <c r="K15" s="460"/>
      <c r="L15" s="459"/>
      <c r="M15" s="460"/>
      <c r="N15" s="459"/>
      <c r="O15" s="460"/>
      <c r="P15" s="459"/>
      <c r="Q15" s="460"/>
      <c r="R15" s="459"/>
      <c r="S15" s="460"/>
      <c r="T15" s="459"/>
      <c r="U15" s="460"/>
      <c r="V15" s="459"/>
      <c r="W15" s="460"/>
      <c r="X15" s="459"/>
      <c r="Y15" s="460"/>
      <c r="Z15" s="459"/>
      <c r="AA15" s="460"/>
      <c r="AB15" s="459"/>
      <c r="AC15" s="460"/>
      <c r="AD15" s="459"/>
      <c r="AE15" s="460"/>
      <c r="AF15" s="459"/>
      <c r="AG15" s="460"/>
      <c r="AH15" s="459"/>
      <c r="AI15" s="460"/>
      <c r="AJ15" s="459"/>
      <c r="AK15" s="460"/>
      <c r="AL15" s="459"/>
      <c r="AM15" s="460"/>
      <c r="AN15" s="459"/>
      <c r="AO15" s="460"/>
      <c r="AP15" s="459"/>
      <c r="AQ15" s="460"/>
      <c r="AR15" s="459"/>
      <c r="AS15" s="460"/>
      <c r="AT15" s="94"/>
    </row>
    <row r="16" spans="2:46" ht="18" customHeight="1" x14ac:dyDescent="0.6">
      <c r="B16" s="454"/>
      <c r="C16" s="458"/>
      <c r="D16" s="3"/>
      <c r="E16" s="8"/>
      <c r="F16" s="459"/>
      <c r="G16" s="460"/>
      <c r="H16" s="459"/>
      <c r="I16" s="460"/>
      <c r="J16" s="459"/>
      <c r="K16" s="460"/>
      <c r="L16" s="459"/>
      <c r="M16" s="460"/>
      <c r="N16" s="459"/>
      <c r="O16" s="460"/>
      <c r="P16" s="459"/>
      <c r="Q16" s="460"/>
      <c r="R16" s="459"/>
      <c r="S16" s="460"/>
      <c r="T16" s="459"/>
      <c r="U16" s="460"/>
      <c r="V16" s="459"/>
      <c r="W16" s="460"/>
      <c r="X16" s="459"/>
      <c r="Y16" s="460"/>
      <c r="Z16" s="459"/>
      <c r="AA16" s="460"/>
      <c r="AB16" s="459"/>
      <c r="AC16" s="460"/>
      <c r="AD16" s="459"/>
      <c r="AE16" s="460"/>
      <c r="AF16" s="459"/>
      <c r="AG16" s="460"/>
      <c r="AH16" s="459"/>
      <c r="AI16" s="460"/>
      <c r="AJ16" s="459"/>
      <c r="AK16" s="460"/>
      <c r="AL16" s="459"/>
      <c r="AM16" s="460"/>
      <c r="AN16" s="459"/>
      <c r="AO16" s="460"/>
      <c r="AP16" s="459"/>
      <c r="AQ16" s="460"/>
      <c r="AR16" s="459"/>
      <c r="AS16" s="460"/>
      <c r="AT16" s="94"/>
    </row>
    <row r="17" spans="2:46" ht="18" customHeight="1" x14ac:dyDescent="0.6">
      <c r="B17" s="454"/>
      <c r="C17" s="458"/>
      <c r="D17" s="3"/>
      <c r="E17" s="8"/>
      <c r="F17" s="459"/>
      <c r="G17" s="460"/>
      <c r="H17" s="459"/>
      <c r="I17" s="460"/>
      <c r="J17" s="459"/>
      <c r="K17" s="460"/>
      <c r="L17" s="459"/>
      <c r="M17" s="460"/>
      <c r="N17" s="459"/>
      <c r="O17" s="460"/>
      <c r="P17" s="459"/>
      <c r="Q17" s="460"/>
      <c r="R17" s="459"/>
      <c r="S17" s="460"/>
      <c r="T17" s="459"/>
      <c r="U17" s="460"/>
      <c r="V17" s="459"/>
      <c r="W17" s="460"/>
      <c r="X17" s="459"/>
      <c r="Y17" s="460"/>
      <c r="Z17" s="459"/>
      <c r="AA17" s="460"/>
      <c r="AB17" s="459"/>
      <c r="AC17" s="460"/>
      <c r="AD17" s="459"/>
      <c r="AE17" s="460"/>
      <c r="AF17" s="459"/>
      <c r="AG17" s="460"/>
      <c r="AH17" s="459"/>
      <c r="AI17" s="460"/>
      <c r="AJ17" s="459"/>
      <c r="AK17" s="460"/>
      <c r="AL17" s="459"/>
      <c r="AM17" s="460"/>
      <c r="AN17" s="459"/>
      <c r="AO17" s="460"/>
      <c r="AP17" s="459"/>
      <c r="AQ17" s="460"/>
      <c r="AR17" s="459"/>
      <c r="AS17" s="460"/>
      <c r="AT17" s="94"/>
    </row>
    <row r="18" spans="2:46" ht="18" customHeight="1" x14ac:dyDescent="0.6">
      <c r="B18" s="454"/>
      <c r="C18" s="458"/>
      <c r="D18" s="7"/>
      <c r="E18" s="8"/>
      <c r="F18" s="459"/>
      <c r="G18" s="460"/>
      <c r="H18" s="459"/>
      <c r="I18" s="460"/>
      <c r="J18" s="459"/>
      <c r="K18" s="460"/>
      <c r="L18" s="459"/>
      <c r="M18" s="460"/>
      <c r="N18" s="459"/>
      <c r="O18" s="460"/>
      <c r="P18" s="459"/>
      <c r="Q18" s="460"/>
      <c r="R18" s="459"/>
      <c r="S18" s="460"/>
      <c r="T18" s="459"/>
      <c r="U18" s="460"/>
      <c r="V18" s="459"/>
      <c r="W18" s="460"/>
      <c r="X18" s="459"/>
      <c r="Y18" s="460"/>
      <c r="Z18" s="459"/>
      <c r="AA18" s="460"/>
      <c r="AB18" s="459"/>
      <c r="AC18" s="460"/>
      <c r="AD18" s="459"/>
      <c r="AE18" s="460"/>
      <c r="AF18" s="459"/>
      <c r="AG18" s="460"/>
      <c r="AH18" s="459"/>
      <c r="AI18" s="460"/>
      <c r="AJ18" s="459"/>
      <c r="AK18" s="460"/>
      <c r="AL18" s="459"/>
      <c r="AM18" s="460"/>
      <c r="AN18" s="459"/>
      <c r="AO18" s="460"/>
      <c r="AP18" s="459"/>
      <c r="AQ18" s="460"/>
      <c r="AR18" s="459"/>
      <c r="AS18" s="460"/>
      <c r="AT18" s="94"/>
    </row>
    <row r="19" spans="2:46" ht="18" customHeight="1" thickBot="1" x14ac:dyDescent="0.35">
      <c r="B19" s="454"/>
      <c r="C19" s="458">
        <f>'Plot Data'!F62</f>
        <v>29.173794122295309</v>
      </c>
      <c r="D19" s="9"/>
      <c r="E19" s="10"/>
      <c r="F19" s="11"/>
      <c r="G19" s="12"/>
      <c r="H19" s="11"/>
      <c r="I19" s="12"/>
      <c r="J19" s="11"/>
      <c r="K19" s="12"/>
      <c r="L19" s="11"/>
      <c r="M19" s="12"/>
      <c r="N19" s="11"/>
      <c r="O19" s="12"/>
      <c r="P19" s="11"/>
      <c r="Q19" s="12"/>
      <c r="R19" s="11"/>
      <c r="S19" s="12"/>
      <c r="T19" s="11"/>
      <c r="U19" s="12"/>
      <c r="V19" s="11"/>
      <c r="W19" s="12"/>
      <c r="X19" s="11"/>
      <c r="Y19" s="12"/>
      <c r="Z19" s="11"/>
      <c r="AA19" s="12"/>
      <c r="AB19" s="11"/>
      <c r="AC19" s="12"/>
      <c r="AD19" s="11"/>
      <c r="AE19" s="12"/>
      <c r="AF19" s="11"/>
      <c r="AG19" s="12"/>
      <c r="AH19" s="11"/>
      <c r="AI19" s="12"/>
      <c r="AJ19" s="11"/>
      <c r="AK19" s="12"/>
      <c r="AL19" s="11"/>
      <c r="AM19" s="12"/>
      <c r="AN19" s="11"/>
      <c r="AO19" s="12"/>
      <c r="AP19" s="11"/>
      <c r="AQ19" s="12"/>
      <c r="AR19" s="11"/>
      <c r="AS19" s="12"/>
      <c r="AT19" s="463" t="s">
        <v>47</v>
      </c>
    </row>
    <row r="20" spans="2:46" ht="18" customHeight="1" x14ac:dyDescent="0.3">
      <c r="B20" s="454"/>
      <c r="C20" s="458"/>
      <c r="D20" s="7"/>
      <c r="E20" s="8"/>
      <c r="F20" s="459"/>
      <c r="G20" s="460"/>
      <c r="H20" s="459"/>
      <c r="I20" s="460"/>
      <c r="J20" s="459"/>
      <c r="K20" s="460"/>
      <c r="L20" s="459"/>
      <c r="M20" s="460"/>
      <c r="N20" s="459"/>
      <c r="O20" s="460"/>
      <c r="P20" s="459"/>
      <c r="Q20" s="460"/>
      <c r="R20" s="459"/>
      <c r="S20" s="460"/>
      <c r="T20" s="459"/>
      <c r="U20" s="460"/>
      <c r="V20" s="459"/>
      <c r="W20" s="460"/>
      <c r="X20" s="459"/>
      <c r="Y20" s="460"/>
      <c r="Z20" s="459"/>
      <c r="AA20" s="460"/>
      <c r="AB20" s="459"/>
      <c r="AC20" s="460"/>
      <c r="AD20" s="459"/>
      <c r="AE20" s="460"/>
      <c r="AF20" s="459"/>
      <c r="AG20" s="460"/>
      <c r="AH20" s="459"/>
      <c r="AI20" s="460"/>
      <c r="AJ20" s="459"/>
      <c r="AK20" s="460"/>
      <c r="AL20" s="459"/>
      <c r="AM20" s="460"/>
      <c r="AN20" s="459"/>
      <c r="AO20" s="460"/>
      <c r="AP20" s="459"/>
      <c r="AQ20" s="460"/>
      <c r="AR20" s="459"/>
      <c r="AS20" s="460"/>
      <c r="AT20" s="464"/>
    </row>
    <row r="21" spans="2:46" ht="18" customHeight="1" x14ac:dyDescent="0.6">
      <c r="B21" s="454"/>
      <c r="C21" s="458">
        <f>C25+(C19-C25)/2</f>
        <v>29.030798742749575</v>
      </c>
      <c r="D21" s="13"/>
      <c r="E21" s="8"/>
      <c r="F21" s="459"/>
      <c r="G21" s="460"/>
      <c r="H21" s="459"/>
      <c r="I21" s="460"/>
      <c r="J21" s="459"/>
      <c r="K21" s="460"/>
      <c r="L21" s="459"/>
      <c r="M21" s="460"/>
      <c r="N21" s="459"/>
      <c r="O21" s="460"/>
      <c r="P21" s="459"/>
      <c r="Q21" s="460"/>
      <c r="R21" s="459"/>
      <c r="S21" s="460"/>
      <c r="T21" s="459"/>
      <c r="U21" s="460"/>
      <c r="V21" s="459"/>
      <c r="W21" s="460"/>
      <c r="X21" s="459"/>
      <c r="Y21" s="460"/>
      <c r="Z21" s="459"/>
      <c r="AA21" s="460"/>
      <c r="AB21" s="459"/>
      <c r="AC21" s="460"/>
      <c r="AD21" s="459"/>
      <c r="AE21" s="460"/>
      <c r="AF21" s="459"/>
      <c r="AG21" s="460"/>
      <c r="AH21" s="459"/>
      <c r="AI21" s="460"/>
      <c r="AJ21" s="459"/>
      <c r="AK21" s="460"/>
      <c r="AL21" s="459"/>
      <c r="AM21" s="460"/>
      <c r="AN21" s="459"/>
      <c r="AO21" s="460"/>
      <c r="AP21" s="459"/>
      <c r="AQ21" s="460"/>
      <c r="AR21" s="459"/>
      <c r="AS21" s="460"/>
      <c r="AT21" s="94"/>
    </row>
    <row r="22" spans="2:46" ht="18" customHeight="1" x14ac:dyDescent="0.6">
      <c r="B22" s="454"/>
      <c r="C22" s="458"/>
      <c r="D22" s="3"/>
      <c r="E22" s="8"/>
      <c r="F22" s="459"/>
      <c r="G22" s="460"/>
      <c r="H22" s="459"/>
      <c r="I22" s="460"/>
      <c r="J22" s="459"/>
      <c r="K22" s="460"/>
      <c r="L22" s="459"/>
      <c r="M22" s="460"/>
      <c r="N22" s="459"/>
      <c r="O22" s="460"/>
      <c r="P22" s="459"/>
      <c r="Q22" s="460"/>
      <c r="R22" s="459"/>
      <c r="S22" s="460"/>
      <c r="T22" s="459"/>
      <c r="U22" s="460"/>
      <c r="V22" s="459"/>
      <c r="W22" s="460"/>
      <c r="X22" s="459"/>
      <c r="Y22" s="460"/>
      <c r="Z22" s="459"/>
      <c r="AA22" s="460"/>
      <c r="AB22" s="459"/>
      <c r="AC22" s="460"/>
      <c r="AD22" s="459"/>
      <c r="AE22" s="460"/>
      <c r="AF22" s="459"/>
      <c r="AG22" s="460"/>
      <c r="AH22" s="459"/>
      <c r="AI22" s="460"/>
      <c r="AJ22" s="459"/>
      <c r="AK22" s="460"/>
      <c r="AL22" s="459"/>
      <c r="AM22" s="460"/>
      <c r="AN22" s="459"/>
      <c r="AO22" s="460"/>
      <c r="AP22" s="459"/>
      <c r="AQ22" s="460"/>
      <c r="AR22" s="459"/>
      <c r="AS22" s="460"/>
      <c r="AT22" s="94"/>
    </row>
    <row r="23" spans="2:46" ht="18" customHeight="1" x14ac:dyDescent="0.6">
      <c r="B23" s="454"/>
      <c r="C23" s="458"/>
      <c r="D23" s="3"/>
      <c r="E23" s="8"/>
      <c r="F23" s="459"/>
      <c r="G23" s="460"/>
      <c r="H23" s="459"/>
      <c r="I23" s="460"/>
      <c r="J23" s="459"/>
      <c r="K23" s="460"/>
      <c r="L23" s="459"/>
      <c r="M23" s="460"/>
      <c r="N23" s="459"/>
      <c r="O23" s="460"/>
      <c r="P23" s="459"/>
      <c r="Q23" s="460"/>
      <c r="R23" s="459"/>
      <c r="S23" s="460"/>
      <c r="T23" s="459"/>
      <c r="U23" s="460"/>
      <c r="V23" s="459"/>
      <c r="W23" s="460"/>
      <c r="X23" s="459"/>
      <c r="Y23" s="460"/>
      <c r="Z23" s="459"/>
      <c r="AA23" s="460"/>
      <c r="AB23" s="459"/>
      <c r="AC23" s="460"/>
      <c r="AD23" s="459"/>
      <c r="AE23" s="460"/>
      <c r="AF23" s="459"/>
      <c r="AG23" s="460"/>
      <c r="AH23" s="459"/>
      <c r="AI23" s="460"/>
      <c r="AJ23" s="459"/>
      <c r="AK23" s="460"/>
      <c r="AL23" s="459"/>
      <c r="AM23" s="460"/>
      <c r="AN23" s="459"/>
      <c r="AO23" s="460"/>
      <c r="AP23" s="459"/>
      <c r="AQ23" s="460"/>
      <c r="AR23" s="459"/>
      <c r="AS23" s="460"/>
      <c r="AT23" s="94"/>
    </row>
    <row r="24" spans="2:46" ht="18" customHeight="1" x14ac:dyDescent="0.6">
      <c r="B24" s="454"/>
      <c r="C24" s="458"/>
      <c r="D24" s="7"/>
      <c r="E24" s="8"/>
      <c r="F24" s="459"/>
      <c r="G24" s="460"/>
      <c r="H24" s="459"/>
      <c r="I24" s="460"/>
      <c r="J24" s="459"/>
      <c r="K24" s="460"/>
      <c r="L24" s="459"/>
      <c r="M24" s="460"/>
      <c r="N24" s="459"/>
      <c r="O24" s="460"/>
      <c r="P24" s="459"/>
      <c r="Q24" s="460"/>
      <c r="R24" s="459"/>
      <c r="S24" s="460"/>
      <c r="T24" s="459"/>
      <c r="U24" s="460"/>
      <c r="V24" s="459"/>
      <c r="W24" s="460"/>
      <c r="X24" s="459"/>
      <c r="Y24" s="460"/>
      <c r="Z24" s="459"/>
      <c r="AA24" s="460"/>
      <c r="AB24" s="459"/>
      <c r="AC24" s="460"/>
      <c r="AD24" s="459"/>
      <c r="AE24" s="460"/>
      <c r="AF24" s="459"/>
      <c r="AG24" s="460"/>
      <c r="AH24" s="459"/>
      <c r="AI24" s="460"/>
      <c r="AJ24" s="459"/>
      <c r="AK24" s="460"/>
      <c r="AL24" s="459"/>
      <c r="AM24" s="460"/>
      <c r="AN24" s="459"/>
      <c r="AO24" s="460"/>
      <c r="AP24" s="459"/>
      <c r="AQ24" s="460"/>
      <c r="AR24" s="459"/>
      <c r="AS24" s="460"/>
      <c r="AT24" s="94"/>
    </row>
    <row r="25" spans="2:46" ht="18" customHeight="1" x14ac:dyDescent="0.6">
      <c r="B25" s="454"/>
      <c r="C25" s="458">
        <f>'Plot Data'!F63</f>
        <v>28.88780336320384</v>
      </c>
      <c r="D25" s="13"/>
      <c r="E25" s="8"/>
      <c r="F25" s="459"/>
      <c r="G25" s="460"/>
      <c r="H25" s="459"/>
      <c r="I25" s="460"/>
      <c r="J25" s="459"/>
      <c r="K25" s="460"/>
      <c r="L25" s="459"/>
      <c r="M25" s="460"/>
      <c r="N25" s="459"/>
      <c r="O25" s="460"/>
      <c r="P25" s="459"/>
      <c r="Q25" s="460"/>
      <c r="R25" s="459"/>
      <c r="S25" s="460"/>
      <c r="T25" s="459"/>
      <c r="U25" s="460"/>
      <c r="V25" s="459"/>
      <c r="W25" s="460"/>
      <c r="X25" s="459"/>
      <c r="Y25" s="460"/>
      <c r="Z25" s="459"/>
      <c r="AA25" s="460"/>
      <c r="AB25" s="459"/>
      <c r="AC25" s="460"/>
      <c r="AD25" s="459"/>
      <c r="AE25" s="460"/>
      <c r="AF25" s="459"/>
      <c r="AG25" s="460"/>
      <c r="AH25" s="459"/>
      <c r="AI25" s="460"/>
      <c r="AJ25" s="459"/>
      <c r="AK25" s="460"/>
      <c r="AL25" s="459"/>
      <c r="AM25" s="460"/>
      <c r="AN25" s="459"/>
      <c r="AO25" s="460"/>
      <c r="AP25" s="459"/>
      <c r="AQ25" s="460"/>
      <c r="AR25" s="459"/>
      <c r="AS25" s="460"/>
      <c r="AT25" s="94"/>
    </row>
    <row r="26" spans="2:46" ht="18" customHeight="1" x14ac:dyDescent="0.6">
      <c r="B26" s="454"/>
      <c r="C26" s="458"/>
      <c r="D26" s="7"/>
      <c r="E26" s="8"/>
      <c r="F26" s="459"/>
      <c r="G26" s="460"/>
      <c r="H26" s="459"/>
      <c r="I26" s="460"/>
      <c r="J26" s="459"/>
      <c r="K26" s="460"/>
      <c r="L26" s="459"/>
      <c r="M26" s="460"/>
      <c r="N26" s="459"/>
      <c r="O26" s="460"/>
      <c r="P26" s="459"/>
      <c r="Q26" s="460"/>
      <c r="R26" s="459"/>
      <c r="S26" s="460"/>
      <c r="T26" s="459"/>
      <c r="U26" s="460"/>
      <c r="V26" s="459"/>
      <c r="W26" s="460"/>
      <c r="X26" s="459"/>
      <c r="Y26" s="460"/>
      <c r="Z26" s="459"/>
      <c r="AA26" s="460"/>
      <c r="AB26" s="459"/>
      <c r="AC26" s="460"/>
      <c r="AD26" s="459"/>
      <c r="AE26" s="460"/>
      <c r="AF26" s="459"/>
      <c r="AG26" s="460"/>
      <c r="AH26" s="459"/>
      <c r="AI26" s="460"/>
      <c r="AJ26" s="459"/>
      <c r="AK26" s="460"/>
      <c r="AL26" s="459"/>
      <c r="AM26" s="460"/>
      <c r="AN26" s="459"/>
      <c r="AO26" s="460"/>
      <c r="AP26" s="459"/>
      <c r="AQ26" s="460"/>
      <c r="AR26" s="459"/>
      <c r="AS26" s="460"/>
      <c r="AT26" s="94"/>
    </row>
    <row r="27" spans="2:46" ht="18" customHeight="1" x14ac:dyDescent="0.6">
      <c r="B27" s="454"/>
      <c r="C27" s="458">
        <f>C31+(C25-C31)/2</f>
        <v>28.792473110173351</v>
      </c>
      <c r="D27" s="13"/>
      <c r="E27" s="8"/>
      <c r="F27" s="459"/>
      <c r="G27" s="460"/>
      <c r="H27" s="459"/>
      <c r="I27" s="460"/>
      <c r="J27" s="459"/>
      <c r="K27" s="460"/>
      <c r="L27" s="459"/>
      <c r="M27" s="460"/>
      <c r="N27" s="459"/>
      <c r="O27" s="460"/>
      <c r="P27" s="459"/>
      <c r="Q27" s="460"/>
      <c r="R27" s="459"/>
      <c r="S27" s="460"/>
      <c r="T27" s="459"/>
      <c r="U27" s="460"/>
      <c r="V27" s="459"/>
      <c r="W27" s="460"/>
      <c r="X27" s="459"/>
      <c r="Y27" s="460"/>
      <c r="Z27" s="459"/>
      <c r="AA27" s="460"/>
      <c r="AB27" s="459"/>
      <c r="AC27" s="460"/>
      <c r="AD27" s="459"/>
      <c r="AE27" s="460"/>
      <c r="AF27" s="459"/>
      <c r="AG27" s="460"/>
      <c r="AH27" s="459"/>
      <c r="AI27" s="460"/>
      <c r="AJ27" s="459"/>
      <c r="AK27" s="460"/>
      <c r="AL27" s="459"/>
      <c r="AM27" s="460"/>
      <c r="AN27" s="459"/>
      <c r="AO27" s="460"/>
      <c r="AP27" s="459"/>
      <c r="AQ27" s="460"/>
      <c r="AR27" s="459"/>
      <c r="AS27" s="460"/>
      <c r="AT27" s="94"/>
    </row>
    <row r="28" spans="2:46" ht="18" customHeight="1" x14ac:dyDescent="0.6">
      <c r="B28" s="454"/>
      <c r="C28" s="458"/>
      <c r="D28" s="3"/>
      <c r="E28" s="8"/>
      <c r="F28" s="459"/>
      <c r="G28" s="460"/>
      <c r="H28" s="459"/>
      <c r="I28" s="460"/>
      <c r="J28" s="459"/>
      <c r="K28" s="460"/>
      <c r="L28" s="459"/>
      <c r="M28" s="460"/>
      <c r="N28" s="459"/>
      <c r="O28" s="460"/>
      <c r="P28" s="459"/>
      <c r="Q28" s="460"/>
      <c r="R28" s="459"/>
      <c r="S28" s="460"/>
      <c r="T28" s="459"/>
      <c r="U28" s="460"/>
      <c r="V28" s="459"/>
      <c r="W28" s="460"/>
      <c r="X28" s="459"/>
      <c r="Y28" s="460"/>
      <c r="Z28" s="459"/>
      <c r="AA28" s="460"/>
      <c r="AB28" s="459"/>
      <c r="AC28" s="460"/>
      <c r="AD28" s="459"/>
      <c r="AE28" s="460"/>
      <c r="AF28" s="459"/>
      <c r="AG28" s="460"/>
      <c r="AH28" s="459"/>
      <c r="AI28" s="460"/>
      <c r="AJ28" s="459"/>
      <c r="AK28" s="460"/>
      <c r="AL28" s="459"/>
      <c r="AM28" s="460"/>
      <c r="AN28" s="459"/>
      <c r="AO28" s="460"/>
      <c r="AP28" s="459"/>
      <c r="AQ28" s="460"/>
      <c r="AR28" s="459"/>
      <c r="AS28" s="460"/>
      <c r="AT28" s="94"/>
    </row>
    <row r="29" spans="2:46" ht="18" customHeight="1" x14ac:dyDescent="0.6">
      <c r="B29" s="454"/>
      <c r="C29" s="458"/>
      <c r="D29" s="3"/>
      <c r="E29" s="8"/>
      <c r="F29" s="459"/>
      <c r="G29" s="460"/>
      <c r="H29" s="459"/>
      <c r="I29" s="460"/>
      <c r="J29" s="459"/>
      <c r="K29" s="460"/>
      <c r="L29" s="459"/>
      <c r="M29" s="460"/>
      <c r="N29" s="459"/>
      <c r="O29" s="460"/>
      <c r="P29" s="459"/>
      <c r="Q29" s="460"/>
      <c r="R29" s="459"/>
      <c r="S29" s="460"/>
      <c r="T29" s="459"/>
      <c r="U29" s="460"/>
      <c r="V29" s="459"/>
      <c r="W29" s="460"/>
      <c r="X29" s="459"/>
      <c r="Y29" s="460"/>
      <c r="Z29" s="459"/>
      <c r="AA29" s="460"/>
      <c r="AB29" s="459"/>
      <c r="AC29" s="460"/>
      <c r="AD29" s="459"/>
      <c r="AE29" s="460"/>
      <c r="AF29" s="459"/>
      <c r="AG29" s="460"/>
      <c r="AH29" s="459"/>
      <c r="AI29" s="460"/>
      <c r="AJ29" s="459"/>
      <c r="AK29" s="460"/>
      <c r="AL29" s="459"/>
      <c r="AM29" s="460"/>
      <c r="AN29" s="459"/>
      <c r="AO29" s="460"/>
      <c r="AP29" s="459"/>
      <c r="AQ29" s="460"/>
      <c r="AR29" s="459"/>
      <c r="AS29" s="460"/>
      <c r="AT29" s="94"/>
    </row>
    <row r="30" spans="2:46" ht="18" customHeight="1" x14ac:dyDescent="0.6">
      <c r="B30" s="454"/>
      <c r="C30" s="458"/>
      <c r="D30" s="7"/>
      <c r="E30" s="8"/>
      <c r="F30" s="459"/>
      <c r="G30" s="460"/>
      <c r="H30" s="459"/>
      <c r="I30" s="460"/>
      <c r="J30" s="459"/>
      <c r="K30" s="460"/>
      <c r="L30" s="459"/>
      <c r="M30" s="460"/>
      <c r="N30" s="459"/>
      <c r="O30" s="460"/>
      <c r="P30" s="459"/>
      <c r="Q30" s="460"/>
      <c r="R30" s="459"/>
      <c r="S30" s="460"/>
      <c r="T30" s="459"/>
      <c r="U30" s="460"/>
      <c r="V30" s="459"/>
      <c r="W30" s="460"/>
      <c r="X30" s="459"/>
      <c r="Y30" s="460"/>
      <c r="Z30" s="459"/>
      <c r="AA30" s="460"/>
      <c r="AB30" s="459"/>
      <c r="AC30" s="460"/>
      <c r="AD30" s="459"/>
      <c r="AE30" s="460"/>
      <c r="AF30" s="459"/>
      <c r="AG30" s="460"/>
      <c r="AH30" s="459"/>
      <c r="AI30" s="460"/>
      <c r="AJ30" s="459"/>
      <c r="AK30" s="460"/>
      <c r="AL30" s="459"/>
      <c r="AM30" s="460"/>
      <c r="AN30" s="459"/>
      <c r="AO30" s="460"/>
      <c r="AP30" s="459"/>
      <c r="AQ30" s="460"/>
      <c r="AR30" s="459"/>
      <c r="AS30" s="460"/>
      <c r="AT30" s="94"/>
    </row>
    <row r="31" spans="2:46" ht="18" customHeight="1" thickBot="1" x14ac:dyDescent="0.35">
      <c r="B31" s="454"/>
      <c r="C31" s="458">
        <f>'Plot Data'!F58</f>
        <v>28.697142857142861</v>
      </c>
      <c r="D31" s="14"/>
      <c r="E31" s="15"/>
      <c r="F31" s="465"/>
      <c r="G31" s="466"/>
      <c r="H31" s="465"/>
      <c r="I31" s="466"/>
      <c r="J31" s="465"/>
      <c r="K31" s="466"/>
      <c r="L31" s="465"/>
      <c r="M31" s="466"/>
      <c r="N31" s="465"/>
      <c r="O31" s="466"/>
      <c r="P31" s="465"/>
      <c r="Q31" s="466"/>
      <c r="R31" s="465"/>
      <c r="S31" s="466"/>
      <c r="T31" s="465"/>
      <c r="U31" s="466"/>
      <c r="V31" s="465"/>
      <c r="W31" s="466"/>
      <c r="X31" s="465"/>
      <c r="Y31" s="466"/>
      <c r="Z31" s="465"/>
      <c r="AA31" s="466"/>
      <c r="AB31" s="465"/>
      <c r="AC31" s="466"/>
      <c r="AD31" s="465"/>
      <c r="AE31" s="466"/>
      <c r="AF31" s="465"/>
      <c r="AG31" s="466"/>
      <c r="AH31" s="465"/>
      <c r="AI31" s="466"/>
      <c r="AJ31" s="465"/>
      <c r="AK31" s="466"/>
      <c r="AL31" s="465"/>
      <c r="AM31" s="466"/>
      <c r="AN31" s="465"/>
      <c r="AO31" s="466"/>
      <c r="AP31" s="465"/>
      <c r="AQ31" s="466"/>
      <c r="AR31" s="465"/>
      <c r="AS31" s="466"/>
      <c r="AT31" s="469" t="s">
        <v>90</v>
      </c>
    </row>
    <row r="32" spans="2:46" ht="18" customHeight="1" x14ac:dyDescent="0.3">
      <c r="B32" s="454"/>
      <c r="C32" s="458"/>
      <c r="D32" s="16"/>
      <c r="E32" s="17"/>
      <c r="F32" s="467"/>
      <c r="G32" s="468"/>
      <c r="H32" s="467"/>
      <c r="I32" s="468"/>
      <c r="J32" s="467"/>
      <c r="K32" s="468"/>
      <c r="L32" s="467"/>
      <c r="M32" s="468"/>
      <c r="N32" s="467"/>
      <c r="O32" s="468"/>
      <c r="P32" s="467"/>
      <c r="Q32" s="468"/>
      <c r="R32" s="467"/>
      <c r="S32" s="468"/>
      <c r="T32" s="467"/>
      <c r="U32" s="468"/>
      <c r="V32" s="467"/>
      <c r="W32" s="468"/>
      <c r="X32" s="467"/>
      <c r="Y32" s="468"/>
      <c r="Z32" s="467"/>
      <c r="AA32" s="468"/>
      <c r="AB32" s="467"/>
      <c r="AC32" s="468"/>
      <c r="AD32" s="467"/>
      <c r="AE32" s="468"/>
      <c r="AF32" s="467"/>
      <c r="AG32" s="468"/>
      <c r="AH32" s="467"/>
      <c r="AI32" s="468"/>
      <c r="AJ32" s="467"/>
      <c r="AK32" s="468"/>
      <c r="AL32" s="467"/>
      <c r="AM32" s="468"/>
      <c r="AN32" s="467"/>
      <c r="AO32" s="468"/>
      <c r="AP32" s="467"/>
      <c r="AQ32" s="468"/>
      <c r="AR32" s="467"/>
      <c r="AS32" s="468"/>
      <c r="AT32" s="464"/>
    </row>
    <row r="33" spans="2:46" ht="18" customHeight="1" x14ac:dyDescent="0.6">
      <c r="B33" s="454"/>
      <c r="C33" s="458">
        <f>C37+(C31-C37)/2</f>
        <v>28.601812604112371</v>
      </c>
      <c r="D33" s="13"/>
      <c r="E33" s="8"/>
      <c r="F33" s="459"/>
      <c r="G33" s="460"/>
      <c r="H33" s="459"/>
      <c r="I33" s="460"/>
      <c r="J33" s="459"/>
      <c r="K33" s="460"/>
      <c r="L33" s="459"/>
      <c r="M33" s="460"/>
      <c r="N33" s="459"/>
      <c r="O33" s="460"/>
      <c r="P33" s="459"/>
      <c r="Q33" s="460"/>
      <c r="R33" s="459"/>
      <c r="S33" s="460"/>
      <c r="T33" s="459"/>
      <c r="U33" s="460"/>
      <c r="V33" s="459"/>
      <c r="W33" s="460"/>
      <c r="X33" s="459"/>
      <c r="Y33" s="460"/>
      <c r="Z33" s="459"/>
      <c r="AA33" s="460"/>
      <c r="AB33" s="459"/>
      <c r="AC33" s="460"/>
      <c r="AD33" s="459"/>
      <c r="AE33" s="460"/>
      <c r="AF33" s="459"/>
      <c r="AG33" s="460"/>
      <c r="AH33" s="459"/>
      <c r="AI33" s="460"/>
      <c r="AJ33" s="459"/>
      <c r="AK33" s="460"/>
      <c r="AL33" s="459"/>
      <c r="AM33" s="460"/>
      <c r="AN33" s="459"/>
      <c r="AO33" s="460"/>
      <c r="AP33" s="459"/>
      <c r="AQ33" s="460"/>
      <c r="AR33" s="459"/>
      <c r="AS33" s="460"/>
      <c r="AT33" s="94"/>
    </row>
    <row r="34" spans="2:46" ht="18" customHeight="1" x14ac:dyDescent="0.6">
      <c r="B34" s="454"/>
      <c r="C34" s="458"/>
      <c r="D34" s="13"/>
      <c r="E34" s="8"/>
      <c r="F34" s="459"/>
      <c r="G34" s="460"/>
      <c r="H34" s="459"/>
      <c r="I34" s="460"/>
      <c r="J34" s="459"/>
      <c r="K34" s="460"/>
      <c r="L34" s="459"/>
      <c r="M34" s="460"/>
      <c r="N34" s="459"/>
      <c r="O34" s="460"/>
      <c r="P34" s="459"/>
      <c r="Q34" s="460"/>
      <c r="R34" s="459"/>
      <c r="S34" s="460"/>
      <c r="T34" s="459"/>
      <c r="U34" s="460"/>
      <c r="V34" s="459"/>
      <c r="W34" s="460"/>
      <c r="X34" s="459"/>
      <c r="Y34" s="460"/>
      <c r="Z34" s="459"/>
      <c r="AA34" s="460"/>
      <c r="AB34" s="459"/>
      <c r="AC34" s="460"/>
      <c r="AD34" s="459"/>
      <c r="AE34" s="460"/>
      <c r="AF34" s="459"/>
      <c r="AG34" s="460"/>
      <c r="AH34" s="459"/>
      <c r="AI34" s="460"/>
      <c r="AJ34" s="459"/>
      <c r="AK34" s="460"/>
      <c r="AL34" s="459"/>
      <c r="AM34" s="460"/>
      <c r="AN34" s="459"/>
      <c r="AO34" s="460"/>
      <c r="AP34" s="459"/>
      <c r="AQ34" s="460"/>
      <c r="AR34" s="459"/>
      <c r="AS34" s="460"/>
      <c r="AT34" s="94"/>
    </row>
    <row r="35" spans="2:46" ht="18" customHeight="1" x14ac:dyDescent="0.6">
      <c r="B35" s="454"/>
      <c r="C35" s="458"/>
      <c r="D35" s="13"/>
      <c r="E35" s="8"/>
      <c r="F35" s="459"/>
      <c r="G35" s="460"/>
      <c r="H35" s="459"/>
      <c r="I35" s="460"/>
      <c r="J35" s="459"/>
      <c r="K35" s="460"/>
      <c r="L35" s="459"/>
      <c r="M35" s="460"/>
      <c r="N35" s="459"/>
      <c r="O35" s="460"/>
      <c r="P35" s="459"/>
      <c r="Q35" s="460"/>
      <c r="R35" s="459"/>
      <c r="S35" s="460"/>
      <c r="T35" s="459"/>
      <c r="U35" s="460"/>
      <c r="V35" s="459"/>
      <c r="W35" s="460"/>
      <c r="X35" s="459"/>
      <c r="Y35" s="460"/>
      <c r="Z35" s="459"/>
      <c r="AA35" s="460"/>
      <c r="AB35" s="459"/>
      <c r="AC35" s="460"/>
      <c r="AD35" s="459"/>
      <c r="AE35" s="460"/>
      <c r="AF35" s="459"/>
      <c r="AG35" s="460"/>
      <c r="AH35" s="459"/>
      <c r="AI35" s="460"/>
      <c r="AJ35" s="459"/>
      <c r="AK35" s="460"/>
      <c r="AL35" s="459"/>
      <c r="AM35" s="460"/>
      <c r="AN35" s="459"/>
      <c r="AO35" s="460"/>
      <c r="AP35" s="459"/>
      <c r="AQ35" s="460"/>
      <c r="AR35" s="459"/>
      <c r="AS35" s="460"/>
      <c r="AT35" s="94"/>
    </row>
    <row r="36" spans="2:46" ht="18" customHeight="1" x14ac:dyDescent="0.6">
      <c r="B36" s="454"/>
      <c r="C36" s="458"/>
      <c r="D36" s="92"/>
      <c r="E36" s="8"/>
      <c r="F36" s="459"/>
      <c r="G36" s="460"/>
      <c r="H36" s="459"/>
      <c r="I36" s="460"/>
      <c r="J36" s="459"/>
      <c r="K36" s="460"/>
      <c r="L36" s="459"/>
      <c r="M36" s="460"/>
      <c r="N36" s="459"/>
      <c r="O36" s="460"/>
      <c r="P36" s="459"/>
      <c r="Q36" s="460"/>
      <c r="R36" s="459"/>
      <c r="S36" s="460"/>
      <c r="T36" s="459"/>
      <c r="U36" s="460"/>
      <c r="V36" s="459"/>
      <c r="W36" s="460"/>
      <c r="X36" s="459"/>
      <c r="Y36" s="460"/>
      <c r="Z36" s="459"/>
      <c r="AA36" s="460"/>
      <c r="AB36" s="459"/>
      <c r="AC36" s="460"/>
      <c r="AD36" s="459"/>
      <c r="AE36" s="460"/>
      <c r="AF36" s="459"/>
      <c r="AG36" s="460"/>
      <c r="AH36" s="459"/>
      <c r="AI36" s="460"/>
      <c r="AJ36" s="459"/>
      <c r="AK36" s="460"/>
      <c r="AL36" s="459"/>
      <c r="AM36" s="460"/>
      <c r="AN36" s="459"/>
      <c r="AO36" s="460"/>
      <c r="AP36" s="459"/>
      <c r="AQ36" s="460"/>
      <c r="AR36" s="459"/>
      <c r="AS36" s="460"/>
      <c r="AT36" s="94"/>
    </row>
    <row r="37" spans="2:46" ht="18" customHeight="1" x14ac:dyDescent="0.6">
      <c r="B37" s="454"/>
      <c r="C37" s="458">
        <f>'Plot Data'!F66</f>
        <v>28.506482351081882</v>
      </c>
      <c r="D37" s="13"/>
      <c r="E37" s="8"/>
      <c r="F37" s="470"/>
      <c r="G37" s="471"/>
      <c r="H37" s="459"/>
      <c r="I37" s="460"/>
      <c r="J37" s="459"/>
      <c r="K37" s="460"/>
      <c r="L37" s="459"/>
      <c r="M37" s="460"/>
      <c r="N37" s="459"/>
      <c r="O37" s="460"/>
      <c r="P37" s="459"/>
      <c r="Q37" s="460"/>
      <c r="R37" s="459"/>
      <c r="S37" s="460"/>
      <c r="T37" s="459"/>
      <c r="U37" s="460"/>
      <c r="V37" s="459"/>
      <c r="W37" s="460"/>
      <c r="X37" s="459"/>
      <c r="Y37" s="460"/>
      <c r="Z37" s="459"/>
      <c r="AA37" s="460"/>
      <c r="AB37" s="459"/>
      <c r="AC37" s="460"/>
      <c r="AD37" s="459"/>
      <c r="AE37" s="460"/>
      <c r="AF37" s="459"/>
      <c r="AG37" s="460"/>
      <c r="AH37" s="459"/>
      <c r="AI37" s="460"/>
      <c r="AJ37" s="459"/>
      <c r="AK37" s="460"/>
      <c r="AL37" s="459"/>
      <c r="AM37" s="460"/>
      <c r="AN37" s="459"/>
      <c r="AO37" s="460"/>
      <c r="AP37" s="459"/>
      <c r="AQ37" s="460"/>
      <c r="AR37" s="459"/>
      <c r="AS37" s="460"/>
      <c r="AT37" s="94"/>
    </row>
    <row r="38" spans="2:46" ht="18" customHeight="1" x14ac:dyDescent="0.6">
      <c r="B38" s="454"/>
      <c r="C38" s="458"/>
      <c r="D38" s="7"/>
      <c r="E38" s="8"/>
      <c r="F38" s="459"/>
      <c r="G38" s="460"/>
      <c r="H38" s="459"/>
      <c r="I38" s="460"/>
      <c r="J38" s="459"/>
      <c r="K38" s="460"/>
      <c r="L38" s="459"/>
      <c r="M38" s="460"/>
      <c r="N38" s="459"/>
      <c r="O38" s="460"/>
      <c r="P38" s="459"/>
      <c r="Q38" s="460"/>
      <c r="R38" s="459"/>
      <c r="S38" s="460"/>
      <c r="T38" s="459"/>
      <c r="U38" s="460"/>
      <c r="V38" s="459"/>
      <c r="W38" s="460"/>
      <c r="X38" s="459"/>
      <c r="Y38" s="460"/>
      <c r="Z38" s="459"/>
      <c r="AA38" s="460"/>
      <c r="AB38" s="459"/>
      <c r="AC38" s="460"/>
      <c r="AD38" s="459"/>
      <c r="AE38" s="460"/>
      <c r="AF38" s="459"/>
      <c r="AG38" s="460"/>
      <c r="AH38" s="459"/>
      <c r="AI38" s="460"/>
      <c r="AJ38" s="459"/>
      <c r="AK38" s="460"/>
      <c r="AL38" s="459"/>
      <c r="AM38" s="460"/>
      <c r="AN38" s="459"/>
      <c r="AO38" s="460"/>
      <c r="AP38" s="459"/>
      <c r="AQ38" s="460"/>
      <c r="AR38" s="459"/>
      <c r="AS38" s="460"/>
      <c r="AT38" s="94"/>
    </row>
    <row r="39" spans="2:46" ht="18" customHeight="1" x14ac:dyDescent="0.6">
      <c r="B39" s="454"/>
      <c r="C39" s="458">
        <f>C43+(C37-C43)/2</f>
        <v>28.363486971536148</v>
      </c>
      <c r="D39" s="13"/>
      <c r="E39" s="8"/>
      <c r="F39" s="459"/>
      <c r="G39" s="460"/>
      <c r="H39" s="459"/>
      <c r="I39" s="460"/>
      <c r="J39" s="459"/>
      <c r="K39" s="460"/>
      <c r="L39" s="459"/>
      <c r="M39" s="460"/>
      <c r="N39" s="459"/>
      <c r="O39" s="460"/>
      <c r="P39" s="459"/>
      <c r="Q39" s="460"/>
      <c r="R39" s="459"/>
      <c r="S39" s="460"/>
      <c r="T39" s="459"/>
      <c r="U39" s="460"/>
      <c r="V39" s="459"/>
      <c r="W39" s="460"/>
      <c r="X39" s="459"/>
      <c r="Y39" s="460"/>
      <c r="Z39" s="459"/>
      <c r="AA39" s="460"/>
      <c r="AB39" s="459"/>
      <c r="AC39" s="460"/>
      <c r="AD39" s="459"/>
      <c r="AE39" s="460"/>
      <c r="AF39" s="459"/>
      <c r="AG39" s="460"/>
      <c r="AH39" s="459"/>
      <c r="AI39" s="460"/>
      <c r="AJ39" s="459"/>
      <c r="AK39" s="460"/>
      <c r="AL39" s="459"/>
      <c r="AM39" s="460"/>
      <c r="AN39" s="459"/>
      <c r="AO39" s="460"/>
      <c r="AP39" s="459"/>
      <c r="AQ39" s="460"/>
      <c r="AR39" s="459"/>
      <c r="AS39" s="460"/>
      <c r="AT39" s="94"/>
    </row>
    <row r="40" spans="2:46" ht="18" customHeight="1" x14ac:dyDescent="0.6">
      <c r="B40" s="454"/>
      <c r="C40" s="458"/>
      <c r="D40" s="3"/>
      <c r="E40" s="8"/>
      <c r="F40" s="459"/>
      <c r="G40" s="460"/>
      <c r="H40" s="459"/>
      <c r="I40" s="460"/>
      <c r="J40" s="459"/>
      <c r="K40" s="460"/>
      <c r="L40" s="459"/>
      <c r="M40" s="460"/>
      <c r="N40" s="459"/>
      <c r="O40" s="460"/>
      <c r="P40" s="459"/>
      <c r="Q40" s="460"/>
      <c r="R40" s="459"/>
      <c r="S40" s="460"/>
      <c r="T40" s="459"/>
      <c r="U40" s="460"/>
      <c r="V40" s="459"/>
      <c r="W40" s="460"/>
      <c r="X40" s="459"/>
      <c r="Y40" s="460"/>
      <c r="Z40" s="459"/>
      <c r="AA40" s="460"/>
      <c r="AB40" s="459"/>
      <c r="AC40" s="460"/>
      <c r="AD40" s="459"/>
      <c r="AE40" s="460"/>
      <c r="AF40" s="459"/>
      <c r="AG40" s="460"/>
      <c r="AH40" s="459"/>
      <c r="AI40" s="460"/>
      <c r="AJ40" s="459"/>
      <c r="AK40" s="460"/>
      <c r="AL40" s="459"/>
      <c r="AM40" s="460"/>
      <c r="AN40" s="459"/>
      <c r="AO40" s="460"/>
      <c r="AP40" s="459"/>
      <c r="AQ40" s="460"/>
      <c r="AR40" s="459"/>
      <c r="AS40" s="460"/>
      <c r="AT40" s="94"/>
    </row>
    <row r="41" spans="2:46" ht="18" customHeight="1" x14ac:dyDescent="0.6">
      <c r="B41" s="454"/>
      <c r="C41" s="458"/>
      <c r="D41" s="3"/>
      <c r="E41" s="8"/>
      <c r="F41" s="459"/>
      <c r="G41" s="460"/>
      <c r="H41" s="459"/>
      <c r="I41" s="460"/>
      <c r="J41" s="459"/>
      <c r="K41" s="460"/>
      <c r="L41" s="459"/>
      <c r="M41" s="460"/>
      <c r="N41" s="459"/>
      <c r="O41" s="460"/>
      <c r="P41" s="459"/>
      <c r="Q41" s="460"/>
      <c r="R41" s="459"/>
      <c r="S41" s="460"/>
      <c r="T41" s="459"/>
      <c r="U41" s="460"/>
      <c r="V41" s="459"/>
      <c r="W41" s="460"/>
      <c r="X41" s="459"/>
      <c r="Y41" s="460"/>
      <c r="Z41" s="459"/>
      <c r="AA41" s="460"/>
      <c r="AB41" s="459"/>
      <c r="AC41" s="460"/>
      <c r="AD41" s="459"/>
      <c r="AE41" s="460"/>
      <c r="AF41" s="459"/>
      <c r="AG41" s="460"/>
      <c r="AH41" s="459"/>
      <c r="AI41" s="460"/>
      <c r="AJ41" s="459"/>
      <c r="AK41" s="460"/>
      <c r="AL41" s="459"/>
      <c r="AM41" s="460"/>
      <c r="AN41" s="459"/>
      <c r="AO41" s="460"/>
      <c r="AP41" s="459"/>
      <c r="AQ41" s="460"/>
      <c r="AR41" s="459"/>
      <c r="AS41" s="460"/>
      <c r="AT41" s="94"/>
    </row>
    <row r="42" spans="2:46" ht="18" customHeight="1" x14ac:dyDescent="0.6">
      <c r="B42" s="454"/>
      <c r="C42" s="458"/>
      <c r="D42" s="7"/>
      <c r="E42" s="8"/>
      <c r="F42" s="459"/>
      <c r="G42" s="460"/>
      <c r="H42" s="459"/>
      <c r="I42" s="460"/>
      <c r="J42" s="459"/>
      <c r="K42" s="460"/>
      <c r="L42" s="459"/>
      <c r="M42" s="460"/>
      <c r="N42" s="459"/>
      <c r="O42" s="460"/>
      <c r="P42" s="459"/>
      <c r="Q42" s="460"/>
      <c r="R42" s="459"/>
      <c r="S42" s="460"/>
      <c r="T42" s="459"/>
      <c r="U42" s="460"/>
      <c r="V42" s="459"/>
      <c r="W42" s="460"/>
      <c r="X42" s="459"/>
      <c r="Y42" s="460"/>
      <c r="Z42" s="459"/>
      <c r="AA42" s="460"/>
      <c r="AB42" s="459"/>
      <c r="AC42" s="460"/>
      <c r="AD42" s="459"/>
      <c r="AE42" s="460"/>
      <c r="AF42" s="459"/>
      <c r="AG42" s="460"/>
      <c r="AH42" s="459"/>
      <c r="AI42" s="460"/>
      <c r="AJ42" s="459"/>
      <c r="AK42" s="460"/>
      <c r="AL42" s="459"/>
      <c r="AM42" s="460"/>
      <c r="AN42" s="459"/>
      <c r="AO42" s="460"/>
      <c r="AP42" s="459"/>
      <c r="AQ42" s="460"/>
      <c r="AR42" s="459"/>
      <c r="AS42" s="460"/>
      <c r="AT42" s="94"/>
    </row>
    <row r="43" spans="2:46" ht="18" customHeight="1" thickBot="1" x14ac:dyDescent="0.35">
      <c r="B43" s="454"/>
      <c r="C43" s="458">
        <f>'Plot Data'!F65</f>
        <v>28.220491591990413</v>
      </c>
      <c r="D43" s="9"/>
      <c r="E43" s="10"/>
      <c r="F43" s="11"/>
      <c r="G43" s="12"/>
      <c r="H43" s="11"/>
      <c r="I43" s="12"/>
      <c r="J43" s="11"/>
      <c r="K43" s="12"/>
      <c r="L43" s="11"/>
      <c r="M43" s="12"/>
      <c r="N43" s="11"/>
      <c r="O43" s="12"/>
      <c r="P43" s="11"/>
      <c r="Q43" s="12"/>
      <c r="R43" s="11"/>
      <c r="S43" s="12"/>
      <c r="T43" s="11"/>
      <c r="U43" s="12"/>
      <c r="V43" s="11"/>
      <c r="W43" s="12"/>
      <c r="X43" s="11"/>
      <c r="Y43" s="12"/>
      <c r="Z43" s="11"/>
      <c r="AA43" s="12"/>
      <c r="AB43" s="11"/>
      <c r="AC43" s="12"/>
      <c r="AD43" s="11"/>
      <c r="AE43" s="12"/>
      <c r="AF43" s="11"/>
      <c r="AG43" s="12"/>
      <c r="AH43" s="11"/>
      <c r="AI43" s="12"/>
      <c r="AJ43" s="11"/>
      <c r="AK43" s="12"/>
      <c r="AL43" s="11"/>
      <c r="AM43" s="12"/>
      <c r="AN43" s="11"/>
      <c r="AO43" s="12"/>
      <c r="AP43" s="11"/>
      <c r="AQ43" s="12"/>
      <c r="AR43" s="11"/>
      <c r="AS43" s="12"/>
      <c r="AT43" s="463" t="s">
        <v>46</v>
      </c>
    </row>
    <row r="44" spans="2:46" ht="18" customHeight="1" x14ac:dyDescent="0.3">
      <c r="B44" s="454"/>
      <c r="C44" s="458"/>
      <c r="D44" s="7"/>
      <c r="E44" s="8"/>
      <c r="F44" s="459"/>
      <c r="G44" s="460"/>
      <c r="H44" s="459"/>
      <c r="I44" s="460"/>
      <c r="J44" s="459"/>
      <c r="K44" s="460"/>
      <c r="L44" s="459"/>
      <c r="M44" s="460"/>
      <c r="N44" s="459"/>
      <c r="O44" s="460"/>
      <c r="P44" s="459"/>
      <c r="Q44" s="460"/>
      <c r="R44" s="459"/>
      <c r="S44" s="460"/>
      <c r="T44" s="459"/>
      <c r="U44" s="460"/>
      <c r="V44" s="459"/>
      <c r="W44" s="460"/>
      <c r="X44" s="459"/>
      <c r="Y44" s="460"/>
      <c r="Z44" s="459"/>
      <c r="AA44" s="460"/>
      <c r="AB44" s="459"/>
      <c r="AC44" s="460"/>
      <c r="AD44" s="459"/>
      <c r="AE44" s="460"/>
      <c r="AF44" s="459"/>
      <c r="AG44" s="460"/>
      <c r="AH44" s="459"/>
      <c r="AI44" s="460"/>
      <c r="AJ44" s="459"/>
      <c r="AK44" s="460"/>
      <c r="AL44" s="459"/>
      <c r="AM44" s="460"/>
      <c r="AN44" s="459"/>
      <c r="AO44" s="460"/>
      <c r="AP44" s="459"/>
      <c r="AQ44" s="460"/>
      <c r="AR44" s="459"/>
      <c r="AS44" s="460"/>
      <c r="AT44" s="464"/>
    </row>
    <row r="45" spans="2:46" ht="18" customHeight="1" x14ac:dyDescent="0.6">
      <c r="B45" s="454"/>
      <c r="C45" s="458">
        <f>C49+(C43-C49)/2</f>
        <v>28.077496212444679</v>
      </c>
      <c r="D45" s="13"/>
      <c r="E45" s="8"/>
      <c r="F45" s="459"/>
      <c r="G45" s="460"/>
      <c r="H45" s="459"/>
      <c r="I45" s="460"/>
      <c r="J45" s="459"/>
      <c r="K45" s="460"/>
      <c r="L45" s="459"/>
      <c r="M45" s="460"/>
      <c r="N45" s="459"/>
      <c r="O45" s="460"/>
      <c r="P45" s="459"/>
      <c r="Q45" s="460"/>
      <c r="R45" s="459"/>
      <c r="S45" s="460"/>
      <c r="T45" s="459"/>
      <c r="U45" s="460"/>
      <c r="V45" s="459"/>
      <c r="W45" s="460"/>
      <c r="X45" s="459"/>
      <c r="Y45" s="460"/>
      <c r="Z45" s="459"/>
      <c r="AA45" s="460"/>
      <c r="AB45" s="459"/>
      <c r="AC45" s="460"/>
      <c r="AD45" s="459"/>
      <c r="AE45" s="460"/>
      <c r="AF45" s="459"/>
      <c r="AG45" s="460"/>
      <c r="AH45" s="459"/>
      <c r="AI45" s="460"/>
      <c r="AJ45" s="459"/>
      <c r="AK45" s="460"/>
      <c r="AL45" s="459"/>
      <c r="AM45" s="460"/>
      <c r="AN45" s="459"/>
      <c r="AO45" s="460"/>
      <c r="AP45" s="459"/>
      <c r="AQ45" s="460"/>
      <c r="AR45" s="459"/>
      <c r="AS45" s="460"/>
      <c r="AT45" s="94"/>
    </row>
    <row r="46" spans="2:46" ht="18" customHeight="1" x14ac:dyDescent="0.6">
      <c r="B46" s="454"/>
      <c r="C46" s="458"/>
      <c r="D46" s="3"/>
      <c r="E46" s="8"/>
      <c r="F46" s="459"/>
      <c r="G46" s="460"/>
      <c r="H46" s="459"/>
      <c r="I46" s="460"/>
      <c r="J46" s="459"/>
      <c r="K46" s="460"/>
      <c r="L46" s="459"/>
      <c r="M46" s="460"/>
      <c r="N46" s="459"/>
      <c r="O46" s="460"/>
      <c r="P46" s="459"/>
      <c r="Q46" s="460"/>
      <c r="R46" s="459"/>
      <c r="S46" s="460"/>
      <c r="T46" s="459"/>
      <c r="U46" s="460"/>
      <c r="V46" s="459"/>
      <c r="W46" s="460"/>
      <c r="X46" s="459"/>
      <c r="Y46" s="460"/>
      <c r="Z46" s="459"/>
      <c r="AA46" s="460"/>
      <c r="AB46" s="459"/>
      <c r="AC46" s="460"/>
      <c r="AD46" s="459"/>
      <c r="AE46" s="460"/>
      <c r="AF46" s="459"/>
      <c r="AG46" s="460"/>
      <c r="AH46" s="459"/>
      <c r="AI46" s="460"/>
      <c r="AJ46" s="459"/>
      <c r="AK46" s="460"/>
      <c r="AL46" s="459"/>
      <c r="AM46" s="460"/>
      <c r="AN46" s="459"/>
      <c r="AO46" s="460"/>
      <c r="AP46" s="459"/>
      <c r="AQ46" s="460"/>
      <c r="AR46" s="459"/>
      <c r="AS46" s="460"/>
      <c r="AT46" s="94"/>
    </row>
    <row r="47" spans="2:46" ht="18" customHeight="1" x14ac:dyDescent="0.6">
      <c r="B47" s="454"/>
      <c r="C47" s="458"/>
      <c r="D47" s="3"/>
      <c r="E47" s="8"/>
      <c r="F47" s="459"/>
      <c r="G47" s="460"/>
      <c r="H47" s="459"/>
      <c r="I47" s="460"/>
      <c r="J47" s="459"/>
      <c r="K47" s="460"/>
      <c r="L47" s="459"/>
      <c r="M47" s="460"/>
      <c r="N47" s="459"/>
      <c r="O47" s="460"/>
      <c r="P47" s="459"/>
      <c r="Q47" s="460"/>
      <c r="R47" s="459"/>
      <c r="S47" s="460"/>
      <c r="T47" s="459"/>
      <c r="U47" s="460"/>
      <c r="V47" s="459"/>
      <c r="W47" s="460"/>
      <c r="X47" s="459"/>
      <c r="Y47" s="460"/>
      <c r="Z47" s="459"/>
      <c r="AA47" s="460"/>
      <c r="AB47" s="459"/>
      <c r="AC47" s="460"/>
      <c r="AD47" s="459"/>
      <c r="AE47" s="460"/>
      <c r="AF47" s="459"/>
      <c r="AG47" s="460"/>
      <c r="AH47" s="459"/>
      <c r="AI47" s="460"/>
      <c r="AJ47" s="459"/>
      <c r="AK47" s="460"/>
      <c r="AL47" s="459"/>
      <c r="AM47" s="460"/>
      <c r="AN47" s="459"/>
      <c r="AO47" s="460"/>
      <c r="AP47" s="459"/>
      <c r="AQ47" s="460"/>
      <c r="AR47" s="459"/>
      <c r="AS47" s="460"/>
      <c r="AT47" s="94"/>
    </row>
    <row r="48" spans="2:46" ht="18" customHeight="1" x14ac:dyDescent="0.6">
      <c r="B48" s="454"/>
      <c r="C48" s="458"/>
      <c r="D48" s="7"/>
      <c r="E48" s="8"/>
      <c r="F48" s="459"/>
      <c r="G48" s="460"/>
      <c r="H48" s="459"/>
      <c r="I48" s="460"/>
      <c r="J48" s="459"/>
      <c r="K48" s="460"/>
      <c r="L48" s="459"/>
      <c r="M48" s="460"/>
      <c r="N48" s="459"/>
      <c r="O48" s="460"/>
      <c r="P48" s="459"/>
      <c r="Q48" s="460"/>
      <c r="R48" s="459"/>
      <c r="S48" s="460"/>
      <c r="T48" s="459"/>
      <c r="U48" s="460"/>
      <c r="V48" s="459"/>
      <c r="W48" s="460"/>
      <c r="X48" s="459"/>
      <c r="Y48" s="460"/>
      <c r="Z48" s="459"/>
      <c r="AA48" s="460"/>
      <c r="AB48" s="459"/>
      <c r="AC48" s="460"/>
      <c r="AD48" s="459"/>
      <c r="AE48" s="460"/>
      <c r="AF48" s="459"/>
      <c r="AG48" s="460"/>
      <c r="AH48" s="459"/>
      <c r="AI48" s="460"/>
      <c r="AJ48" s="459"/>
      <c r="AK48" s="460"/>
      <c r="AL48" s="459"/>
      <c r="AM48" s="460"/>
      <c r="AN48" s="459"/>
      <c r="AO48" s="460"/>
      <c r="AP48" s="459"/>
      <c r="AQ48" s="460"/>
      <c r="AR48" s="459"/>
      <c r="AS48" s="460"/>
      <c r="AT48" s="94"/>
    </row>
    <row r="49" spans="2:46" ht="18" customHeight="1" thickBot="1" x14ac:dyDescent="0.35">
      <c r="B49" s="454"/>
      <c r="C49" s="458">
        <f>'Plot Data'!F67</f>
        <v>27.934500832898948</v>
      </c>
      <c r="D49" s="5"/>
      <c r="E49" s="6"/>
      <c r="F49" s="461"/>
      <c r="G49" s="462"/>
      <c r="H49" s="461"/>
      <c r="I49" s="462"/>
      <c r="J49" s="461"/>
      <c r="K49" s="462"/>
      <c r="L49" s="461"/>
      <c r="M49" s="462"/>
      <c r="N49" s="461"/>
      <c r="O49" s="462"/>
      <c r="P49" s="461"/>
      <c r="Q49" s="462"/>
      <c r="R49" s="461"/>
      <c r="S49" s="462"/>
      <c r="T49" s="461"/>
      <c r="U49" s="462"/>
      <c r="V49" s="461"/>
      <c r="W49" s="462"/>
      <c r="X49" s="461"/>
      <c r="Y49" s="462"/>
      <c r="Z49" s="461"/>
      <c r="AA49" s="462"/>
      <c r="AB49" s="461"/>
      <c r="AC49" s="462"/>
      <c r="AD49" s="461"/>
      <c r="AE49" s="462"/>
      <c r="AF49" s="461"/>
      <c r="AG49" s="462"/>
      <c r="AH49" s="461"/>
      <c r="AI49" s="462"/>
      <c r="AJ49" s="461"/>
      <c r="AK49" s="462"/>
      <c r="AL49" s="461"/>
      <c r="AM49" s="462"/>
      <c r="AN49" s="461"/>
      <c r="AO49" s="462"/>
      <c r="AP49" s="461"/>
      <c r="AQ49" s="462"/>
      <c r="AR49" s="461"/>
      <c r="AS49" s="462"/>
      <c r="AT49" s="463" t="s">
        <v>45</v>
      </c>
    </row>
    <row r="50" spans="2:46" ht="18" customHeight="1" thickTop="1" thickBot="1" x14ac:dyDescent="0.35">
      <c r="B50" s="455"/>
      <c r="C50" s="472"/>
      <c r="D50" s="77"/>
      <c r="E50" s="78"/>
      <c r="F50" s="473"/>
      <c r="G50" s="474"/>
      <c r="H50" s="473"/>
      <c r="I50" s="474"/>
      <c r="J50" s="473"/>
      <c r="K50" s="474"/>
      <c r="L50" s="473"/>
      <c r="M50" s="474"/>
      <c r="N50" s="473"/>
      <c r="O50" s="474"/>
      <c r="P50" s="473"/>
      <c r="Q50" s="474"/>
      <c r="R50" s="473"/>
      <c r="S50" s="474"/>
      <c r="T50" s="473"/>
      <c r="U50" s="474"/>
      <c r="V50" s="473"/>
      <c r="W50" s="474"/>
      <c r="X50" s="473"/>
      <c r="Y50" s="474"/>
      <c r="Z50" s="473"/>
      <c r="AA50" s="474"/>
      <c r="AB50" s="473"/>
      <c r="AC50" s="474"/>
      <c r="AD50" s="473"/>
      <c r="AE50" s="474"/>
      <c r="AF50" s="473"/>
      <c r="AG50" s="474"/>
      <c r="AH50" s="473"/>
      <c r="AI50" s="474"/>
      <c r="AJ50" s="473"/>
      <c r="AK50" s="474"/>
      <c r="AL50" s="473"/>
      <c r="AM50" s="474"/>
      <c r="AN50" s="473"/>
      <c r="AO50" s="474"/>
      <c r="AP50" s="473"/>
      <c r="AQ50" s="474"/>
      <c r="AR50" s="473"/>
      <c r="AS50" s="474"/>
      <c r="AT50" s="477"/>
    </row>
    <row r="51" spans="2:46" ht="30" customHeight="1" thickTop="1" thickBot="1" x14ac:dyDescent="0.35">
      <c r="B51" s="88"/>
      <c r="C51" s="95"/>
      <c r="D51" s="90"/>
      <c r="E51" s="89"/>
      <c r="F51" s="475"/>
      <c r="G51" s="476"/>
      <c r="H51" s="475"/>
      <c r="I51" s="476"/>
      <c r="J51" s="475"/>
      <c r="K51" s="476"/>
      <c r="L51" s="475"/>
      <c r="M51" s="476"/>
      <c r="N51" s="475"/>
      <c r="O51" s="476"/>
      <c r="P51" s="475"/>
      <c r="Q51" s="476"/>
      <c r="R51" s="475"/>
      <c r="S51" s="476"/>
      <c r="T51" s="475"/>
      <c r="U51" s="476"/>
      <c r="V51" s="475"/>
      <c r="W51" s="476"/>
      <c r="X51" s="475"/>
      <c r="Y51" s="476"/>
      <c r="Z51" s="475"/>
      <c r="AA51" s="476"/>
      <c r="AB51" s="475"/>
      <c r="AC51" s="476"/>
      <c r="AD51" s="475"/>
      <c r="AE51" s="476"/>
      <c r="AF51" s="475"/>
      <c r="AG51" s="476"/>
      <c r="AH51" s="475"/>
      <c r="AI51" s="476"/>
      <c r="AJ51" s="475"/>
      <c r="AK51" s="476"/>
      <c r="AL51" s="475"/>
      <c r="AM51" s="476"/>
      <c r="AN51" s="475"/>
      <c r="AO51" s="476"/>
      <c r="AP51" s="475"/>
      <c r="AQ51" s="476"/>
      <c r="AR51" s="475"/>
      <c r="AS51" s="476"/>
      <c r="AT51" s="91"/>
    </row>
    <row r="52" spans="2:46" ht="9" customHeight="1" thickTop="1" x14ac:dyDescent="0.3">
      <c r="B52" s="478" t="s">
        <v>7</v>
      </c>
      <c r="C52" s="96"/>
      <c r="D52" s="79"/>
      <c r="E52" s="74"/>
      <c r="F52" s="456"/>
      <c r="G52" s="457"/>
      <c r="H52" s="456"/>
      <c r="I52" s="457"/>
      <c r="J52" s="456"/>
      <c r="K52" s="457"/>
      <c r="L52" s="456"/>
      <c r="M52" s="457"/>
      <c r="N52" s="456"/>
      <c r="O52" s="457"/>
      <c r="P52" s="456"/>
      <c r="Q52" s="457"/>
      <c r="R52" s="456"/>
      <c r="S52" s="457"/>
      <c r="T52" s="456"/>
      <c r="U52" s="457"/>
      <c r="V52" s="456"/>
      <c r="W52" s="457"/>
      <c r="X52" s="456"/>
      <c r="Y52" s="457"/>
      <c r="Z52" s="456"/>
      <c r="AA52" s="457"/>
      <c r="AB52" s="456"/>
      <c r="AC52" s="457"/>
      <c r="AD52" s="456"/>
      <c r="AE52" s="457"/>
      <c r="AF52" s="456"/>
      <c r="AG52" s="457"/>
      <c r="AH52" s="456"/>
      <c r="AI52" s="457"/>
      <c r="AJ52" s="456"/>
      <c r="AK52" s="457"/>
      <c r="AL52" s="456"/>
      <c r="AM52" s="457"/>
      <c r="AN52" s="456"/>
      <c r="AO52" s="457"/>
      <c r="AP52" s="456"/>
      <c r="AQ52" s="457"/>
      <c r="AR52" s="456"/>
      <c r="AS52" s="457"/>
      <c r="AT52" s="75"/>
    </row>
    <row r="53" spans="2:46" ht="9" customHeight="1" x14ac:dyDescent="0.3">
      <c r="B53" s="479"/>
      <c r="C53" s="97"/>
      <c r="D53" s="13"/>
      <c r="E53" s="4"/>
      <c r="F53" s="481"/>
      <c r="G53" s="482"/>
      <c r="H53" s="481"/>
      <c r="I53" s="482"/>
      <c r="J53" s="481"/>
      <c r="K53" s="482"/>
      <c r="L53" s="481"/>
      <c r="M53" s="482"/>
      <c r="N53" s="481"/>
      <c r="O53" s="482"/>
      <c r="P53" s="481"/>
      <c r="Q53" s="482"/>
      <c r="R53" s="481"/>
      <c r="S53" s="482"/>
      <c r="T53" s="481"/>
      <c r="U53" s="482"/>
      <c r="V53" s="481"/>
      <c r="W53" s="482"/>
      <c r="X53" s="481"/>
      <c r="Y53" s="482"/>
      <c r="Z53" s="481"/>
      <c r="AA53" s="482"/>
      <c r="AB53" s="481"/>
      <c r="AC53" s="482"/>
      <c r="AD53" s="481"/>
      <c r="AE53" s="482"/>
      <c r="AF53" s="481"/>
      <c r="AG53" s="482"/>
      <c r="AH53" s="481"/>
      <c r="AI53" s="482"/>
      <c r="AJ53" s="481"/>
      <c r="AK53" s="482"/>
      <c r="AL53" s="481"/>
      <c r="AM53" s="482"/>
      <c r="AN53" s="481"/>
      <c r="AO53" s="482"/>
      <c r="AP53" s="481"/>
      <c r="AQ53" s="482"/>
      <c r="AR53" s="481"/>
      <c r="AS53" s="482"/>
      <c r="AT53" s="80"/>
    </row>
    <row r="54" spans="2:46" ht="9" customHeight="1" x14ac:dyDescent="0.3">
      <c r="B54" s="479"/>
      <c r="C54" s="97"/>
      <c r="D54" s="3"/>
      <c r="E54" s="8"/>
      <c r="F54" s="459"/>
      <c r="G54" s="460"/>
      <c r="H54" s="459"/>
      <c r="I54" s="460"/>
      <c r="J54" s="459"/>
      <c r="K54" s="460"/>
      <c r="L54" s="459"/>
      <c r="M54" s="460"/>
      <c r="N54" s="459"/>
      <c r="O54" s="460"/>
      <c r="P54" s="459"/>
      <c r="Q54" s="460"/>
      <c r="R54" s="459"/>
      <c r="S54" s="460"/>
      <c r="T54" s="459"/>
      <c r="U54" s="460"/>
      <c r="V54" s="459"/>
      <c r="W54" s="460"/>
      <c r="X54" s="459"/>
      <c r="Y54" s="460"/>
      <c r="Z54" s="459"/>
      <c r="AA54" s="460"/>
      <c r="AB54" s="459"/>
      <c r="AC54" s="460"/>
      <c r="AD54" s="459"/>
      <c r="AE54" s="460"/>
      <c r="AF54" s="459"/>
      <c r="AG54" s="460"/>
      <c r="AH54" s="459"/>
      <c r="AI54" s="460"/>
      <c r="AJ54" s="459"/>
      <c r="AK54" s="460"/>
      <c r="AL54" s="459"/>
      <c r="AM54" s="460"/>
      <c r="AN54" s="459"/>
      <c r="AO54" s="460"/>
      <c r="AP54" s="459"/>
      <c r="AQ54" s="460"/>
      <c r="AR54" s="459"/>
      <c r="AS54" s="460"/>
      <c r="AT54" s="76"/>
    </row>
    <row r="55" spans="2:46" ht="9" customHeight="1" thickBot="1" x14ac:dyDescent="0.4">
      <c r="B55" s="479"/>
      <c r="C55" s="485">
        <f>'Plot Data'!F68</f>
        <v>0.86091428571428585</v>
      </c>
      <c r="D55" s="70"/>
      <c r="E55" s="71"/>
      <c r="F55" s="483"/>
      <c r="G55" s="484"/>
      <c r="H55" s="483"/>
      <c r="I55" s="484"/>
      <c r="J55" s="483"/>
      <c r="K55" s="484"/>
      <c r="L55" s="483"/>
      <c r="M55" s="484"/>
      <c r="N55" s="483"/>
      <c r="O55" s="484"/>
      <c r="P55" s="483"/>
      <c r="Q55" s="484"/>
      <c r="R55" s="483"/>
      <c r="S55" s="484"/>
      <c r="T55" s="483"/>
      <c r="U55" s="484"/>
      <c r="V55" s="483"/>
      <c r="W55" s="484"/>
      <c r="X55" s="483"/>
      <c r="Y55" s="484"/>
      <c r="Z55" s="483"/>
      <c r="AA55" s="484"/>
      <c r="AB55" s="483"/>
      <c r="AC55" s="484"/>
      <c r="AD55" s="483"/>
      <c r="AE55" s="484"/>
      <c r="AF55" s="483"/>
      <c r="AG55" s="484"/>
      <c r="AH55" s="483"/>
      <c r="AI55" s="484"/>
      <c r="AJ55" s="483"/>
      <c r="AK55" s="484"/>
      <c r="AL55" s="483"/>
      <c r="AM55" s="484"/>
      <c r="AN55" s="483"/>
      <c r="AO55" s="484"/>
      <c r="AP55" s="483"/>
      <c r="AQ55" s="484"/>
      <c r="AR55" s="483"/>
      <c r="AS55" s="484"/>
      <c r="AT55" s="81"/>
    </row>
    <row r="56" spans="2:46" ht="9" customHeight="1" thickTop="1" x14ac:dyDescent="0.3">
      <c r="B56" s="479"/>
      <c r="C56" s="486"/>
      <c r="D56" s="19"/>
      <c r="E56" s="20"/>
      <c r="F56" s="487"/>
      <c r="G56" s="488"/>
      <c r="H56" s="487"/>
      <c r="I56" s="488"/>
      <c r="J56" s="487"/>
      <c r="K56" s="488"/>
      <c r="L56" s="487"/>
      <c r="M56" s="488"/>
      <c r="N56" s="487"/>
      <c r="O56" s="488"/>
      <c r="P56" s="487"/>
      <c r="Q56" s="488"/>
      <c r="R56" s="487"/>
      <c r="S56" s="488"/>
      <c r="T56" s="487"/>
      <c r="U56" s="488"/>
      <c r="V56" s="487"/>
      <c r="W56" s="488"/>
      <c r="X56" s="487"/>
      <c r="Y56" s="488"/>
      <c r="Z56" s="487"/>
      <c r="AA56" s="488"/>
      <c r="AB56" s="487"/>
      <c r="AC56" s="488"/>
      <c r="AD56" s="487"/>
      <c r="AE56" s="488"/>
      <c r="AF56" s="487"/>
      <c r="AG56" s="488"/>
      <c r="AH56" s="487"/>
      <c r="AI56" s="488"/>
      <c r="AJ56" s="487"/>
      <c r="AK56" s="488"/>
      <c r="AL56" s="487"/>
      <c r="AM56" s="488"/>
      <c r="AN56" s="487"/>
      <c r="AO56" s="488"/>
      <c r="AP56" s="487"/>
      <c r="AQ56" s="488"/>
      <c r="AR56" s="487"/>
      <c r="AS56" s="488"/>
      <c r="AT56" s="82"/>
    </row>
    <row r="57" spans="2:46" ht="9" customHeight="1" x14ac:dyDescent="0.3">
      <c r="B57" s="479"/>
      <c r="C57" s="458"/>
      <c r="D57" s="13"/>
      <c r="E57" s="8"/>
      <c r="F57" s="459"/>
      <c r="G57" s="460"/>
      <c r="H57" s="459"/>
      <c r="I57" s="460"/>
      <c r="J57" s="459"/>
      <c r="K57" s="460"/>
      <c r="L57" s="459"/>
      <c r="M57" s="460"/>
      <c r="N57" s="459"/>
      <c r="O57" s="460"/>
      <c r="P57" s="459"/>
      <c r="Q57" s="460"/>
      <c r="R57" s="459"/>
      <c r="S57" s="460"/>
      <c r="T57" s="459"/>
      <c r="U57" s="460"/>
      <c r="V57" s="459"/>
      <c r="W57" s="460"/>
      <c r="X57" s="459"/>
      <c r="Y57" s="460"/>
      <c r="Z57" s="459"/>
      <c r="AA57" s="460"/>
      <c r="AB57" s="459"/>
      <c r="AC57" s="460"/>
      <c r="AD57" s="459"/>
      <c r="AE57" s="460"/>
      <c r="AF57" s="459"/>
      <c r="AG57" s="460"/>
      <c r="AH57" s="459"/>
      <c r="AI57" s="460"/>
      <c r="AJ57" s="459"/>
      <c r="AK57" s="460"/>
      <c r="AL57" s="459"/>
      <c r="AM57" s="460"/>
      <c r="AN57" s="459"/>
      <c r="AO57" s="460"/>
      <c r="AP57" s="459"/>
      <c r="AQ57" s="460"/>
      <c r="AR57" s="459"/>
      <c r="AS57" s="460"/>
      <c r="AT57" s="76"/>
    </row>
    <row r="58" spans="2:46" ht="9" customHeight="1" x14ac:dyDescent="0.3">
      <c r="B58" s="479"/>
      <c r="C58" s="458"/>
      <c r="D58" s="3"/>
      <c r="E58" s="8"/>
      <c r="F58" s="459"/>
      <c r="G58" s="460"/>
      <c r="H58" s="459"/>
      <c r="I58" s="460"/>
      <c r="J58" s="459"/>
      <c r="K58" s="460"/>
      <c r="L58" s="459"/>
      <c r="M58" s="460"/>
      <c r="N58" s="459"/>
      <c r="O58" s="460"/>
      <c r="P58" s="459"/>
      <c r="Q58" s="460"/>
      <c r="R58" s="459"/>
      <c r="S58" s="460"/>
      <c r="T58" s="459"/>
      <c r="U58" s="460"/>
      <c r="V58" s="459"/>
      <c r="W58" s="460"/>
      <c r="X58" s="459"/>
      <c r="Y58" s="460"/>
      <c r="Z58" s="459"/>
      <c r="AA58" s="460"/>
      <c r="AB58" s="459"/>
      <c r="AC58" s="460"/>
      <c r="AD58" s="459"/>
      <c r="AE58" s="460"/>
      <c r="AF58" s="459"/>
      <c r="AG58" s="460"/>
      <c r="AH58" s="459"/>
      <c r="AI58" s="460"/>
      <c r="AJ58" s="459"/>
      <c r="AK58" s="460"/>
      <c r="AL58" s="459"/>
      <c r="AM58" s="460"/>
      <c r="AN58" s="459"/>
      <c r="AO58" s="460"/>
      <c r="AP58" s="459"/>
      <c r="AQ58" s="460"/>
      <c r="AR58" s="459"/>
      <c r="AS58" s="460"/>
      <c r="AT58" s="76"/>
    </row>
    <row r="59" spans="2:46" ht="9" customHeight="1" x14ac:dyDescent="0.3">
      <c r="B59" s="479"/>
      <c r="C59" s="458">
        <f>C63+(C55-C63)/2</f>
        <v>0.75330000000000008</v>
      </c>
      <c r="D59" s="13"/>
      <c r="E59" s="4"/>
      <c r="F59" s="459"/>
      <c r="G59" s="460"/>
      <c r="H59" s="459"/>
      <c r="I59" s="460"/>
      <c r="J59" s="459"/>
      <c r="K59" s="460"/>
      <c r="L59" s="459"/>
      <c r="M59" s="460"/>
      <c r="N59" s="459"/>
      <c r="O59" s="460"/>
      <c r="P59" s="459"/>
      <c r="Q59" s="460"/>
      <c r="R59" s="459"/>
      <c r="S59" s="460"/>
      <c r="T59" s="459"/>
      <c r="U59" s="460"/>
      <c r="V59" s="459"/>
      <c r="W59" s="460"/>
      <c r="X59" s="459"/>
      <c r="Y59" s="460"/>
      <c r="Z59" s="459"/>
      <c r="AA59" s="460"/>
      <c r="AB59" s="459"/>
      <c r="AC59" s="460"/>
      <c r="AD59" s="459"/>
      <c r="AE59" s="460"/>
      <c r="AF59" s="459"/>
      <c r="AG59" s="460"/>
      <c r="AH59" s="459"/>
      <c r="AI59" s="460"/>
      <c r="AJ59" s="459"/>
      <c r="AK59" s="460"/>
      <c r="AL59" s="459"/>
      <c r="AM59" s="460"/>
      <c r="AN59" s="459"/>
      <c r="AO59" s="460"/>
      <c r="AP59" s="459"/>
      <c r="AQ59" s="460"/>
      <c r="AR59" s="459"/>
      <c r="AS59" s="460"/>
      <c r="AT59" s="80"/>
    </row>
    <row r="60" spans="2:46" ht="9" customHeight="1" x14ac:dyDescent="0.3">
      <c r="B60" s="479"/>
      <c r="C60" s="458"/>
      <c r="D60" s="13"/>
      <c r="E60" s="4"/>
      <c r="F60" s="459"/>
      <c r="G60" s="460"/>
      <c r="H60" s="459"/>
      <c r="I60" s="460"/>
      <c r="J60" s="459"/>
      <c r="K60" s="460"/>
      <c r="L60" s="459"/>
      <c r="M60" s="460"/>
      <c r="N60" s="459"/>
      <c r="O60" s="460"/>
      <c r="P60" s="459"/>
      <c r="Q60" s="460"/>
      <c r="R60" s="459"/>
      <c r="S60" s="460"/>
      <c r="T60" s="459"/>
      <c r="U60" s="460"/>
      <c r="V60" s="459"/>
      <c r="W60" s="460"/>
      <c r="X60" s="459"/>
      <c r="Y60" s="460"/>
      <c r="Z60" s="459"/>
      <c r="AA60" s="460"/>
      <c r="AB60" s="459"/>
      <c r="AC60" s="460"/>
      <c r="AD60" s="459"/>
      <c r="AE60" s="460"/>
      <c r="AF60" s="459"/>
      <c r="AG60" s="460"/>
      <c r="AH60" s="459"/>
      <c r="AI60" s="460"/>
      <c r="AJ60" s="459"/>
      <c r="AK60" s="460"/>
      <c r="AL60" s="459"/>
      <c r="AM60" s="460"/>
      <c r="AN60" s="459"/>
      <c r="AO60" s="460"/>
      <c r="AP60" s="459"/>
      <c r="AQ60" s="460"/>
      <c r="AR60" s="459"/>
      <c r="AS60" s="460"/>
      <c r="AT60" s="80"/>
    </row>
    <row r="61" spans="2:46" ht="9" customHeight="1" x14ac:dyDescent="0.3">
      <c r="B61" s="479"/>
      <c r="C61" s="458"/>
      <c r="D61" s="7"/>
      <c r="E61" s="18"/>
      <c r="F61" s="489"/>
      <c r="G61" s="490"/>
      <c r="H61" s="489"/>
      <c r="I61" s="490"/>
      <c r="J61" s="489"/>
      <c r="K61" s="490"/>
      <c r="L61" s="489"/>
      <c r="M61" s="490"/>
      <c r="N61" s="489"/>
      <c r="O61" s="490"/>
      <c r="P61" s="489"/>
      <c r="Q61" s="490"/>
      <c r="R61" s="489"/>
      <c r="S61" s="490"/>
      <c r="T61" s="489"/>
      <c r="U61" s="490"/>
      <c r="V61" s="489"/>
      <c r="W61" s="490"/>
      <c r="X61" s="489"/>
      <c r="Y61" s="490"/>
      <c r="Z61" s="489"/>
      <c r="AA61" s="490"/>
      <c r="AB61" s="489"/>
      <c r="AC61" s="490"/>
      <c r="AD61" s="489"/>
      <c r="AE61" s="490"/>
      <c r="AF61" s="489"/>
      <c r="AG61" s="490"/>
      <c r="AH61" s="489"/>
      <c r="AI61" s="490"/>
      <c r="AJ61" s="489"/>
      <c r="AK61" s="490"/>
      <c r="AL61" s="489"/>
      <c r="AM61" s="490"/>
      <c r="AN61" s="489"/>
      <c r="AO61" s="490"/>
      <c r="AP61" s="489"/>
      <c r="AQ61" s="490"/>
      <c r="AR61" s="489"/>
      <c r="AS61" s="490"/>
      <c r="AT61" s="83"/>
    </row>
    <row r="62" spans="2:46" ht="9" customHeight="1" x14ac:dyDescent="0.3">
      <c r="B62" s="479"/>
      <c r="C62" s="458"/>
      <c r="D62" s="21"/>
      <c r="E62" s="22"/>
      <c r="F62" s="491"/>
      <c r="G62" s="492"/>
      <c r="H62" s="491"/>
      <c r="I62" s="492"/>
      <c r="J62" s="491"/>
      <c r="K62" s="492"/>
      <c r="L62" s="491"/>
      <c r="M62" s="492"/>
      <c r="N62" s="491"/>
      <c r="O62" s="492"/>
      <c r="P62" s="491"/>
      <c r="Q62" s="492"/>
      <c r="R62" s="491"/>
      <c r="S62" s="492"/>
      <c r="T62" s="491"/>
      <c r="U62" s="492"/>
      <c r="V62" s="491"/>
      <c r="W62" s="492"/>
      <c r="X62" s="491"/>
      <c r="Y62" s="492"/>
      <c r="Z62" s="491"/>
      <c r="AA62" s="492"/>
      <c r="AB62" s="491"/>
      <c r="AC62" s="492"/>
      <c r="AD62" s="491"/>
      <c r="AE62" s="492"/>
      <c r="AF62" s="491"/>
      <c r="AG62" s="492"/>
      <c r="AH62" s="491"/>
      <c r="AI62" s="492"/>
      <c r="AJ62" s="491"/>
      <c r="AK62" s="492"/>
      <c r="AL62" s="491"/>
      <c r="AM62" s="492"/>
      <c r="AN62" s="491"/>
      <c r="AO62" s="492"/>
      <c r="AP62" s="491"/>
      <c r="AQ62" s="492"/>
      <c r="AR62" s="491"/>
      <c r="AS62" s="492"/>
      <c r="AT62" s="84"/>
    </row>
    <row r="63" spans="2:46" ht="9" customHeight="1" x14ac:dyDescent="0.3">
      <c r="B63" s="479"/>
      <c r="C63" s="458">
        <f>C69+(C55-C69)/2</f>
        <v>0.64568571428571442</v>
      </c>
      <c r="D63" s="13"/>
      <c r="E63" s="4"/>
      <c r="F63" s="459"/>
      <c r="G63" s="460"/>
      <c r="H63" s="459"/>
      <c r="I63" s="460"/>
      <c r="J63" s="459"/>
      <c r="K63" s="460"/>
      <c r="L63" s="459"/>
      <c r="M63" s="460"/>
      <c r="N63" s="459"/>
      <c r="O63" s="460"/>
      <c r="P63" s="459"/>
      <c r="Q63" s="460"/>
      <c r="R63" s="459"/>
      <c r="S63" s="460"/>
      <c r="T63" s="459"/>
      <c r="U63" s="460"/>
      <c r="V63" s="459"/>
      <c r="W63" s="460"/>
      <c r="X63" s="459"/>
      <c r="Y63" s="460"/>
      <c r="Z63" s="459"/>
      <c r="AA63" s="460"/>
      <c r="AB63" s="459"/>
      <c r="AC63" s="460"/>
      <c r="AD63" s="459"/>
      <c r="AE63" s="460"/>
      <c r="AF63" s="459"/>
      <c r="AG63" s="460"/>
      <c r="AH63" s="459"/>
      <c r="AI63" s="460"/>
      <c r="AJ63" s="459"/>
      <c r="AK63" s="460"/>
      <c r="AL63" s="459"/>
      <c r="AM63" s="460"/>
      <c r="AN63" s="459"/>
      <c r="AO63" s="460"/>
      <c r="AP63" s="459"/>
      <c r="AQ63" s="460"/>
      <c r="AR63" s="459"/>
      <c r="AS63" s="460"/>
      <c r="AT63" s="80"/>
    </row>
    <row r="64" spans="2:46" ht="9" customHeight="1" x14ac:dyDescent="0.3">
      <c r="B64" s="479"/>
      <c r="C64" s="458"/>
      <c r="D64" s="13"/>
      <c r="E64" s="4"/>
      <c r="F64" s="459"/>
      <c r="G64" s="460"/>
      <c r="H64" s="459"/>
      <c r="I64" s="460"/>
      <c r="J64" s="459"/>
      <c r="K64" s="460"/>
      <c r="L64" s="459"/>
      <c r="M64" s="460"/>
      <c r="N64" s="459"/>
      <c r="O64" s="460"/>
      <c r="P64" s="459"/>
      <c r="Q64" s="460"/>
      <c r="R64" s="459"/>
      <c r="S64" s="460"/>
      <c r="T64" s="459"/>
      <c r="U64" s="460"/>
      <c r="V64" s="459"/>
      <c r="W64" s="460"/>
      <c r="X64" s="459"/>
      <c r="Y64" s="460"/>
      <c r="Z64" s="459"/>
      <c r="AA64" s="460"/>
      <c r="AB64" s="459"/>
      <c r="AC64" s="460"/>
      <c r="AD64" s="459"/>
      <c r="AE64" s="460"/>
      <c r="AF64" s="459"/>
      <c r="AG64" s="460"/>
      <c r="AH64" s="459"/>
      <c r="AI64" s="460"/>
      <c r="AJ64" s="459"/>
      <c r="AK64" s="460"/>
      <c r="AL64" s="459"/>
      <c r="AM64" s="460"/>
      <c r="AN64" s="459"/>
      <c r="AO64" s="460"/>
      <c r="AP64" s="459"/>
      <c r="AQ64" s="460"/>
      <c r="AR64" s="459"/>
      <c r="AS64" s="460"/>
      <c r="AT64" s="80"/>
    </row>
    <row r="65" spans="2:46" x14ac:dyDescent="0.3">
      <c r="B65" s="479"/>
      <c r="C65" s="458"/>
      <c r="D65" s="13"/>
      <c r="E65" s="4"/>
      <c r="F65" s="459"/>
      <c r="G65" s="460"/>
      <c r="H65" s="459"/>
      <c r="I65" s="460"/>
      <c r="J65" s="459"/>
      <c r="K65" s="460"/>
      <c r="L65" s="459"/>
      <c r="M65" s="460"/>
      <c r="N65" s="459"/>
      <c r="O65" s="460"/>
      <c r="P65" s="459"/>
      <c r="Q65" s="460"/>
      <c r="R65" s="459"/>
      <c r="S65" s="460"/>
      <c r="T65" s="459"/>
      <c r="U65" s="460"/>
      <c r="V65" s="459"/>
      <c r="W65" s="460"/>
      <c r="X65" s="459"/>
      <c r="Y65" s="460"/>
      <c r="Z65" s="459"/>
      <c r="AA65" s="460"/>
      <c r="AB65" s="459"/>
      <c r="AC65" s="460"/>
      <c r="AD65" s="459"/>
      <c r="AE65" s="460"/>
      <c r="AF65" s="459"/>
      <c r="AG65" s="460"/>
      <c r="AH65" s="459"/>
      <c r="AI65" s="460"/>
      <c r="AJ65" s="459"/>
      <c r="AK65" s="460"/>
      <c r="AL65" s="459"/>
      <c r="AM65" s="460"/>
      <c r="AN65" s="459"/>
      <c r="AO65" s="460"/>
      <c r="AP65" s="459"/>
      <c r="AQ65" s="460"/>
      <c r="AR65" s="459"/>
      <c r="AS65" s="460"/>
      <c r="AT65" s="80"/>
    </row>
    <row r="66" spans="2:46" x14ac:dyDescent="0.3">
      <c r="B66" s="479"/>
      <c r="C66" s="458"/>
      <c r="D66" s="13"/>
      <c r="E66" s="4"/>
      <c r="F66" s="459"/>
      <c r="G66" s="460"/>
      <c r="H66" s="459"/>
      <c r="I66" s="460"/>
      <c r="J66" s="459"/>
      <c r="K66" s="460"/>
      <c r="L66" s="459"/>
      <c r="M66" s="460"/>
      <c r="N66" s="459"/>
      <c r="O66" s="460"/>
      <c r="P66" s="459"/>
      <c r="Q66" s="460"/>
      <c r="R66" s="459"/>
      <c r="S66" s="460"/>
      <c r="T66" s="459"/>
      <c r="U66" s="460"/>
      <c r="V66" s="459"/>
      <c r="W66" s="460"/>
      <c r="X66" s="459"/>
      <c r="Y66" s="460"/>
      <c r="Z66" s="459"/>
      <c r="AA66" s="460"/>
      <c r="AB66" s="459"/>
      <c r="AC66" s="460"/>
      <c r="AD66" s="459"/>
      <c r="AE66" s="460"/>
      <c r="AF66" s="459"/>
      <c r="AG66" s="460"/>
      <c r="AH66" s="459"/>
      <c r="AI66" s="460"/>
      <c r="AJ66" s="459"/>
      <c r="AK66" s="460"/>
      <c r="AL66" s="459"/>
      <c r="AM66" s="460"/>
      <c r="AN66" s="459"/>
      <c r="AO66" s="460"/>
      <c r="AP66" s="459"/>
      <c r="AQ66" s="460"/>
      <c r="AR66" s="459"/>
      <c r="AS66" s="460"/>
      <c r="AT66" s="80"/>
    </row>
    <row r="67" spans="2:46" x14ac:dyDescent="0.3">
      <c r="B67" s="479"/>
      <c r="C67" s="458"/>
      <c r="D67" s="13"/>
      <c r="E67" s="4"/>
      <c r="F67" s="459"/>
      <c r="G67" s="460"/>
      <c r="H67" s="459"/>
      <c r="I67" s="460"/>
      <c r="J67" s="459"/>
      <c r="K67" s="460"/>
      <c r="L67" s="459"/>
      <c r="M67" s="460"/>
      <c r="N67" s="459"/>
      <c r="O67" s="460"/>
      <c r="P67" s="459"/>
      <c r="Q67" s="460"/>
      <c r="R67" s="459"/>
      <c r="S67" s="460"/>
      <c r="T67" s="459"/>
      <c r="U67" s="460"/>
      <c r="V67" s="459"/>
      <c r="W67" s="460"/>
      <c r="X67" s="459"/>
      <c r="Y67" s="460"/>
      <c r="Z67" s="459"/>
      <c r="AA67" s="460"/>
      <c r="AB67" s="459"/>
      <c r="AC67" s="460"/>
      <c r="AD67" s="459"/>
      <c r="AE67" s="460"/>
      <c r="AF67" s="459"/>
      <c r="AG67" s="460"/>
      <c r="AH67" s="459"/>
      <c r="AI67" s="460"/>
      <c r="AJ67" s="459"/>
      <c r="AK67" s="460"/>
      <c r="AL67" s="459"/>
      <c r="AM67" s="460"/>
      <c r="AN67" s="459"/>
      <c r="AO67" s="460"/>
      <c r="AP67" s="459"/>
      <c r="AQ67" s="460"/>
      <c r="AR67" s="459"/>
      <c r="AS67" s="460"/>
      <c r="AT67" s="80"/>
    </row>
    <row r="68" spans="2:46" x14ac:dyDescent="0.3">
      <c r="B68" s="479"/>
      <c r="C68" s="458"/>
      <c r="D68" s="13"/>
      <c r="E68" s="4"/>
      <c r="F68" s="459"/>
      <c r="G68" s="460"/>
      <c r="H68" s="459"/>
      <c r="I68" s="460"/>
      <c r="J68" s="459"/>
      <c r="K68" s="460"/>
      <c r="L68" s="459"/>
      <c r="M68" s="460"/>
      <c r="N68" s="459"/>
      <c r="O68" s="460"/>
      <c r="P68" s="459"/>
      <c r="Q68" s="460"/>
      <c r="R68" s="459"/>
      <c r="S68" s="460"/>
      <c r="T68" s="459"/>
      <c r="U68" s="460"/>
      <c r="V68" s="459"/>
      <c r="W68" s="460"/>
      <c r="X68" s="459"/>
      <c r="Y68" s="460"/>
      <c r="Z68" s="459"/>
      <c r="AA68" s="460"/>
      <c r="AB68" s="459"/>
      <c r="AC68" s="460"/>
      <c r="AD68" s="459"/>
      <c r="AE68" s="460"/>
      <c r="AF68" s="459"/>
      <c r="AG68" s="460"/>
      <c r="AH68" s="459"/>
      <c r="AI68" s="460"/>
      <c r="AJ68" s="459"/>
      <c r="AK68" s="460"/>
      <c r="AL68" s="459"/>
      <c r="AM68" s="460"/>
      <c r="AN68" s="459"/>
      <c r="AO68" s="460"/>
      <c r="AP68" s="459"/>
      <c r="AQ68" s="460"/>
      <c r="AR68" s="459"/>
      <c r="AS68" s="460"/>
      <c r="AT68" s="80"/>
    </row>
    <row r="69" spans="2:46" x14ac:dyDescent="0.3">
      <c r="B69" s="479"/>
      <c r="C69" s="458">
        <f>C55/2</f>
        <v>0.43045714285714293</v>
      </c>
      <c r="D69" s="13"/>
      <c r="E69" s="4"/>
      <c r="F69" s="459"/>
      <c r="G69" s="460"/>
      <c r="H69" s="459"/>
      <c r="I69" s="460"/>
      <c r="J69" s="459"/>
      <c r="K69" s="460"/>
      <c r="L69" s="459"/>
      <c r="M69" s="460"/>
      <c r="N69" s="459"/>
      <c r="O69" s="460"/>
      <c r="P69" s="459"/>
      <c r="Q69" s="460"/>
      <c r="R69" s="459"/>
      <c r="S69" s="460"/>
      <c r="T69" s="459"/>
      <c r="U69" s="460"/>
      <c r="V69" s="459"/>
      <c r="W69" s="460"/>
      <c r="X69" s="459"/>
      <c r="Y69" s="460"/>
      <c r="Z69" s="459"/>
      <c r="AA69" s="460"/>
      <c r="AB69" s="459"/>
      <c r="AC69" s="460"/>
      <c r="AD69" s="459"/>
      <c r="AE69" s="460"/>
      <c r="AF69" s="459"/>
      <c r="AG69" s="460"/>
      <c r="AH69" s="459"/>
      <c r="AI69" s="460"/>
      <c r="AJ69" s="459"/>
      <c r="AK69" s="460"/>
      <c r="AL69" s="459"/>
      <c r="AM69" s="460"/>
      <c r="AN69" s="459"/>
      <c r="AO69" s="460"/>
      <c r="AP69" s="459"/>
      <c r="AQ69" s="460"/>
      <c r="AR69" s="459"/>
      <c r="AS69" s="460"/>
      <c r="AT69" s="80"/>
    </row>
    <row r="70" spans="2:46" x14ac:dyDescent="0.3">
      <c r="B70" s="479"/>
      <c r="C70" s="458"/>
      <c r="D70" s="13"/>
      <c r="E70" s="4"/>
      <c r="F70" s="459"/>
      <c r="G70" s="460"/>
      <c r="H70" s="459"/>
      <c r="I70" s="460"/>
      <c r="J70" s="459"/>
      <c r="K70" s="460"/>
      <c r="L70" s="459"/>
      <c r="M70" s="460"/>
      <c r="N70" s="459"/>
      <c r="O70" s="460"/>
      <c r="P70" s="459"/>
      <c r="Q70" s="460"/>
      <c r="R70" s="459"/>
      <c r="S70" s="460"/>
      <c r="T70" s="459"/>
      <c r="U70" s="460"/>
      <c r="V70" s="459"/>
      <c r="W70" s="460"/>
      <c r="X70" s="459"/>
      <c r="Y70" s="460"/>
      <c r="Z70" s="459"/>
      <c r="AA70" s="460"/>
      <c r="AB70" s="459"/>
      <c r="AC70" s="460"/>
      <c r="AD70" s="459"/>
      <c r="AE70" s="460"/>
      <c r="AF70" s="459"/>
      <c r="AG70" s="460"/>
      <c r="AH70" s="459"/>
      <c r="AI70" s="460"/>
      <c r="AJ70" s="459"/>
      <c r="AK70" s="460"/>
      <c r="AL70" s="459"/>
      <c r="AM70" s="460"/>
      <c r="AN70" s="459"/>
      <c r="AO70" s="460"/>
      <c r="AP70" s="459"/>
      <c r="AQ70" s="460"/>
      <c r="AR70" s="459"/>
      <c r="AS70" s="460"/>
      <c r="AT70" s="80"/>
    </row>
    <row r="71" spans="2:46" x14ac:dyDescent="0.3">
      <c r="B71" s="479"/>
      <c r="C71" s="458"/>
      <c r="D71" s="13"/>
      <c r="E71" s="4"/>
      <c r="F71" s="459"/>
      <c r="G71" s="460"/>
      <c r="H71" s="459"/>
      <c r="I71" s="460"/>
      <c r="J71" s="459"/>
      <c r="K71" s="460"/>
      <c r="L71" s="459"/>
      <c r="M71" s="460"/>
      <c r="N71" s="459"/>
      <c r="O71" s="460"/>
      <c r="P71" s="459"/>
      <c r="Q71" s="460"/>
      <c r="R71" s="459"/>
      <c r="S71" s="460"/>
      <c r="T71" s="459"/>
      <c r="U71" s="460"/>
      <c r="V71" s="459"/>
      <c r="W71" s="460"/>
      <c r="X71" s="459"/>
      <c r="Y71" s="460"/>
      <c r="Z71" s="459"/>
      <c r="AA71" s="460"/>
      <c r="AB71" s="459"/>
      <c r="AC71" s="460"/>
      <c r="AD71" s="459"/>
      <c r="AE71" s="460"/>
      <c r="AF71" s="459"/>
      <c r="AG71" s="460"/>
      <c r="AH71" s="459"/>
      <c r="AI71" s="460"/>
      <c r="AJ71" s="459"/>
      <c r="AK71" s="460"/>
      <c r="AL71" s="459"/>
      <c r="AM71" s="460"/>
      <c r="AN71" s="459"/>
      <c r="AO71" s="460"/>
      <c r="AP71" s="459"/>
      <c r="AQ71" s="460"/>
      <c r="AR71" s="459"/>
      <c r="AS71" s="460"/>
      <c r="AT71" s="80"/>
    </row>
    <row r="72" spans="2:46" x14ac:dyDescent="0.3">
      <c r="B72" s="479"/>
      <c r="C72" s="458"/>
      <c r="D72" s="13"/>
      <c r="E72" s="4"/>
      <c r="F72" s="459"/>
      <c r="G72" s="460"/>
      <c r="H72" s="459"/>
      <c r="I72" s="460"/>
      <c r="J72" s="459"/>
      <c r="K72" s="460"/>
      <c r="L72" s="459"/>
      <c r="M72" s="460"/>
      <c r="N72" s="459"/>
      <c r="O72" s="460"/>
      <c r="P72" s="459"/>
      <c r="Q72" s="460"/>
      <c r="R72" s="459"/>
      <c r="S72" s="460"/>
      <c r="T72" s="459"/>
      <c r="U72" s="460"/>
      <c r="V72" s="459"/>
      <c r="W72" s="460"/>
      <c r="X72" s="459"/>
      <c r="Y72" s="460"/>
      <c r="Z72" s="459"/>
      <c r="AA72" s="460"/>
      <c r="AB72" s="459"/>
      <c r="AC72" s="460"/>
      <c r="AD72" s="459"/>
      <c r="AE72" s="460"/>
      <c r="AF72" s="459"/>
      <c r="AG72" s="460"/>
      <c r="AH72" s="459"/>
      <c r="AI72" s="460"/>
      <c r="AJ72" s="459"/>
      <c r="AK72" s="460"/>
      <c r="AL72" s="459"/>
      <c r="AM72" s="460"/>
      <c r="AN72" s="459"/>
      <c r="AO72" s="460"/>
      <c r="AP72" s="459"/>
      <c r="AQ72" s="460"/>
      <c r="AR72" s="459"/>
      <c r="AS72" s="460"/>
      <c r="AT72" s="80"/>
    </row>
    <row r="73" spans="2:46" x14ac:dyDescent="0.3">
      <c r="B73" s="479"/>
      <c r="C73" s="458"/>
      <c r="D73" s="13"/>
      <c r="E73" s="4"/>
      <c r="F73" s="459"/>
      <c r="G73" s="460"/>
      <c r="H73" s="459"/>
      <c r="I73" s="460"/>
      <c r="J73" s="459"/>
      <c r="K73" s="460"/>
      <c r="L73" s="459"/>
      <c r="M73" s="460"/>
      <c r="N73" s="459"/>
      <c r="O73" s="460"/>
      <c r="P73" s="459"/>
      <c r="Q73" s="460"/>
      <c r="R73" s="459"/>
      <c r="S73" s="460"/>
      <c r="T73" s="459"/>
      <c r="U73" s="460"/>
      <c r="V73" s="459"/>
      <c r="W73" s="460"/>
      <c r="X73" s="459"/>
      <c r="Y73" s="460"/>
      <c r="Z73" s="459"/>
      <c r="AA73" s="460"/>
      <c r="AB73" s="459"/>
      <c r="AC73" s="460"/>
      <c r="AD73" s="459"/>
      <c r="AE73" s="460"/>
      <c r="AF73" s="459"/>
      <c r="AG73" s="460"/>
      <c r="AH73" s="459"/>
      <c r="AI73" s="460"/>
      <c r="AJ73" s="459"/>
      <c r="AK73" s="460"/>
      <c r="AL73" s="459"/>
      <c r="AM73" s="460"/>
      <c r="AN73" s="459"/>
      <c r="AO73" s="460"/>
      <c r="AP73" s="459"/>
      <c r="AQ73" s="460"/>
      <c r="AR73" s="459"/>
      <c r="AS73" s="460"/>
      <c r="AT73" s="80"/>
    </row>
    <row r="74" spans="2:46" x14ac:dyDescent="0.3">
      <c r="B74" s="479"/>
      <c r="C74" s="458"/>
      <c r="D74" s="13"/>
      <c r="E74" s="4"/>
      <c r="F74" s="459"/>
      <c r="G74" s="460"/>
      <c r="H74" s="459"/>
      <c r="I74" s="460"/>
      <c r="J74" s="459"/>
      <c r="K74" s="460"/>
      <c r="L74" s="459"/>
      <c r="M74" s="460"/>
      <c r="N74" s="459"/>
      <c r="O74" s="460"/>
      <c r="P74" s="459"/>
      <c r="Q74" s="460"/>
      <c r="R74" s="459"/>
      <c r="S74" s="460"/>
      <c r="T74" s="459"/>
      <c r="U74" s="460"/>
      <c r="V74" s="459"/>
      <c r="W74" s="460"/>
      <c r="X74" s="459"/>
      <c r="Y74" s="460"/>
      <c r="Z74" s="459"/>
      <c r="AA74" s="460"/>
      <c r="AB74" s="459"/>
      <c r="AC74" s="460"/>
      <c r="AD74" s="459"/>
      <c r="AE74" s="460"/>
      <c r="AF74" s="459"/>
      <c r="AG74" s="460"/>
      <c r="AH74" s="459"/>
      <c r="AI74" s="460"/>
      <c r="AJ74" s="459"/>
      <c r="AK74" s="460"/>
      <c r="AL74" s="459"/>
      <c r="AM74" s="460"/>
      <c r="AN74" s="459"/>
      <c r="AO74" s="460"/>
      <c r="AP74" s="459"/>
      <c r="AQ74" s="460"/>
      <c r="AR74" s="459"/>
      <c r="AS74" s="460"/>
      <c r="AT74" s="80"/>
    </row>
    <row r="75" spans="2:46" x14ac:dyDescent="0.3">
      <c r="B75" s="479"/>
      <c r="C75" s="458"/>
      <c r="D75" s="13"/>
      <c r="E75" s="4"/>
      <c r="F75" s="459"/>
      <c r="G75" s="460"/>
      <c r="H75" s="459"/>
      <c r="I75" s="460"/>
      <c r="J75" s="459"/>
      <c r="K75" s="460"/>
      <c r="L75" s="459"/>
      <c r="M75" s="460"/>
      <c r="N75" s="459"/>
      <c r="O75" s="460"/>
      <c r="P75" s="459"/>
      <c r="Q75" s="460"/>
      <c r="R75" s="459"/>
      <c r="S75" s="460"/>
      <c r="T75" s="459"/>
      <c r="U75" s="460"/>
      <c r="V75" s="459"/>
      <c r="W75" s="460"/>
      <c r="X75" s="459"/>
      <c r="Y75" s="460"/>
      <c r="Z75" s="459"/>
      <c r="AA75" s="460"/>
      <c r="AB75" s="459"/>
      <c r="AC75" s="460"/>
      <c r="AD75" s="459"/>
      <c r="AE75" s="460"/>
      <c r="AF75" s="459"/>
      <c r="AG75" s="460"/>
      <c r="AH75" s="459"/>
      <c r="AI75" s="460"/>
      <c r="AJ75" s="459"/>
      <c r="AK75" s="460"/>
      <c r="AL75" s="459"/>
      <c r="AM75" s="460"/>
      <c r="AN75" s="459"/>
      <c r="AO75" s="460"/>
      <c r="AP75" s="459"/>
      <c r="AQ75" s="460"/>
      <c r="AR75" s="459"/>
      <c r="AS75" s="460"/>
      <c r="AT75" s="80"/>
    </row>
    <row r="76" spans="2:46" x14ac:dyDescent="0.3">
      <c r="B76" s="479"/>
      <c r="C76" s="458"/>
      <c r="D76" s="13"/>
      <c r="E76" s="4"/>
      <c r="F76" s="459"/>
      <c r="G76" s="460"/>
      <c r="H76" s="459"/>
      <c r="I76" s="460"/>
      <c r="J76" s="459"/>
      <c r="K76" s="460"/>
      <c r="L76" s="459"/>
      <c r="M76" s="460"/>
      <c r="N76" s="459"/>
      <c r="O76" s="460"/>
      <c r="P76" s="459"/>
      <c r="Q76" s="460"/>
      <c r="R76" s="459"/>
      <c r="S76" s="460"/>
      <c r="T76" s="459"/>
      <c r="U76" s="460"/>
      <c r="V76" s="459"/>
      <c r="W76" s="460"/>
      <c r="X76" s="459"/>
      <c r="Y76" s="460"/>
      <c r="Z76" s="459"/>
      <c r="AA76" s="460"/>
      <c r="AB76" s="459"/>
      <c r="AC76" s="460"/>
      <c r="AD76" s="459"/>
      <c r="AE76" s="460"/>
      <c r="AF76" s="459"/>
      <c r="AG76" s="460"/>
      <c r="AH76" s="459"/>
      <c r="AI76" s="460"/>
      <c r="AJ76" s="459"/>
      <c r="AK76" s="460"/>
      <c r="AL76" s="459"/>
      <c r="AM76" s="460"/>
      <c r="AN76" s="459"/>
      <c r="AO76" s="460"/>
      <c r="AP76" s="459"/>
      <c r="AQ76" s="460"/>
      <c r="AR76" s="459"/>
      <c r="AS76" s="460"/>
      <c r="AT76" s="80"/>
    </row>
    <row r="77" spans="2:46" x14ac:dyDescent="0.3">
      <c r="B77" s="479"/>
      <c r="C77" s="458">
        <f>C69/2</f>
        <v>0.21522857142857146</v>
      </c>
      <c r="D77" s="13"/>
      <c r="E77" s="4"/>
      <c r="F77" s="459"/>
      <c r="G77" s="460"/>
      <c r="H77" s="459"/>
      <c r="I77" s="460"/>
      <c r="J77" s="459"/>
      <c r="K77" s="460"/>
      <c r="L77" s="459"/>
      <c r="M77" s="460"/>
      <c r="N77" s="459"/>
      <c r="O77" s="460"/>
      <c r="P77" s="459"/>
      <c r="Q77" s="460"/>
      <c r="R77" s="459"/>
      <c r="S77" s="460"/>
      <c r="T77" s="459"/>
      <c r="U77" s="460"/>
      <c r="V77" s="459"/>
      <c r="W77" s="460"/>
      <c r="X77" s="459"/>
      <c r="Y77" s="460"/>
      <c r="Z77" s="459"/>
      <c r="AA77" s="460"/>
      <c r="AB77" s="459"/>
      <c r="AC77" s="460"/>
      <c r="AD77" s="459"/>
      <c r="AE77" s="460"/>
      <c r="AF77" s="459"/>
      <c r="AG77" s="460"/>
      <c r="AH77" s="459"/>
      <c r="AI77" s="460"/>
      <c r="AJ77" s="459"/>
      <c r="AK77" s="460"/>
      <c r="AL77" s="459"/>
      <c r="AM77" s="460"/>
      <c r="AN77" s="459"/>
      <c r="AO77" s="460"/>
      <c r="AP77" s="459"/>
      <c r="AQ77" s="460"/>
      <c r="AR77" s="459"/>
      <c r="AS77" s="460"/>
      <c r="AT77" s="80"/>
    </row>
    <row r="78" spans="2:46" x14ac:dyDescent="0.3">
      <c r="B78" s="479"/>
      <c r="C78" s="458"/>
      <c r="D78" s="13"/>
      <c r="E78" s="4"/>
      <c r="F78" s="459"/>
      <c r="G78" s="460"/>
      <c r="H78" s="459"/>
      <c r="I78" s="460"/>
      <c r="J78" s="459"/>
      <c r="K78" s="460"/>
      <c r="L78" s="459"/>
      <c r="M78" s="460"/>
      <c r="N78" s="459"/>
      <c r="O78" s="460"/>
      <c r="P78" s="459"/>
      <c r="Q78" s="460"/>
      <c r="R78" s="459"/>
      <c r="S78" s="460"/>
      <c r="T78" s="459"/>
      <c r="U78" s="460"/>
      <c r="V78" s="459"/>
      <c r="W78" s="460"/>
      <c r="X78" s="459"/>
      <c r="Y78" s="460"/>
      <c r="Z78" s="459"/>
      <c r="AA78" s="460"/>
      <c r="AB78" s="459"/>
      <c r="AC78" s="460"/>
      <c r="AD78" s="459"/>
      <c r="AE78" s="460"/>
      <c r="AF78" s="459"/>
      <c r="AG78" s="460"/>
      <c r="AH78" s="459"/>
      <c r="AI78" s="460"/>
      <c r="AJ78" s="459"/>
      <c r="AK78" s="460"/>
      <c r="AL78" s="459"/>
      <c r="AM78" s="460"/>
      <c r="AN78" s="459"/>
      <c r="AO78" s="460"/>
      <c r="AP78" s="459"/>
      <c r="AQ78" s="460"/>
      <c r="AR78" s="459"/>
      <c r="AS78" s="460"/>
      <c r="AT78" s="80"/>
    </row>
    <row r="79" spans="2:46" x14ac:dyDescent="0.3">
      <c r="B79" s="479"/>
      <c r="C79" s="458"/>
      <c r="D79" s="13"/>
      <c r="E79" s="4"/>
      <c r="F79" s="459"/>
      <c r="G79" s="460"/>
      <c r="H79" s="459"/>
      <c r="I79" s="460"/>
      <c r="J79" s="459"/>
      <c r="K79" s="460"/>
      <c r="L79" s="459"/>
      <c r="M79" s="460"/>
      <c r="N79" s="459"/>
      <c r="O79" s="460"/>
      <c r="P79" s="459"/>
      <c r="Q79" s="460"/>
      <c r="R79" s="459"/>
      <c r="S79" s="460"/>
      <c r="T79" s="459"/>
      <c r="U79" s="460"/>
      <c r="V79" s="459"/>
      <c r="W79" s="460"/>
      <c r="X79" s="459"/>
      <c r="Y79" s="460"/>
      <c r="Z79" s="459"/>
      <c r="AA79" s="460"/>
      <c r="AB79" s="459"/>
      <c r="AC79" s="460"/>
      <c r="AD79" s="459"/>
      <c r="AE79" s="460"/>
      <c r="AF79" s="459"/>
      <c r="AG79" s="460"/>
      <c r="AH79" s="459"/>
      <c r="AI79" s="460"/>
      <c r="AJ79" s="459"/>
      <c r="AK79" s="460"/>
      <c r="AL79" s="459"/>
      <c r="AM79" s="460"/>
      <c r="AN79" s="459"/>
      <c r="AO79" s="460"/>
      <c r="AP79" s="459"/>
      <c r="AQ79" s="460"/>
      <c r="AR79" s="459"/>
      <c r="AS79" s="460"/>
      <c r="AT79" s="80"/>
    </row>
    <row r="80" spans="2:46" x14ac:dyDescent="0.3">
      <c r="B80" s="479"/>
      <c r="C80" s="458"/>
      <c r="D80" s="13"/>
      <c r="E80" s="4"/>
      <c r="F80" s="459"/>
      <c r="G80" s="460"/>
      <c r="H80" s="459"/>
      <c r="I80" s="460"/>
      <c r="J80" s="459"/>
      <c r="K80" s="460"/>
      <c r="L80" s="459"/>
      <c r="M80" s="460"/>
      <c r="N80" s="459"/>
      <c r="O80" s="460"/>
      <c r="P80" s="459"/>
      <c r="Q80" s="460"/>
      <c r="R80" s="459"/>
      <c r="S80" s="460"/>
      <c r="T80" s="459"/>
      <c r="U80" s="460"/>
      <c r="V80" s="459"/>
      <c r="W80" s="460"/>
      <c r="X80" s="459"/>
      <c r="Y80" s="460"/>
      <c r="Z80" s="459"/>
      <c r="AA80" s="460"/>
      <c r="AB80" s="459"/>
      <c r="AC80" s="460"/>
      <c r="AD80" s="459"/>
      <c r="AE80" s="460"/>
      <c r="AF80" s="459"/>
      <c r="AG80" s="460"/>
      <c r="AH80" s="459"/>
      <c r="AI80" s="460"/>
      <c r="AJ80" s="459"/>
      <c r="AK80" s="460"/>
      <c r="AL80" s="459"/>
      <c r="AM80" s="460"/>
      <c r="AN80" s="459"/>
      <c r="AO80" s="460"/>
      <c r="AP80" s="459"/>
      <c r="AQ80" s="460"/>
      <c r="AR80" s="459"/>
      <c r="AS80" s="460"/>
      <c r="AT80" s="80"/>
    </row>
    <row r="81" spans="2:46" x14ac:dyDescent="0.3">
      <c r="B81" s="479"/>
      <c r="C81" s="458">
        <f>C77/2</f>
        <v>0.10761428571428573</v>
      </c>
      <c r="D81" s="13"/>
      <c r="E81" s="4"/>
      <c r="F81" s="459"/>
      <c r="G81" s="460"/>
      <c r="H81" s="459"/>
      <c r="I81" s="460"/>
      <c r="J81" s="459"/>
      <c r="K81" s="460"/>
      <c r="L81" s="459"/>
      <c r="M81" s="460"/>
      <c r="N81" s="459"/>
      <c r="O81" s="460"/>
      <c r="P81" s="459"/>
      <c r="Q81" s="460"/>
      <c r="R81" s="459"/>
      <c r="S81" s="460"/>
      <c r="T81" s="459"/>
      <c r="U81" s="460"/>
      <c r="V81" s="459"/>
      <c r="W81" s="460"/>
      <c r="X81" s="459"/>
      <c r="Y81" s="460"/>
      <c r="Z81" s="459"/>
      <c r="AA81" s="460"/>
      <c r="AB81" s="459"/>
      <c r="AC81" s="460"/>
      <c r="AD81" s="459"/>
      <c r="AE81" s="460"/>
      <c r="AF81" s="459"/>
      <c r="AG81" s="460"/>
      <c r="AH81" s="459"/>
      <c r="AI81" s="460"/>
      <c r="AJ81" s="459"/>
      <c r="AK81" s="460"/>
      <c r="AL81" s="459"/>
      <c r="AM81" s="460"/>
      <c r="AN81" s="459"/>
      <c r="AO81" s="460"/>
      <c r="AP81" s="459"/>
      <c r="AQ81" s="460"/>
      <c r="AR81" s="459"/>
      <c r="AS81" s="460"/>
      <c r="AT81" s="80"/>
    </row>
    <row r="82" spans="2:46" x14ac:dyDescent="0.3">
      <c r="B82" s="479"/>
      <c r="C82" s="458"/>
      <c r="D82" s="13"/>
      <c r="E82" s="4"/>
      <c r="F82" s="459"/>
      <c r="G82" s="460"/>
      <c r="H82" s="459"/>
      <c r="I82" s="460"/>
      <c r="J82" s="459"/>
      <c r="K82" s="460"/>
      <c r="L82" s="459"/>
      <c r="M82" s="460"/>
      <c r="N82" s="459"/>
      <c r="O82" s="460"/>
      <c r="P82" s="459"/>
      <c r="Q82" s="460"/>
      <c r="R82" s="459"/>
      <c r="S82" s="460"/>
      <c r="T82" s="459"/>
      <c r="U82" s="460"/>
      <c r="V82" s="459"/>
      <c r="W82" s="460"/>
      <c r="X82" s="459"/>
      <c r="Y82" s="460"/>
      <c r="Z82" s="459"/>
      <c r="AA82" s="460"/>
      <c r="AB82" s="459"/>
      <c r="AC82" s="460"/>
      <c r="AD82" s="459"/>
      <c r="AE82" s="460"/>
      <c r="AF82" s="459"/>
      <c r="AG82" s="460"/>
      <c r="AH82" s="459"/>
      <c r="AI82" s="460"/>
      <c r="AJ82" s="459"/>
      <c r="AK82" s="460"/>
      <c r="AL82" s="459"/>
      <c r="AM82" s="460"/>
      <c r="AN82" s="459"/>
      <c r="AO82" s="460"/>
      <c r="AP82" s="459"/>
      <c r="AQ82" s="460"/>
      <c r="AR82" s="459"/>
      <c r="AS82" s="460"/>
      <c r="AT82" s="80"/>
    </row>
    <row r="83" spans="2:46" x14ac:dyDescent="0.3">
      <c r="B83" s="479"/>
      <c r="C83" s="499"/>
      <c r="D83" s="3"/>
      <c r="E83" s="8"/>
      <c r="F83" s="459"/>
      <c r="G83" s="460"/>
      <c r="H83" s="459"/>
      <c r="I83" s="460"/>
      <c r="J83" s="459"/>
      <c r="K83" s="460"/>
      <c r="L83" s="459"/>
      <c r="M83" s="460"/>
      <c r="N83" s="459"/>
      <c r="O83" s="460"/>
      <c r="P83" s="459"/>
      <c r="Q83" s="460"/>
      <c r="R83" s="459"/>
      <c r="S83" s="460"/>
      <c r="T83" s="459"/>
      <c r="U83" s="460"/>
      <c r="V83" s="459"/>
      <c r="W83" s="460"/>
      <c r="X83" s="459"/>
      <c r="Y83" s="460"/>
      <c r="Z83" s="459"/>
      <c r="AA83" s="460"/>
      <c r="AB83" s="459"/>
      <c r="AC83" s="460"/>
      <c r="AD83" s="459"/>
      <c r="AE83" s="460"/>
      <c r="AF83" s="459"/>
      <c r="AG83" s="460"/>
      <c r="AH83" s="459"/>
      <c r="AI83" s="460"/>
      <c r="AJ83" s="459"/>
      <c r="AK83" s="460"/>
      <c r="AL83" s="459"/>
      <c r="AM83" s="460"/>
      <c r="AN83" s="459"/>
      <c r="AO83" s="460"/>
      <c r="AP83" s="459"/>
      <c r="AQ83" s="460"/>
      <c r="AR83" s="459"/>
      <c r="AS83" s="460"/>
      <c r="AT83" s="76"/>
    </row>
    <row r="84" spans="2:46" ht="15" thickBot="1" x14ac:dyDescent="0.35">
      <c r="B84" s="480"/>
      <c r="C84" s="500"/>
      <c r="D84" s="85"/>
      <c r="E84" s="86"/>
      <c r="F84" s="494"/>
      <c r="G84" s="495"/>
      <c r="H84" s="494"/>
      <c r="I84" s="495"/>
      <c r="J84" s="494"/>
      <c r="K84" s="495"/>
      <c r="L84" s="494"/>
      <c r="M84" s="495"/>
      <c r="N84" s="494"/>
      <c r="O84" s="495"/>
      <c r="P84" s="494"/>
      <c r="Q84" s="495"/>
      <c r="R84" s="494"/>
      <c r="S84" s="495"/>
      <c r="T84" s="494"/>
      <c r="U84" s="495"/>
      <c r="V84" s="494"/>
      <c r="W84" s="495"/>
      <c r="X84" s="494"/>
      <c r="Y84" s="495"/>
      <c r="Z84" s="494"/>
      <c r="AA84" s="495"/>
      <c r="AB84" s="494"/>
      <c r="AC84" s="495"/>
      <c r="AD84" s="494"/>
      <c r="AE84" s="495"/>
      <c r="AF84" s="494"/>
      <c r="AG84" s="495"/>
      <c r="AH84" s="494"/>
      <c r="AI84" s="495"/>
      <c r="AJ84" s="494"/>
      <c r="AK84" s="495"/>
      <c r="AL84" s="494"/>
      <c r="AM84" s="495"/>
      <c r="AN84" s="494"/>
      <c r="AO84" s="495"/>
      <c r="AP84" s="494"/>
      <c r="AQ84" s="495"/>
      <c r="AR84" s="494"/>
      <c r="AS84" s="495"/>
      <c r="AT84" s="87"/>
    </row>
    <row r="85" spans="2:46" s="48" customFormat="1" ht="26.4" thickTop="1" x14ac:dyDescent="0.5">
      <c r="E85" s="493">
        <v>1</v>
      </c>
      <c r="F85" s="493"/>
      <c r="G85" s="493">
        <v>2</v>
      </c>
      <c r="H85" s="493"/>
      <c r="I85" s="493">
        <v>3</v>
      </c>
      <c r="J85" s="493"/>
      <c r="K85" s="493">
        <v>4</v>
      </c>
      <c r="L85" s="493"/>
      <c r="M85" s="493">
        <v>5</v>
      </c>
      <c r="N85" s="493"/>
      <c r="O85" s="493">
        <v>6</v>
      </c>
      <c r="P85" s="493"/>
      <c r="Q85" s="493">
        <v>7</v>
      </c>
      <c r="R85" s="493"/>
      <c r="S85" s="493">
        <v>8</v>
      </c>
      <c r="T85" s="493"/>
      <c r="U85" s="493">
        <v>9</v>
      </c>
      <c r="V85" s="493"/>
      <c r="W85" s="493">
        <v>10</v>
      </c>
      <c r="X85" s="493"/>
      <c r="Y85" s="493">
        <v>11</v>
      </c>
      <c r="Z85" s="493"/>
      <c r="AA85" s="493">
        <v>12</v>
      </c>
      <c r="AB85" s="493"/>
      <c r="AC85" s="493">
        <v>13</v>
      </c>
      <c r="AD85" s="493"/>
      <c r="AE85" s="493">
        <v>14</v>
      </c>
      <c r="AF85" s="493"/>
      <c r="AG85" s="493">
        <v>15</v>
      </c>
      <c r="AH85" s="493"/>
      <c r="AI85" s="493">
        <v>16</v>
      </c>
      <c r="AJ85" s="493"/>
      <c r="AK85" s="493">
        <v>17</v>
      </c>
      <c r="AL85" s="493"/>
      <c r="AM85" s="493">
        <v>18</v>
      </c>
      <c r="AN85" s="493"/>
      <c r="AO85" s="493">
        <v>19</v>
      </c>
      <c r="AP85" s="493"/>
      <c r="AQ85" s="493">
        <v>20</v>
      </c>
      <c r="AR85" s="493"/>
      <c r="AS85" s="493">
        <v>21</v>
      </c>
      <c r="AT85" s="493"/>
    </row>
    <row r="86" spans="2:46" s="47" customFormat="1" ht="29.4" thickBot="1" x14ac:dyDescent="0.55000000000000004">
      <c r="B86" s="99" t="s">
        <v>91</v>
      </c>
      <c r="C86" s="99"/>
      <c r="D86" s="99"/>
      <c r="E86" s="99"/>
      <c r="F86" s="99"/>
      <c r="G86" s="99"/>
      <c r="H86" s="99" t="s">
        <v>88</v>
      </c>
      <c r="I86" s="99"/>
      <c r="J86" s="99"/>
      <c r="K86" s="99"/>
      <c r="L86" s="99"/>
      <c r="M86" s="99"/>
      <c r="N86" s="99"/>
      <c r="O86" s="99"/>
      <c r="P86" s="99"/>
      <c r="Q86" s="99"/>
      <c r="R86" s="99"/>
      <c r="S86" s="99"/>
      <c r="T86" s="99"/>
      <c r="U86" s="99"/>
      <c r="V86" s="99"/>
      <c r="W86" s="99"/>
      <c r="X86" s="99"/>
      <c r="Y86" s="99"/>
      <c r="Z86" s="99"/>
      <c r="AA86" s="99"/>
      <c r="AB86" s="100" t="s">
        <v>8</v>
      </c>
      <c r="AC86" s="99"/>
      <c r="AD86" s="496" t="s">
        <v>9</v>
      </c>
      <c r="AE86" s="496"/>
      <c r="AF86" s="496"/>
      <c r="AG86" s="496"/>
      <c r="AH86" s="99"/>
      <c r="AI86" s="99"/>
      <c r="AJ86" s="497" t="s">
        <v>10</v>
      </c>
      <c r="AK86" s="497"/>
      <c r="AL86" s="497"/>
      <c r="AM86" s="497"/>
      <c r="AN86" s="99"/>
      <c r="AO86" s="99"/>
      <c r="AP86" s="498" t="s">
        <v>11</v>
      </c>
      <c r="AQ86" s="498"/>
      <c r="AR86" s="498"/>
      <c r="AS86" s="498"/>
    </row>
    <row r="87" spans="2:46" s="48" customFormat="1" ht="25.8" x14ac:dyDescent="0.5"/>
    <row r="88" spans="2:46" s="48" customFormat="1" ht="25.8" x14ac:dyDescent="0.5"/>
    <row r="89" spans="2:46" x14ac:dyDescent="0.3">
      <c r="B89" s="23"/>
    </row>
  </sheetData>
  <sheetProtection password="B7E1" sheet="1" objects="1" scenarios="1"/>
  <mergeCells count="1614">
    <mergeCell ref="C83:C84"/>
    <mergeCell ref="F83:G83"/>
    <mergeCell ref="H83:I83"/>
    <mergeCell ref="J83:K83"/>
    <mergeCell ref="L83:M83"/>
    <mergeCell ref="AL83:AM83"/>
    <mergeCell ref="AN83:AO83"/>
    <mergeCell ref="AP83:AQ83"/>
    <mergeCell ref="AR83:AS83"/>
    <mergeCell ref="AR84:AS84"/>
    <mergeCell ref="AJ84:AK84"/>
    <mergeCell ref="AL84:AM84"/>
    <mergeCell ref="AN84:AO84"/>
    <mergeCell ref="R84:S84"/>
    <mergeCell ref="T84:U84"/>
    <mergeCell ref="V84:W84"/>
    <mergeCell ref="X84:Y84"/>
    <mergeCell ref="Z84:AA84"/>
    <mergeCell ref="AB84:AC84"/>
    <mergeCell ref="F84:G84"/>
    <mergeCell ref="H84:I84"/>
    <mergeCell ref="J84:K84"/>
    <mergeCell ref="L84:M84"/>
    <mergeCell ref="N84:O84"/>
    <mergeCell ref="P84:Q84"/>
    <mergeCell ref="E85:F85"/>
    <mergeCell ref="G85:H85"/>
    <mergeCell ref="I85:J85"/>
    <mergeCell ref="K85:L85"/>
    <mergeCell ref="M85:N85"/>
    <mergeCell ref="O85:P85"/>
    <mergeCell ref="Q85:R85"/>
    <mergeCell ref="S85:T85"/>
    <mergeCell ref="AD84:AE84"/>
    <mergeCell ref="AF84:AG84"/>
    <mergeCell ref="AH84:AI84"/>
    <mergeCell ref="AD86:AG86"/>
    <mergeCell ref="AJ86:AM86"/>
    <mergeCell ref="AP86:AS86"/>
    <mergeCell ref="AG85:AH85"/>
    <mergeCell ref="AI85:AJ85"/>
    <mergeCell ref="AK85:AL85"/>
    <mergeCell ref="AM85:AN85"/>
    <mergeCell ref="AO85:AP85"/>
    <mergeCell ref="AQ85:AR85"/>
    <mergeCell ref="U85:V85"/>
    <mergeCell ref="W85:X85"/>
    <mergeCell ref="Y85:Z85"/>
    <mergeCell ref="AA85:AB85"/>
    <mergeCell ref="AC85:AD85"/>
    <mergeCell ref="AE85:AF85"/>
    <mergeCell ref="AP84:AQ84"/>
    <mergeCell ref="AS85:AT85"/>
    <mergeCell ref="X81:Y81"/>
    <mergeCell ref="Z81:AA81"/>
    <mergeCell ref="AB81:AC81"/>
    <mergeCell ref="AD81:AE81"/>
    <mergeCell ref="Z83:AA83"/>
    <mergeCell ref="AB83:AC83"/>
    <mergeCell ref="AD83:AE83"/>
    <mergeCell ref="AF83:AG83"/>
    <mergeCell ref="AH83:AI83"/>
    <mergeCell ref="AJ83:AK83"/>
    <mergeCell ref="N83:O83"/>
    <mergeCell ref="P83:Q83"/>
    <mergeCell ref="R83:S83"/>
    <mergeCell ref="T83:U83"/>
    <mergeCell ref="V83:W83"/>
    <mergeCell ref="X83:Y83"/>
    <mergeCell ref="X82:Y82"/>
    <mergeCell ref="Z82:AA82"/>
    <mergeCell ref="AB82:AC82"/>
    <mergeCell ref="AD82:AE82"/>
    <mergeCell ref="AF82:AG82"/>
    <mergeCell ref="AH82:AI82"/>
    <mergeCell ref="X80:Y80"/>
    <mergeCell ref="Z80:AA80"/>
    <mergeCell ref="AR82:AS82"/>
    <mergeCell ref="AB80:AC80"/>
    <mergeCell ref="AJ82:AK82"/>
    <mergeCell ref="AL82:AM82"/>
    <mergeCell ref="AN82:AO82"/>
    <mergeCell ref="AP82:AQ82"/>
    <mergeCell ref="F80:G80"/>
    <mergeCell ref="H80:I80"/>
    <mergeCell ref="J80:K80"/>
    <mergeCell ref="L80:M80"/>
    <mergeCell ref="N80:O80"/>
    <mergeCell ref="P80:Q80"/>
    <mergeCell ref="AR81:AS81"/>
    <mergeCell ref="F82:G82"/>
    <mergeCell ref="H82:I82"/>
    <mergeCell ref="J82:K82"/>
    <mergeCell ref="L82:M82"/>
    <mergeCell ref="N82:O82"/>
    <mergeCell ref="P82:Q82"/>
    <mergeCell ref="R82:S82"/>
    <mergeCell ref="T82:U82"/>
    <mergeCell ref="V82:W82"/>
    <mergeCell ref="AF81:AG81"/>
    <mergeCell ref="AH81:AI81"/>
    <mergeCell ref="AJ81:AK81"/>
    <mergeCell ref="AL81:AM81"/>
    <mergeCell ref="AN81:AO81"/>
    <mergeCell ref="AP81:AQ81"/>
    <mergeCell ref="T81:U81"/>
    <mergeCell ref="V81:W81"/>
    <mergeCell ref="AP78:AQ78"/>
    <mergeCell ref="AR77:AS77"/>
    <mergeCell ref="C79:C80"/>
    <mergeCell ref="F79:G79"/>
    <mergeCell ref="H79:I79"/>
    <mergeCell ref="J79:K79"/>
    <mergeCell ref="L79:M79"/>
    <mergeCell ref="X78:Y78"/>
    <mergeCell ref="Z78:AA78"/>
    <mergeCell ref="AB78:AC78"/>
    <mergeCell ref="AD78:AE78"/>
    <mergeCell ref="AF78:AG78"/>
    <mergeCell ref="AH78:AI78"/>
    <mergeCell ref="AP80:AQ80"/>
    <mergeCell ref="AR80:AS80"/>
    <mergeCell ref="C81:C82"/>
    <mergeCell ref="F81:G81"/>
    <mergeCell ref="H81:I81"/>
    <mergeCell ref="J81:K81"/>
    <mergeCell ref="L81:M81"/>
    <mergeCell ref="N81:O81"/>
    <mergeCell ref="P81:Q81"/>
    <mergeCell ref="R81:S81"/>
    <mergeCell ref="AD80:AE80"/>
    <mergeCell ref="AF80:AG80"/>
    <mergeCell ref="AH80:AI80"/>
    <mergeCell ref="AJ80:AK80"/>
    <mergeCell ref="AL80:AM80"/>
    <mergeCell ref="AN80:AO80"/>
    <mergeCell ref="R80:S80"/>
    <mergeCell ref="T80:U80"/>
    <mergeCell ref="V80:W80"/>
    <mergeCell ref="AP77:AQ77"/>
    <mergeCell ref="C77:C78"/>
    <mergeCell ref="F77:G77"/>
    <mergeCell ref="H77:I77"/>
    <mergeCell ref="J77:K77"/>
    <mergeCell ref="L77:M77"/>
    <mergeCell ref="N77:O77"/>
    <mergeCell ref="P77:Q77"/>
    <mergeCell ref="R77:S77"/>
    <mergeCell ref="AL79:AM79"/>
    <mergeCell ref="AN79:AO79"/>
    <mergeCell ref="AP79:AQ79"/>
    <mergeCell ref="AR79:AS79"/>
    <mergeCell ref="T77:U77"/>
    <mergeCell ref="V77:W77"/>
    <mergeCell ref="X77:Y77"/>
    <mergeCell ref="Z77:AA77"/>
    <mergeCell ref="AB77:AC77"/>
    <mergeCell ref="AD77:AE77"/>
    <mergeCell ref="Z79:AA79"/>
    <mergeCell ref="AB79:AC79"/>
    <mergeCell ref="AD79:AE79"/>
    <mergeCell ref="AF79:AG79"/>
    <mergeCell ref="AH79:AI79"/>
    <mergeCell ref="AJ79:AK79"/>
    <mergeCell ref="N79:O79"/>
    <mergeCell ref="P79:Q79"/>
    <mergeCell ref="R79:S79"/>
    <mergeCell ref="T79:U79"/>
    <mergeCell ref="V79:W79"/>
    <mergeCell ref="X79:Y79"/>
    <mergeCell ref="AR78:AS78"/>
    <mergeCell ref="Z76:AA76"/>
    <mergeCell ref="AB76:AC76"/>
    <mergeCell ref="AJ78:AK78"/>
    <mergeCell ref="AL78:AM78"/>
    <mergeCell ref="AN78:AO78"/>
    <mergeCell ref="AL75:AM75"/>
    <mergeCell ref="AN75:AO75"/>
    <mergeCell ref="F78:G78"/>
    <mergeCell ref="H78:I78"/>
    <mergeCell ref="J78:K78"/>
    <mergeCell ref="L78:M78"/>
    <mergeCell ref="N78:O78"/>
    <mergeCell ref="P78:Q78"/>
    <mergeCell ref="R78:S78"/>
    <mergeCell ref="T78:U78"/>
    <mergeCell ref="V78:W78"/>
    <mergeCell ref="AF77:AG77"/>
    <mergeCell ref="AH77:AI77"/>
    <mergeCell ref="AJ77:AK77"/>
    <mergeCell ref="AL77:AM77"/>
    <mergeCell ref="AN77:AO77"/>
    <mergeCell ref="AP75:AQ75"/>
    <mergeCell ref="AR75:AS75"/>
    <mergeCell ref="F76:G76"/>
    <mergeCell ref="H76:I76"/>
    <mergeCell ref="J76:K76"/>
    <mergeCell ref="L76:M76"/>
    <mergeCell ref="N76:O76"/>
    <mergeCell ref="P76:Q76"/>
    <mergeCell ref="Z75:AA75"/>
    <mergeCell ref="AB75:AC75"/>
    <mergeCell ref="AD75:AE75"/>
    <mergeCell ref="AF75:AG75"/>
    <mergeCell ref="AH75:AI75"/>
    <mergeCell ref="AJ75:AK75"/>
    <mergeCell ref="N75:O75"/>
    <mergeCell ref="P75:Q75"/>
    <mergeCell ref="R75:S75"/>
    <mergeCell ref="T75:U75"/>
    <mergeCell ref="V75:W75"/>
    <mergeCell ref="X75:Y75"/>
    <mergeCell ref="AP76:AQ76"/>
    <mergeCell ref="AR76:AS76"/>
    <mergeCell ref="AD76:AE76"/>
    <mergeCell ref="AF76:AG76"/>
    <mergeCell ref="AH76:AI76"/>
    <mergeCell ref="AJ76:AK76"/>
    <mergeCell ref="AL76:AM76"/>
    <mergeCell ref="AN76:AO76"/>
    <mergeCell ref="R76:S76"/>
    <mergeCell ref="T76:U76"/>
    <mergeCell ref="V76:W76"/>
    <mergeCell ref="X76:Y76"/>
    <mergeCell ref="AJ74:AK74"/>
    <mergeCell ref="AL74:AM74"/>
    <mergeCell ref="AN74:AO74"/>
    <mergeCell ref="AP74:AQ74"/>
    <mergeCell ref="AR74:AS74"/>
    <mergeCell ref="C75:C76"/>
    <mergeCell ref="F75:G75"/>
    <mergeCell ref="H75:I75"/>
    <mergeCell ref="J75:K75"/>
    <mergeCell ref="L75:M75"/>
    <mergeCell ref="X74:Y74"/>
    <mergeCell ref="Z74:AA74"/>
    <mergeCell ref="AB74:AC74"/>
    <mergeCell ref="AD74:AE74"/>
    <mergeCell ref="AF74:AG74"/>
    <mergeCell ref="AH74:AI74"/>
    <mergeCell ref="AR73:AS73"/>
    <mergeCell ref="F74:G74"/>
    <mergeCell ref="H74:I74"/>
    <mergeCell ref="J74:K74"/>
    <mergeCell ref="L74:M74"/>
    <mergeCell ref="N74:O74"/>
    <mergeCell ref="P74:Q74"/>
    <mergeCell ref="R74:S74"/>
    <mergeCell ref="T74:U74"/>
    <mergeCell ref="V74:W74"/>
    <mergeCell ref="AF73:AG73"/>
    <mergeCell ref="AH73:AI73"/>
    <mergeCell ref="AJ73:AK73"/>
    <mergeCell ref="AL73:AM73"/>
    <mergeCell ref="AN73:AO73"/>
    <mergeCell ref="AP73:AQ73"/>
    <mergeCell ref="T73:U73"/>
    <mergeCell ref="V73:W73"/>
    <mergeCell ref="X73:Y73"/>
    <mergeCell ref="Z73:AA73"/>
    <mergeCell ref="AB73:AC73"/>
    <mergeCell ref="AD73:AE73"/>
    <mergeCell ref="AP72:AQ72"/>
    <mergeCell ref="AR72:AS72"/>
    <mergeCell ref="C73:C74"/>
    <mergeCell ref="F73:G73"/>
    <mergeCell ref="H73:I73"/>
    <mergeCell ref="J73:K73"/>
    <mergeCell ref="L73:M73"/>
    <mergeCell ref="N73:O73"/>
    <mergeCell ref="P73:Q73"/>
    <mergeCell ref="R73:S73"/>
    <mergeCell ref="AD72:AE72"/>
    <mergeCell ref="AF72:AG72"/>
    <mergeCell ref="AH72:AI72"/>
    <mergeCell ref="AJ72:AK72"/>
    <mergeCell ref="AL72:AM72"/>
    <mergeCell ref="AN72:AO72"/>
    <mergeCell ref="R72:S72"/>
    <mergeCell ref="T72:U72"/>
    <mergeCell ref="V72:W72"/>
    <mergeCell ref="X72:Y72"/>
    <mergeCell ref="Z72:AA72"/>
    <mergeCell ref="AB72:AC72"/>
    <mergeCell ref="F72:G72"/>
    <mergeCell ref="H72:I72"/>
    <mergeCell ref="J72:K72"/>
    <mergeCell ref="L72:M72"/>
    <mergeCell ref="N72:O72"/>
    <mergeCell ref="P72:Q72"/>
    <mergeCell ref="AH71:AI71"/>
    <mergeCell ref="AJ71:AK71"/>
    <mergeCell ref="AL71:AM71"/>
    <mergeCell ref="AN71:AO71"/>
    <mergeCell ref="AP71:AQ71"/>
    <mergeCell ref="AR71:AS71"/>
    <mergeCell ref="V71:W71"/>
    <mergeCell ref="X71:Y71"/>
    <mergeCell ref="Z71:AA71"/>
    <mergeCell ref="AB71:AC71"/>
    <mergeCell ref="AD71:AE71"/>
    <mergeCell ref="AF71:AG71"/>
    <mergeCell ref="AP70:AQ70"/>
    <mergeCell ref="AR70:AS70"/>
    <mergeCell ref="F71:G71"/>
    <mergeCell ref="H71:I71"/>
    <mergeCell ref="J71:K71"/>
    <mergeCell ref="L71:M71"/>
    <mergeCell ref="N71:O71"/>
    <mergeCell ref="P71:Q71"/>
    <mergeCell ref="R71:S71"/>
    <mergeCell ref="T71:U71"/>
    <mergeCell ref="AD70:AE70"/>
    <mergeCell ref="AF70:AG70"/>
    <mergeCell ref="AH70:AI70"/>
    <mergeCell ref="AJ70:AK70"/>
    <mergeCell ref="AL70:AM70"/>
    <mergeCell ref="AN70:AO70"/>
    <mergeCell ref="R70:S70"/>
    <mergeCell ref="T70:U70"/>
    <mergeCell ref="AL69:AM69"/>
    <mergeCell ref="AN69:AO69"/>
    <mergeCell ref="AP69:AQ69"/>
    <mergeCell ref="AR69:AS69"/>
    <mergeCell ref="F70:G70"/>
    <mergeCell ref="H70:I70"/>
    <mergeCell ref="J70:K70"/>
    <mergeCell ref="L70:M70"/>
    <mergeCell ref="N70:O70"/>
    <mergeCell ref="P70:Q70"/>
    <mergeCell ref="Z69:AA69"/>
    <mergeCell ref="AB69:AC69"/>
    <mergeCell ref="AD69:AE69"/>
    <mergeCell ref="AF69:AG69"/>
    <mergeCell ref="AH69:AI69"/>
    <mergeCell ref="AJ69:AK69"/>
    <mergeCell ref="N69:O69"/>
    <mergeCell ref="P69:Q69"/>
    <mergeCell ref="R69:S69"/>
    <mergeCell ref="T69:U69"/>
    <mergeCell ref="V69:W69"/>
    <mergeCell ref="X69:Y69"/>
    <mergeCell ref="AR68:AS68"/>
    <mergeCell ref="C69:C72"/>
    <mergeCell ref="F69:G69"/>
    <mergeCell ref="H69:I69"/>
    <mergeCell ref="J69:K69"/>
    <mergeCell ref="L69:M69"/>
    <mergeCell ref="X68:Y68"/>
    <mergeCell ref="Z68:AA68"/>
    <mergeCell ref="AB68:AC68"/>
    <mergeCell ref="AD68:AE68"/>
    <mergeCell ref="AF68:AG68"/>
    <mergeCell ref="AH68:AI68"/>
    <mergeCell ref="AR67:AS67"/>
    <mergeCell ref="F68:G68"/>
    <mergeCell ref="H68:I68"/>
    <mergeCell ref="J68:K68"/>
    <mergeCell ref="L68:M68"/>
    <mergeCell ref="N68:O68"/>
    <mergeCell ref="P68:Q68"/>
    <mergeCell ref="R68:S68"/>
    <mergeCell ref="T68:U68"/>
    <mergeCell ref="V68:W68"/>
    <mergeCell ref="AF67:AG67"/>
    <mergeCell ref="AH67:AI67"/>
    <mergeCell ref="AJ67:AK67"/>
    <mergeCell ref="AL67:AM67"/>
    <mergeCell ref="AN67:AO67"/>
    <mergeCell ref="AP67:AQ67"/>
    <mergeCell ref="V70:W70"/>
    <mergeCell ref="X70:Y70"/>
    <mergeCell ref="Z70:AA70"/>
    <mergeCell ref="AB70:AC70"/>
    <mergeCell ref="T67:U67"/>
    <mergeCell ref="V67:W67"/>
    <mergeCell ref="X67:Y67"/>
    <mergeCell ref="Z67:AA67"/>
    <mergeCell ref="AB67:AC67"/>
    <mergeCell ref="AD67:AE67"/>
    <mergeCell ref="AP66:AQ66"/>
    <mergeCell ref="AR66:AS66"/>
    <mergeCell ref="C67:C68"/>
    <mergeCell ref="F67:G67"/>
    <mergeCell ref="H67:I67"/>
    <mergeCell ref="J67:K67"/>
    <mergeCell ref="L67:M67"/>
    <mergeCell ref="N67:O67"/>
    <mergeCell ref="P67:Q67"/>
    <mergeCell ref="R67:S67"/>
    <mergeCell ref="AD66:AE66"/>
    <mergeCell ref="AF66:AG66"/>
    <mergeCell ref="AH66:AI66"/>
    <mergeCell ref="AJ66:AK66"/>
    <mergeCell ref="AL66:AM66"/>
    <mergeCell ref="AN66:AO66"/>
    <mergeCell ref="R66:S66"/>
    <mergeCell ref="T66:U66"/>
    <mergeCell ref="V66:W66"/>
    <mergeCell ref="X66:Y66"/>
    <mergeCell ref="Z66:AA66"/>
    <mergeCell ref="AB66:AC66"/>
    <mergeCell ref="AJ68:AK68"/>
    <mergeCell ref="AL68:AM68"/>
    <mergeCell ref="AN68:AO68"/>
    <mergeCell ref="AP68:AQ68"/>
    <mergeCell ref="F66:G66"/>
    <mergeCell ref="H66:I66"/>
    <mergeCell ref="J66:K66"/>
    <mergeCell ref="L66:M66"/>
    <mergeCell ref="N66:O66"/>
    <mergeCell ref="P66:Q66"/>
    <mergeCell ref="Z65:AA65"/>
    <mergeCell ref="AB65:AC65"/>
    <mergeCell ref="AD65:AE65"/>
    <mergeCell ref="AF65:AG65"/>
    <mergeCell ref="AH65:AI65"/>
    <mergeCell ref="AJ65:AK65"/>
    <mergeCell ref="N65:O65"/>
    <mergeCell ref="P65:Q65"/>
    <mergeCell ref="R65:S65"/>
    <mergeCell ref="T65:U65"/>
    <mergeCell ref="V65:W65"/>
    <mergeCell ref="X65:Y65"/>
    <mergeCell ref="AR64:AS64"/>
    <mergeCell ref="C65:C66"/>
    <mergeCell ref="F65:G65"/>
    <mergeCell ref="H65:I65"/>
    <mergeCell ref="J65:K65"/>
    <mergeCell ref="L65:M65"/>
    <mergeCell ref="X64:Y64"/>
    <mergeCell ref="Z64:AA64"/>
    <mergeCell ref="AB64:AC64"/>
    <mergeCell ref="AD64:AE64"/>
    <mergeCell ref="AF64:AG64"/>
    <mergeCell ref="AH64:AI64"/>
    <mergeCell ref="AR63:AS63"/>
    <mergeCell ref="F64:G64"/>
    <mergeCell ref="H64:I64"/>
    <mergeCell ref="J64:K64"/>
    <mergeCell ref="L64:M64"/>
    <mergeCell ref="N64:O64"/>
    <mergeCell ref="P64:Q64"/>
    <mergeCell ref="R64:S64"/>
    <mergeCell ref="T64:U64"/>
    <mergeCell ref="V64:W64"/>
    <mergeCell ref="AF63:AG63"/>
    <mergeCell ref="AH63:AI63"/>
    <mergeCell ref="AJ63:AK63"/>
    <mergeCell ref="AL63:AM63"/>
    <mergeCell ref="AN63:AO63"/>
    <mergeCell ref="AP63:AQ63"/>
    <mergeCell ref="AL65:AM65"/>
    <mergeCell ref="AN65:AO65"/>
    <mergeCell ref="AP65:AQ65"/>
    <mergeCell ref="AR65:AS65"/>
    <mergeCell ref="T63:U63"/>
    <mergeCell ref="V63:W63"/>
    <mergeCell ref="X63:Y63"/>
    <mergeCell ref="Z63:AA63"/>
    <mergeCell ref="AB63:AC63"/>
    <mergeCell ref="AD63:AE63"/>
    <mergeCell ref="AP62:AQ62"/>
    <mergeCell ref="AR62:AS62"/>
    <mergeCell ref="C63:C64"/>
    <mergeCell ref="F63:G63"/>
    <mergeCell ref="H63:I63"/>
    <mergeCell ref="J63:K63"/>
    <mergeCell ref="L63:M63"/>
    <mergeCell ref="N63:O63"/>
    <mergeCell ref="P63:Q63"/>
    <mergeCell ref="R63:S63"/>
    <mergeCell ref="AD62:AE62"/>
    <mergeCell ref="AF62:AG62"/>
    <mergeCell ref="AH62:AI62"/>
    <mergeCell ref="AJ62:AK62"/>
    <mergeCell ref="AL62:AM62"/>
    <mergeCell ref="AN62:AO62"/>
    <mergeCell ref="R62:S62"/>
    <mergeCell ref="T62:U62"/>
    <mergeCell ref="V62:W62"/>
    <mergeCell ref="X62:Y62"/>
    <mergeCell ref="Z62:AA62"/>
    <mergeCell ref="AB62:AC62"/>
    <mergeCell ref="AJ64:AK64"/>
    <mergeCell ref="AL64:AM64"/>
    <mergeCell ref="AN64:AO64"/>
    <mergeCell ref="AP64:AQ64"/>
    <mergeCell ref="F62:G62"/>
    <mergeCell ref="H62:I62"/>
    <mergeCell ref="J62:K62"/>
    <mergeCell ref="L62:M62"/>
    <mergeCell ref="N62:O62"/>
    <mergeCell ref="P62:Q62"/>
    <mergeCell ref="Z61:AA61"/>
    <mergeCell ref="AB61:AC61"/>
    <mergeCell ref="AD61:AE61"/>
    <mergeCell ref="AF61:AG61"/>
    <mergeCell ref="AH61:AI61"/>
    <mergeCell ref="AJ61:AK61"/>
    <mergeCell ref="N61:O61"/>
    <mergeCell ref="P61:Q61"/>
    <mergeCell ref="R61:S61"/>
    <mergeCell ref="T61:U61"/>
    <mergeCell ref="V61:W61"/>
    <mergeCell ref="X61:Y61"/>
    <mergeCell ref="AR60:AS60"/>
    <mergeCell ref="C61:C62"/>
    <mergeCell ref="F61:G61"/>
    <mergeCell ref="H61:I61"/>
    <mergeCell ref="J61:K61"/>
    <mergeCell ref="L61:M61"/>
    <mergeCell ref="X60:Y60"/>
    <mergeCell ref="Z60:AA60"/>
    <mergeCell ref="AB60:AC60"/>
    <mergeCell ref="AD60:AE60"/>
    <mergeCell ref="AF60:AG60"/>
    <mergeCell ref="AH60:AI60"/>
    <mergeCell ref="AR59:AS59"/>
    <mergeCell ref="F60:G60"/>
    <mergeCell ref="H60:I60"/>
    <mergeCell ref="J60:K60"/>
    <mergeCell ref="L60:M60"/>
    <mergeCell ref="N60:O60"/>
    <mergeCell ref="P60:Q60"/>
    <mergeCell ref="R60:S60"/>
    <mergeCell ref="T60:U60"/>
    <mergeCell ref="V60:W60"/>
    <mergeCell ref="AF59:AG59"/>
    <mergeCell ref="AH59:AI59"/>
    <mergeCell ref="AJ59:AK59"/>
    <mergeCell ref="AL59:AM59"/>
    <mergeCell ref="AN59:AO59"/>
    <mergeCell ref="AP59:AQ59"/>
    <mergeCell ref="AL61:AM61"/>
    <mergeCell ref="AN61:AO61"/>
    <mergeCell ref="AP61:AQ61"/>
    <mergeCell ref="AR61:AS61"/>
    <mergeCell ref="T59:U59"/>
    <mergeCell ref="V59:W59"/>
    <mergeCell ref="X59:Y59"/>
    <mergeCell ref="Z59:AA59"/>
    <mergeCell ref="AB59:AC59"/>
    <mergeCell ref="AD59:AE59"/>
    <mergeCell ref="AP58:AQ58"/>
    <mergeCell ref="AR58:AS58"/>
    <mergeCell ref="C59:C60"/>
    <mergeCell ref="F59:G59"/>
    <mergeCell ref="H59:I59"/>
    <mergeCell ref="J59:K59"/>
    <mergeCell ref="L59:M59"/>
    <mergeCell ref="N59:O59"/>
    <mergeCell ref="P59:Q59"/>
    <mergeCell ref="R59:S59"/>
    <mergeCell ref="AD58:AE58"/>
    <mergeCell ref="AF58:AG58"/>
    <mergeCell ref="AH58:AI58"/>
    <mergeCell ref="AJ58:AK58"/>
    <mergeCell ref="AL58:AM58"/>
    <mergeCell ref="AN58:AO58"/>
    <mergeCell ref="R58:S58"/>
    <mergeCell ref="T58:U58"/>
    <mergeCell ref="V58:W58"/>
    <mergeCell ref="X58:Y58"/>
    <mergeCell ref="Z58:AA58"/>
    <mergeCell ref="AB58:AC58"/>
    <mergeCell ref="AJ60:AK60"/>
    <mergeCell ref="AL60:AM60"/>
    <mergeCell ref="AN60:AO60"/>
    <mergeCell ref="AP60:AQ60"/>
    <mergeCell ref="AL57:AM57"/>
    <mergeCell ref="AN57:AO57"/>
    <mergeCell ref="AP57:AQ57"/>
    <mergeCell ref="AR57:AS57"/>
    <mergeCell ref="F58:G58"/>
    <mergeCell ref="H58:I58"/>
    <mergeCell ref="J58:K58"/>
    <mergeCell ref="L58:M58"/>
    <mergeCell ref="N58:O58"/>
    <mergeCell ref="P58:Q58"/>
    <mergeCell ref="Z57:AA57"/>
    <mergeCell ref="AB57:AC57"/>
    <mergeCell ref="AD57:AE57"/>
    <mergeCell ref="AF57:AG57"/>
    <mergeCell ref="AH57:AI57"/>
    <mergeCell ref="AJ57:AK57"/>
    <mergeCell ref="N57:O57"/>
    <mergeCell ref="P57:Q57"/>
    <mergeCell ref="R57:S57"/>
    <mergeCell ref="T57:U57"/>
    <mergeCell ref="V57:W57"/>
    <mergeCell ref="X57:Y57"/>
    <mergeCell ref="AJ56:AK56"/>
    <mergeCell ref="AL56:AM56"/>
    <mergeCell ref="AN56:AO56"/>
    <mergeCell ref="AP56:AQ56"/>
    <mergeCell ref="AR56:AS56"/>
    <mergeCell ref="C57:C58"/>
    <mergeCell ref="F57:G57"/>
    <mergeCell ref="H57:I57"/>
    <mergeCell ref="J57:K57"/>
    <mergeCell ref="L57:M57"/>
    <mergeCell ref="X56:Y56"/>
    <mergeCell ref="Z56:AA56"/>
    <mergeCell ref="AB56:AC56"/>
    <mergeCell ref="AD56:AE56"/>
    <mergeCell ref="AF56:AG56"/>
    <mergeCell ref="AH56:AI56"/>
    <mergeCell ref="AR55:AS55"/>
    <mergeCell ref="F56:G56"/>
    <mergeCell ref="H56:I56"/>
    <mergeCell ref="J56:K56"/>
    <mergeCell ref="L56:M56"/>
    <mergeCell ref="N56:O56"/>
    <mergeCell ref="P56:Q56"/>
    <mergeCell ref="R56:S56"/>
    <mergeCell ref="T56:U56"/>
    <mergeCell ref="V56:W56"/>
    <mergeCell ref="AF55:AG55"/>
    <mergeCell ref="AH55:AI55"/>
    <mergeCell ref="AJ55:AK55"/>
    <mergeCell ref="AL55:AM55"/>
    <mergeCell ref="AN55:AO55"/>
    <mergeCell ref="AP55:AQ55"/>
    <mergeCell ref="T55:U55"/>
    <mergeCell ref="V55:W55"/>
    <mergeCell ref="X55:Y55"/>
    <mergeCell ref="Z55:AA55"/>
    <mergeCell ref="AB55:AC55"/>
    <mergeCell ref="AD55:AE55"/>
    <mergeCell ref="AP54:AQ54"/>
    <mergeCell ref="AR54:AS54"/>
    <mergeCell ref="C55:C56"/>
    <mergeCell ref="F55:G55"/>
    <mergeCell ref="H55:I55"/>
    <mergeCell ref="J55:K55"/>
    <mergeCell ref="L55:M55"/>
    <mergeCell ref="N55:O55"/>
    <mergeCell ref="P55:Q55"/>
    <mergeCell ref="R55:S55"/>
    <mergeCell ref="AD54:AE54"/>
    <mergeCell ref="AF54:AG54"/>
    <mergeCell ref="AH54:AI54"/>
    <mergeCell ref="AJ54:AK54"/>
    <mergeCell ref="AL54:AM54"/>
    <mergeCell ref="AN54:AO54"/>
    <mergeCell ref="R54:S54"/>
    <mergeCell ref="T54:U54"/>
    <mergeCell ref="V54:W54"/>
    <mergeCell ref="X54:Y54"/>
    <mergeCell ref="Z54:AA54"/>
    <mergeCell ref="AB54:AC54"/>
    <mergeCell ref="F54:G54"/>
    <mergeCell ref="H54:I54"/>
    <mergeCell ref="J54:K54"/>
    <mergeCell ref="L54:M54"/>
    <mergeCell ref="Z53:AA53"/>
    <mergeCell ref="AB53:AC53"/>
    <mergeCell ref="AD53:AE53"/>
    <mergeCell ref="AF53:AG53"/>
    <mergeCell ref="AP52:AQ52"/>
    <mergeCell ref="AR52:AS52"/>
    <mergeCell ref="F53:G53"/>
    <mergeCell ref="H53:I53"/>
    <mergeCell ref="J53:K53"/>
    <mergeCell ref="L53:M53"/>
    <mergeCell ref="N53:O53"/>
    <mergeCell ref="P53:Q53"/>
    <mergeCell ref="R53:S53"/>
    <mergeCell ref="T53:U53"/>
    <mergeCell ref="AD52:AE52"/>
    <mergeCell ref="AF52:AG52"/>
    <mergeCell ref="AH52:AI52"/>
    <mergeCell ref="AJ52:AK52"/>
    <mergeCell ref="AL52:AM52"/>
    <mergeCell ref="AN52:AO52"/>
    <mergeCell ref="R52:S52"/>
    <mergeCell ref="T52:U52"/>
    <mergeCell ref="V52:W52"/>
    <mergeCell ref="X52:Y52"/>
    <mergeCell ref="Z52:AA52"/>
    <mergeCell ref="AB52:AC52"/>
    <mergeCell ref="AN51:AO51"/>
    <mergeCell ref="AP51:AQ51"/>
    <mergeCell ref="AR51:AS51"/>
    <mergeCell ref="B52:B84"/>
    <mergeCell ref="F52:G52"/>
    <mergeCell ref="H52:I52"/>
    <mergeCell ref="J52:K52"/>
    <mergeCell ref="L52:M52"/>
    <mergeCell ref="N52:O52"/>
    <mergeCell ref="P52:Q52"/>
    <mergeCell ref="AB51:AC51"/>
    <mergeCell ref="AD51:AE51"/>
    <mergeCell ref="AF51:AG51"/>
    <mergeCell ref="AH51:AI51"/>
    <mergeCell ref="AJ51:AK51"/>
    <mergeCell ref="AL51:AM51"/>
    <mergeCell ref="P51:Q51"/>
    <mergeCell ref="R51:S51"/>
    <mergeCell ref="T51:U51"/>
    <mergeCell ref="V51:W51"/>
    <mergeCell ref="X51:Y51"/>
    <mergeCell ref="Z51:AA51"/>
    <mergeCell ref="N54:O54"/>
    <mergeCell ref="P54:Q54"/>
    <mergeCell ref="AH53:AI53"/>
    <mergeCell ref="AJ53:AK53"/>
    <mergeCell ref="AL53:AM53"/>
    <mergeCell ref="AN53:AO53"/>
    <mergeCell ref="AP53:AQ53"/>
    <mergeCell ref="AR53:AS53"/>
    <mergeCell ref="V53:W53"/>
    <mergeCell ref="X53:Y53"/>
    <mergeCell ref="AR50:AS50"/>
    <mergeCell ref="F51:G51"/>
    <mergeCell ref="H51:I51"/>
    <mergeCell ref="J51:K51"/>
    <mergeCell ref="L51:M51"/>
    <mergeCell ref="N51:O51"/>
    <mergeCell ref="X50:Y50"/>
    <mergeCell ref="Z50:AA50"/>
    <mergeCell ref="AB50:AC50"/>
    <mergeCell ref="AD50:AE50"/>
    <mergeCell ref="AF50:AG50"/>
    <mergeCell ref="AH50:AI50"/>
    <mergeCell ref="AT49:AT50"/>
    <mergeCell ref="F50:G50"/>
    <mergeCell ref="H50:I50"/>
    <mergeCell ref="J50:K50"/>
    <mergeCell ref="L50:M50"/>
    <mergeCell ref="N50:O50"/>
    <mergeCell ref="P50:Q50"/>
    <mergeCell ref="R50:S50"/>
    <mergeCell ref="T50:U50"/>
    <mergeCell ref="V50:W50"/>
    <mergeCell ref="AH49:AI49"/>
    <mergeCell ref="AJ49:AK49"/>
    <mergeCell ref="AL49:AM49"/>
    <mergeCell ref="AN49:AO49"/>
    <mergeCell ref="AP49:AQ49"/>
    <mergeCell ref="AR49:AS49"/>
    <mergeCell ref="V49:W49"/>
    <mergeCell ref="X49:Y49"/>
    <mergeCell ref="Z49:AA49"/>
    <mergeCell ref="AB49:AC49"/>
    <mergeCell ref="AD49:AE49"/>
    <mergeCell ref="AF49:AG49"/>
    <mergeCell ref="AR48:AS48"/>
    <mergeCell ref="C49:C50"/>
    <mergeCell ref="F49:G49"/>
    <mergeCell ref="H49:I49"/>
    <mergeCell ref="J49:K49"/>
    <mergeCell ref="L49:M49"/>
    <mergeCell ref="N49:O49"/>
    <mergeCell ref="P49:Q49"/>
    <mergeCell ref="R49:S49"/>
    <mergeCell ref="T49:U49"/>
    <mergeCell ref="AF48:AG48"/>
    <mergeCell ref="AH48:AI48"/>
    <mergeCell ref="AJ48:AK48"/>
    <mergeCell ref="AL48:AM48"/>
    <mergeCell ref="AN48:AO48"/>
    <mergeCell ref="AP48:AQ48"/>
    <mergeCell ref="T48:U48"/>
    <mergeCell ref="V48:W48"/>
    <mergeCell ref="X48:Y48"/>
    <mergeCell ref="Z48:AA48"/>
    <mergeCell ref="AB48:AC48"/>
    <mergeCell ref="AD48:AE48"/>
    <mergeCell ref="AJ50:AK50"/>
    <mergeCell ref="AL50:AM50"/>
    <mergeCell ref="AN50:AO50"/>
    <mergeCell ref="AP50:AQ50"/>
    <mergeCell ref="F48:G48"/>
    <mergeCell ref="H48:I48"/>
    <mergeCell ref="J48:K48"/>
    <mergeCell ref="L48:M48"/>
    <mergeCell ref="N48:O48"/>
    <mergeCell ref="P48:Q48"/>
    <mergeCell ref="R48:S48"/>
    <mergeCell ref="AB47:AC47"/>
    <mergeCell ref="AD47:AE47"/>
    <mergeCell ref="AF47:AG47"/>
    <mergeCell ref="AH47:AI47"/>
    <mergeCell ref="AJ47:AK47"/>
    <mergeCell ref="AL47:AM47"/>
    <mergeCell ref="P47:Q47"/>
    <mergeCell ref="R47:S47"/>
    <mergeCell ref="T47:U47"/>
    <mergeCell ref="V47:W47"/>
    <mergeCell ref="X47:Y47"/>
    <mergeCell ref="Z47:AA47"/>
    <mergeCell ref="AR46:AS46"/>
    <mergeCell ref="N47:O47"/>
    <mergeCell ref="X46:Y46"/>
    <mergeCell ref="Z46:AA46"/>
    <mergeCell ref="AB46:AC46"/>
    <mergeCell ref="AD46:AE46"/>
    <mergeCell ref="AF46:AG46"/>
    <mergeCell ref="AH46:AI46"/>
    <mergeCell ref="AP46:AQ46"/>
    <mergeCell ref="AR45:AS45"/>
    <mergeCell ref="F46:G46"/>
    <mergeCell ref="H46:I46"/>
    <mergeCell ref="J46:K46"/>
    <mergeCell ref="L46:M46"/>
    <mergeCell ref="N46:O46"/>
    <mergeCell ref="P46:Q46"/>
    <mergeCell ref="R46:S46"/>
    <mergeCell ref="T46:U46"/>
    <mergeCell ref="V46:W46"/>
    <mergeCell ref="AF45:AG45"/>
    <mergeCell ref="AH45:AI45"/>
    <mergeCell ref="AJ45:AK45"/>
    <mergeCell ref="AL45:AM45"/>
    <mergeCell ref="AN45:AO45"/>
    <mergeCell ref="AP45:AQ45"/>
    <mergeCell ref="C45:C48"/>
    <mergeCell ref="F45:G45"/>
    <mergeCell ref="H45:I45"/>
    <mergeCell ref="J45:K45"/>
    <mergeCell ref="L45:M45"/>
    <mergeCell ref="N45:O45"/>
    <mergeCell ref="P45:Q45"/>
    <mergeCell ref="R45:S45"/>
    <mergeCell ref="AP47:AQ47"/>
    <mergeCell ref="AR47:AS47"/>
    <mergeCell ref="T45:U45"/>
    <mergeCell ref="V45:W45"/>
    <mergeCell ref="X45:Y45"/>
    <mergeCell ref="Z45:AA45"/>
    <mergeCell ref="AB45:AC45"/>
    <mergeCell ref="AD45:AE45"/>
    <mergeCell ref="AH44:AI44"/>
    <mergeCell ref="AJ44:AK44"/>
    <mergeCell ref="AL44:AM44"/>
    <mergeCell ref="AN44:AO44"/>
    <mergeCell ref="R44:S44"/>
    <mergeCell ref="T44:U44"/>
    <mergeCell ref="V44:W44"/>
    <mergeCell ref="X44:Y44"/>
    <mergeCell ref="Z44:AA44"/>
    <mergeCell ref="AB44:AC44"/>
    <mergeCell ref="AJ46:AK46"/>
    <mergeCell ref="AL46:AM46"/>
    <mergeCell ref="AN46:AO46"/>
    <mergeCell ref="AN47:AO47"/>
    <mergeCell ref="F47:G47"/>
    <mergeCell ref="H47:I47"/>
    <mergeCell ref="J47:K47"/>
    <mergeCell ref="L47:M47"/>
    <mergeCell ref="AP42:AQ42"/>
    <mergeCell ref="AR42:AS42"/>
    <mergeCell ref="C43:C44"/>
    <mergeCell ref="AT43:AT44"/>
    <mergeCell ref="F44:G44"/>
    <mergeCell ref="H44:I44"/>
    <mergeCell ref="J44:K44"/>
    <mergeCell ref="L44:M44"/>
    <mergeCell ref="N44:O44"/>
    <mergeCell ref="P44:Q44"/>
    <mergeCell ref="AD42:AE42"/>
    <mergeCell ref="AF42:AG42"/>
    <mergeCell ref="AH42:AI42"/>
    <mergeCell ref="AJ42:AK42"/>
    <mergeCell ref="AL42:AM42"/>
    <mergeCell ref="AN42:AO42"/>
    <mergeCell ref="R42:S42"/>
    <mergeCell ref="T42:U42"/>
    <mergeCell ref="V42:W42"/>
    <mergeCell ref="X42:Y42"/>
    <mergeCell ref="Z42:AA42"/>
    <mergeCell ref="AB42:AC42"/>
    <mergeCell ref="F42:G42"/>
    <mergeCell ref="H42:I42"/>
    <mergeCell ref="J42:K42"/>
    <mergeCell ref="L42:M42"/>
    <mergeCell ref="N42:O42"/>
    <mergeCell ref="P42:Q42"/>
    <mergeCell ref="AP44:AQ44"/>
    <mergeCell ref="AR44:AS44"/>
    <mergeCell ref="AD44:AE44"/>
    <mergeCell ref="AF44:AG44"/>
    <mergeCell ref="AH41:AI41"/>
    <mergeCell ref="AJ41:AK41"/>
    <mergeCell ref="AL41:AM41"/>
    <mergeCell ref="AN41:AO41"/>
    <mergeCell ref="AP41:AQ41"/>
    <mergeCell ref="AR41:AS41"/>
    <mergeCell ref="V41:W41"/>
    <mergeCell ref="X41:Y41"/>
    <mergeCell ref="Z41:AA41"/>
    <mergeCell ref="AB41:AC41"/>
    <mergeCell ref="AD41:AE41"/>
    <mergeCell ref="AF41:AG41"/>
    <mergeCell ref="AP40:AQ40"/>
    <mergeCell ref="AR40:AS40"/>
    <mergeCell ref="F41:G41"/>
    <mergeCell ref="H41:I41"/>
    <mergeCell ref="J41:K41"/>
    <mergeCell ref="L41:M41"/>
    <mergeCell ref="N41:O41"/>
    <mergeCell ref="P41:Q41"/>
    <mergeCell ref="R41:S41"/>
    <mergeCell ref="T41:U41"/>
    <mergeCell ref="AD40:AE40"/>
    <mergeCell ref="AF40:AG40"/>
    <mergeCell ref="AH40:AI40"/>
    <mergeCell ref="AJ40:AK40"/>
    <mergeCell ref="AL40:AM40"/>
    <mergeCell ref="AN40:AO40"/>
    <mergeCell ref="R40:S40"/>
    <mergeCell ref="T40:U40"/>
    <mergeCell ref="V40:W40"/>
    <mergeCell ref="X40:Y40"/>
    <mergeCell ref="Z40:AA40"/>
    <mergeCell ref="AB40:AC40"/>
    <mergeCell ref="AL39:AM39"/>
    <mergeCell ref="AN39:AO39"/>
    <mergeCell ref="AP39:AQ39"/>
    <mergeCell ref="AR39:AS39"/>
    <mergeCell ref="F40:G40"/>
    <mergeCell ref="H40:I40"/>
    <mergeCell ref="J40:K40"/>
    <mergeCell ref="L40:M40"/>
    <mergeCell ref="N40:O40"/>
    <mergeCell ref="P40:Q40"/>
    <mergeCell ref="Z39:AA39"/>
    <mergeCell ref="AB39:AC39"/>
    <mergeCell ref="AD39:AE39"/>
    <mergeCell ref="AF39:AG39"/>
    <mergeCell ref="AH39:AI39"/>
    <mergeCell ref="AJ39:AK39"/>
    <mergeCell ref="N39:O39"/>
    <mergeCell ref="P39:Q39"/>
    <mergeCell ref="R39:S39"/>
    <mergeCell ref="T39:U39"/>
    <mergeCell ref="V39:W39"/>
    <mergeCell ref="X39:Y39"/>
    <mergeCell ref="AJ38:AK38"/>
    <mergeCell ref="AL38:AM38"/>
    <mergeCell ref="AN38:AO38"/>
    <mergeCell ref="AP38:AQ38"/>
    <mergeCell ref="AR38:AS38"/>
    <mergeCell ref="C39:C42"/>
    <mergeCell ref="F39:G39"/>
    <mergeCell ref="H39:I39"/>
    <mergeCell ref="J39:K39"/>
    <mergeCell ref="L39:M39"/>
    <mergeCell ref="X38:Y38"/>
    <mergeCell ref="Z38:AA38"/>
    <mergeCell ref="AB38:AC38"/>
    <mergeCell ref="AD38:AE38"/>
    <mergeCell ref="AF38:AG38"/>
    <mergeCell ref="AH38:AI38"/>
    <mergeCell ref="AR37:AS37"/>
    <mergeCell ref="F38:G38"/>
    <mergeCell ref="H38:I38"/>
    <mergeCell ref="J38:K38"/>
    <mergeCell ref="L38:M38"/>
    <mergeCell ref="N38:O38"/>
    <mergeCell ref="P38:Q38"/>
    <mergeCell ref="R38:S38"/>
    <mergeCell ref="T38:U38"/>
    <mergeCell ref="V38:W38"/>
    <mergeCell ref="AF37:AG37"/>
    <mergeCell ref="AH37:AI37"/>
    <mergeCell ref="AJ37:AK37"/>
    <mergeCell ref="AL37:AM37"/>
    <mergeCell ref="AN37:AO37"/>
    <mergeCell ref="AP37:AQ37"/>
    <mergeCell ref="T37:U37"/>
    <mergeCell ref="V37:W37"/>
    <mergeCell ref="X37:Y37"/>
    <mergeCell ref="Z37:AA37"/>
    <mergeCell ref="AB37:AC37"/>
    <mergeCell ref="AD37:AE37"/>
    <mergeCell ref="AP36:AQ36"/>
    <mergeCell ref="AR36:AS36"/>
    <mergeCell ref="C37:C38"/>
    <mergeCell ref="F37:G37"/>
    <mergeCell ref="H37:I37"/>
    <mergeCell ref="J37:K37"/>
    <mergeCell ref="L37:M37"/>
    <mergeCell ref="N37:O37"/>
    <mergeCell ref="P37:Q37"/>
    <mergeCell ref="R37:S37"/>
    <mergeCell ref="AD36:AE36"/>
    <mergeCell ref="AF36:AG36"/>
    <mergeCell ref="AH36:AI36"/>
    <mergeCell ref="AJ36:AK36"/>
    <mergeCell ref="AL36:AM36"/>
    <mergeCell ref="AN36:AO36"/>
    <mergeCell ref="R36:S36"/>
    <mergeCell ref="T36:U36"/>
    <mergeCell ref="V36:W36"/>
    <mergeCell ref="X36:Y36"/>
    <mergeCell ref="Z36:AA36"/>
    <mergeCell ref="AB36:AC36"/>
    <mergeCell ref="F36:G36"/>
    <mergeCell ref="H36:I36"/>
    <mergeCell ref="J36:K36"/>
    <mergeCell ref="L36:M36"/>
    <mergeCell ref="N36:O36"/>
    <mergeCell ref="P36:Q36"/>
    <mergeCell ref="AH35:AI35"/>
    <mergeCell ref="AJ35:AK35"/>
    <mergeCell ref="AL35:AM35"/>
    <mergeCell ref="AN35:AO35"/>
    <mergeCell ref="AP35:AQ35"/>
    <mergeCell ref="AR35:AS35"/>
    <mergeCell ref="V35:W35"/>
    <mergeCell ref="X35:Y35"/>
    <mergeCell ref="Z35:AA35"/>
    <mergeCell ref="AB35:AC35"/>
    <mergeCell ref="AD35:AE35"/>
    <mergeCell ref="AF35:AG35"/>
    <mergeCell ref="AP34:AQ34"/>
    <mergeCell ref="AR34:AS34"/>
    <mergeCell ref="F35:G35"/>
    <mergeCell ref="H35:I35"/>
    <mergeCell ref="J35:K35"/>
    <mergeCell ref="L35:M35"/>
    <mergeCell ref="N35:O35"/>
    <mergeCell ref="P35:Q35"/>
    <mergeCell ref="R35:S35"/>
    <mergeCell ref="T35:U35"/>
    <mergeCell ref="AD34:AE34"/>
    <mergeCell ref="AF34:AG34"/>
    <mergeCell ref="AH34:AI34"/>
    <mergeCell ref="AJ34:AK34"/>
    <mergeCell ref="AL34:AM34"/>
    <mergeCell ref="AN34:AO34"/>
    <mergeCell ref="R34:S34"/>
    <mergeCell ref="T34:U34"/>
    <mergeCell ref="AL33:AM33"/>
    <mergeCell ref="AN33:AO33"/>
    <mergeCell ref="AP33:AQ33"/>
    <mergeCell ref="AR33:AS33"/>
    <mergeCell ref="F34:G34"/>
    <mergeCell ref="H34:I34"/>
    <mergeCell ref="J34:K34"/>
    <mergeCell ref="L34:M34"/>
    <mergeCell ref="N34:O34"/>
    <mergeCell ref="P34:Q34"/>
    <mergeCell ref="Z33:AA33"/>
    <mergeCell ref="AB33:AC33"/>
    <mergeCell ref="AD33:AE33"/>
    <mergeCell ref="AF33:AG33"/>
    <mergeCell ref="AH33:AI33"/>
    <mergeCell ref="AJ33:AK33"/>
    <mergeCell ref="N33:O33"/>
    <mergeCell ref="P33:Q33"/>
    <mergeCell ref="R33:S33"/>
    <mergeCell ref="T33:U33"/>
    <mergeCell ref="V33:W33"/>
    <mergeCell ref="X33:Y33"/>
    <mergeCell ref="AR32:AS32"/>
    <mergeCell ref="C33:C36"/>
    <mergeCell ref="F33:G33"/>
    <mergeCell ref="H33:I33"/>
    <mergeCell ref="J33:K33"/>
    <mergeCell ref="L33:M33"/>
    <mergeCell ref="X32:Y32"/>
    <mergeCell ref="Z32:AA32"/>
    <mergeCell ref="AB32:AC32"/>
    <mergeCell ref="AD32:AE32"/>
    <mergeCell ref="AF32:AG32"/>
    <mergeCell ref="AH32:AI32"/>
    <mergeCell ref="AT31:AT32"/>
    <mergeCell ref="F32:G32"/>
    <mergeCell ref="H32:I32"/>
    <mergeCell ref="J32:K32"/>
    <mergeCell ref="L32:M32"/>
    <mergeCell ref="N32:O32"/>
    <mergeCell ref="P32:Q32"/>
    <mergeCell ref="R32:S32"/>
    <mergeCell ref="T32:U32"/>
    <mergeCell ref="V32:W32"/>
    <mergeCell ref="AH31:AI31"/>
    <mergeCell ref="AJ31:AK31"/>
    <mergeCell ref="AL31:AM31"/>
    <mergeCell ref="AN31:AO31"/>
    <mergeCell ref="AP31:AQ31"/>
    <mergeCell ref="AR31:AS31"/>
    <mergeCell ref="V34:W34"/>
    <mergeCell ref="X34:Y34"/>
    <mergeCell ref="Z34:AA34"/>
    <mergeCell ref="AB34:AC34"/>
    <mergeCell ref="V31:W31"/>
    <mergeCell ref="X31:Y31"/>
    <mergeCell ref="Z31:AA31"/>
    <mergeCell ref="AB31:AC31"/>
    <mergeCell ref="AD31:AE31"/>
    <mergeCell ref="AF31:AG31"/>
    <mergeCell ref="AR30:AS30"/>
    <mergeCell ref="C31:C32"/>
    <mergeCell ref="F31:G31"/>
    <mergeCell ref="H31:I31"/>
    <mergeCell ref="J31:K31"/>
    <mergeCell ref="L31:M31"/>
    <mergeCell ref="N31:O31"/>
    <mergeCell ref="P31:Q31"/>
    <mergeCell ref="R31:S31"/>
    <mergeCell ref="T31:U31"/>
    <mergeCell ref="AF30:AG30"/>
    <mergeCell ref="AH30:AI30"/>
    <mergeCell ref="AJ30:AK30"/>
    <mergeCell ref="AL30:AM30"/>
    <mergeCell ref="AN30:AO30"/>
    <mergeCell ref="AP30:AQ30"/>
    <mergeCell ref="T30:U30"/>
    <mergeCell ref="V30:W30"/>
    <mergeCell ref="X30:Y30"/>
    <mergeCell ref="Z30:AA30"/>
    <mergeCell ref="AB30:AC30"/>
    <mergeCell ref="AD30:AE30"/>
    <mergeCell ref="AJ32:AK32"/>
    <mergeCell ref="AL32:AM32"/>
    <mergeCell ref="AN32:AO32"/>
    <mergeCell ref="AP32:AQ32"/>
    <mergeCell ref="AN29:AO29"/>
    <mergeCell ref="AP29:AQ29"/>
    <mergeCell ref="AR29:AS29"/>
    <mergeCell ref="F30:G30"/>
    <mergeCell ref="H30:I30"/>
    <mergeCell ref="J30:K30"/>
    <mergeCell ref="L30:M30"/>
    <mergeCell ref="N30:O30"/>
    <mergeCell ref="P30:Q30"/>
    <mergeCell ref="R30:S30"/>
    <mergeCell ref="AB29:AC29"/>
    <mergeCell ref="AD29:AE29"/>
    <mergeCell ref="AF29:AG29"/>
    <mergeCell ref="AH29:AI29"/>
    <mergeCell ref="AJ29:AK29"/>
    <mergeCell ref="AL29:AM29"/>
    <mergeCell ref="P29:Q29"/>
    <mergeCell ref="R29:S29"/>
    <mergeCell ref="T29:U29"/>
    <mergeCell ref="V29:W29"/>
    <mergeCell ref="X29:Y29"/>
    <mergeCell ref="Z29:AA29"/>
    <mergeCell ref="AJ28:AK28"/>
    <mergeCell ref="AL28:AM28"/>
    <mergeCell ref="AN28:AO28"/>
    <mergeCell ref="AP28:AQ28"/>
    <mergeCell ref="AR28:AS28"/>
    <mergeCell ref="F29:G29"/>
    <mergeCell ref="H29:I29"/>
    <mergeCell ref="J29:K29"/>
    <mergeCell ref="L29:M29"/>
    <mergeCell ref="N29:O29"/>
    <mergeCell ref="X28:Y28"/>
    <mergeCell ref="Z28:AA28"/>
    <mergeCell ref="AB28:AC28"/>
    <mergeCell ref="AD28:AE28"/>
    <mergeCell ref="AF28:AG28"/>
    <mergeCell ref="AH28:AI28"/>
    <mergeCell ref="AR27:AS27"/>
    <mergeCell ref="F28:G28"/>
    <mergeCell ref="H28:I28"/>
    <mergeCell ref="J28:K28"/>
    <mergeCell ref="L28:M28"/>
    <mergeCell ref="N28:O28"/>
    <mergeCell ref="P28:Q28"/>
    <mergeCell ref="R28:S28"/>
    <mergeCell ref="T28:U28"/>
    <mergeCell ref="V28:W28"/>
    <mergeCell ref="AF27:AG27"/>
    <mergeCell ref="AH27:AI27"/>
    <mergeCell ref="AJ27:AK27"/>
    <mergeCell ref="AL27:AM27"/>
    <mergeCell ref="AN27:AO27"/>
    <mergeCell ref="AP27:AQ27"/>
    <mergeCell ref="T27:U27"/>
    <mergeCell ref="V27:W27"/>
    <mergeCell ref="X27:Y27"/>
    <mergeCell ref="Z27:AA27"/>
    <mergeCell ref="AB27:AC27"/>
    <mergeCell ref="AD27:AE27"/>
    <mergeCell ref="AP26:AQ26"/>
    <mergeCell ref="AR26:AS26"/>
    <mergeCell ref="C27:C30"/>
    <mergeCell ref="F27:G27"/>
    <mergeCell ref="H27:I27"/>
    <mergeCell ref="J27:K27"/>
    <mergeCell ref="L27:M27"/>
    <mergeCell ref="N27:O27"/>
    <mergeCell ref="P27:Q27"/>
    <mergeCell ref="R27:S27"/>
    <mergeCell ref="AD26:AE26"/>
    <mergeCell ref="AF26:AG26"/>
    <mergeCell ref="AH26:AI26"/>
    <mergeCell ref="AJ26:AK26"/>
    <mergeCell ref="AL26:AM26"/>
    <mergeCell ref="AN26:AO26"/>
    <mergeCell ref="R26:S26"/>
    <mergeCell ref="T26:U26"/>
    <mergeCell ref="V26:W26"/>
    <mergeCell ref="X26:Y26"/>
    <mergeCell ref="Z26:AA26"/>
    <mergeCell ref="AB26:AC26"/>
    <mergeCell ref="F26:G26"/>
    <mergeCell ref="H26:I26"/>
    <mergeCell ref="J26:K26"/>
    <mergeCell ref="L26:M26"/>
    <mergeCell ref="N26:O26"/>
    <mergeCell ref="P26:Q26"/>
    <mergeCell ref="AH25:AI25"/>
    <mergeCell ref="AJ25:AK25"/>
    <mergeCell ref="AL25:AM25"/>
    <mergeCell ref="AN25:AO25"/>
    <mergeCell ref="AP25:AQ25"/>
    <mergeCell ref="AR25:AS25"/>
    <mergeCell ref="V25:W25"/>
    <mergeCell ref="X25:Y25"/>
    <mergeCell ref="Z25:AA25"/>
    <mergeCell ref="AB25:AC25"/>
    <mergeCell ref="AD25:AE25"/>
    <mergeCell ref="AF25:AG25"/>
    <mergeCell ref="AR24:AS24"/>
    <mergeCell ref="C25:C26"/>
    <mergeCell ref="F25:G25"/>
    <mergeCell ref="H25:I25"/>
    <mergeCell ref="J25:K25"/>
    <mergeCell ref="L25:M25"/>
    <mergeCell ref="N25:O25"/>
    <mergeCell ref="P25:Q25"/>
    <mergeCell ref="R25:S25"/>
    <mergeCell ref="T25:U25"/>
    <mergeCell ref="AF24:AG24"/>
    <mergeCell ref="AH24:AI24"/>
    <mergeCell ref="AJ24:AK24"/>
    <mergeCell ref="AL24:AM24"/>
    <mergeCell ref="AN24:AO24"/>
    <mergeCell ref="AP24:AQ24"/>
    <mergeCell ref="T24:U24"/>
    <mergeCell ref="V24:W24"/>
    <mergeCell ref="AP23:AQ23"/>
    <mergeCell ref="AR23:AS23"/>
    <mergeCell ref="F24:G24"/>
    <mergeCell ref="H24:I24"/>
    <mergeCell ref="J24:K24"/>
    <mergeCell ref="L24:M24"/>
    <mergeCell ref="N24:O24"/>
    <mergeCell ref="P24:Q24"/>
    <mergeCell ref="R24:S24"/>
    <mergeCell ref="AB23:AC23"/>
    <mergeCell ref="AD23:AE23"/>
    <mergeCell ref="AF23:AG23"/>
    <mergeCell ref="AH23:AI23"/>
    <mergeCell ref="AJ23:AK23"/>
    <mergeCell ref="AL23:AM23"/>
    <mergeCell ref="P23:Q23"/>
    <mergeCell ref="R23:S23"/>
    <mergeCell ref="T23:U23"/>
    <mergeCell ref="V23:W23"/>
    <mergeCell ref="X23:Y23"/>
    <mergeCell ref="Z23:AA23"/>
    <mergeCell ref="L23:M23"/>
    <mergeCell ref="N23:O23"/>
    <mergeCell ref="AP22:AQ22"/>
    <mergeCell ref="AR22:AS22"/>
    <mergeCell ref="F23:G23"/>
    <mergeCell ref="H23:I23"/>
    <mergeCell ref="J23:K23"/>
    <mergeCell ref="X22:Y22"/>
    <mergeCell ref="Z22:AA22"/>
    <mergeCell ref="AB22:AC22"/>
    <mergeCell ref="AD22:AE22"/>
    <mergeCell ref="AF22:AG22"/>
    <mergeCell ref="AH22:AI22"/>
    <mergeCell ref="AR21:AS21"/>
    <mergeCell ref="F22:G22"/>
    <mergeCell ref="H22:I22"/>
    <mergeCell ref="J22:K22"/>
    <mergeCell ref="L22:M22"/>
    <mergeCell ref="N22:O22"/>
    <mergeCell ref="P22:Q22"/>
    <mergeCell ref="R22:S22"/>
    <mergeCell ref="T22:U22"/>
    <mergeCell ref="V22:W22"/>
    <mergeCell ref="AF21:AG21"/>
    <mergeCell ref="AH21:AI21"/>
    <mergeCell ref="AJ21:AK21"/>
    <mergeCell ref="AL21:AM21"/>
    <mergeCell ref="AN21:AO21"/>
    <mergeCell ref="AP21:AQ21"/>
    <mergeCell ref="T21:U21"/>
    <mergeCell ref="V21:W21"/>
    <mergeCell ref="X21:Y21"/>
    <mergeCell ref="Z21:AA21"/>
    <mergeCell ref="AB21:AC21"/>
    <mergeCell ref="C21:C24"/>
    <mergeCell ref="F21:G21"/>
    <mergeCell ref="H21:I21"/>
    <mergeCell ref="J21:K21"/>
    <mergeCell ref="L21:M21"/>
    <mergeCell ref="N21:O21"/>
    <mergeCell ref="P21:Q21"/>
    <mergeCell ref="R21:S21"/>
    <mergeCell ref="AD20:AE20"/>
    <mergeCell ref="AF20:AG20"/>
    <mergeCell ref="AH20:AI20"/>
    <mergeCell ref="AJ20:AK20"/>
    <mergeCell ref="AL20:AM20"/>
    <mergeCell ref="AN20:AO20"/>
    <mergeCell ref="R20:S20"/>
    <mergeCell ref="T20:U20"/>
    <mergeCell ref="V20:W20"/>
    <mergeCell ref="X20:Y20"/>
    <mergeCell ref="Z20:AA20"/>
    <mergeCell ref="AB20:AC20"/>
    <mergeCell ref="AJ22:AK22"/>
    <mergeCell ref="AL22:AM22"/>
    <mergeCell ref="AN22:AO22"/>
    <mergeCell ref="AD21:AE21"/>
    <mergeCell ref="X24:Y24"/>
    <mergeCell ref="Z24:AA24"/>
    <mergeCell ref="AB24:AC24"/>
    <mergeCell ref="AD24:AE24"/>
    <mergeCell ref="AN23:AO23"/>
    <mergeCell ref="AP18:AQ18"/>
    <mergeCell ref="AR18:AS18"/>
    <mergeCell ref="C19:C20"/>
    <mergeCell ref="AT19:AT20"/>
    <mergeCell ref="F20:G20"/>
    <mergeCell ref="H20:I20"/>
    <mergeCell ref="J20:K20"/>
    <mergeCell ref="L20:M20"/>
    <mergeCell ref="N20:O20"/>
    <mergeCell ref="P20:Q20"/>
    <mergeCell ref="AD18:AE18"/>
    <mergeCell ref="AF18:AG18"/>
    <mergeCell ref="AH18:AI18"/>
    <mergeCell ref="AJ18:AK18"/>
    <mergeCell ref="AL18:AM18"/>
    <mergeCell ref="AN18:AO18"/>
    <mergeCell ref="R18:S18"/>
    <mergeCell ref="T18:U18"/>
    <mergeCell ref="V18:W18"/>
    <mergeCell ref="X18:Y18"/>
    <mergeCell ref="Z18:AA18"/>
    <mergeCell ref="AB18:AC18"/>
    <mergeCell ref="F18:G18"/>
    <mergeCell ref="H18:I18"/>
    <mergeCell ref="J18:K18"/>
    <mergeCell ref="L18:M18"/>
    <mergeCell ref="N18:O18"/>
    <mergeCell ref="P18:Q18"/>
    <mergeCell ref="AP20:AQ20"/>
    <mergeCell ref="AR20:AS20"/>
    <mergeCell ref="F17:G17"/>
    <mergeCell ref="H17:I17"/>
    <mergeCell ref="J17:K17"/>
    <mergeCell ref="L17:M17"/>
    <mergeCell ref="N17:O17"/>
    <mergeCell ref="P17:Q17"/>
    <mergeCell ref="R17:S17"/>
    <mergeCell ref="T17:U17"/>
    <mergeCell ref="AD16:AE16"/>
    <mergeCell ref="AF16:AG16"/>
    <mergeCell ref="AH16:AI16"/>
    <mergeCell ref="AJ16:AK16"/>
    <mergeCell ref="AL16:AM16"/>
    <mergeCell ref="AN16:AO16"/>
    <mergeCell ref="R16:S16"/>
    <mergeCell ref="T16:U16"/>
    <mergeCell ref="V16:W16"/>
    <mergeCell ref="X16:Y16"/>
    <mergeCell ref="L16:M16"/>
    <mergeCell ref="N16:O16"/>
    <mergeCell ref="P16:Q16"/>
    <mergeCell ref="AH15:AI15"/>
    <mergeCell ref="AJ15:AK15"/>
    <mergeCell ref="AL15:AM15"/>
    <mergeCell ref="AN15:AO15"/>
    <mergeCell ref="AP15:AQ15"/>
    <mergeCell ref="AR15:AS15"/>
    <mergeCell ref="V15:W15"/>
    <mergeCell ref="X15:Y15"/>
    <mergeCell ref="Z15:AA15"/>
    <mergeCell ref="AB15:AC15"/>
    <mergeCell ref="AD15:AE15"/>
    <mergeCell ref="AF15:AG15"/>
    <mergeCell ref="AH17:AI17"/>
    <mergeCell ref="AJ17:AK17"/>
    <mergeCell ref="AL17:AM17"/>
    <mergeCell ref="AN17:AO17"/>
    <mergeCell ref="AP17:AQ17"/>
    <mergeCell ref="AR17:AS17"/>
    <mergeCell ref="V17:W17"/>
    <mergeCell ref="X17:Y17"/>
    <mergeCell ref="Z17:AA17"/>
    <mergeCell ref="AB17:AC17"/>
    <mergeCell ref="AD17:AE17"/>
    <mergeCell ref="AF17:AG17"/>
    <mergeCell ref="AP16:AQ16"/>
    <mergeCell ref="AR16:AS16"/>
    <mergeCell ref="AT13:AT14"/>
    <mergeCell ref="F14:G14"/>
    <mergeCell ref="H14:I14"/>
    <mergeCell ref="J14:K14"/>
    <mergeCell ref="L14:M14"/>
    <mergeCell ref="N14:O14"/>
    <mergeCell ref="P14:Q14"/>
    <mergeCell ref="R14:S14"/>
    <mergeCell ref="AD13:AE13"/>
    <mergeCell ref="AF13:AG13"/>
    <mergeCell ref="AH13:AI13"/>
    <mergeCell ref="AJ13:AK13"/>
    <mergeCell ref="AL13:AM13"/>
    <mergeCell ref="AN13:AO13"/>
    <mergeCell ref="R13:S13"/>
    <mergeCell ref="T13:U13"/>
    <mergeCell ref="V13:W13"/>
    <mergeCell ref="X13:Y13"/>
    <mergeCell ref="Z13:AA13"/>
    <mergeCell ref="AB13:AC13"/>
    <mergeCell ref="AR14:AS14"/>
    <mergeCell ref="AF14:AG14"/>
    <mergeCell ref="AH14:AI14"/>
    <mergeCell ref="AJ14:AK14"/>
    <mergeCell ref="AL14:AM14"/>
    <mergeCell ref="AN14:AO14"/>
    <mergeCell ref="AP14:AQ14"/>
    <mergeCell ref="T14:U14"/>
    <mergeCell ref="V14:W14"/>
    <mergeCell ref="X14:Y14"/>
    <mergeCell ref="Z14:AA14"/>
    <mergeCell ref="AB14:AC14"/>
    <mergeCell ref="AN12:AO12"/>
    <mergeCell ref="AP12:AQ12"/>
    <mergeCell ref="AR12:AS12"/>
    <mergeCell ref="C13:C14"/>
    <mergeCell ref="F13:G13"/>
    <mergeCell ref="H13:I13"/>
    <mergeCell ref="J13:K13"/>
    <mergeCell ref="L13:M13"/>
    <mergeCell ref="N13:O13"/>
    <mergeCell ref="P13:Q13"/>
    <mergeCell ref="AB12:AC12"/>
    <mergeCell ref="AD12:AE12"/>
    <mergeCell ref="AF12:AG12"/>
    <mergeCell ref="AH12:AI12"/>
    <mergeCell ref="AJ12:AK12"/>
    <mergeCell ref="AL12:AM12"/>
    <mergeCell ref="P12:Q12"/>
    <mergeCell ref="R12:S12"/>
    <mergeCell ref="T12:U12"/>
    <mergeCell ref="V12:W12"/>
    <mergeCell ref="X12:Y12"/>
    <mergeCell ref="Z12:AA12"/>
    <mergeCell ref="AP13:AQ13"/>
    <mergeCell ref="AR13:AS13"/>
    <mergeCell ref="AD14:AE14"/>
    <mergeCell ref="B12:B50"/>
    <mergeCell ref="F12:G12"/>
    <mergeCell ref="H12:I12"/>
    <mergeCell ref="J12:K12"/>
    <mergeCell ref="L12:M12"/>
    <mergeCell ref="N12:O12"/>
    <mergeCell ref="AA11:AB11"/>
    <mergeCell ref="AC11:AD11"/>
    <mergeCell ref="AE11:AF11"/>
    <mergeCell ref="AG11:AH11"/>
    <mergeCell ref="AI11:AJ11"/>
    <mergeCell ref="AK11:AL11"/>
    <mergeCell ref="O11:P11"/>
    <mergeCell ref="Q11:R11"/>
    <mergeCell ref="S11:T11"/>
    <mergeCell ref="U11:V11"/>
    <mergeCell ref="W11:X11"/>
    <mergeCell ref="Y11:Z11"/>
    <mergeCell ref="C15:C18"/>
    <mergeCell ref="F15:G15"/>
    <mergeCell ref="H15:I15"/>
    <mergeCell ref="J15:K15"/>
    <mergeCell ref="L15:M15"/>
    <mergeCell ref="N15:O15"/>
    <mergeCell ref="P15:Q15"/>
    <mergeCell ref="R15:S15"/>
    <mergeCell ref="T15:U15"/>
    <mergeCell ref="Z16:AA16"/>
    <mergeCell ref="AB16:AC16"/>
    <mergeCell ref="F16:G16"/>
    <mergeCell ref="H16:I16"/>
    <mergeCell ref="J16:K16"/>
    <mergeCell ref="AK10:AL10"/>
    <mergeCell ref="AM10:AN10"/>
    <mergeCell ref="AO10:AP10"/>
    <mergeCell ref="AQ10:AR10"/>
    <mergeCell ref="AS10:AT10"/>
    <mergeCell ref="B9:D9"/>
    <mergeCell ref="E9:F9"/>
    <mergeCell ref="G9:H9"/>
    <mergeCell ref="I9:J9"/>
    <mergeCell ref="K9:L9"/>
    <mergeCell ref="B11:D11"/>
    <mergeCell ref="E11:F11"/>
    <mergeCell ref="G11:H11"/>
    <mergeCell ref="I11:J11"/>
    <mergeCell ref="M11:N11"/>
    <mergeCell ref="Y10:Z10"/>
    <mergeCell ref="AA10:AB10"/>
    <mergeCell ref="AC10:AD10"/>
    <mergeCell ref="AE10:AF10"/>
    <mergeCell ref="AG10:AH10"/>
    <mergeCell ref="AI10:AJ10"/>
    <mergeCell ref="M10:N10"/>
    <mergeCell ref="O10:P10"/>
    <mergeCell ref="Q10:R10"/>
    <mergeCell ref="S10:T10"/>
    <mergeCell ref="U10:V10"/>
    <mergeCell ref="W10:X10"/>
    <mergeCell ref="AM11:AN11"/>
    <mergeCell ref="AO11:AP11"/>
    <mergeCell ref="AQ11:AR11"/>
    <mergeCell ref="AS11:AT11"/>
    <mergeCell ref="AK7:AL7"/>
    <mergeCell ref="AM7:AN7"/>
    <mergeCell ref="AO7:AP7"/>
    <mergeCell ref="AQ7:AR7"/>
    <mergeCell ref="AS7:AT7"/>
    <mergeCell ref="AK8:AL8"/>
    <mergeCell ref="AM8:AN8"/>
    <mergeCell ref="AO8:AP8"/>
    <mergeCell ref="AQ8:AR8"/>
    <mergeCell ref="AS8:AT8"/>
    <mergeCell ref="AK9:AL9"/>
    <mergeCell ref="AM9:AN9"/>
    <mergeCell ref="AO9:AP9"/>
    <mergeCell ref="AQ9:AR9"/>
    <mergeCell ref="AS9:AT9"/>
    <mergeCell ref="B10:D10"/>
    <mergeCell ref="E10:F10"/>
    <mergeCell ref="G10:H10"/>
    <mergeCell ref="I10:J10"/>
    <mergeCell ref="K10:L10"/>
    <mergeCell ref="Y9:Z9"/>
    <mergeCell ref="AA9:AB9"/>
    <mergeCell ref="AC9:AD9"/>
    <mergeCell ref="AE9:AF9"/>
    <mergeCell ref="AG9:AH9"/>
    <mergeCell ref="AI9:AJ9"/>
    <mergeCell ref="M9:N9"/>
    <mergeCell ref="O9:P9"/>
    <mergeCell ref="Q9:R9"/>
    <mergeCell ref="S9:T9"/>
    <mergeCell ref="U9:V9"/>
    <mergeCell ref="W9:X9"/>
    <mergeCell ref="B8:D8"/>
    <mergeCell ref="E8:F8"/>
    <mergeCell ref="G8:H8"/>
    <mergeCell ref="I8:J8"/>
    <mergeCell ref="K8:L8"/>
    <mergeCell ref="Y7:Z7"/>
    <mergeCell ref="AA7:AB7"/>
    <mergeCell ref="AC7:AD7"/>
    <mergeCell ref="AE7:AF7"/>
    <mergeCell ref="AG7:AH7"/>
    <mergeCell ref="AI7:AJ7"/>
    <mergeCell ref="M7:N7"/>
    <mergeCell ref="O7:P7"/>
    <mergeCell ref="Q7:R7"/>
    <mergeCell ref="S7:T7"/>
    <mergeCell ref="U7:V7"/>
    <mergeCell ref="W7:X7"/>
    <mergeCell ref="Y8:Z8"/>
    <mergeCell ref="AA8:AB8"/>
    <mergeCell ref="AC8:AD8"/>
    <mergeCell ref="AE8:AF8"/>
    <mergeCell ref="AG8:AH8"/>
    <mergeCell ref="AI8:AJ8"/>
    <mergeCell ref="M8:N8"/>
    <mergeCell ref="O8:P8"/>
    <mergeCell ref="Q8:R8"/>
    <mergeCell ref="S8:T8"/>
    <mergeCell ref="U8:V8"/>
    <mergeCell ref="W8:X8"/>
    <mergeCell ref="L2:W2"/>
    <mergeCell ref="AC2:AJ2"/>
    <mergeCell ref="AK2:AT2"/>
    <mergeCell ref="L4:AC4"/>
    <mergeCell ref="AK4:AT4"/>
    <mergeCell ref="B6:D6"/>
    <mergeCell ref="E6:F6"/>
    <mergeCell ref="G6:H6"/>
    <mergeCell ref="I6:J6"/>
    <mergeCell ref="K6:L6"/>
    <mergeCell ref="AK6:AL6"/>
    <mergeCell ref="AM6:AN6"/>
    <mergeCell ref="AO6:AP6"/>
    <mergeCell ref="AQ6:AR6"/>
    <mergeCell ref="AS6:AT6"/>
    <mergeCell ref="B7:D7"/>
    <mergeCell ref="E7:F7"/>
    <mergeCell ref="G7:H7"/>
    <mergeCell ref="I7:J7"/>
    <mergeCell ref="K7:L7"/>
    <mergeCell ref="Y6:Z6"/>
    <mergeCell ref="AA6:AB6"/>
    <mergeCell ref="AC6:AD6"/>
    <mergeCell ref="AE6:AF6"/>
    <mergeCell ref="AG6:AH6"/>
    <mergeCell ref="AI6:AJ6"/>
    <mergeCell ref="M6:N6"/>
    <mergeCell ref="O6:P6"/>
    <mergeCell ref="Q6:R6"/>
    <mergeCell ref="S6:T6"/>
    <mergeCell ref="U6:V6"/>
    <mergeCell ref="W6:X6"/>
  </mergeCells>
  <pageMargins left="0.39370078740157483" right="0.39370078740157483" top="0.35433070866141736" bottom="0.35433070866141736" header="0.31496062992125984" footer="0.31496062992125984"/>
  <pageSetup paperSize="9" scale="32" orientation="landscape" horizont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pageSetUpPr fitToPage="1"/>
  </sheetPr>
  <dimension ref="B1:AT89"/>
  <sheetViews>
    <sheetView zoomScale="40" zoomScaleNormal="40" workbookViewId="0">
      <selection activeCell="BA16" sqref="BA16"/>
    </sheetView>
  </sheetViews>
  <sheetFormatPr defaultColWidth="9.21875" defaultRowHeight="14.4" x14ac:dyDescent="0.3"/>
  <cols>
    <col min="1" max="1" width="0.21875" customWidth="1"/>
    <col min="2" max="2" width="10.77734375" customWidth="1"/>
    <col min="3" max="4" width="13.77734375" customWidth="1"/>
    <col min="5" max="46" width="8.77734375" customWidth="1"/>
    <col min="47" max="49" width="3" customWidth="1"/>
  </cols>
  <sheetData>
    <row r="1" spans="2:46" ht="22.05" customHeight="1" x14ac:dyDescent="0.3">
      <c r="B1" s="1"/>
      <c r="AQ1" s="1"/>
    </row>
    <row r="2" spans="2:46" ht="50.1" customHeight="1" thickBot="1" x14ac:dyDescent="0.8">
      <c r="B2" s="65" t="s">
        <v>85</v>
      </c>
      <c r="C2" s="62"/>
      <c r="D2" s="63"/>
      <c r="E2" s="63"/>
      <c r="F2" s="64"/>
      <c r="G2" s="63"/>
      <c r="H2" s="64"/>
      <c r="I2" s="64"/>
      <c r="J2" s="64"/>
      <c r="K2" s="64"/>
      <c r="L2" s="423" t="str">
        <f>'Plot Data'!G7</f>
        <v>ISO Ash (%)</v>
      </c>
      <c r="M2" s="423"/>
      <c r="N2" s="423"/>
      <c r="O2" s="423"/>
      <c r="P2" s="423"/>
      <c r="Q2" s="423"/>
      <c r="R2" s="423"/>
      <c r="S2" s="423"/>
      <c r="T2" s="423"/>
      <c r="U2" s="423"/>
      <c r="V2" s="423"/>
      <c r="W2" s="423"/>
      <c r="X2" s="63"/>
      <c r="Y2" s="63"/>
      <c r="Z2" s="63"/>
      <c r="AA2" s="63"/>
      <c r="AB2" s="65"/>
      <c r="AC2" s="424" t="s">
        <v>92</v>
      </c>
      <c r="AD2" s="424"/>
      <c r="AE2" s="424"/>
      <c r="AF2" s="424"/>
      <c r="AG2" s="424"/>
      <c r="AH2" s="424"/>
      <c r="AI2" s="424"/>
      <c r="AJ2" s="424"/>
      <c r="AK2" s="425" t="str">
        <f>'Data Input'!AL11</f>
        <v>AS CRM 002</v>
      </c>
      <c r="AL2" s="425"/>
      <c r="AM2" s="425"/>
      <c r="AN2" s="425"/>
      <c r="AO2" s="425"/>
      <c r="AP2" s="425"/>
      <c r="AQ2" s="425"/>
      <c r="AR2" s="425"/>
      <c r="AS2" s="425"/>
      <c r="AT2" s="425"/>
    </row>
    <row r="3" spans="2:46" ht="22.05" customHeight="1" x14ac:dyDescent="0.85">
      <c r="B3" s="61"/>
      <c r="C3" s="66"/>
      <c r="D3" s="66"/>
      <c r="E3" s="66"/>
      <c r="F3" s="67"/>
      <c r="G3" s="66"/>
      <c r="H3" s="67"/>
      <c r="I3" s="67"/>
      <c r="J3" s="66"/>
      <c r="K3" s="66"/>
      <c r="L3" s="66"/>
      <c r="M3" s="66"/>
      <c r="N3" s="66"/>
      <c r="O3" s="66"/>
      <c r="P3" s="66"/>
      <c r="Q3" s="66"/>
      <c r="R3" s="66"/>
      <c r="S3" s="66"/>
      <c r="T3" s="66"/>
      <c r="U3" s="66"/>
      <c r="V3" s="66"/>
      <c r="W3" s="66"/>
      <c r="X3" s="66"/>
      <c r="Y3" s="66"/>
      <c r="Z3" s="66"/>
      <c r="AA3" s="66"/>
      <c r="AB3" s="66"/>
      <c r="AC3" s="66"/>
      <c r="AD3" s="66"/>
      <c r="AE3" s="66"/>
      <c r="AF3" s="66"/>
      <c r="AG3" s="66"/>
      <c r="AH3" s="68"/>
      <c r="AI3" s="66"/>
      <c r="AJ3" s="68"/>
      <c r="AK3" s="66"/>
      <c r="AL3" s="66"/>
      <c r="AM3" s="66"/>
      <c r="AN3" s="66"/>
      <c r="AO3" s="67"/>
      <c r="AP3" s="66"/>
      <c r="AQ3" s="67"/>
      <c r="AR3" s="66"/>
      <c r="AS3" s="66"/>
    </row>
    <row r="4" spans="2:46" ht="50.1" customHeight="1" x14ac:dyDescent="0.85">
      <c r="B4" s="60"/>
      <c r="C4" s="66"/>
      <c r="D4" s="66"/>
      <c r="E4" s="66"/>
      <c r="F4" s="66"/>
      <c r="G4" s="66"/>
      <c r="H4" s="66"/>
      <c r="I4" s="66"/>
      <c r="J4" s="66"/>
      <c r="K4" s="66"/>
      <c r="L4" s="426" t="s">
        <v>87</v>
      </c>
      <c r="M4" s="426"/>
      <c r="N4" s="426"/>
      <c r="O4" s="426"/>
      <c r="P4" s="426"/>
      <c r="Q4" s="426"/>
      <c r="R4" s="426"/>
      <c r="S4" s="426"/>
      <c r="T4" s="426"/>
      <c r="U4" s="426"/>
      <c r="V4" s="426"/>
      <c r="W4" s="426"/>
      <c r="X4" s="426"/>
      <c r="Y4" s="426"/>
      <c r="Z4" s="426"/>
      <c r="AA4" s="426"/>
      <c r="AB4" s="426"/>
      <c r="AC4" s="426"/>
      <c r="AD4" s="69" t="s">
        <v>86</v>
      </c>
      <c r="AE4" s="66"/>
      <c r="AF4" s="66"/>
      <c r="AG4" s="66"/>
      <c r="AH4" s="66"/>
      <c r="AI4" s="66"/>
      <c r="AJ4" s="66"/>
      <c r="AK4" s="427" t="s">
        <v>89</v>
      </c>
      <c r="AL4" s="427"/>
      <c r="AM4" s="427"/>
      <c r="AN4" s="427"/>
      <c r="AO4" s="427"/>
      <c r="AP4" s="427"/>
      <c r="AQ4" s="427"/>
      <c r="AR4" s="427"/>
      <c r="AS4" s="427"/>
      <c r="AT4" s="427"/>
    </row>
    <row r="5" spans="2:46" ht="22.05" customHeight="1" thickBot="1" x14ac:dyDescent="0.35">
      <c r="K5" s="2"/>
    </row>
    <row r="6" spans="2:46" ht="50.1" customHeight="1" x14ac:dyDescent="0.3">
      <c r="B6" s="428" t="s">
        <v>0</v>
      </c>
      <c r="C6" s="429"/>
      <c r="D6" s="430"/>
      <c r="E6" s="431"/>
      <c r="F6" s="432"/>
      <c r="G6" s="431"/>
      <c r="H6" s="432"/>
      <c r="I6" s="431"/>
      <c r="J6" s="432"/>
      <c r="K6" s="431"/>
      <c r="L6" s="432"/>
      <c r="M6" s="431"/>
      <c r="N6" s="432"/>
      <c r="O6" s="431"/>
      <c r="P6" s="432"/>
      <c r="Q6" s="431"/>
      <c r="R6" s="432"/>
      <c r="S6" s="431"/>
      <c r="T6" s="432"/>
      <c r="U6" s="431"/>
      <c r="V6" s="432"/>
      <c r="W6" s="431"/>
      <c r="X6" s="432"/>
      <c r="Y6" s="431"/>
      <c r="Z6" s="432"/>
      <c r="AA6" s="431"/>
      <c r="AB6" s="432"/>
      <c r="AC6" s="431"/>
      <c r="AD6" s="432"/>
      <c r="AE6" s="431"/>
      <c r="AF6" s="432"/>
      <c r="AG6" s="431"/>
      <c r="AH6" s="432"/>
      <c r="AI6" s="431"/>
      <c r="AJ6" s="432"/>
      <c r="AK6" s="431"/>
      <c r="AL6" s="432"/>
      <c r="AM6" s="431"/>
      <c r="AN6" s="432"/>
      <c r="AO6" s="431"/>
      <c r="AP6" s="432"/>
      <c r="AQ6" s="431"/>
      <c r="AR6" s="432"/>
      <c r="AS6" s="431"/>
      <c r="AT6" s="432"/>
    </row>
    <row r="7" spans="2:46" ht="50.1" customHeight="1" thickBot="1" x14ac:dyDescent="0.35">
      <c r="B7" s="433" t="s">
        <v>1</v>
      </c>
      <c r="C7" s="434"/>
      <c r="D7" s="435"/>
      <c r="E7" s="436"/>
      <c r="F7" s="437"/>
      <c r="G7" s="436"/>
      <c r="H7" s="437"/>
      <c r="I7" s="436"/>
      <c r="J7" s="437"/>
      <c r="K7" s="436"/>
      <c r="L7" s="437"/>
      <c r="M7" s="436"/>
      <c r="N7" s="437"/>
      <c r="O7" s="436"/>
      <c r="P7" s="437"/>
      <c r="Q7" s="436"/>
      <c r="R7" s="437"/>
      <c r="S7" s="436"/>
      <c r="T7" s="437"/>
      <c r="U7" s="436"/>
      <c r="V7" s="437"/>
      <c r="W7" s="436"/>
      <c r="X7" s="437"/>
      <c r="Y7" s="436"/>
      <c r="Z7" s="437"/>
      <c r="AA7" s="436"/>
      <c r="AB7" s="437"/>
      <c r="AC7" s="436"/>
      <c r="AD7" s="437"/>
      <c r="AE7" s="436"/>
      <c r="AF7" s="437"/>
      <c r="AG7" s="436"/>
      <c r="AH7" s="437"/>
      <c r="AI7" s="436"/>
      <c r="AJ7" s="437"/>
      <c r="AK7" s="436"/>
      <c r="AL7" s="437"/>
      <c r="AM7" s="436"/>
      <c r="AN7" s="437"/>
      <c r="AO7" s="436"/>
      <c r="AP7" s="437"/>
      <c r="AQ7" s="436"/>
      <c r="AR7" s="437"/>
      <c r="AS7" s="436"/>
      <c r="AT7" s="437"/>
    </row>
    <row r="8" spans="2:46" ht="50.1" customHeight="1" thickBot="1" x14ac:dyDescent="0.35">
      <c r="B8" s="438" t="s">
        <v>2</v>
      </c>
      <c r="C8" s="439"/>
      <c r="D8" s="440"/>
      <c r="E8" s="441"/>
      <c r="F8" s="442"/>
      <c r="G8" s="441"/>
      <c r="H8" s="442"/>
      <c r="I8" s="441"/>
      <c r="J8" s="442"/>
      <c r="K8" s="441"/>
      <c r="L8" s="442"/>
      <c r="M8" s="441"/>
      <c r="N8" s="442"/>
      <c r="O8" s="441"/>
      <c r="P8" s="442"/>
      <c r="Q8" s="441"/>
      <c r="R8" s="442"/>
      <c r="S8" s="441"/>
      <c r="T8" s="442"/>
      <c r="U8" s="441"/>
      <c r="V8" s="442"/>
      <c r="W8" s="441"/>
      <c r="X8" s="442"/>
      <c r="Y8" s="441"/>
      <c r="Z8" s="442"/>
      <c r="AA8" s="441"/>
      <c r="AB8" s="442"/>
      <c r="AC8" s="441"/>
      <c r="AD8" s="442"/>
      <c r="AE8" s="441"/>
      <c r="AF8" s="442"/>
      <c r="AG8" s="441"/>
      <c r="AH8" s="442"/>
      <c r="AI8" s="441"/>
      <c r="AJ8" s="442"/>
      <c r="AK8" s="441"/>
      <c r="AL8" s="442"/>
      <c r="AM8" s="441"/>
      <c r="AN8" s="442"/>
      <c r="AO8" s="441"/>
      <c r="AP8" s="442"/>
      <c r="AQ8" s="441"/>
      <c r="AR8" s="442"/>
      <c r="AS8" s="441"/>
      <c r="AT8" s="442"/>
    </row>
    <row r="9" spans="2:46" ht="50.1" customHeight="1" thickBot="1" x14ac:dyDescent="0.35">
      <c r="B9" s="447" t="s">
        <v>3</v>
      </c>
      <c r="C9" s="448"/>
      <c r="D9" s="449"/>
      <c r="E9" s="443"/>
      <c r="F9" s="444"/>
      <c r="G9" s="443"/>
      <c r="H9" s="444"/>
      <c r="I9" s="443"/>
      <c r="J9" s="444"/>
      <c r="K9" s="443"/>
      <c r="L9" s="444"/>
      <c r="M9" s="443"/>
      <c r="N9" s="444"/>
      <c r="O9" s="443"/>
      <c r="P9" s="444"/>
      <c r="Q9" s="443"/>
      <c r="R9" s="444"/>
      <c r="S9" s="443"/>
      <c r="T9" s="444"/>
      <c r="U9" s="443"/>
      <c r="V9" s="444"/>
      <c r="W9" s="443"/>
      <c r="X9" s="444"/>
      <c r="Y9" s="443"/>
      <c r="Z9" s="444"/>
      <c r="AA9" s="443"/>
      <c r="AB9" s="444"/>
      <c r="AC9" s="443"/>
      <c r="AD9" s="444"/>
      <c r="AE9" s="443"/>
      <c r="AF9" s="444"/>
      <c r="AG9" s="443"/>
      <c r="AH9" s="444"/>
      <c r="AI9" s="443"/>
      <c r="AJ9" s="444"/>
      <c r="AK9" s="443"/>
      <c r="AL9" s="444"/>
      <c r="AM9" s="443"/>
      <c r="AN9" s="444"/>
      <c r="AO9" s="443"/>
      <c r="AP9" s="444"/>
      <c r="AQ9" s="443"/>
      <c r="AR9" s="444"/>
      <c r="AS9" s="443"/>
      <c r="AT9" s="444"/>
    </row>
    <row r="10" spans="2:46" ht="50.1" customHeight="1" thickBot="1" x14ac:dyDescent="0.35">
      <c r="B10" s="428" t="s">
        <v>4</v>
      </c>
      <c r="C10" s="429"/>
      <c r="D10" s="430"/>
      <c r="E10" s="441"/>
      <c r="F10" s="442"/>
      <c r="G10" s="441"/>
      <c r="H10" s="442"/>
      <c r="I10" s="441"/>
      <c r="J10" s="442"/>
      <c r="K10" s="445"/>
      <c r="L10" s="446"/>
      <c r="M10" s="441"/>
      <c r="N10" s="442"/>
      <c r="O10" s="441"/>
      <c r="P10" s="442"/>
      <c r="Q10" s="441"/>
      <c r="R10" s="442"/>
      <c r="S10" s="441"/>
      <c r="T10" s="442"/>
      <c r="U10" s="441"/>
      <c r="V10" s="442"/>
      <c r="W10" s="441"/>
      <c r="X10" s="442"/>
      <c r="Y10" s="441"/>
      <c r="Z10" s="442"/>
      <c r="AA10" s="441"/>
      <c r="AB10" s="442"/>
      <c r="AC10" s="441"/>
      <c r="AD10" s="442"/>
      <c r="AE10" s="441"/>
      <c r="AF10" s="442"/>
      <c r="AG10" s="441"/>
      <c r="AH10" s="442"/>
      <c r="AI10" s="441"/>
      <c r="AJ10" s="442"/>
      <c r="AK10" s="441"/>
      <c r="AL10" s="442"/>
      <c r="AM10" s="441"/>
      <c r="AN10" s="442"/>
      <c r="AO10" s="441"/>
      <c r="AP10" s="442"/>
      <c r="AQ10" s="441"/>
      <c r="AR10" s="442"/>
      <c r="AS10" s="441"/>
      <c r="AT10" s="442"/>
    </row>
    <row r="11" spans="2:46" ht="50.1" customHeight="1" thickBot="1" x14ac:dyDescent="0.35">
      <c r="B11" s="450" t="s">
        <v>5</v>
      </c>
      <c r="C11" s="451"/>
      <c r="D11" s="452"/>
      <c r="E11" s="441"/>
      <c r="F11" s="442"/>
      <c r="G11" s="441"/>
      <c r="H11" s="442"/>
      <c r="I11" s="441"/>
      <c r="J11" s="442"/>
      <c r="K11" s="72"/>
      <c r="L11" s="72"/>
      <c r="M11" s="441"/>
      <c r="N11" s="442"/>
      <c r="O11" s="441"/>
      <c r="P11" s="442"/>
      <c r="Q11" s="441"/>
      <c r="R11" s="442"/>
      <c r="S11" s="441"/>
      <c r="T11" s="442"/>
      <c r="U11" s="441"/>
      <c r="V11" s="442"/>
      <c r="W11" s="441"/>
      <c r="X11" s="442"/>
      <c r="Y11" s="441"/>
      <c r="Z11" s="442"/>
      <c r="AA11" s="441"/>
      <c r="AB11" s="442"/>
      <c r="AC11" s="441"/>
      <c r="AD11" s="442"/>
      <c r="AE11" s="441"/>
      <c r="AF11" s="442"/>
      <c r="AG11" s="441"/>
      <c r="AH11" s="442"/>
      <c r="AI11" s="441"/>
      <c r="AJ11" s="442"/>
      <c r="AK11" s="441"/>
      <c r="AL11" s="442"/>
      <c r="AM11" s="441"/>
      <c r="AN11" s="442"/>
      <c r="AO11" s="441"/>
      <c r="AP11" s="442"/>
      <c r="AQ11" s="441"/>
      <c r="AR11" s="442"/>
      <c r="AS11" s="441"/>
      <c r="AT11" s="442"/>
    </row>
    <row r="12" spans="2:46" ht="18" customHeight="1" thickTop="1" x14ac:dyDescent="0.6">
      <c r="B12" s="453" t="s">
        <v>6</v>
      </c>
      <c r="C12" s="98"/>
      <c r="D12" s="73"/>
      <c r="E12" s="74"/>
      <c r="F12" s="456"/>
      <c r="G12" s="457"/>
      <c r="H12" s="456"/>
      <c r="I12" s="457"/>
      <c r="J12" s="456"/>
      <c r="K12" s="457"/>
      <c r="L12" s="456"/>
      <c r="M12" s="457"/>
      <c r="N12" s="456"/>
      <c r="O12" s="457"/>
      <c r="P12" s="456"/>
      <c r="Q12" s="457"/>
      <c r="R12" s="456"/>
      <c r="S12" s="457"/>
      <c r="T12" s="456"/>
      <c r="U12" s="457"/>
      <c r="V12" s="456"/>
      <c r="W12" s="457"/>
      <c r="X12" s="456"/>
      <c r="Y12" s="457"/>
      <c r="Z12" s="456"/>
      <c r="AA12" s="457"/>
      <c r="AB12" s="456"/>
      <c r="AC12" s="457"/>
      <c r="AD12" s="456"/>
      <c r="AE12" s="457"/>
      <c r="AF12" s="456"/>
      <c r="AG12" s="457"/>
      <c r="AH12" s="456"/>
      <c r="AI12" s="457"/>
      <c r="AJ12" s="456"/>
      <c r="AK12" s="457"/>
      <c r="AL12" s="456"/>
      <c r="AM12" s="457"/>
      <c r="AN12" s="456"/>
      <c r="AO12" s="457"/>
      <c r="AP12" s="456"/>
      <c r="AQ12" s="457"/>
      <c r="AR12" s="456"/>
      <c r="AS12" s="457"/>
      <c r="AT12" s="93"/>
    </row>
    <row r="13" spans="2:46" ht="18" customHeight="1" thickBot="1" x14ac:dyDescent="0.35">
      <c r="B13" s="454"/>
      <c r="C13" s="458">
        <f>'Plot Data'!G64</f>
        <v>14.955148174779321</v>
      </c>
      <c r="D13" s="5"/>
      <c r="E13" s="6"/>
      <c r="F13" s="461"/>
      <c r="G13" s="462"/>
      <c r="H13" s="461"/>
      <c r="I13" s="462"/>
      <c r="J13" s="461"/>
      <c r="K13" s="462"/>
      <c r="L13" s="461"/>
      <c r="M13" s="462"/>
      <c r="N13" s="461"/>
      <c r="O13" s="462"/>
      <c r="P13" s="461"/>
      <c r="Q13" s="462"/>
      <c r="R13" s="461"/>
      <c r="S13" s="462"/>
      <c r="T13" s="461"/>
      <c r="U13" s="462"/>
      <c r="V13" s="461"/>
      <c r="W13" s="462"/>
      <c r="X13" s="461"/>
      <c r="Y13" s="462"/>
      <c r="Z13" s="461"/>
      <c r="AA13" s="462"/>
      <c r="AB13" s="461"/>
      <c r="AC13" s="462"/>
      <c r="AD13" s="461"/>
      <c r="AE13" s="462"/>
      <c r="AF13" s="461"/>
      <c r="AG13" s="462"/>
      <c r="AH13" s="461"/>
      <c r="AI13" s="462"/>
      <c r="AJ13" s="461"/>
      <c r="AK13" s="462"/>
      <c r="AL13" s="461"/>
      <c r="AM13" s="462"/>
      <c r="AN13" s="461"/>
      <c r="AO13" s="462"/>
      <c r="AP13" s="461"/>
      <c r="AQ13" s="462"/>
      <c r="AR13" s="461"/>
      <c r="AS13" s="462"/>
      <c r="AT13" s="463" t="s">
        <v>48</v>
      </c>
    </row>
    <row r="14" spans="2:46" ht="18" customHeight="1" thickTop="1" x14ac:dyDescent="0.3">
      <c r="B14" s="454"/>
      <c r="C14" s="458"/>
      <c r="D14" s="7"/>
      <c r="E14" s="8"/>
      <c r="F14" s="459"/>
      <c r="G14" s="460"/>
      <c r="H14" s="459"/>
      <c r="I14" s="460"/>
      <c r="J14" s="459"/>
      <c r="K14" s="460"/>
      <c r="L14" s="459"/>
      <c r="M14" s="460"/>
      <c r="N14" s="459"/>
      <c r="O14" s="460"/>
      <c r="P14" s="459"/>
      <c r="Q14" s="460"/>
      <c r="R14" s="459"/>
      <c r="S14" s="460"/>
      <c r="T14" s="459"/>
      <c r="U14" s="460"/>
      <c r="V14" s="459"/>
      <c r="W14" s="460"/>
      <c r="X14" s="459"/>
      <c r="Y14" s="460"/>
      <c r="Z14" s="459"/>
      <c r="AA14" s="460"/>
      <c r="AB14" s="459"/>
      <c r="AC14" s="460"/>
      <c r="AD14" s="459"/>
      <c r="AE14" s="460"/>
      <c r="AF14" s="459"/>
      <c r="AG14" s="460"/>
      <c r="AH14" s="459"/>
      <c r="AI14" s="460"/>
      <c r="AJ14" s="459"/>
      <c r="AK14" s="460"/>
      <c r="AL14" s="459"/>
      <c r="AM14" s="460"/>
      <c r="AN14" s="459"/>
      <c r="AO14" s="460"/>
      <c r="AP14" s="459"/>
      <c r="AQ14" s="460"/>
      <c r="AR14" s="459"/>
      <c r="AS14" s="460"/>
      <c r="AT14" s="464"/>
    </row>
    <row r="15" spans="2:46" ht="18" customHeight="1" x14ac:dyDescent="0.6">
      <c r="B15" s="454"/>
      <c r="C15" s="458">
        <f>C19+(C13-C19)/2</f>
        <v>14.773520914880205</v>
      </c>
      <c r="D15" s="13"/>
      <c r="E15" s="8"/>
      <c r="F15" s="459"/>
      <c r="G15" s="460"/>
      <c r="H15" s="459"/>
      <c r="I15" s="460"/>
      <c r="J15" s="459"/>
      <c r="K15" s="460"/>
      <c r="L15" s="459"/>
      <c r="M15" s="460"/>
      <c r="N15" s="459"/>
      <c r="O15" s="460"/>
      <c r="P15" s="459"/>
      <c r="Q15" s="460"/>
      <c r="R15" s="459"/>
      <c r="S15" s="460"/>
      <c r="T15" s="459"/>
      <c r="U15" s="460"/>
      <c r="V15" s="459"/>
      <c r="W15" s="460"/>
      <c r="X15" s="459"/>
      <c r="Y15" s="460"/>
      <c r="Z15" s="459"/>
      <c r="AA15" s="460"/>
      <c r="AB15" s="459"/>
      <c r="AC15" s="460"/>
      <c r="AD15" s="459"/>
      <c r="AE15" s="460"/>
      <c r="AF15" s="459"/>
      <c r="AG15" s="460"/>
      <c r="AH15" s="459"/>
      <c r="AI15" s="460"/>
      <c r="AJ15" s="459"/>
      <c r="AK15" s="460"/>
      <c r="AL15" s="459"/>
      <c r="AM15" s="460"/>
      <c r="AN15" s="459"/>
      <c r="AO15" s="460"/>
      <c r="AP15" s="459"/>
      <c r="AQ15" s="460"/>
      <c r="AR15" s="459"/>
      <c r="AS15" s="460"/>
      <c r="AT15" s="94"/>
    </row>
    <row r="16" spans="2:46" ht="18" customHeight="1" x14ac:dyDescent="0.6">
      <c r="B16" s="454"/>
      <c r="C16" s="458"/>
      <c r="D16" s="3"/>
      <c r="E16" s="8"/>
      <c r="F16" s="459"/>
      <c r="G16" s="460"/>
      <c r="H16" s="459"/>
      <c r="I16" s="460"/>
      <c r="J16" s="459"/>
      <c r="K16" s="460"/>
      <c r="L16" s="459"/>
      <c r="M16" s="460"/>
      <c r="N16" s="459"/>
      <c r="O16" s="460"/>
      <c r="P16" s="459"/>
      <c r="Q16" s="460"/>
      <c r="R16" s="459"/>
      <c r="S16" s="460"/>
      <c r="T16" s="459"/>
      <c r="U16" s="460"/>
      <c r="V16" s="459"/>
      <c r="W16" s="460"/>
      <c r="X16" s="459"/>
      <c r="Y16" s="460"/>
      <c r="Z16" s="459"/>
      <c r="AA16" s="460"/>
      <c r="AB16" s="459"/>
      <c r="AC16" s="460"/>
      <c r="AD16" s="459"/>
      <c r="AE16" s="460"/>
      <c r="AF16" s="459"/>
      <c r="AG16" s="460"/>
      <c r="AH16" s="459"/>
      <c r="AI16" s="460"/>
      <c r="AJ16" s="459"/>
      <c r="AK16" s="460"/>
      <c r="AL16" s="459"/>
      <c r="AM16" s="460"/>
      <c r="AN16" s="459"/>
      <c r="AO16" s="460"/>
      <c r="AP16" s="459"/>
      <c r="AQ16" s="460"/>
      <c r="AR16" s="459"/>
      <c r="AS16" s="460"/>
      <c r="AT16" s="94"/>
    </row>
    <row r="17" spans="2:46" ht="18" customHeight="1" x14ac:dyDescent="0.6">
      <c r="B17" s="454"/>
      <c r="C17" s="458"/>
      <c r="D17" s="3"/>
      <c r="E17" s="8"/>
      <c r="F17" s="459"/>
      <c r="G17" s="460"/>
      <c r="H17" s="459"/>
      <c r="I17" s="460"/>
      <c r="J17" s="459"/>
      <c r="K17" s="460"/>
      <c r="L17" s="459"/>
      <c r="M17" s="460"/>
      <c r="N17" s="459"/>
      <c r="O17" s="460"/>
      <c r="P17" s="459"/>
      <c r="Q17" s="460"/>
      <c r="R17" s="459"/>
      <c r="S17" s="460"/>
      <c r="T17" s="459"/>
      <c r="U17" s="460"/>
      <c r="V17" s="459"/>
      <c r="W17" s="460"/>
      <c r="X17" s="459"/>
      <c r="Y17" s="460"/>
      <c r="Z17" s="459"/>
      <c r="AA17" s="460"/>
      <c r="AB17" s="459"/>
      <c r="AC17" s="460"/>
      <c r="AD17" s="459"/>
      <c r="AE17" s="460"/>
      <c r="AF17" s="459"/>
      <c r="AG17" s="460"/>
      <c r="AH17" s="459"/>
      <c r="AI17" s="460"/>
      <c r="AJ17" s="459"/>
      <c r="AK17" s="460"/>
      <c r="AL17" s="459"/>
      <c r="AM17" s="460"/>
      <c r="AN17" s="459"/>
      <c r="AO17" s="460"/>
      <c r="AP17" s="459"/>
      <c r="AQ17" s="460"/>
      <c r="AR17" s="459"/>
      <c r="AS17" s="460"/>
      <c r="AT17" s="94"/>
    </row>
    <row r="18" spans="2:46" ht="18" customHeight="1" x14ac:dyDescent="0.6">
      <c r="B18" s="454"/>
      <c r="C18" s="458"/>
      <c r="D18" s="7"/>
      <c r="E18" s="8"/>
      <c r="F18" s="459"/>
      <c r="G18" s="460"/>
      <c r="H18" s="459"/>
      <c r="I18" s="460"/>
      <c r="J18" s="459"/>
      <c r="K18" s="460"/>
      <c r="L18" s="459"/>
      <c r="M18" s="460"/>
      <c r="N18" s="459"/>
      <c r="O18" s="460"/>
      <c r="P18" s="459"/>
      <c r="Q18" s="460"/>
      <c r="R18" s="459"/>
      <c r="S18" s="460"/>
      <c r="T18" s="459"/>
      <c r="U18" s="460"/>
      <c r="V18" s="459"/>
      <c r="W18" s="460"/>
      <c r="X18" s="459"/>
      <c r="Y18" s="460"/>
      <c r="Z18" s="459"/>
      <c r="AA18" s="460"/>
      <c r="AB18" s="459"/>
      <c r="AC18" s="460"/>
      <c r="AD18" s="459"/>
      <c r="AE18" s="460"/>
      <c r="AF18" s="459"/>
      <c r="AG18" s="460"/>
      <c r="AH18" s="459"/>
      <c r="AI18" s="460"/>
      <c r="AJ18" s="459"/>
      <c r="AK18" s="460"/>
      <c r="AL18" s="459"/>
      <c r="AM18" s="460"/>
      <c r="AN18" s="459"/>
      <c r="AO18" s="460"/>
      <c r="AP18" s="459"/>
      <c r="AQ18" s="460"/>
      <c r="AR18" s="459"/>
      <c r="AS18" s="460"/>
      <c r="AT18" s="94"/>
    </row>
    <row r="19" spans="2:46" ht="18" customHeight="1" thickBot="1" x14ac:dyDescent="0.35">
      <c r="B19" s="454"/>
      <c r="C19" s="458">
        <f>'Plot Data'!G62</f>
        <v>14.591893654981087</v>
      </c>
      <c r="D19" s="9"/>
      <c r="E19" s="10"/>
      <c r="F19" s="11"/>
      <c r="G19" s="12"/>
      <c r="H19" s="11"/>
      <c r="I19" s="12"/>
      <c r="J19" s="11"/>
      <c r="K19" s="12"/>
      <c r="L19" s="11"/>
      <c r="M19" s="12"/>
      <c r="N19" s="11"/>
      <c r="O19" s="12"/>
      <c r="P19" s="11"/>
      <c r="Q19" s="12"/>
      <c r="R19" s="11"/>
      <c r="S19" s="12"/>
      <c r="T19" s="11"/>
      <c r="U19" s="12"/>
      <c r="V19" s="11"/>
      <c r="W19" s="12"/>
      <c r="X19" s="11"/>
      <c r="Y19" s="12"/>
      <c r="Z19" s="11"/>
      <c r="AA19" s="12"/>
      <c r="AB19" s="11"/>
      <c r="AC19" s="12"/>
      <c r="AD19" s="11"/>
      <c r="AE19" s="12"/>
      <c r="AF19" s="11"/>
      <c r="AG19" s="12"/>
      <c r="AH19" s="11"/>
      <c r="AI19" s="12"/>
      <c r="AJ19" s="11"/>
      <c r="AK19" s="12"/>
      <c r="AL19" s="11"/>
      <c r="AM19" s="12"/>
      <c r="AN19" s="11"/>
      <c r="AO19" s="12"/>
      <c r="AP19" s="11"/>
      <c r="AQ19" s="12"/>
      <c r="AR19" s="11"/>
      <c r="AS19" s="12"/>
      <c r="AT19" s="463" t="s">
        <v>47</v>
      </c>
    </row>
    <row r="20" spans="2:46" ht="18" customHeight="1" x14ac:dyDescent="0.3">
      <c r="B20" s="454"/>
      <c r="C20" s="458"/>
      <c r="D20" s="7"/>
      <c r="E20" s="8"/>
      <c r="F20" s="459"/>
      <c r="G20" s="460"/>
      <c r="H20" s="459"/>
      <c r="I20" s="460"/>
      <c r="J20" s="459"/>
      <c r="K20" s="460"/>
      <c r="L20" s="459"/>
      <c r="M20" s="460"/>
      <c r="N20" s="459"/>
      <c r="O20" s="460"/>
      <c r="P20" s="459"/>
      <c r="Q20" s="460"/>
      <c r="R20" s="459"/>
      <c r="S20" s="460"/>
      <c r="T20" s="459"/>
      <c r="U20" s="460"/>
      <c r="V20" s="459"/>
      <c r="W20" s="460"/>
      <c r="X20" s="459"/>
      <c r="Y20" s="460"/>
      <c r="Z20" s="459"/>
      <c r="AA20" s="460"/>
      <c r="AB20" s="459"/>
      <c r="AC20" s="460"/>
      <c r="AD20" s="459"/>
      <c r="AE20" s="460"/>
      <c r="AF20" s="459"/>
      <c r="AG20" s="460"/>
      <c r="AH20" s="459"/>
      <c r="AI20" s="460"/>
      <c r="AJ20" s="459"/>
      <c r="AK20" s="460"/>
      <c r="AL20" s="459"/>
      <c r="AM20" s="460"/>
      <c r="AN20" s="459"/>
      <c r="AO20" s="460"/>
      <c r="AP20" s="459"/>
      <c r="AQ20" s="460"/>
      <c r="AR20" s="459"/>
      <c r="AS20" s="460"/>
      <c r="AT20" s="464"/>
    </row>
    <row r="21" spans="2:46" ht="18" customHeight="1" x14ac:dyDescent="0.6">
      <c r="B21" s="454"/>
      <c r="C21" s="458">
        <f>C25+(C19-C25)/2</f>
        <v>14.410266395081969</v>
      </c>
      <c r="D21" s="13"/>
      <c r="E21" s="8"/>
      <c r="F21" s="459"/>
      <c r="G21" s="460"/>
      <c r="H21" s="459"/>
      <c r="I21" s="460"/>
      <c r="J21" s="459"/>
      <c r="K21" s="460"/>
      <c r="L21" s="459"/>
      <c r="M21" s="460"/>
      <c r="N21" s="459"/>
      <c r="O21" s="460"/>
      <c r="P21" s="459"/>
      <c r="Q21" s="460"/>
      <c r="R21" s="459"/>
      <c r="S21" s="460"/>
      <c r="T21" s="459"/>
      <c r="U21" s="460"/>
      <c r="V21" s="459"/>
      <c r="W21" s="460"/>
      <c r="X21" s="459"/>
      <c r="Y21" s="460"/>
      <c r="Z21" s="459"/>
      <c r="AA21" s="460"/>
      <c r="AB21" s="459"/>
      <c r="AC21" s="460"/>
      <c r="AD21" s="459"/>
      <c r="AE21" s="460"/>
      <c r="AF21" s="459"/>
      <c r="AG21" s="460"/>
      <c r="AH21" s="459"/>
      <c r="AI21" s="460"/>
      <c r="AJ21" s="459"/>
      <c r="AK21" s="460"/>
      <c r="AL21" s="459"/>
      <c r="AM21" s="460"/>
      <c r="AN21" s="459"/>
      <c r="AO21" s="460"/>
      <c r="AP21" s="459"/>
      <c r="AQ21" s="460"/>
      <c r="AR21" s="459"/>
      <c r="AS21" s="460"/>
      <c r="AT21" s="94"/>
    </row>
    <row r="22" spans="2:46" ht="18" customHeight="1" x14ac:dyDescent="0.6">
      <c r="B22" s="454"/>
      <c r="C22" s="458"/>
      <c r="D22" s="3"/>
      <c r="E22" s="8"/>
      <c r="F22" s="459"/>
      <c r="G22" s="460"/>
      <c r="H22" s="459"/>
      <c r="I22" s="460"/>
      <c r="J22" s="459"/>
      <c r="K22" s="460"/>
      <c r="L22" s="459"/>
      <c r="M22" s="460"/>
      <c r="N22" s="459"/>
      <c r="O22" s="460"/>
      <c r="P22" s="459"/>
      <c r="Q22" s="460"/>
      <c r="R22" s="459"/>
      <c r="S22" s="460"/>
      <c r="T22" s="459"/>
      <c r="U22" s="460"/>
      <c r="V22" s="459"/>
      <c r="W22" s="460"/>
      <c r="X22" s="459"/>
      <c r="Y22" s="460"/>
      <c r="Z22" s="459"/>
      <c r="AA22" s="460"/>
      <c r="AB22" s="459"/>
      <c r="AC22" s="460"/>
      <c r="AD22" s="459"/>
      <c r="AE22" s="460"/>
      <c r="AF22" s="459"/>
      <c r="AG22" s="460"/>
      <c r="AH22" s="459"/>
      <c r="AI22" s="460"/>
      <c r="AJ22" s="459"/>
      <c r="AK22" s="460"/>
      <c r="AL22" s="459"/>
      <c r="AM22" s="460"/>
      <c r="AN22" s="459"/>
      <c r="AO22" s="460"/>
      <c r="AP22" s="459"/>
      <c r="AQ22" s="460"/>
      <c r="AR22" s="459"/>
      <c r="AS22" s="460"/>
      <c r="AT22" s="94"/>
    </row>
    <row r="23" spans="2:46" ht="18" customHeight="1" x14ac:dyDescent="0.6">
      <c r="B23" s="454"/>
      <c r="C23" s="458"/>
      <c r="D23" s="3"/>
      <c r="E23" s="8"/>
      <c r="F23" s="459"/>
      <c r="G23" s="460"/>
      <c r="H23" s="459"/>
      <c r="I23" s="460"/>
      <c r="J23" s="459"/>
      <c r="K23" s="460"/>
      <c r="L23" s="459"/>
      <c r="M23" s="460"/>
      <c r="N23" s="459"/>
      <c r="O23" s="460"/>
      <c r="P23" s="459"/>
      <c r="Q23" s="460"/>
      <c r="R23" s="459"/>
      <c r="S23" s="460"/>
      <c r="T23" s="459"/>
      <c r="U23" s="460"/>
      <c r="V23" s="459"/>
      <c r="W23" s="460"/>
      <c r="X23" s="459"/>
      <c r="Y23" s="460"/>
      <c r="Z23" s="459"/>
      <c r="AA23" s="460"/>
      <c r="AB23" s="459"/>
      <c r="AC23" s="460"/>
      <c r="AD23" s="459"/>
      <c r="AE23" s="460"/>
      <c r="AF23" s="459"/>
      <c r="AG23" s="460"/>
      <c r="AH23" s="459"/>
      <c r="AI23" s="460"/>
      <c r="AJ23" s="459"/>
      <c r="AK23" s="460"/>
      <c r="AL23" s="459"/>
      <c r="AM23" s="460"/>
      <c r="AN23" s="459"/>
      <c r="AO23" s="460"/>
      <c r="AP23" s="459"/>
      <c r="AQ23" s="460"/>
      <c r="AR23" s="459"/>
      <c r="AS23" s="460"/>
      <c r="AT23" s="94"/>
    </row>
    <row r="24" spans="2:46" ht="18" customHeight="1" x14ac:dyDescent="0.6">
      <c r="B24" s="454"/>
      <c r="C24" s="458"/>
      <c r="D24" s="7"/>
      <c r="E24" s="8"/>
      <c r="F24" s="459"/>
      <c r="G24" s="460"/>
      <c r="H24" s="459"/>
      <c r="I24" s="460"/>
      <c r="J24" s="459"/>
      <c r="K24" s="460"/>
      <c r="L24" s="459"/>
      <c r="M24" s="460"/>
      <c r="N24" s="459"/>
      <c r="O24" s="460"/>
      <c r="P24" s="459"/>
      <c r="Q24" s="460"/>
      <c r="R24" s="459"/>
      <c r="S24" s="460"/>
      <c r="T24" s="459"/>
      <c r="U24" s="460"/>
      <c r="V24" s="459"/>
      <c r="W24" s="460"/>
      <c r="X24" s="459"/>
      <c r="Y24" s="460"/>
      <c r="Z24" s="459"/>
      <c r="AA24" s="460"/>
      <c r="AB24" s="459"/>
      <c r="AC24" s="460"/>
      <c r="AD24" s="459"/>
      <c r="AE24" s="460"/>
      <c r="AF24" s="459"/>
      <c r="AG24" s="460"/>
      <c r="AH24" s="459"/>
      <c r="AI24" s="460"/>
      <c r="AJ24" s="459"/>
      <c r="AK24" s="460"/>
      <c r="AL24" s="459"/>
      <c r="AM24" s="460"/>
      <c r="AN24" s="459"/>
      <c r="AO24" s="460"/>
      <c r="AP24" s="459"/>
      <c r="AQ24" s="460"/>
      <c r="AR24" s="459"/>
      <c r="AS24" s="460"/>
      <c r="AT24" s="94"/>
    </row>
    <row r="25" spans="2:46" ht="18" customHeight="1" x14ac:dyDescent="0.6">
      <c r="B25" s="454"/>
      <c r="C25" s="458">
        <f>'Plot Data'!G63</f>
        <v>14.228639135182851</v>
      </c>
      <c r="D25" s="13"/>
      <c r="E25" s="8"/>
      <c r="F25" s="459"/>
      <c r="G25" s="460"/>
      <c r="H25" s="459"/>
      <c r="I25" s="460"/>
      <c r="J25" s="459"/>
      <c r="K25" s="460"/>
      <c r="L25" s="459"/>
      <c r="M25" s="460"/>
      <c r="N25" s="459"/>
      <c r="O25" s="460"/>
      <c r="P25" s="459"/>
      <c r="Q25" s="460"/>
      <c r="R25" s="459"/>
      <c r="S25" s="460"/>
      <c r="T25" s="459"/>
      <c r="U25" s="460"/>
      <c r="V25" s="459"/>
      <c r="W25" s="460"/>
      <c r="X25" s="459"/>
      <c r="Y25" s="460"/>
      <c r="Z25" s="459"/>
      <c r="AA25" s="460"/>
      <c r="AB25" s="459"/>
      <c r="AC25" s="460"/>
      <c r="AD25" s="459"/>
      <c r="AE25" s="460"/>
      <c r="AF25" s="459"/>
      <c r="AG25" s="460"/>
      <c r="AH25" s="459"/>
      <c r="AI25" s="460"/>
      <c r="AJ25" s="459"/>
      <c r="AK25" s="460"/>
      <c r="AL25" s="459"/>
      <c r="AM25" s="460"/>
      <c r="AN25" s="459"/>
      <c r="AO25" s="460"/>
      <c r="AP25" s="459"/>
      <c r="AQ25" s="460"/>
      <c r="AR25" s="459"/>
      <c r="AS25" s="460"/>
      <c r="AT25" s="94"/>
    </row>
    <row r="26" spans="2:46" ht="18" customHeight="1" x14ac:dyDescent="0.6">
      <c r="B26" s="454"/>
      <c r="C26" s="458"/>
      <c r="D26" s="7"/>
      <c r="E26" s="8"/>
      <c r="F26" s="459"/>
      <c r="G26" s="460"/>
      <c r="H26" s="459"/>
      <c r="I26" s="460"/>
      <c r="J26" s="459"/>
      <c r="K26" s="460"/>
      <c r="L26" s="459"/>
      <c r="M26" s="460"/>
      <c r="N26" s="459"/>
      <c r="O26" s="460"/>
      <c r="P26" s="459"/>
      <c r="Q26" s="460"/>
      <c r="R26" s="459"/>
      <c r="S26" s="460"/>
      <c r="T26" s="459"/>
      <c r="U26" s="460"/>
      <c r="V26" s="459"/>
      <c r="W26" s="460"/>
      <c r="X26" s="459"/>
      <c r="Y26" s="460"/>
      <c r="Z26" s="459"/>
      <c r="AA26" s="460"/>
      <c r="AB26" s="459"/>
      <c r="AC26" s="460"/>
      <c r="AD26" s="459"/>
      <c r="AE26" s="460"/>
      <c r="AF26" s="459"/>
      <c r="AG26" s="460"/>
      <c r="AH26" s="459"/>
      <c r="AI26" s="460"/>
      <c r="AJ26" s="459"/>
      <c r="AK26" s="460"/>
      <c r="AL26" s="459"/>
      <c r="AM26" s="460"/>
      <c r="AN26" s="459"/>
      <c r="AO26" s="460"/>
      <c r="AP26" s="459"/>
      <c r="AQ26" s="460"/>
      <c r="AR26" s="459"/>
      <c r="AS26" s="460"/>
      <c r="AT26" s="94"/>
    </row>
    <row r="27" spans="2:46" ht="18" customHeight="1" x14ac:dyDescent="0.6">
      <c r="B27" s="454"/>
      <c r="C27" s="458">
        <f>C31+(C25-C31)/2</f>
        <v>14.047011875283733</v>
      </c>
      <c r="D27" s="13"/>
      <c r="E27" s="8"/>
      <c r="F27" s="459"/>
      <c r="G27" s="460"/>
      <c r="H27" s="459"/>
      <c r="I27" s="460"/>
      <c r="J27" s="459"/>
      <c r="K27" s="460"/>
      <c r="L27" s="459"/>
      <c r="M27" s="460"/>
      <c r="N27" s="459"/>
      <c r="O27" s="460"/>
      <c r="P27" s="459"/>
      <c r="Q27" s="460"/>
      <c r="R27" s="459"/>
      <c r="S27" s="460"/>
      <c r="T27" s="459"/>
      <c r="U27" s="460"/>
      <c r="V27" s="459"/>
      <c r="W27" s="460"/>
      <c r="X27" s="459"/>
      <c r="Y27" s="460"/>
      <c r="Z27" s="459"/>
      <c r="AA27" s="460"/>
      <c r="AB27" s="459"/>
      <c r="AC27" s="460"/>
      <c r="AD27" s="459"/>
      <c r="AE27" s="460"/>
      <c r="AF27" s="459"/>
      <c r="AG27" s="460"/>
      <c r="AH27" s="459"/>
      <c r="AI27" s="460"/>
      <c r="AJ27" s="459"/>
      <c r="AK27" s="460"/>
      <c r="AL27" s="459"/>
      <c r="AM27" s="460"/>
      <c r="AN27" s="459"/>
      <c r="AO27" s="460"/>
      <c r="AP27" s="459"/>
      <c r="AQ27" s="460"/>
      <c r="AR27" s="459"/>
      <c r="AS27" s="460"/>
      <c r="AT27" s="94"/>
    </row>
    <row r="28" spans="2:46" ht="18" customHeight="1" x14ac:dyDescent="0.6">
      <c r="B28" s="454"/>
      <c r="C28" s="458"/>
      <c r="D28" s="3"/>
      <c r="E28" s="8"/>
      <c r="F28" s="459"/>
      <c r="G28" s="460"/>
      <c r="H28" s="459"/>
      <c r="I28" s="460"/>
      <c r="J28" s="459"/>
      <c r="K28" s="460"/>
      <c r="L28" s="459"/>
      <c r="M28" s="460"/>
      <c r="N28" s="459"/>
      <c r="O28" s="460"/>
      <c r="P28" s="459"/>
      <c r="Q28" s="460"/>
      <c r="R28" s="459"/>
      <c r="S28" s="460"/>
      <c r="T28" s="459"/>
      <c r="U28" s="460"/>
      <c r="V28" s="459"/>
      <c r="W28" s="460"/>
      <c r="X28" s="459"/>
      <c r="Y28" s="460"/>
      <c r="Z28" s="459"/>
      <c r="AA28" s="460"/>
      <c r="AB28" s="459"/>
      <c r="AC28" s="460"/>
      <c r="AD28" s="459"/>
      <c r="AE28" s="460"/>
      <c r="AF28" s="459"/>
      <c r="AG28" s="460"/>
      <c r="AH28" s="459"/>
      <c r="AI28" s="460"/>
      <c r="AJ28" s="459"/>
      <c r="AK28" s="460"/>
      <c r="AL28" s="459"/>
      <c r="AM28" s="460"/>
      <c r="AN28" s="459"/>
      <c r="AO28" s="460"/>
      <c r="AP28" s="459"/>
      <c r="AQ28" s="460"/>
      <c r="AR28" s="459"/>
      <c r="AS28" s="460"/>
      <c r="AT28" s="94"/>
    </row>
    <row r="29" spans="2:46" ht="18" customHeight="1" x14ac:dyDescent="0.6">
      <c r="B29" s="454"/>
      <c r="C29" s="458"/>
      <c r="D29" s="3"/>
      <c r="E29" s="8"/>
      <c r="F29" s="459"/>
      <c r="G29" s="460"/>
      <c r="H29" s="459"/>
      <c r="I29" s="460"/>
      <c r="J29" s="459"/>
      <c r="K29" s="460"/>
      <c r="L29" s="459"/>
      <c r="M29" s="460"/>
      <c r="N29" s="459"/>
      <c r="O29" s="460"/>
      <c r="P29" s="459"/>
      <c r="Q29" s="460"/>
      <c r="R29" s="459"/>
      <c r="S29" s="460"/>
      <c r="T29" s="459"/>
      <c r="U29" s="460"/>
      <c r="V29" s="459"/>
      <c r="W29" s="460"/>
      <c r="X29" s="459"/>
      <c r="Y29" s="460"/>
      <c r="Z29" s="459"/>
      <c r="AA29" s="460"/>
      <c r="AB29" s="459"/>
      <c r="AC29" s="460"/>
      <c r="AD29" s="459"/>
      <c r="AE29" s="460"/>
      <c r="AF29" s="459"/>
      <c r="AG29" s="460"/>
      <c r="AH29" s="459"/>
      <c r="AI29" s="460"/>
      <c r="AJ29" s="459"/>
      <c r="AK29" s="460"/>
      <c r="AL29" s="459"/>
      <c r="AM29" s="460"/>
      <c r="AN29" s="459"/>
      <c r="AO29" s="460"/>
      <c r="AP29" s="459"/>
      <c r="AQ29" s="460"/>
      <c r="AR29" s="459"/>
      <c r="AS29" s="460"/>
      <c r="AT29" s="94"/>
    </row>
    <row r="30" spans="2:46" ht="18" customHeight="1" x14ac:dyDescent="0.6">
      <c r="B30" s="454"/>
      <c r="C30" s="458"/>
      <c r="D30" s="7"/>
      <c r="E30" s="8"/>
      <c r="F30" s="459"/>
      <c r="G30" s="460"/>
      <c r="H30" s="459"/>
      <c r="I30" s="460"/>
      <c r="J30" s="459"/>
      <c r="K30" s="460"/>
      <c r="L30" s="459"/>
      <c r="M30" s="460"/>
      <c r="N30" s="459"/>
      <c r="O30" s="460"/>
      <c r="P30" s="459"/>
      <c r="Q30" s="460"/>
      <c r="R30" s="459"/>
      <c r="S30" s="460"/>
      <c r="T30" s="459"/>
      <c r="U30" s="460"/>
      <c r="V30" s="459"/>
      <c r="W30" s="460"/>
      <c r="X30" s="459"/>
      <c r="Y30" s="460"/>
      <c r="Z30" s="459"/>
      <c r="AA30" s="460"/>
      <c r="AB30" s="459"/>
      <c r="AC30" s="460"/>
      <c r="AD30" s="459"/>
      <c r="AE30" s="460"/>
      <c r="AF30" s="459"/>
      <c r="AG30" s="460"/>
      <c r="AH30" s="459"/>
      <c r="AI30" s="460"/>
      <c r="AJ30" s="459"/>
      <c r="AK30" s="460"/>
      <c r="AL30" s="459"/>
      <c r="AM30" s="460"/>
      <c r="AN30" s="459"/>
      <c r="AO30" s="460"/>
      <c r="AP30" s="459"/>
      <c r="AQ30" s="460"/>
      <c r="AR30" s="459"/>
      <c r="AS30" s="460"/>
      <c r="AT30" s="94"/>
    </row>
    <row r="31" spans="2:46" ht="18" customHeight="1" thickBot="1" x14ac:dyDescent="0.35">
      <c r="B31" s="454"/>
      <c r="C31" s="458">
        <f>'Plot Data'!G58</f>
        <v>13.865384615384617</v>
      </c>
      <c r="D31" s="14"/>
      <c r="E31" s="15"/>
      <c r="F31" s="465"/>
      <c r="G31" s="466"/>
      <c r="H31" s="465"/>
      <c r="I31" s="466"/>
      <c r="J31" s="465"/>
      <c r="K31" s="466"/>
      <c r="L31" s="465"/>
      <c r="M31" s="466"/>
      <c r="N31" s="465"/>
      <c r="O31" s="466"/>
      <c r="P31" s="465"/>
      <c r="Q31" s="466"/>
      <c r="R31" s="465"/>
      <c r="S31" s="466"/>
      <c r="T31" s="465"/>
      <c r="U31" s="466"/>
      <c r="V31" s="465"/>
      <c r="W31" s="466"/>
      <c r="X31" s="465"/>
      <c r="Y31" s="466"/>
      <c r="Z31" s="465"/>
      <c r="AA31" s="466"/>
      <c r="AB31" s="465"/>
      <c r="AC31" s="466"/>
      <c r="AD31" s="465"/>
      <c r="AE31" s="466"/>
      <c r="AF31" s="465"/>
      <c r="AG31" s="466"/>
      <c r="AH31" s="465"/>
      <c r="AI31" s="466"/>
      <c r="AJ31" s="465"/>
      <c r="AK31" s="466"/>
      <c r="AL31" s="465"/>
      <c r="AM31" s="466"/>
      <c r="AN31" s="465"/>
      <c r="AO31" s="466"/>
      <c r="AP31" s="465"/>
      <c r="AQ31" s="466"/>
      <c r="AR31" s="465"/>
      <c r="AS31" s="466"/>
      <c r="AT31" s="469" t="s">
        <v>90</v>
      </c>
    </row>
    <row r="32" spans="2:46" ht="18" customHeight="1" x14ac:dyDescent="0.3">
      <c r="B32" s="454"/>
      <c r="C32" s="458"/>
      <c r="D32" s="16"/>
      <c r="E32" s="17"/>
      <c r="F32" s="467"/>
      <c r="G32" s="468"/>
      <c r="H32" s="467"/>
      <c r="I32" s="468"/>
      <c r="J32" s="467"/>
      <c r="K32" s="468"/>
      <c r="L32" s="467"/>
      <c r="M32" s="468"/>
      <c r="N32" s="467"/>
      <c r="O32" s="468"/>
      <c r="P32" s="467"/>
      <c r="Q32" s="468"/>
      <c r="R32" s="467"/>
      <c r="S32" s="468"/>
      <c r="T32" s="467"/>
      <c r="U32" s="468"/>
      <c r="V32" s="467"/>
      <c r="W32" s="468"/>
      <c r="X32" s="467"/>
      <c r="Y32" s="468"/>
      <c r="Z32" s="467"/>
      <c r="AA32" s="468"/>
      <c r="AB32" s="467"/>
      <c r="AC32" s="468"/>
      <c r="AD32" s="467"/>
      <c r="AE32" s="468"/>
      <c r="AF32" s="467"/>
      <c r="AG32" s="468"/>
      <c r="AH32" s="467"/>
      <c r="AI32" s="468"/>
      <c r="AJ32" s="467"/>
      <c r="AK32" s="468"/>
      <c r="AL32" s="467"/>
      <c r="AM32" s="468"/>
      <c r="AN32" s="467"/>
      <c r="AO32" s="468"/>
      <c r="AP32" s="467"/>
      <c r="AQ32" s="468"/>
      <c r="AR32" s="467"/>
      <c r="AS32" s="468"/>
      <c r="AT32" s="464"/>
    </row>
    <row r="33" spans="2:46" ht="18" customHeight="1" x14ac:dyDescent="0.6">
      <c r="B33" s="454"/>
      <c r="C33" s="458">
        <f>C37+(C31-C37)/2</f>
        <v>13.683757355485501</v>
      </c>
      <c r="D33" s="13"/>
      <c r="E33" s="8"/>
      <c r="F33" s="459"/>
      <c r="G33" s="460"/>
      <c r="H33" s="459"/>
      <c r="I33" s="460"/>
      <c r="J33" s="459"/>
      <c r="K33" s="460"/>
      <c r="L33" s="459"/>
      <c r="M33" s="460"/>
      <c r="N33" s="459"/>
      <c r="O33" s="460"/>
      <c r="P33" s="459"/>
      <c r="Q33" s="460"/>
      <c r="R33" s="459"/>
      <c r="S33" s="460"/>
      <c r="T33" s="459"/>
      <c r="U33" s="460"/>
      <c r="V33" s="459"/>
      <c r="W33" s="460"/>
      <c r="X33" s="459"/>
      <c r="Y33" s="460"/>
      <c r="Z33" s="459"/>
      <c r="AA33" s="460"/>
      <c r="AB33" s="459"/>
      <c r="AC33" s="460"/>
      <c r="AD33" s="459"/>
      <c r="AE33" s="460"/>
      <c r="AF33" s="459"/>
      <c r="AG33" s="460"/>
      <c r="AH33" s="459"/>
      <c r="AI33" s="460"/>
      <c r="AJ33" s="459"/>
      <c r="AK33" s="460"/>
      <c r="AL33" s="459"/>
      <c r="AM33" s="460"/>
      <c r="AN33" s="459"/>
      <c r="AO33" s="460"/>
      <c r="AP33" s="459"/>
      <c r="AQ33" s="460"/>
      <c r="AR33" s="459"/>
      <c r="AS33" s="460"/>
      <c r="AT33" s="94"/>
    </row>
    <row r="34" spans="2:46" ht="18" customHeight="1" x14ac:dyDescent="0.6">
      <c r="B34" s="454"/>
      <c r="C34" s="458"/>
      <c r="D34" s="13"/>
      <c r="E34" s="8"/>
      <c r="F34" s="459"/>
      <c r="G34" s="460"/>
      <c r="H34" s="459"/>
      <c r="I34" s="460"/>
      <c r="J34" s="459"/>
      <c r="K34" s="460"/>
      <c r="L34" s="459"/>
      <c r="M34" s="460"/>
      <c r="N34" s="459"/>
      <c r="O34" s="460"/>
      <c r="P34" s="459"/>
      <c r="Q34" s="460"/>
      <c r="R34" s="459"/>
      <c r="S34" s="460"/>
      <c r="T34" s="459"/>
      <c r="U34" s="460"/>
      <c r="V34" s="459"/>
      <c r="W34" s="460"/>
      <c r="X34" s="459"/>
      <c r="Y34" s="460"/>
      <c r="Z34" s="459"/>
      <c r="AA34" s="460"/>
      <c r="AB34" s="459"/>
      <c r="AC34" s="460"/>
      <c r="AD34" s="459"/>
      <c r="AE34" s="460"/>
      <c r="AF34" s="459"/>
      <c r="AG34" s="460"/>
      <c r="AH34" s="459"/>
      <c r="AI34" s="460"/>
      <c r="AJ34" s="459"/>
      <c r="AK34" s="460"/>
      <c r="AL34" s="459"/>
      <c r="AM34" s="460"/>
      <c r="AN34" s="459"/>
      <c r="AO34" s="460"/>
      <c r="AP34" s="459"/>
      <c r="AQ34" s="460"/>
      <c r="AR34" s="459"/>
      <c r="AS34" s="460"/>
      <c r="AT34" s="94"/>
    </row>
    <row r="35" spans="2:46" ht="18" customHeight="1" x14ac:dyDescent="0.6">
      <c r="B35" s="454"/>
      <c r="C35" s="458"/>
      <c r="D35" s="13"/>
      <c r="E35" s="8"/>
      <c r="F35" s="459"/>
      <c r="G35" s="460"/>
      <c r="H35" s="459"/>
      <c r="I35" s="460"/>
      <c r="J35" s="459"/>
      <c r="K35" s="460"/>
      <c r="L35" s="459"/>
      <c r="M35" s="460"/>
      <c r="N35" s="459"/>
      <c r="O35" s="460"/>
      <c r="P35" s="459"/>
      <c r="Q35" s="460"/>
      <c r="R35" s="459"/>
      <c r="S35" s="460"/>
      <c r="T35" s="459"/>
      <c r="U35" s="460"/>
      <c r="V35" s="459"/>
      <c r="W35" s="460"/>
      <c r="X35" s="459"/>
      <c r="Y35" s="460"/>
      <c r="Z35" s="459"/>
      <c r="AA35" s="460"/>
      <c r="AB35" s="459"/>
      <c r="AC35" s="460"/>
      <c r="AD35" s="459"/>
      <c r="AE35" s="460"/>
      <c r="AF35" s="459"/>
      <c r="AG35" s="460"/>
      <c r="AH35" s="459"/>
      <c r="AI35" s="460"/>
      <c r="AJ35" s="459"/>
      <c r="AK35" s="460"/>
      <c r="AL35" s="459"/>
      <c r="AM35" s="460"/>
      <c r="AN35" s="459"/>
      <c r="AO35" s="460"/>
      <c r="AP35" s="459"/>
      <c r="AQ35" s="460"/>
      <c r="AR35" s="459"/>
      <c r="AS35" s="460"/>
      <c r="AT35" s="94"/>
    </row>
    <row r="36" spans="2:46" ht="18" customHeight="1" x14ac:dyDescent="0.6">
      <c r="B36" s="454"/>
      <c r="C36" s="458"/>
      <c r="D36" s="92"/>
      <c r="E36" s="8"/>
      <c r="F36" s="459"/>
      <c r="G36" s="460"/>
      <c r="H36" s="459"/>
      <c r="I36" s="460"/>
      <c r="J36" s="459"/>
      <c r="K36" s="460"/>
      <c r="L36" s="459"/>
      <c r="M36" s="460"/>
      <c r="N36" s="459"/>
      <c r="O36" s="460"/>
      <c r="P36" s="459"/>
      <c r="Q36" s="460"/>
      <c r="R36" s="459"/>
      <c r="S36" s="460"/>
      <c r="T36" s="459"/>
      <c r="U36" s="460"/>
      <c r="V36" s="459"/>
      <c r="W36" s="460"/>
      <c r="X36" s="459"/>
      <c r="Y36" s="460"/>
      <c r="Z36" s="459"/>
      <c r="AA36" s="460"/>
      <c r="AB36" s="459"/>
      <c r="AC36" s="460"/>
      <c r="AD36" s="459"/>
      <c r="AE36" s="460"/>
      <c r="AF36" s="459"/>
      <c r="AG36" s="460"/>
      <c r="AH36" s="459"/>
      <c r="AI36" s="460"/>
      <c r="AJ36" s="459"/>
      <c r="AK36" s="460"/>
      <c r="AL36" s="459"/>
      <c r="AM36" s="460"/>
      <c r="AN36" s="459"/>
      <c r="AO36" s="460"/>
      <c r="AP36" s="459"/>
      <c r="AQ36" s="460"/>
      <c r="AR36" s="459"/>
      <c r="AS36" s="460"/>
      <c r="AT36" s="94"/>
    </row>
    <row r="37" spans="2:46" ht="18" customHeight="1" x14ac:dyDescent="0.6">
      <c r="B37" s="454"/>
      <c r="C37" s="458">
        <f>'Plot Data'!G66</f>
        <v>13.502130095586383</v>
      </c>
      <c r="D37" s="13"/>
      <c r="E37" s="8"/>
      <c r="F37" s="470"/>
      <c r="G37" s="471"/>
      <c r="H37" s="459"/>
      <c r="I37" s="460"/>
      <c r="J37" s="459"/>
      <c r="K37" s="460"/>
      <c r="L37" s="459"/>
      <c r="M37" s="460"/>
      <c r="N37" s="459"/>
      <c r="O37" s="460"/>
      <c r="P37" s="459"/>
      <c r="Q37" s="460"/>
      <c r="R37" s="459"/>
      <c r="S37" s="460"/>
      <c r="T37" s="459"/>
      <c r="U37" s="460"/>
      <c r="V37" s="459"/>
      <c r="W37" s="460"/>
      <c r="X37" s="459"/>
      <c r="Y37" s="460"/>
      <c r="Z37" s="459"/>
      <c r="AA37" s="460"/>
      <c r="AB37" s="459"/>
      <c r="AC37" s="460"/>
      <c r="AD37" s="459"/>
      <c r="AE37" s="460"/>
      <c r="AF37" s="459"/>
      <c r="AG37" s="460"/>
      <c r="AH37" s="459"/>
      <c r="AI37" s="460"/>
      <c r="AJ37" s="459"/>
      <c r="AK37" s="460"/>
      <c r="AL37" s="459"/>
      <c r="AM37" s="460"/>
      <c r="AN37" s="459"/>
      <c r="AO37" s="460"/>
      <c r="AP37" s="459"/>
      <c r="AQ37" s="460"/>
      <c r="AR37" s="459"/>
      <c r="AS37" s="460"/>
      <c r="AT37" s="94"/>
    </row>
    <row r="38" spans="2:46" ht="18" customHeight="1" x14ac:dyDescent="0.6">
      <c r="B38" s="454"/>
      <c r="C38" s="458"/>
      <c r="D38" s="7"/>
      <c r="E38" s="8"/>
      <c r="F38" s="459"/>
      <c r="G38" s="460"/>
      <c r="H38" s="459"/>
      <c r="I38" s="460"/>
      <c r="J38" s="459"/>
      <c r="K38" s="460"/>
      <c r="L38" s="459"/>
      <c r="M38" s="460"/>
      <c r="N38" s="459"/>
      <c r="O38" s="460"/>
      <c r="P38" s="459"/>
      <c r="Q38" s="460"/>
      <c r="R38" s="459"/>
      <c r="S38" s="460"/>
      <c r="T38" s="459"/>
      <c r="U38" s="460"/>
      <c r="V38" s="459"/>
      <c r="W38" s="460"/>
      <c r="X38" s="459"/>
      <c r="Y38" s="460"/>
      <c r="Z38" s="459"/>
      <c r="AA38" s="460"/>
      <c r="AB38" s="459"/>
      <c r="AC38" s="460"/>
      <c r="AD38" s="459"/>
      <c r="AE38" s="460"/>
      <c r="AF38" s="459"/>
      <c r="AG38" s="460"/>
      <c r="AH38" s="459"/>
      <c r="AI38" s="460"/>
      <c r="AJ38" s="459"/>
      <c r="AK38" s="460"/>
      <c r="AL38" s="459"/>
      <c r="AM38" s="460"/>
      <c r="AN38" s="459"/>
      <c r="AO38" s="460"/>
      <c r="AP38" s="459"/>
      <c r="AQ38" s="460"/>
      <c r="AR38" s="459"/>
      <c r="AS38" s="460"/>
      <c r="AT38" s="94"/>
    </row>
    <row r="39" spans="2:46" ht="18" customHeight="1" x14ac:dyDescent="0.6">
      <c r="B39" s="454"/>
      <c r="C39" s="458">
        <f>C43+(C37-C43)/2</f>
        <v>13.320502835687265</v>
      </c>
      <c r="D39" s="13"/>
      <c r="E39" s="8"/>
      <c r="F39" s="459"/>
      <c r="G39" s="460"/>
      <c r="H39" s="459"/>
      <c r="I39" s="460"/>
      <c r="J39" s="459"/>
      <c r="K39" s="460"/>
      <c r="L39" s="459"/>
      <c r="M39" s="460"/>
      <c r="N39" s="459"/>
      <c r="O39" s="460"/>
      <c r="P39" s="459"/>
      <c r="Q39" s="460"/>
      <c r="R39" s="459"/>
      <c r="S39" s="460"/>
      <c r="T39" s="459"/>
      <c r="U39" s="460"/>
      <c r="V39" s="459"/>
      <c r="W39" s="460"/>
      <c r="X39" s="459"/>
      <c r="Y39" s="460"/>
      <c r="Z39" s="459"/>
      <c r="AA39" s="460"/>
      <c r="AB39" s="459"/>
      <c r="AC39" s="460"/>
      <c r="AD39" s="459"/>
      <c r="AE39" s="460"/>
      <c r="AF39" s="459"/>
      <c r="AG39" s="460"/>
      <c r="AH39" s="459"/>
      <c r="AI39" s="460"/>
      <c r="AJ39" s="459"/>
      <c r="AK39" s="460"/>
      <c r="AL39" s="459"/>
      <c r="AM39" s="460"/>
      <c r="AN39" s="459"/>
      <c r="AO39" s="460"/>
      <c r="AP39" s="459"/>
      <c r="AQ39" s="460"/>
      <c r="AR39" s="459"/>
      <c r="AS39" s="460"/>
      <c r="AT39" s="94"/>
    </row>
    <row r="40" spans="2:46" ht="18" customHeight="1" x14ac:dyDescent="0.6">
      <c r="B40" s="454"/>
      <c r="C40" s="458"/>
      <c r="D40" s="3"/>
      <c r="E40" s="8"/>
      <c r="F40" s="459"/>
      <c r="G40" s="460"/>
      <c r="H40" s="459"/>
      <c r="I40" s="460"/>
      <c r="J40" s="459"/>
      <c r="K40" s="460"/>
      <c r="L40" s="459"/>
      <c r="M40" s="460"/>
      <c r="N40" s="459"/>
      <c r="O40" s="460"/>
      <c r="P40" s="459"/>
      <c r="Q40" s="460"/>
      <c r="R40" s="459"/>
      <c r="S40" s="460"/>
      <c r="T40" s="459"/>
      <c r="U40" s="460"/>
      <c r="V40" s="459"/>
      <c r="W40" s="460"/>
      <c r="X40" s="459"/>
      <c r="Y40" s="460"/>
      <c r="Z40" s="459"/>
      <c r="AA40" s="460"/>
      <c r="AB40" s="459"/>
      <c r="AC40" s="460"/>
      <c r="AD40" s="459"/>
      <c r="AE40" s="460"/>
      <c r="AF40" s="459"/>
      <c r="AG40" s="460"/>
      <c r="AH40" s="459"/>
      <c r="AI40" s="460"/>
      <c r="AJ40" s="459"/>
      <c r="AK40" s="460"/>
      <c r="AL40" s="459"/>
      <c r="AM40" s="460"/>
      <c r="AN40" s="459"/>
      <c r="AO40" s="460"/>
      <c r="AP40" s="459"/>
      <c r="AQ40" s="460"/>
      <c r="AR40" s="459"/>
      <c r="AS40" s="460"/>
      <c r="AT40" s="94"/>
    </row>
    <row r="41" spans="2:46" ht="18" customHeight="1" x14ac:dyDescent="0.6">
      <c r="B41" s="454"/>
      <c r="C41" s="458"/>
      <c r="D41" s="3"/>
      <c r="E41" s="8"/>
      <c r="F41" s="459"/>
      <c r="G41" s="460"/>
      <c r="H41" s="459"/>
      <c r="I41" s="460"/>
      <c r="J41" s="459"/>
      <c r="K41" s="460"/>
      <c r="L41" s="459"/>
      <c r="M41" s="460"/>
      <c r="N41" s="459"/>
      <c r="O41" s="460"/>
      <c r="P41" s="459"/>
      <c r="Q41" s="460"/>
      <c r="R41" s="459"/>
      <c r="S41" s="460"/>
      <c r="T41" s="459"/>
      <c r="U41" s="460"/>
      <c r="V41" s="459"/>
      <c r="W41" s="460"/>
      <c r="X41" s="459"/>
      <c r="Y41" s="460"/>
      <c r="Z41" s="459"/>
      <c r="AA41" s="460"/>
      <c r="AB41" s="459"/>
      <c r="AC41" s="460"/>
      <c r="AD41" s="459"/>
      <c r="AE41" s="460"/>
      <c r="AF41" s="459"/>
      <c r="AG41" s="460"/>
      <c r="AH41" s="459"/>
      <c r="AI41" s="460"/>
      <c r="AJ41" s="459"/>
      <c r="AK41" s="460"/>
      <c r="AL41" s="459"/>
      <c r="AM41" s="460"/>
      <c r="AN41" s="459"/>
      <c r="AO41" s="460"/>
      <c r="AP41" s="459"/>
      <c r="AQ41" s="460"/>
      <c r="AR41" s="459"/>
      <c r="AS41" s="460"/>
      <c r="AT41" s="94"/>
    </row>
    <row r="42" spans="2:46" ht="18" customHeight="1" x14ac:dyDescent="0.6">
      <c r="B42" s="454"/>
      <c r="C42" s="458"/>
      <c r="D42" s="7"/>
      <c r="E42" s="8"/>
      <c r="F42" s="459"/>
      <c r="G42" s="460"/>
      <c r="H42" s="459"/>
      <c r="I42" s="460"/>
      <c r="J42" s="459"/>
      <c r="K42" s="460"/>
      <c r="L42" s="459"/>
      <c r="M42" s="460"/>
      <c r="N42" s="459"/>
      <c r="O42" s="460"/>
      <c r="P42" s="459"/>
      <c r="Q42" s="460"/>
      <c r="R42" s="459"/>
      <c r="S42" s="460"/>
      <c r="T42" s="459"/>
      <c r="U42" s="460"/>
      <c r="V42" s="459"/>
      <c r="W42" s="460"/>
      <c r="X42" s="459"/>
      <c r="Y42" s="460"/>
      <c r="Z42" s="459"/>
      <c r="AA42" s="460"/>
      <c r="AB42" s="459"/>
      <c r="AC42" s="460"/>
      <c r="AD42" s="459"/>
      <c r="AE42" s="460"/>
      <c r="AF42" s="459"/>
      <c r="AG42" s="460"/>
      <c r="AH42" s="459"/>
      <c r="AI42" s="460"/>
      <c r="AJ42" s="459"/>
      <c r="AK42" s="460"/>
      <c r="AL42" s="459"/>
      <c r="AM42" s="460"/>
      <c r="AN42" s="459"/>
      <c r="AO42" s="460"/>
      <c r="AP42" s="459"/>
      <c r="AQ42" s="460"/>
      <c r="AR42" s="459"/>
      <c r="AS42" s="460"/>
      <c r="AT42" s="94"/>
    </row>
    <row r="43" spans="2:46" ht="18" customHeight="1" thickBot="1" x14ac:dyDescent="0.35">
      <c r="B43" s="454"/>
      <c r="C43" s="458">
        <f>'Plot Data'!G65</f>
        <v>13.138875575788147</v>
      </c>
      <c r="D43" s="9"/>
      <c r="E43" s="10"/>
      <c r="F43" s="11"/>
      <c r="G43" s="12"/>
      <c r="H43" s="11"/>
      <c r="I43" s="12"/>
      <c r="J43" s="11"/>
      <c r="K43" s="12"/>
      <c r="L43" s="11"/>
      <c r="M43" s="12"/>
      <c r="N43" s="11"/>
      <c r="O43" s="12"/>
      <c r="P43" s="11"/>
      <c r="Q43" s="12"/>
      <c r="R43" s="11"/>
      <c r="S43" s="12"/>
      <c r="T43" s="11"/>
      <c r="U43" s="12"/>
      <c r="V43" s="11"/>
      <c r="W43" s="12"/>
      <c r="X43" s="11"/>
      <c r="Y43" s="12"/>
      <c r="Z43" s="11"/>
      <c r="AA43" s="12"/>
      <c r="AB43" s="11"/>
      <c r="AC43" s="12"/>
      <c r="AD43" s="11"/>
      <c r="AE43" s="12"/>
      <c r="AF43" s="11"/>
      <c r="AG43" s="12"/>
      <c r="AH43" s="11"/>
      <c r="AI43" s="12"/>
      <c r="AJ43" s="11"/>
      <c r="AK43" s="12"/>
      <c r="AL43" s="11"/>
      <c r="AM43" s="12"/>
      <c r="AN43" s="11"/>
      <c r="AO43" s="12"/>
      <c r="AP43" s="11"/>
      <c r="AQ43" s="12"/>
      <c r="AR43" s="11"/>
      <c r="AS43" s="12"/>
      <c r="AT43" s="463" t="s">
        <v>46</v>
      </c>
    </row>
    <row r="44" spans="2:46" ht="18" customHeight="1" x14ac:dyDescent="0.3">
      <c r="B44" s="454"/>
      <c r="C44" s="458"/>
      <c r="D44" s="7"/>
      <c r="E44" s="8"/>
      <c r="F44" s="459"/>
      <c r="G44" s="460"/>
      <c r="H44" s="459"/>
      <c r="I44" s="460"/>
      <c r="J44" s="459"/>
      <c r="K44" s="460"/>
      <c r="L44" s="459"/>
      <c r="M44" s="460"/>
      <c r="N44" s="459"/>
      <c r="O44" s="460"/>
      <c r="P44" s="459"/>
      <c r="Q44" s="460"/>
      <c r="R44" s="459"/>
      <c r="S44" s="460"/>
      <c r="T44" s="459"/>
      <c r="U44" s="460"/>
      <c r="V44" s="459"/>
      <c r="W44" s="460"/>
      <c r="X44" s="459"/>
      <c r="Y44" s="460"/>
      <c r="Z44" s="459"/>
      <c r="AA44" s="460"/>
      <c r="AB44" s="459"/>
      <c r="AC44" s="460"/>
      <c r="AD44" s="459"/>
      <c r="AE44" s="460"/>
      <c r="AF44" s="459"/>
      <c r="AG44" s="460"/>
      <c r="AH44" s="459"/>
      <c r="AI44" s="460"/>
      <c r="AJ44" s="459"/>
      <c r="AK44" s="460"/>
      <c r="AL44" s="459"/>
      <c r="AM44" s="460"/>
      <c r="AN44" s="459"/>
      <c r="AO44" s="460"/>
      <c r="AP44" s="459"/>
      <c r="AQ44" s="460"/>
      <c r="AR44" s="459"/>
      <c r="AS44" s="460"/>
      <c r="AT44" s="464"/>
    </row>
    <row r="45" spans="2:46" ht="18" customHeight="1" x14ac:dyDescent="0.6">
      <c r="B45" s="454"/>
      <c r="C45" s="458">
        <f>C49+(C43-C49)/2</f>
        <v>12.957248315889029</v>
      </c>
      <c r="D45" s="13"/>
      <c r="E45" s="8"/>
      <c r="F45" s="459"/>
      <c r="G45" s="460"/>
      <c r="H45" s="459"/>
      <c r="I45" s="460"/>
      <c r="J45" s="459"/>
      <c r="K45" s="460"/>
      <c r="L45" s="459"/>
      <c r="M45" s="460"/>
      <c r="N45" s="459"/>
      <c r="O45" s="460"/>
      <c r="P45" s="459"/>
      <c r="Q45" s="460"/>
      <c r="R45" s="459"/>
      <c r="S45" s="460"/>
      <c r="T45" s="459"/>
      <c r="U45" s="460"/>
      <c r="V45" s="459"/>
      <c r="W45" s="460"/>
      <c r="X45" s="459"/>
      <c r="Y45" s="460"/>
      <c r="Z45" s="459"/>
      <c r="AA45" s="460"/>
      <c r="AB45" s="459"/>
      <c r="AC45" s="460"/>
      <c r="AD45" s="459"/>
      <c r="AE45" s="460"/>
      <c r="AF45" s="459"/>
      <c r="AG45" s="460"/>
      <c r="AH45" s="459"/>
      <c r="AI45" s="460"/>
      <c r="AJ45" s="459"/>
      <c r="AK45" s="460"/>
      <c r="AL45" s="459"/>
      <c r="AM45" s="460"/>
      <c r="AN45" s="459"/>
      <c r="AO45" s="460"/>
      <c r="AP45" s="459"/>
      <c r="AQ45" s="460"/>
      <c r="AR45" s="459"/>
      <c r="AS45" s="460"/>
      <c r="AT45" s="94"/>
    </row>
    <row r="46" spans="2:46" ht="18" customHeight="1" x14ac:dyDescent="0.6">
      <c r="B46" s="454"/>
      <c r="C46" s="458"/>
      <c r="D46" s="3"/>
      <c r="E46" s="8"/>
      <c r="F46" s="459"/>
      <c r="G46" s="460"/>
      <c r="H46" s="459"/>
      <c r="I46" s="460"/>
      <c r="J46" s="459"/>
      <c r="K46" s="460"/>
      <c r="L46" s="459"/>
      <c r="M46" s="460"/>
      <c r="N46" s="459"/>
      <c r="O46" s="460"/>
      <c r="P46" s="459"/>
      <c r="Q46" s="460"/>
      <c r="R46" s="459"/>
      <c r="S46" s="460"/>
      <c r="T46" s="459"/>
      <c r="U46" s="460"/>
      <c r="V46" s="459"/>
      <c r="W46" s="460"/>
      <c r="X46" s="459"/>
      <c r="Y46" s="460"/>
      <c r="Z46" s="459"/>
      <c r="AA46" s="460"/>
      <c r="AB46" s="459"/>
      <c r="AC46" s="460"/>
      <c r="AD46" s="459"/>
      <c r="AE46" s="460"/>
      <c r="AF46" s="459"/>
      <c r="AG46" s="460"/>
      <c r="AH46" s="459"/>
      <c r="AI46" s="460"/>
      <c r="AJ46" s="459"/>
      <c r="AK46" s="460"/>
      <c r="AL46" s="459"/>
      <c r="AM46" s="460"/>
      <c r="AN46" s="459"/>
      <c r="AO46" s="460"/>
      <c r="AP46" s="459"/>
      <c r="AQ46" s="460"/>
      <c r="AR46" s="459"/>
      <c r="AS46" s="460"/>
      <c r="AT46" s="94"/>
    </row>
    <row r="47" spans="2:46" ht="18" customHeight="1" x14ac:dyDescent="0.6">
      <c r="B47" s="454"/>
      <c r="C47" s="458"/>
      <c r="D47" s="3"/>
      <c r="E47" s="8"/>
      <c r="F47" s="459"/>
      <c r="G47" s="460"/>
      <c r="H47" s="459"/>
      <c r="I47" s="460"/>
      <c r="J47" s="459"/>
      <c r="K47" s="460"/>
      <c r="L47" s="459"/>
      <c r="M47" s="460"/>
      <c r="N47" s="459"/>
      <c r="O47" s="460"/>
      <c r="P47" s="459"/>
      <c r="Q47" s="460"/>
      <c r="R47" s="459"/>
      <c r="S47" s="460"/>
      <c r="T47" s="459"/>
      <c r="U47" s="460"/>
      <c r="V47" s="459"/>
      <c r="W47" s="460"/>
      <c r="X47" s="459"/>
      <c r="Y47" s="460"/>
      <c r="Z47" s="459"/>
      <c r="AA47" s="460"/>
      <c r="AB47" s="459"/>
      <c r="AC47" s="460"/>
      <c r="AD47" s="459"/>
      <c r="AE47" s="460"/>
      <c r="AF47" s="459"/>
      <c r="AG47" s="460"/>
      <c r="AH47" s="459"/>
      <c r="AI47" s="460"/>
      <c r="AJ47" s="459"/>
      <c r="AK47" s="460"/>
      <c r="AL47" s="459"/>
      <c r="AM47" s="460"/>
      <c r="AN47" s="459"/>
      <c r="AO47" s="460"/>
      <c r="AP47" s="459"/>
      <c r="AQ47" s="460"/>
      <c r="AR47" s="459"/>
      <c r="AS47" s="460"/>
      <c r="AT47" s="94"/>
    </row>
    <row r="48" spans="2:46" ht="18" customHeight="1" x14ac:dyDescent="0.6">
      <c r="B48" s="454"/>
      <c r="C48" s="458"/>
      <c r="D48" s="7"/>
      <c r="E48" s="8"/>
      <c r="F48" s="459"/>
      <c r="G48" s="460"/>
      <c r="H48" s="459"/>
      <c r="I48" s="460"/>
      <c r="J48" s="459"/>
      <c r="K48" s="460"/>
      <c r="L48" s="459"/>
      <c r="M48" s="460"/>
      <c r="N48" s="459"/>
      <c r="O48" s="460"/>
      <c r="P48" s="459"/>
      <c r="Q48" s="460"/>
      <c r="R48" s="459"/>
      <c r="S48" s="460"/>
      <c r="T48" s="459"/>
      <c r="U48" s="460"/>
      <c r="V48" s="459"/>
      <c r="W48" s="460"/>
      <c r="X48" s="459"/>
      <c r="Y48" s="460"/>
      <c r="Z48" s="459"/>
      <c r="AA48" s="460"/>
      <c r="AB48" s="459"/>
      <c r="AC48" s="460"/>
      <c r="AD48" s="459"/>
      <c r="AE48" s="460"/>
      <c r="AF48" s="459"/>
      <c r="AG48" s="460"/>
      <c r="AH48" s="459"/>
      <c r="AI48" s="460"/>
      <c r="AJ48" s="459"/>
      <c r="AK48" s="460"/>
      <c r="AL48" s="459"/>
      <c r="AM48" s="460"/>
      <c r="AN48" s="459"/>
      <c r="AO48" s="460"/>
      <c r="AP48" s="459"/>
      <c r="AQ48" s="460"/>
      <c r="AR48" s="459"/>
      <c r="AS48" s="460"/>
      <c r="AT48" s="94"/>
    </row>
    <row r="49" spans="2:46" ht="18" customHeight="1" thickBot="1" x14ac:dyDescent="0.35">
      <c r="B49" s="454"/>
      <c r="C49" s="458">
        <f>'Plot Data'!G67</f>
        <v>12.775621055989912</v>
      </c>
      <c r="D49" s="5"/>
      <c r="E49" s="6"/>
      <c r="F49" s="461"/>
      <c r="G49" s="462"/>
      <c r="H49" s="461"/>
      <c r="I49" s="462"/>
      <c r="J49" s="461"/>
      <c r="K49" s="462"/>
      <c r="L49" s="461"/>
      <c r="M49" s="462"/>
      <c r="N49" s="461"/>
      <c r="O49" s="462"/>
      <c r="P49" s="461"/>
      <c r="Q49" s="462"/>
      <c r="R49" s="461"/>
      <c r="S49" s="462"/>
      <c r="T49" s="461"/>
      <c r="U49" s="462"/>
      <c r="V49" s="461"/>
      <c r="W49" s="462"/>
      <c r="X49" s="461"/>
      <c r="Y49" s="462"/>
      <c r="Z49" s="461"/>
      <c r="AA49" s="462"/>
      <c r="AB49" s="461"/>
      <c r="AC49" s="462"/>
      <c r="AD49" s="461"/>
      <c r="AE49" s="462"/>
      <c r="AF49" s="461"/>
      <c r="AG49" s="462"/>
      <c r="AH49" s="461"/>
      <c r="AI49" s="462"/>
      <c r="AJ49" s="461"/>
      <c r="AK49" s="462"/>
      <c r="AL49" s="461"/>
      <c r="AM49" s="462"/>
      <c r="AN49" s="461"/>
      <c r="AO49" s="462"/>
      <c r="AP49" s="461"/>
      <c r="AQ49" s="462"/>
      <c r="AR49" s="461"/>
      <c r="AS49" s="462"/>
      <c r="AT49" s="463" t="s">
        <v>45</v>
      </c>
    </row>
    <row r="50" spans="2:46" ht="18" customHeight="1" thickTop="1" thickBot="1" x14ac:dyDescent="0.35">
      <c r="B50" s="455"/>
      <c r="C50" s="472"/>
      <c r="D50" s="77"/>
      <c r="E50" s="78"/>
      <c r="F50" s="473"/>
      <c r="G50" s="474"/>
      <c r="H50" s="473"/>
      <c r="I50" s="474"/>
      <c r="J50" s="473"/>
      <c r="K50" s="474"/>
      <c r="L50" s="473"/>
      <c r="M50" s="474"/>
      <c r="N50" s="473"/>
      <c r="O50" s="474"/>
      <c r="P50" s="473"/>
      <c r="Q50" s="474"/>
      <c r="R50" s="473"/>
      <c r="S50" s="474"/>
      <c r="T50" s="473"/>
      <c r="U50" s="474"/>
      <c r="V50" s="473"/>
      <c r="W50" s="474"/>
      <c r="X50" s="473"/>
      <c r="Y50" s="474"/>
      <c r="Z50" s="473"/>
      <c r="AA50" s="474"/>
      <c r="AB50" s="473"/>
      <c r="AC50" s="474"/>
      <c r="AD50" s="473"/>
      <c r="AE50" s="474"/>
      <c r="AF50" s="473"/>
      <c r="AG50" s="474"/>
      <c r="AH50" s="473"/>
      <c r="AI50" s="474"/>
      <c r="AJ50" s="473"/>
      <c r="AK50" s="474"/>
      <c r="AL50" s="473"/>
      <c r="AM50" s="474"/>
      <c r="AN50" s="473"/>
      <c r="AO50" s="474"/>
      <c r="AP50" s="473"/>
      <c r="AQ50" s="474"/>
      <c r="AR50" s="473"/>
      <c r="AS50" s="474"/>
      <c r="AT50" s="477"/>
    </row>
    <row r="51" spans="2:46" ht="30" customHeight="1" thickTop="1" thickBot="1" x14ac:dyDescent="0.35">
      <c r="B51" s="88"/>
      <c r="C51" s="95"/>
      <c r="D51" s="90"/>
      <c r="E51" s="89"/>
      <c r="F51" s="475"/>
      <c r="G51" s="476"/>
      <c r="H51" s="475"/>
      <c r="I51" s="476"/>
      <c r="J51" s="475"/>
      <c r="K51" s="476"/>
      <c r="L51" s="475"/>
      <c r="M51" s="476"/>
      <c r="N51" s="475"/>
      <c r="O51" s="476"/>
      <c r="P51" s="475"/>
      <c r="Q51" s="476"/>
      <c r="R51" s="475"/>
      <c r="S51" s="476"/>
      <c r="T51" s="475"/>
      <c r="U51" s="476"/>
      <c r="V51" s="475"/>
      <c r="W51" s="476"/>
      <c r="X51" s="475"/>
      <c r="Y51" s="476"/>
      <c r="Z51" s="475"/>
      <c r="AA51" s="476"/>
      <c r="AB51" s="475"/>
      <c r="AC51" s="476"/>
      <c r="AD51" s="475"/>
      <c r="AE51" s="476"/>
      <c r="AF51" s="475"/>
      <c r="AG51" s="476"/>
      <c r="AH51" s="475"/>
      <c r="AI51" s="476"/>
      <c r="AJ51" s="475"/>
      <c r="AK51" s="476"/>
      <c r="AL51" s="475"/>
      <c r="AM51" s="476"/>
      <c r="AN51" s="475"/>
      <c r="AO51" s="476"/>
      <c r="AP51" s="475"/>
      <c r="AQ51" s="476"/>
      <c r="AR51" s="475"/>
      <c r="AS51" s="476"/>
      <c r="AT51" s="91"/>
    </row>
    <row r="52" spans="2:46" ht="9" customHeight="1" thickTop="1" x14ac:dyDescent="0.3">
      <c r="B52" s="478" t="s">
        <v>7</v>
      </c>
      <c r="C52" s="96"/>
      <c r="D52" s="79"/>
      <c r="E52" s="74"/>
      <c r="F52" s="456"/>
      <c r="G52" s="457"/>
      <c r="H52" s="456"/>
      <c r="I52" s="457"/>
      <c r="J52" s="456"/>
      <c r="K52" s="457"/>
      <c r="L52" s="456"/>
      <c r="M52" s="457"/>
      <c r="N52" s="456"/>
      <c r="O52" s="457"/>
      <c r="P52" s="456"/>
      <c r="Q52" s="457"/>
      <c r="R52" s="456"/>
      <c r="S52" s="457"/>
      <c r="T52" s="456"/>
      <c r="U52" s="457"/>
      <c r="V52" s="456"/>
      <c r="W52" s="457"/>
      <c r="X52" s="456"/>
      <c r="Y52" s="457"/>
      <c r="Z52" s="456"/>
      <c r="AA52" s="457"/>
      <c r="AB52" s="456"/>
      <c r="AC52" s="457"/>
      <c r="AD52" s="456"/>
      <c r="AE52" s="457"/>
      <c r="AF52" s="456"/>
      <c r="AG52" s="457"/>
      <c r="AH52" s="456"/>
      <c r="AI52" s="457"/>
      <c r="AJ52" s="456"/>
      <c r="AK52" s="457"/>
      <c r="AL52" s="456"/>
      <c r="AM52" s="457"/>
      <c r="AN52" s="456"/>
      <c r="AO52" s="457"/>
      <c r="AP52" s="456"/>
      <c r="AQ52" s="457"/>
      <c r="AR52" s="456"/>
      <c r="AS52" s="457"/>
      <c r="AT52" s="75"/>
    </row>
    <row r="53" spans="2:46" ht="9" customHeight="1" x14ac:dyDescent="0.3">
      <c r="B53" s="479"/>
      <c r="C53" s="97"/>
      <c r="D53" s="13"/>
      <c r="E53" s="4"/>
      <c r="F53" s="481"/>
      <c r="G53" s="482"/>
      <c r="H53" s="481"/>
      <c r="I53" s="482"/>
      <c r="J53" s="481"/>
      <c r="K53" s="482"/>
      <c r="L53" s="481"/>
      <c r="M53" s="482"/>
      <c r="N53" s="481"/>
      <c r="O53" s="482"/>
      <c r="P53" s="481"/>
      <c r="Q53" s="482"/>
      <c r="R53" s="481"/>
      <c r="S53" s="482"/>
      <c r="T53" s="481"/>
      <c r="U53" s="482"/>
      <c r="V53" s="481"/>
      <c r="W53" s="482"/>
      <c r="X53" s="481"/>
      <c r="Y53" s="482"/>
      <c r="Z53" s="481"/>
      <c r="AA53" s="482"/>
      <c r="AB53" s="481"/>
      <c r="AC53" s="482"/>
      <c r="AD53" s="481"/>
      <c r="AE53" s="482"/>
      <c r="AF53" s="481"/>
      <c r="AG53" s="482"/>
      <c r="AH53" s="481"/>
      <c r="AI53" s="482"/>
      <c r="AJ53" s="481"/>
      <c r="AK53" s="482"/>
      <c r="AL53" s="481"/>
      <c r="AM53" s="482"/>
      <c r="AN53" s="481"/>
      <c r="AO53" s="482"/>
      <c r="AP53" s="481"/>
      <c r="AQ53" s="482"/>
      <c r="AR53" s="481"/>
      <c r="AS53" s="482"/>
      <c r="AT53" s="80"/>
    </row>
    <row r="54" spans="2:46" ht="9" customHeight="1" x14ac:dyDescent="0.3">
      <c r="B54" s="479"/>
      <c r="C54" s="97"/>
      <c r="D54" s="3"/>
      <c r="E54" s="8"/>
      <c r="F54" s="459"/>
      <c r="G54" s="460"/>
      <c r="H54" s="459"/>
      <c r="I54" s="460"/>
      <c r="J54" s="459"/>
      <c r="K54" s="460"/>
      <c r="L54" s="459"/>
      <c r="M54" s="460"/>
      <c r="N54" s="459"/>
      <c r="O54" s="460"/>
      <c r="P54" s="459"/>
      <c r="Q54" s="460"/>
      <c r="R54" s="459"/>
      <c r="S54" s="460"/>
      <c r="T54" s="459"/>
      <c r="U54" s="460"/>
      <c r="V54" s="459"/>
      <c r="W54" s="460"/>
      <c r="X54" s="459"/>
      <c r="Y54" s="460"/>
      <c r="Z54" s="459"/>
      <c r="AA54" s="460"/>
      <c r="AB54" s="459"/>
      <c r="AC54" s="460"/>
      <c r="AD54" s="459"/>
      <c r="AE54" s="460"/>
      <c r="AF54" s="459"/>
      <c r="AG54" s="460"/>
      <c r="AH54" s="459"/>
      <c r="AI54" s="460"/>
      <c r="AJ54" s="459"/>
      <c r="AK54" s="460"/>
      <c r="AL54" s="459"/>
      <c r="AM54" s="460"/>
      <c r="AN54" s="459"/>
      <c r="AO54" s="460"/>
      <c r="AP54" s="459"/>
      <c r="AQ54" s="460"/>
      <c r="AR54" s="459"/>
      <c r="AS54" s="460"/>
      <c r="AT54" s="76"/>
    </row>
    <row r="55" spans="2:46" ht="9" customHeight="1" thickBot="1" x14ac:dyDescent="0.4">
      <c r="B55" s="479"/>
      <c r="C55" s="485">
        <f>'Plot Data'!G68</f>
        <v>0.27730769230769237</v>
      </c>
      <c r="D55" s="70"/>
      <c r="E55" s="71"/>
      <c r="F55" s="483"/>
      <c r="G55" s="484"/>
      <c r="H55" s="483"/>
      <c r="I55" s="484"/>
      <c r="J55" s="483"/>
      <c r="K55" s="484"/>
      <c r="L55" s="483"/>
      <c r="M55" s="484"/>
      <c r="N55" s="483"/>
      <c r="O55" s="484"/>
      <c r="P55" s="483"/>
      <c r="Q55" s="484"/>
      <c r="R55" s="483"/>
      <c r="S55" s="484"/>
      <c r="T55" s="483"/>
      <c r="U55" s="484"/>
      <c r="V55" s="483"/>
      <c r="W55" s="484"/>
      <c r="X55" s="483"/>
      <c r="Y55" s="484"/>
      <c r="Z55" s="483"/>
      <c r="AA55" s="484"/>
      <c r="AB55" s="483"/>
      <c r="AC55" s="484"/>
      <c r="AD55" s="483"/>
      <c r="AE55" s="484"/>
      <c r="AF55" s="483"/>
      <c r="AG55" s="484"/>
      <c r="AH55" s="483"/>
      <c r="AI55" s="484"/>
      <c r="AJ55" s="483"/>
      <c r="AK55" s="484"/>
      <c r="AL55" s="483"/>
      <c r="AM55" s="484"/>
      <c r="AN55" s="483"/>
      <c r="AO55" s="484"/>
      <c r="AP55" s="483"/>
      <c r="AQ55" s="484"/>
      <c r="AR55" s="483"/>
      <c r="AS55" s="484"/>
      <c r="AT55" s="81"/>
    </row>
    <row r="56" spans="2:46" ht="9" customHeight="1" thickTop="1" x14ac:dyDescent="0.3">
      <c r="B56" s="479"/>
      <c r="C56" s="486"/>
      <c r="D56" s="19"/>
      <c r="E56" s="20"/>
      <c r="F56" s="487"/>
      <c r="G56" s="488"/>
      <c r="H56" s="487"/>
      <c r="I56" s="488"/>
      <c r="J56" s="487"/>
      <c r="K56" s="488"/>
      <c r="L56" s="487"/>
      <c r="M56" s="488"/>
      <c r="N56" s="487"/>
      <c r="O56" s="488"/>
      <c r="P56" s="487"/>
      <c r="Q56" s="488"/>
      <c r="R56" s="487"/>
      <c r="S56" s="488"/>
      <c r="T56" s="487"/>
      <c r="U56" s="488"/>
      <c r="V56" s="487"/>
      <c r="W56" s="488"/>
      <c r="X56" s="487"/>
      <c r="Y56" s="488"/>
      <c r="Z56" s="487"/>
      <c r="AA56" s="488"/>
      <c r="AB56" s="487"/>
      <c r="AC56" s="488"/>
      <c r="AD56" s="487"/>
      <c r="AE56" s="488"/>
      <c r="AF56" s="487"/>
      <c r="AG56" s="488"/>
      <c r="AH56" s="487"/>
      <c r="AI56" s="488"/>
      <c r="AJ56" s="487"/>
      <c r="AK56" s="488"/>
      <c r="AL56" s="487"/>
      <c r="AM56" s="488"/>
      <c r="AN56" s="487"/>
      <c r="AO56" s="488"/>
      <c r="AP56" s="487"/>
      <c r="AQ56" s="488"/>
      <c r="AR56" s="487"/>
      <c r="AS56" s="488"/>
      <c r="AT56" s="82"/>
    </row>
    <row r="57" spans="2:46" ht="9" customHeight="1" x14ac:dyDescent="0.3">
      <c r="B57" s="479"/>
      <c r="C57" s="458"/>
      <c r="D57" s="13"/>
      <c r="E57" s="8"/>
      <c r="F57" s="459"/>
      <c r="G57" s="460"/>
      <c r="H57" s="459"/>
      <c r="I57" s="460"/>
      <c r="J57" s="459"/>
      <c r="K57" s="460"/>
      <c r="L57" s="459"/>
      <c r="M57" s="460"/>
      <c r="N57" s="459"/>
      <c r="O57" s="460"/>
      <c r="P57" s="459"/>
      <c r="Q57" s="460"/>
      <c r="R57" s="459"/>
      <c r="S57" s="460"/>
      <c r="T57" s="459"/>
      <c r="U57" s="460"/>
      <c r="V57" s="459"/>
      <c r="W57" s="460"/>
      <c r="X57" s="459"/>
      <c r="Y57" s="460"/>
      <c r="Z57" s="459"/>
      <c r="AA57" s="460"/>
      <c r="AB57" s="459"/>
      <c r="AC57" s="460"/>
      <c r="AD57" s="459"/>
      <c r="AE57" s="460"/>
      <c r="AF57" s="459"/>
      <c r="AG57" s="460"/>
      <c r="AH57" s="459"/>
      <c r="AI57" s="460"/>
      <c r="AJ57" s="459"/>
      <c r="AK57" s="460"/>
      <c r="AL57" s="459"/>
      <c r="AM57" s="460"/>
      <c r="AN57" s="459"/>
      <c r="AO57" s="460"/>
      <c r="AP57" s="459"/>
      <c r="AQ57" s="460"/>
      <c r="AR57" s="459"/>
      <c r="AS57" s="460"/>
      <c r="AT57" s="76"/>
    </row>
    <row r="58" spans="2:46" ht="9" customHeight="1" x14ac:dyDescent="0.3">
      <c r="B58" s="479"/>
      <c r="C58" s="458"/>
      <c r="D58" s="3"/>
      <c r="E58" s="8"/>
      <c r="F58" s="459"/>
      <c r="G58" s="460"/>
      <c r="H58" s="459"/>
      <c r="I58" s="460"/>
      <c r="J58" s="459"/>
      <c r="K58" s="460"/>
      <c r="L58" s="459"/>
      <c r="M58" s="460"/>
      <c r="N58" s="459"/>
      <c r="O58" s="460"/>
      <c r="P58" s="459"/>
      <c r="Q58" s="460"/>
      <c r="R58" s="459"/>
      <c r="S58" s="460"/>
      <c r="T58" s="459"/>
      <c r="U58" s="460"/>
      <c r="V58" s="459"/>
      <c r="W58" s="460"/>
      <c r="X58" s="459"/>
      <c r="Y58" s="460"/>
      <c r="Z58" s="459"/>
      <c r="AA58" s="460"/>
      <c r="AB58" s="459"/>
      <c r="AC58" s="460"/>
      <c r="AD58" s="459"/>
      <c r="AE58" s="460"/>
      <c r="AF58" s="459"/>
      <c r="AG58" s="460"/>
      <c r="AH58" s="459"/>
      <c r="AI58" s="460"/>
      <c r="AJ58" s="459"/>
      <c r="AK58" s="460"/>
      <c r="AL58" s="459"/>
      <c r="AM58" s="460"/>
      <c r="AN58" s="459"/>
      <c r="AO58" s="460"/>
      <c r="AP58" s="459"/>
      <c r="AQ58" s="460"/>
      <c r="AR58" s="459"/>
      <c r="AS58" s="460"/>
      <c r="AT58" s="76"/>
    </row>
    <row r="59" spans="2:46" ht="9" customHeight="1" x14ac:dyDescent="0.3">
      <c r="B59" s="479"/>
      <c r="C59" s="458">
        <f>C63+(C55-C63)/2</f>
        <v>0.24264423076923081</v>
      </c>
      <c r="D59" s="13"/>
      <c r="E59" s="4"/>
      <c r="F59" s="459"/>
      <c r="G59" s="460"/>
      <c r="H59" s="459"/>
      <c r="I59" s="460"/>
      <c r="J59" s="459"/>
      <c r="K59" s="460"/>
      <c r="L59" s="459"/>
      <c r="M59" s="460"/>
      <c r="N59" s="459"/>
      <c r="O59" s="460"/>
      <c r="P59" s="459"/>
      <c r="Q59" s="460"/>
      <c r="R59" s="459"/>
      <c r="S59" s="460"/>
      <c r="T59" s="459"/>
      <c r="U59" s="460"/>
      <c r="V59" s="459"/>
      <c r="W59" s="460"/>
      <c r="X59" s="459"/>
      <c r="Y59" s="460"/>
      <c r="Z59" s="459"/>
      <c r="AA59" s="460"/>
      <c r="AB59" s="459"/>
      <c r="AC59" s="460"/>
      <c r="AD59" s="459"/>
      <c r="AE59" s="460"/>
      <c r="AF59" s="459"/>
      <c r="AG59" s="460"/>
      <c r="AH59" s="459"/>
      <c r="AI59" s="460"/>
      <c r="AJ59" s="459"/>
      <c r="AK59" s="460"/>
      <c r="AL59" s="459"/>
      <c r="AM59" s="460"/>
      <c r="AN59" s="459"/>
      <c r="AO59" s="460"/>
      <c r="AP59" s="459"/>
      <c r="AQ59" s="460"/>
      <c r="AR59" s="459"/>
      <c r="AS59" s="460"/>
      <c r="AT59" s="80"/>
    </row>
    <row r="60" spans="2:46" ht="9" customHeight="1" x14ac:dyDescent="0.3">
      <c r="B60" s="479"/>
      <c r="C60" s="458"/>
      <c r="D60" s="13"/>
      <c r="E60" s="4"/>
      <c r="F60" s="459"/>
      <c r="G60" s="460"/>
      <c r="H60" s="459"/>
      <c r="I60" s="460"/>
      <c r="J60" s="459"/>
      <c r="K60" s="460"/>
      <c r="L60" s="459"/>
      <c r="M60" s="460"/>
      <c r="N60" s="459"/>
      <c r="O60" s="460"/>
      <c r="P60" s="459"/>
      <c r="Q60" s="460"/>
      <c r="R60" s="459"/>
      <c r="S60" s="460"/>
      <c r="T60" s="459"/>
      <c r="U60" s="460"/>
      <c r="V60" s="459"/>
      <c r="W60" s="460"/>
      <c r="X60" s="459"/>
      <c r="Y60" s="460"/>
      <c r="Z60" s="459"/>
      <c r="AA60" s="460"/>
      <c r="AB60" s="459"/>
      <c r="AC60" s="460"/>
      <c r="AD60" s="459"/>
      <c r="AE60" s="460"/>
      <c r="AF60" s="459"/>
      <c r="AG60" s="460"/>
      <c r="AH60" s="459"/>
      <c r="AI60" s="460"/>
      <c r="AJ60" s="459"/>
      <c r="AK60" s="460"/>
      <c r="AL60" s="459"/>
      <c r="AM60" s="460"/>
      <c r="AN60" s="459"/>
      <c r="AO60" s="460"/>
      <c r="AP60" s="459"/>
      <c r="AQ60" s="460"/>
      <c r="AR60" s="459"/>
      <c r="AS60" s="460"/>
      <c r="AT60" s="80"/>
    </row>
    <row r="61" spans="2:46" ht="9" customHeight="1" x14ac:dyDescent="0.3">
      <c r="B61" s="479"/>
      <c r="C61" s="458"/>
      <c r="D61" s="7"/>
      <c r="E61" s="18"/>
      <c r="F61" s="489"/>
      <c r="G61" s="490"/>
      <c r="H61" s="489"/>
      <c r="I61" s="490"/>
      <c r="J61" s="489"/>
      <c r="K61" s="490"/>
      <c r="L61" s="489"/>
      <c r="M61" s="490"/>
      <c r="N61" s="489"/>
      <c r="O61" s="490"/>
      <c r="P61" s="489"/>
      <c r="Q61" s="490"/>
      <c r="R61" s="489"/>
      <c r="S61" s="490"/>
      <c r="T61" s="489"/>
      <c r="U61" s="490"/>
      <c r="V61" s="489"/>
      <c r="W61" s="490"/>
      <c r="X61" s="489"/>
      <c r="Y61" s="490"/>
      <c r="Z61" s="489"/>
      <c r="AA61" s="490"/>
      <c r="AB61" s="489"/>
      <c r="AC61" s="490"/>
      <c r="AD61" s="489"/>
      <c r="AE61" s="490"/>
      <c r="AF61" s="489"/>
      <c r="AG61" s="490"/>
      <c r="AH61" s="489"/>
      <c r="AI61" s="490"/>
      <c r="AJ61" s="489"/>
      <c r="AK61" s="490"/>
      <c r="AL61" s="489"/>
      <c r="AM61" s="490"/>
      <c r="AN61" s="489"/>
      <c r="AO61" s="490"/>
      <c r="AP61" s="489"/>
      <c r="AQ61" s="490"/>
      <c r="AR61" s="489"/>
      <c r="AS61" s="490"/>
      <c r="AT61" s="83"/>
    </row>
    <row r="62" spans="2:46" ht="9" customHeight="1" x14ac:dyDescent="0.3">
      <c r="B62" s="479"/>
      <c r="C62" s="458"/>
      <c r="D62" s="21"/>
      <c r="E62" s="22"/>
      <c r="F62" s="491"/>
      <c r="G62" s="492"/>
      <c r="H62" s="491"/>
      <c r="I62" s="492"/>
      <c r="J62" s="491"/>
      <c r="K62" s="492"/>
      <c r="L62" s="491"/>
      <c r="M62" s="492"/>
      <c r="N62" s="491"/>
      <c r="O62" s="492"/>
      <c r="P62" s="491"/>
      <c r="Q62" s="492"/>
      <c r="R62" s="491"/>
      <c r="S62" s="492"/>
      <c r="T62" s="491"/>
      <c r="U62" s="492"/>
      <c r="V62" s="491"/>
      <c r="W62" s="492"/>
      <c r="X62" s="491"/>
      <c r="Y62" s="492"/>
      <c r="Z62" s="491"/>
      <c r="AA62" s="492"/>
      <c r="AB62" s="491"/>
      <c r="AC62" s="492"/>
      <c r="AD62" s="491"/>
      <c r="AE62" s="492"/>
      <c r="AF62" s="491"/>
      <c r="AG62" s="492"/>
      <c r="AH62" s="491"/>
      <c r="AI62" s="492"/>
      <c r="AJ62" s="491"/>
      <c r="AK62" s="492"/>
      <c r="AL62" s="491"/>
      <c r="AM62" s="492"/>
      <c r="AN62" s="491"/>
      <c r="AO62" s="492"/>
      <c r="AP62" s="491"/>
      <c r="AQ62" s="492"/>
      <c r="AR62" s="491"/>
      <c r="AS62" s="492"/>
      <c r="AT62" s="84"/>
    </row>
    <row r="63" spans="2:46" ht="9" customHeight="1" x14ac:dyDescent="0.3">
      <c r="B63" s="479"/>
      <c r="C63" s="458">
        <f>C69+(C55-C69)/2</f>
        <v>0.20798076923076927</v>
      </c>
      <c r="D63" s="13"/>
      <c r="E63" s="4"/>
      <c r="F63" s="459"/>
      <c r="G63" s="460"/>
      <c r="H63" s="459"/>
      <c r="I63" s="460"/>
      <c r="J63" s="459"/>
      <c r="K63" s="460"/>
      <c r="L63" s="459"/>
      <c r="M63" s="460"/>
      <c r="N63" s="459"/>
      <c r="O63" s="460"/>
      <c r="P63" s="459"/>
      <c r="Q63" s="460"/>
      <c r="R63" s="459"/>
      <c r="S63" s="460"/>
      <c r="T63" s="459"/>
      <c r="U63" s="460"/>
      <c r="V63" s="459"/>
      <c r="W63" s="460"/>
      <c r="X63" s="459"/>
      <c r="Y63" s="460"/>
      <c r="Z63" s="459"/>
      <c r="AA63" s="460"/>
      <c r="AB63" s="459"/>
      <c r="AC63" s="460"/>
      <c r="AD63" s="459"/>
      <c r="AE63" s="460"/>
      <c r="AF63" s="459"/>
      <c r="AG63" s="460"/>
      <c r="AH63" s="459"/>
      <c r="AI63" s="460"/>
      <c r="AJ63" s="459"/>
      <c r="AK63" s="460"/>
      <c r="AL63" s="459"/>
      <c r="AM63" s="460"/>
      <c r="AN63" s="459"/>
      <c r="AO63" s="460"/>
      <c r="AP63" s="459"/>
      <c r="AQ63" s="460"/>
      <c r="AR63" s="459"/>
      <c r="AS63" s="460"/>
      <c r="AT63" s="80"/>
    </row>
    <row r="64" spans="2:46" ht="9" customHeight="1" x14ac:dyDescent="0.3">
      <c r="B64" s="479"/>
      <c r="C64" s="458"/>
      <c r="D64" s="13"/>
      <c r="E64" s="4"/>
      <c r="F64" s="459"/>
      <c r="G64" s="460"/>
      <c r="H64" s="459"/>
      <c r="I64" s="460"/>
      <c r="J64" s="459"/>
      <c r="K64" s="460"/>
      <c r="L64" s="459"/>
      <c r="M64" s="460"/>
      <c r="N64" s="459"/>
      <c r="O64" s="460"/>
      <c r="P64" s="459"/>
      <c r="Q64" s="460"/>
      <c r="R64" s="459"/>
      <c r="S64" s="460"/>
      <c r="T64" s="459"/>
      <c r="U64" s="460"/>
      <c r="V64" s="459"/>
      <c r="W64" s="460"/>
      <c r="X64" s="459"/>
      <c r="Y64" s="460"/>
      <c r="Z64" s="459"/>
      <c r="AA64" s="460"/>
      <c r="AB64" s="459"/>
      <c r="AC64" s="460"/>
      <c r="AD64" s="459"/>
      <c r="AE64" s="460"/>
      <c r="AF64" s="459"/>
      <c r="AG64" s="460"/>
      <c r="AH64" s="459"/>
      <c r="AI64" s="460"/>
      <c r="AJ64" s="459"/>
      <c r="AK64" s="460"/>
      <c r="AL64" s="459"/>
      <c r="AM64" s="460"/>
      <c r="AN64" s="459"/>
      <c r="AO64" s="460"/>
      <c r="AP64" s="459"/>
      <c r="AQ64" s="460"/>
      <c r="AR64" s="459"/>
      <c r="AS64" s="460"/>
      <c r="AT64" s="80"/>
    </row>
    <row r="65" spans="2:46" ht="9" customHeight="1" x14ac:dyDescent="0.3">
      <c r="B65" s="479"/>
      <c r="C65" s="458"/>
      <c r="D65" s="13"/>
      <c r="E65" s="4"/>
      <c r="F65" s="459"/>
      <c r="G65" s="460"/>
      <c r="H65" s="459"/>
      <c r="I65" s="460"/>
      <c r="J65" s="459"/>
      <c r="K65" s="460"/>
      <c r="L65" s="459"/>
      <c r="M65" s="460"/>
      <c r="N65" s="459"/>
      <c r="O65" s="460"/>
      <c r="P65" s="459"/>
      <c r="Q65" s="460"/>
      <c r="R65" s="459"/>
      <c r="S65" s="460"/>
      <c r="T65" s="459"/>
      <c r="U65" s="460"/>
      <c r="V65" s="459"/>
      <c r="W65" s="460"/>
      <c r="X65" s="459"/>
      <c r="Y65" s="460"/>
      <c r="Z65" s="459"/>
      <c r="AA65" s="460"/>
      <c r="AB65" s="459"/>
      <c r="AC65" s="460"/>
      <c r="AD65" s="459"/>
      <c r="AE65" s="460"/>
      <c r="AF65" s="459"/>
      <c r="AG65" s="460"/>
      <c r="AH65" s="459"/>
      <c r="AI65" s="460"/>
      <c r="AJ65" s="459"/>
      <c r="AK65" s="460"/>
      <c r="AL65" s="459"/>
      <c r="AM65" s="460"/>
      <c r="AN65" s="459"/>
      <c r="AO65" s="460"/>
      <c r="AP65" s="459"/>
      <c r="AQ65" s="460"/>
      <c r="AR65" s="459"/>
      <c r="AS65" s="460"/>
      <c r="AT65" s="80"/>
    </row>
    <row r="66" spans="2:46" ht="9" customHeight="1" x14ac:dyDescent="0.3">
      <c r="B66" s="479"/>
      <c r="C66" s="458"/>
      <c r="D66" s="13"/>
      <c r="E66" s="4"/>
      <c r="F66" s="459"/>
      <c r="G66" s="460"/>
      <c r="H66" s="459"/>
      <c r="I66" s="460"/>
      <c r="J66" s="459"/>
      <c r="K66" s="460"/>
      <c r="L66" s="459"/>
      <c r="M66" s="460"/>
      <c r="N66" s="459"/>
      <c r="O66" s="460"/>
      <c r="P66" s="459"/>
      <c r="Q66" s="460"/>
      <c r="R66" s="459"/>
      <c r="S66" s="460"/>
      <c r="T66" s="459"/>
      <c r="U66" s="460"/>
      <c r="V66" s="459"/>
      <c r="W66" s="460"/>
      <c r="X66" s="459"/>
      <c r="Y66" s="460"/>
      <c r="Z66" s="459"/>
      <c r="AA66" s="460"/>
      <c r="AB66" s="459"/>
      <c r="AC66" s="460"/>
      <c r="AD66" s="459"/>
      <c r="AE66" s="460"/>
      <c r="AF66" s="459"/>
      <c r="AG66" s="460"/>
      <c r="AH66" s="459"/>
      <c r="AI66" s="460"/>
      <c r="AJ66" s="459"/>
      <c r="AK66" s="460"/>
      <c r="AL66" s="459"/>
      <c r="AM66" s="460"/>
      <c r="AN66" s="459"/>
      <c r="AO66" s="460"/>
      <c r="AP66" s="459"/>
      <c r="AQ66" s="460"/>
      <c r="AR66" s="459"/>
      <c r="AS66" s="460"/>
      <c r="AT66" s="80"/>
    </row>
    <row r="67" spans="2:46" ht="9" customHeight="1" x14ac:dyDescent="0.3">
      <c r="B67" s="479"/>
      <c r="C67" s="458"/>
      <c r="D67" s="13"/>
      <c r="E67" s="4"/>
      <c r="F67" s="459"/>
      <c r="G67" s="460"/>
      <c r="H67" s="459"/>
      <c r="I67" s="460"/>
      <c r="J67" s="459"/>
      <c r="K67" s="460"/>
      <c r="L67" s="459"/>
      <c r="M67" s="460"/>
      <c r="N67" s="459"/>
      <c r="O67" s="460"/>
      <c r="P67" s="459"/>
      <c r="Q67" s="460"/>
      <c r="R67" s="459"/>
      <c r="S67" s="460"/>
      <c r="T67" s="459"/>
      <c r="U67" s="460"/>
      <c r="V67" s="459"/>
      <c r="W67" s="460"/>
      <c r="X67" s="459"/>
      <c r="Y67" s="460"/>
      <c r="Z67" s="459"/>
      <c r="AA67" s="460"/>
      <c r="AB67" s="459"/>
      <c r="AC67" s="460"/>
      <c r="AD67" s="459"/>
      <c r="AE67" s="460"/>
      <c r="AF67" s="459"/>
      <c r="AG67" s="460"/>
      <c r="AH67" s="459"/>
      <c r="AI67" s="460"/>
      <c r="AJ67" s="459"/>
      <c r="AK67" s="460"/>
      <c r="AL67" s="459"/>
      <c r="AM67" s="460"/>
      <c r="AN67" s="459"/>
      <c r="AO67" s="460"/>
      <c r="AP67" s="459"/>
      <c r="AQ67" s="460"/>
      <c r="AR67" s="459"/>
      <c r="AS67" s="460"/>
      <c r="AT67" s="80"/>
    </row>
    <row r="68" spans="2:46" ht="9" customHeight="1" x14ac:dyDescent="0.3">
      <c r="B68" s="479"/>
      <c r="C68" s="458"/>
      <c r="D68" s="13"/>
      <c r="E68" s="4"/>
      <c r="F68" s="459"/>
      <c r="G68" s="460"/>
      <c r="H68" s="459"/>
      <c r="I68" s="460"/>
      <c r="J68" s="459"/>
      <c r="K68" s="460"/>
      <c r="L68" s="459"/>
      <c r="M68" s="460"/>
      <c r="N68" s="459"/>
      <c r="O68" s="460"/>
      <c r="P68" s="459"/>
      <c r="Q68" s="460"/>
      <c r="R68" s="459"/>
      <c r="S68" s="460"/>
      <c r="T68" s="459"/>
      <c r="U68" s="460"/>
      <c r="V68" s="459"/>
      <c r="W68" s="460"/>
      <c r="X68" s="459"/>
      <c r="Y68" s="460"/>
      <c r="Z68" s="459"/>
      <c r="AA68" s="460"/>
      <c r="AB68" s="459"/>
      <c r="AC68" s="460"/>
      <c r="AD68" s="459"/>
      <c r="AE68" s="460"/>
      <c r="AF68" s="459"/>
      <c r="AG68" s="460"/>
      <c r="AH68" s="459"/>
      <c r="AI68" s="460"/>
      <c r="AJ68" s="459"/>
      <c r="AK68" s="460"/>
      <c r="AL68" s="459"/>
      <c r="AM68" s="460"/>
      <c r="AN68" s="459"/>
      <c r="AO68" s="460"/>
      <c r="AP68" s="459"/>
      <c r="AQ68" s="460"/>
      <c r="AR68" s="459"/>
      <c r="AS68" s="460"/>
      <c r="AT68" s="80"/>
    </row>
    <row r="69" spans="2:46" ht="9" customHeight="1" x14ac:dyDescent="0.3">
      <c r="B69" s="479"/>
      <c r="C69" s="458">
        <f>C55/2</f>
        <v>0.13865384615384618</v>
      </c>
      <c r="D69" s="13"/>
      <c r="E69" s="4"/>
      <c r="F69" s="459"/>
      <c r="G69" s="460"/>
      <c r="H69" s="459"/>
      <c r="I69" s="460"/>
      <c r="J69" s="459"/>
      <c r="K69" s="460"/>
      <c r="L69" s="459"/>
      <c r="M69" s="460"/>
      <c r="N69" s="459"/>
      <c r="O69" s="460"/>
      <c r="P69" s="459"/>
      <c r="Q69" s="460"/>
      <c r="R69" s="459"/>
      <c r="S69" s="460"/>
      <c r="T69" s="459"/>
      <c r="U69" s="460"/>
      <c r="V69" s="459"/>
      <c r="W69" s="460"/>
      <c r="X69" s="459"/>
      <c r="Y69" s="460"/>
      <c r="Z69" s="459"/>
      <c r="AA69" s="460"/>
      <c r="AB69" s="459"/>
      <c r="AC69" s="460"/>
      <c r="AD69" s="459"/>
      <c r="AE69" s="460"/>
      <c r="AF69" s="459"/>
      <c r="AG69" s="460"/>
      <c r="AH69" s="459"/>
      <c r="AI69" s="460"/>
      <c r="AJ69" s="459"/>
      <c r="AK69" s="460"/>
      <c r="AL69" s="459"/>
      <c r="AM69" s="460"/>
      <c r="AN69" s="459"/>
      <c r="AO69" s="460"/>
      <c r="AP69" s="459"/>
      <c r="AQ69" s="460"/>
      <c r="AR69" s="459"/>
      <c r="AS69" s="460"/>
      <c r="AT69" s="80"/>
    </row>
    <row r="70" spans="2:46" ht="9" customHeight="1" x14ac:dyDescent="0.3">
      <c r="B70" s="479"/>
      <c r="C70" s="458"/>
      <c r="D70" s="13"/>
      <c r="E70" s="4"/>
      <c r="F70" s="459"/>
      <c r="G70" s="460"/>
      <c r="H70" s="459"/>
      <c r="I70" s="460"/>
      <c r="J70" s="459"/>
      <c r="K70" s="460"/>
      <c r="L70" s="459"/>
      <c r="M70" s="460"/>
      <c r="N70" s="459"/>
      <c r="O70" s="460"/>
      <c r="P70" s="459"/>
      <c r="Q70" s="460"/>
      <c r="R70" s="459"/>
      <c r="S70" s="460"/>
      <c r="T70" s="459"/>
      <c r="U70" s="460"/>
      <c r="V70" s="459"/>
      <c r="W70" s="460"/>
      <c r="X70" s="459"/>
      <c r="Y70" s="460"/>
      <c r="Z70" s="459"/>
      <c r="AA70" s="460"/>
      <c r="AB70" s="459"/>
      <c r="AC70" s="460"/>
      <c r="AD70" s="459"/>
      <c r="AE70" s="460"/>
      <c r="AF70" s="459"/>
      <c r="AG70" s="460"/>
      <c r="AH70" s="459"/>
      <c r="AI70" s="460"/>
      <c r="AJ70" s="459"/>
      <c r="AK70" s="460"/>
      <c r="AL70" s="459"/>
      <c r="AM70" s="460"/>
      <c r="AN70" s="459"/>
      <c r="AO70" s="460"/>
      <c r="AP70" s="459"/>
      <c r="AQ70" s="460"/>
      <c r="AR70" s="459"/>
      <c r="AS70" s="460"/>
      <c r="AT70" s="80"/>
    </row>
    <row r="71" spans="2:46" ht="9" customHeight="1" x14ac:dyDescent="0.3">
      <c r="B71" s="479"/>
      <c r="C71" s="458"/>
      <c r="D71" s="13"/>
      <c r="E71" s="4"/>
      <c r="F71" s="459"/>
      <c r="G71" s="460"/>
      <c r="H71" s="459"/>
      <c r="I71" s="460"/>
      <c r="J71" s="459"/>
      <c r="K71" s="460"/>
      <c r="L71" s="459"/>
      <c r="M71" s="460"/>
      <c r="N71" s="459"/>
      <c r="O71" s="460"/>
      <c r="P71" s="459"/>
      <c r="Q71" s="460"/>
      <c r="R71" s="459"/>
      <c r="S71" s="460"/>
      <c r="T71" s="459"/>
      <c r="U71" s="460"/>
      <c r="V71" s="459"/>
      <c r="W71" s="460"/>
      <c r="X71" s="459"/>
      <c r="Y71" s="460"/>
      <c r="Z71" s="459"/>
      <c r="AA71" s="460"/>
      <c r="AB71" s="459"/>
      <c r="AC71" s="460"/>
      <c r="AD71" s="459"/>
      <c r="AE71" s="460"/>
      <c r="AF71" s="459"/>
      <c r="AG71" s="460"/>
      <c r="AH71" s="459"/>
      <c r="AI71" s="460"/>
      <c r="AJ71" s="459"/>
      <c r="AK71" s="460"/>
      <c r="AL71" s="459"/>
      <c r="AM71" s="460"/>
      <c r="AN71" s="459"/>
      <c r="AO71" s="460"/>
      <c r="AP71" s="459"/>
      <c r="AQ71" s="460"/>
      <c r="AR71" s="459"/>
      <c r="AS71" s="460"/>
      <c r="AT71" s="80"/>
    </row>
    <row r="72" spans="2:46" ht="9" customHeight="1" x14ac:dyDescent="0.3">
      <c r="B72" s="479"/>
      <c r="C72" s="458"/>
      <c r="D72" s="13"/>
      <c r="E72" s="4"/>
      <c r="F72" s="459"/>
      <c r="G72" s="460"/>
      <c r="H72" s="459"/>
      <c r="I72" s="460"/>
      <c r="J72" s="459"/>
      <c r="K72" s="460"/>
      <c r="L72" s="459"/>
      <c r="M72" s="460"/>
      <c r="N72" s="459"/>
      <c r="O72" s="460"/>
      <c r="P72" s="459"/>
      <c r="Q72" s="460"/>
      <c r="R72" s="459"/>
      <c r="S72" s="460"/>
      <c r="T72" s="459"/>
      <c r="U72" s="460"/>
      <c r="V72" s="459"/>
      <c r="W72" s="460"/>
      <c r="X72" s="459"/>
      <c r="Y72" s="460"/>
      <c r="Z72" s="459"/>
      <c r="AA72" s="460"/>
      <c r="AB72" s="459"/>
      <c r="AC72" s="460"/>
      <c r="AD72" s="459"/>
      <c r="AE72" s="460"/>
      <c r="AF72" s="459"/>
      <c r="AG72" s="460"/>
      <c r="AH72" s="459"/>
      <c r="AI72" s="460"/>
      <c r="AJ72" s="459"/>
      <c r="AK72" s="460"/>
      <c r="AL72" s="459"/>
      <c r="AM72" s="460"/>
      <c r="AN72" s="459"/>
      <c r="AO72" s="460"/>
      <c r="AP72" s="459"/>
      <c r="AQ72" s="460"/>
      <c r="AR72" s="459"/>
      <c r="AS72" s="460"/>
      <c r="AT72" s="80"/>
    </row>
    <row r="73" spans="2:46" ht="9" customHeight="1" x14ac:dyDescent="0.3">
      <c r="B73" s="479"/>
      <c r="C73" s="458"/>
      <c r="D73" s="13"/>
      <c r="E73" s="4"/>
      <c r="F73" s="459"/>
      <c r="G73" s="460"/>
      <c r="H73" s="459"/>
      <c r="I73" s="460"/>
      <c r="J73" s="459"/>
      <c r="K73" s="460"/>
      <c r="L73" s="459"/>
      <c r="M73" s="460"/>
      <c r="N73" s="459"/>
      <c r="O73" s="460"/>
      <c r="P73" s="459"/>
      <c r="Q73" s="460"/>
      <c r="R73" s="459"/>
      <c r="S73" s="460"/>
      <c r="T73" s="459"/>
      <c r="U73" s="460"/>
      <c r="V73" s="459"/>
      <c r="W73" s="460"/>
      <c r="X73" s="459"/>
      <c r="Y73" s="460"/>
      <c r="Z73" s="459"/>
      <c r="AA73" s="460"/>
      <c r="AB73" s="459"/>
      <c r="AC73" s="460"/>
      <c r="AD73" s="459"/>
      <c r="AE73" s="460"/>
      <c r="AF73" s="459"/>
      <c r="AG73" s="460"/>
      <c r="AH73" s="459"/>
      <c r="AI73" s="460"/>
      <c r="AJ73" s="459"/>
      <c r="AK73" s="460"/>
      <c r="AL73" s="459"/>
      <c r="AM73" s="460"/>
      <c r="AN73" s="459"/>
      <c r="AO73" s="460"/>
      <c r="AP73" s="459"/>
      <c r="AQ73" s="460"/>
      <c r="AR73" s="459"/>
      <c r="AS73" s="460"/>
      <c r="AT73" s="80"/>
    </row>
    <row r="74" spans="2:46" ht="9" customHeight="1" x14ac:dyDescent="0.3">
      <c r="B74" s="479"/>
      <c r="C74" s="458"/>
      <c r="D74" s="13"/>
      <c r="E74" s="4"/>
      <c r="F74" s="459"/>
      <c r="G74" s="460"/>
      <c r="H74" s="459"/>
      <c r="I74" s="460"/>
      <c r="J74" s="459"/>
      <c r="K74" s="460"/>
      <c r="L74" s="459"/>
      <c r="M74" s="460"/>
      <c r="N74" s="459"/>
      <c r="O74" s="460"/>
      <c r="P74" s="459"/>
      <c r="Q74" s="460"/>
      <c r="R74" s="459"/>
      <c r="S74" s="460"/>
      <c r="T74" s="459"/>
      <c r="U74" s="460"/>
      <c r="V74" s="459"/>
      <c r="W74" s="460"/>
      <c r="X74" s="459"/>
      <c r="Y74" s="460"/>
      <c r="Z74" s="459"/>
      <c r="AA74" s="460"/>
      <c r="AB74" s="459"/>
      <c r="AC74" s="460"/>
      <c r="AD74" s="459"/>
      <c r="AE74" s="460"/>
      <c r="AF74" s="459"/>
      <c r="AG74" s="460"/>
      <c r="AH74" s="459"/>
      <c r="AI74" s="460"/>
      <c r="AJ74" s="459"/>
      <c r="AK74" s="460"/>
      <c r="AL74" s="459"/>
      <c r="AM74" s="460"/>
      <c r="AN74" s="459"/>
      <c r="AO74" s="460"/>
      <c r="AP74" s="459"/>
      <c r="AQ74" s="460"/>
      <c r="AR74" s="459"/>
      <c r="AS74" s="460"/>
      <c r="AT74" s="80"/>
    </row>
    <row r="75" spans="2:46" ht="9" customHeight="1" x14ac:dyDescent="0.3">
      <c r="B75" s="479"/>
      <c r="C75" s="458"/>
      <c r="D75" s="13"/>
      <c r="E75" s="4"/>
      <c r="F75" s="459"/>
      <c r="G75" s="460"/>
      <c r="H75" s="459"/>
      <c r="I75" s="460"/>
      <c r="J75" s="459"/>
      <c r="K75" s="460"/>
      <c r="L75" s="459"/>
      <c r="M75" s="460"/>
      <c r="N75" s="459"/>
      <c r="O75" s="460"/>
      <c r="P75" s="459"/>
      <c r="Q75" s="460"/>
      <c r="R75" s="459"/>
      <c r="S75" s="460"/>
      <c r="T75" s="459"/>
      <c r="U75" s="460"/>
      <c r="V75" s="459"/>
      <c r="W75" s="460"/>
      <c r="X75" s="459"/>
      <c r="Y75" s="460"/>
      <c r="Z75" s="459"/>
      <c r="AA75" s="460"/>
      <c r="AB75" s="459"/>
      <c r="AC75" s="460"/>
      <c r="AD75" s="459"/>
      <c r="AE75" s="460"/>
      <c r="AF75" s="459"/>
      <c r="AG75" s="460"/>
      <c r="AH75" s="459"/>
      <c r="AI75" s="460"/>
      <c r="AJ75" s="459"/>
      <c r="AK75" s="460"/>
      <c r="AL75" s="459"/>
      <c r="AM75" s="460"/>
      <c r="AN75" s="459"/>
      <c r="AO75" s="460"/>
      <c r="AP75" s="459"/>
      <c r="AQ75" s="460"/>
      <c r="AR75" s="459"/>
      <c r="AS75" s="460"/>
      <c r="AT75" s="80"/>
    </row>
    <row r="76" spans="2:46" ht="9" customHeight="1" x14ac:dyDescent="0.3">
      <c r="B76" s="479"/>
      <c r="C76" s="458"/>
      <c r="D76" s="13"/>
      <c r="E76" s="4"/>
      <c r="F76" s="459"/>
      <c r="G76" s="460"/>
      <c r="H76" s="459"/>
      <c r="I76" s="460"/>
      <c r="J76" s="459"/>
      <c r="K76" s="460"/>
      <c r="L76" s="459"/>
      <c r="M76" s="460"/>
      <c r="N76" s="459"/>
      <c r="O76" s="460"/>
      <c r="P76" s="459"/>
      <c r="Q76" s="460"/>
      <c r="R76" s="459"/>
      <c r="S76" s="460"/>
      <c r="T76" s="459"/>
      <c r="U76" s="460"/>
      <c r="V76" s="459"/>
      <c r="W76" s="460"/>
      <c r="X76" s="459"/>
      <c r="Y76" s="460"/>
      <c r="Z76" s="459"/>
      <c r="AA76" s="460"/>
      <c r="AB76" s="459"/>
      <c r="AC76" s="460"/>
      <c r="AD76" s="459"/>
      <c r="AE76" s="460"/>
      <c r="AF76" s="459"/>
      <c r="AG76" s="460"/>
      <c r="AH76" s="459"/>
      <c r="AI76" s="460"/>
      <c r="AJ76" s="459"/>
      <c r="AK76" s="460"/>
      <c r="AL76" s="459"/>
      <c r="AM76" s="460"/>
      <c r="AN76" s="459"/>
      <c r="AO76" s="460"/>
      <c r="AP76" s="459"/>
      <c r="AQ76" s="460"/>
      <c r="AR76" s="459"/>
      <c r="AS76" s="460"/>
      <c r="AT76" s="80"/>
    </row>
    <row r="77" spans="2:46" ht="9" customHeight="1" x14ac:dyDescent="0.3">
      <c r="B77" s="479"/>
      <c r="C77" s="458">
        <f>C69/2</f>
        <v>6.9326923076923092E-2</v>
      </c>
      <c r="D77" s="13"/>
      <c r="E77" s="4"/>
      <c r="F77" s="459"/>
      <c r="G77" s="460"/>
      <c r="H77" s="459"/>
      <c r="I77" s="460"/>
      <c r="J77" s="459"/>
      <c r="K77" s="460"/>
      <c r="L77" s="459"/>
      <c r="M77" s="460"/>
      <c r="N77" s="459"/>
      <c r="O77" s="460"/>
      <c r="P77" s="459"/>
      <c r="Q77" s="460"/>
      <c r="R77" s="459"/>
      <c r="S77" s="460"/>
      <c r="T77" s="459"/>
      <c r="U77" s="460"/>
      <c r="V77" s="459"/>
      <c r="W77" s="460"/>
      <c r="X77" s="459"/>
      <c r="Y77" s="460"/>
      <c r="Z77" s="459"/>
      <c r="AA77" s="460"/>
      <c r="AB77" s="459"/>
      <c r="AC77" s="460"/>
      <c r="AD77" s="459"/>
      <c r="AE77" s="460"/>
      <c r="AF77" s="459"/>
      <c r="AG77" s="460"/>
      <c r="AH77" s="459"/>
      <c r="AI77" s="460"/>
      <c r="AJ77" s="459"/>
      <c r="AK77" s="460"/>
      <c r="AL77" s="459"/>
      <c r="AM77" s="460"/>
      <c r="AN77" s="459"/>
      <c r="AO77" s="460"/>
      <c r="AP77" s="459"/>
      <c r="AQ77" s="460"/>
      <c r="AR77" s="459"/>
      <c r="AS77" s="460"/>
      <c r="AT77" s="80"/>
    </row>
    <row r="78" spans="2:46" ht="9" customHeight="1" x14ac:dyDescent="0.3">
      <c r="B78" s="479"/>
      <c r="C78" s="458"/>
      <c r="D78" s="13"/>
      <c r="E78" s="4"/>
      <c r="F78" s="459"/>
      <c r="G78" s="460"/>
      <c r="H78" s="459"/>
      <c r="I78" s="460"/>
      <c r="J78" s="459"/>
      <c r="K78" s="460"/>
      <c r="L78" s="459"/>
      <c r="M78" s="460"/>
      <c r="N78" s="459"/>
      <c r="O78" s="460"/>
      <c r="P78" s="459"/>
      <c r="Q78" s="460"/>
      <c r="R78" s="459"/>
      <c r="S78" s="460"/>
      <c r="T78" s="459"/>
      <c r="U78" s="460"/>
      <c r="V78" s="459"/>
      <c r="W78" s="460"/>
      <c r="X78" s="459"/>
      <c r="Y78" s="460"/>
      <c r="Z78" s="459"/>
      <c r="AA78" s="460"/>
      <c r="AB78" s="459"/>
      <c r="AC78" s="460"/>
      <c r="AD78" s="459"/>
      <c r="AE78" s="460"/>
      <c r="AF78" s="459"/>
      <c r="AG78" s="460"/>
      <c r="AH78" s="459"/>
      <c r="AI78" s="460"/>
      <c r="AJ78" s="459"/>
      <c r="AK78" s="460"/>
      <c r="AL78" s="459"/>
      <c r="AM78" s="460"/>
      <c r="AN78" s="459"/>
      <c r="AO78" s="460"/>
      <c r="AP78" s="459"/>
      <c r="AQ78" s="460"/>
      <c r="AR78" s="459"/>
      <c r="AS78" s="460"/>
      <c r="AT78" s="80"/>
    </row>
    <row r="79" spans="2:46" ht="9" customHeight="1" x14ac:dyDescent="0.3">
      <c r="B79" s="479"/>
      <c r="C79" s="458"/>
      <c r="D79" s="13"/>
      <c r="E79" s="4"/>
      <c r="F79" s="459"/>
      <c r="G79" s="460"/>
      <c r="H79" s="459"/>
      <c r="I79" s="460"/>
      <c r="J79" s="459"/>
      <c r="K79" s="460"/>
      <c r="L79" s="459"/>
      <c r="M79" s="460"/>
      <c r="N79" s="459"/>
      <c r="O79" s="460"/>
      <c r="P79" s="459"/>
      <c r="Q79" s="460"/>
      <c r="R79" s="459"/>
      <c r="S79" s="460"/>
      <c r="T79" s="459"/>
      <c r="U79" s="460"/>
      <c r="V79" s="459"/>
      <c r="W79" s="460"/>
      <c r="X79" s="459"/>
      <c r="Y79" s="460"/>
      <c r="Z79" s="459"/>
      <c r="AA79" s="460"/>
      <c r="AB79" s="459"/>
      <c r="AC79" s="460"/>
      <c r="AD79" s="459"/>
      <c r="AE79" s="460"/>
      <c r="AF79" s="459"/>
      <c r="AG79" s="460"/>
      <c r="AH79" s="459"/>
      <c r="AI79" s="460"/>
      <c r="AJ79" s="459"/>
      <c r="AK79" s="460"/>
      <c r="AL79" s="459"/>
      <c r="AM79" s="460"/>
      <c r="AN79" s="459"/>
      <c r="AO79" s="460"/>
      <c r="AP79" s="459"/>
      <c r="AQ79" s="460"/>
      <c r="AR79" s="459"/>
      <c r="AS79" s="460"/>
      <c r="AT79" s="80"/>
    </row>
    <row r="80" spans="2:46" ht="9" customHeight="1" x14ac:dyDescent="0.3">
      <c r="B80" s="479"/>
      <c r="C80" s="458"/>
      <c r="D80" s="13"/>
      <c r="E80" s="4"/>
      <c r="F80" s="459"/>
      <c r="G80" s="460"/>
      <c r="H80" s="459"/>
      <c r="I80" s="460"/>
      <c r="J80" s="459"/>
      <c r="K80" s="460"/>
      <c r="L80" s="459"/>
      <c r="M80" s="460"/>
      <c r="N80" s="459"/>
      <c r="O80" s="460"/>
      <c r="P80" s="459"/>
      <c r="Q80" s="460"/>
      <c r="R80" s="459"/>
      <c r="S80" s="460"/>
      <c r="T80" s="459"/>
      <c r="U80" s="460"/>
      <c r="V80" s="459"/>
      <c r="W80" s="460"/>
      <c r="X80" s="459"/>
      <c r="Y80" s="460"/>
      <c r="Z80" s="459"/>
      <c r="AA80" s="460"/>
      <c r="AB80" s="459"/>
      <c r="AC80" s="460"/>
      <c r="AD80" s="459"/>
      <c r="AE80" s="460"/>
      <c r="AF80" s="459"/>
      <c r="AG80" s="460"/>
      <c r="AH80" s="459"/>
      <c r="AI80" s="460"/>
      <c r="AJ80" s="459"/>
      <c r="AK80" s="460"/>
      <c r="AL80" s="459"/>
      <c r="AM80" s="460"/>
      <c r="AN80" s="459"/>
      <c r="AO80" s="460"/>
      <c r="AP80" s="459"/>
      <c r="AQ80" s="460"/>
      <c r="AR80" s="459"/>
      <c r="AS80" s="460"/>
      <c r="AT80" s="80"/>
    </row>
    <row r="81" spans="2:46" ht="9" customHeight="1" x14ac:dyDescent="0.3">
      <c r="B81" s="479"/>
      <c r="C81" s="458">
        <f>C77/2</f>
        <v>3.4663461538461546E-2</v>
      </c>
      <c r="D81" s="13"/>
      <c r="E81" s="4"/>
      <c r="F81" s="459"/>
      <c r="G81" s="460"/>
      <c r="H81" s="459"/>
      <c r="I81" s="460"/>
      <c r="J81" s="459"/>
      <c r="K81" s="460"/>
      <c r="L81" s="459"/>
      <c r="M81" s="460"/>
      <c r="N81" s="459"/>
      <c r="O81" s="460"/>
      <c r="P81" s="459"/>
      <c r="Q81" s="460"/>
      <c r="R81" s="459"/>
      <c r="S81" s="460"/>
      <c r="T81" s="459"/>
      <c r="U81" s="460"/>
      <c r="V81" s="459"/>
      <c r="W81" s="460"/>
      <c r="X81" s="459"/>
      <c r="Y81" s="460"/>
      <c r="Z81" s="459"/>
      <c r="AA81" s="460"/>
      <c r="AB81" s="459"/>
      <c r="AC81" s="460"/>
      <c r="AD81" s="459"/>
      <c r="AE81" s="460"/>
      <c r="AF81" s="459"/>
      <c r="AG81" s="460"/>
      <c r="AH81" s="459"/>
      <c r="AI81" s="460"/>
      <c r="AJ81" s="459"/>
      <c r="AK81" s="460"/>
      <c r="AL81" s="459"/>
      <c r="AM81" s="460"/>
      <c r="AN81" s="459"/>
      <c r="AO81" s="460"/>
      <c r="AP81" s="459"/>
      <c r="AQ81" s="460"/>
      <c r="AR81" s="459"/>
      <c r="AS81" s="460"/>
      <c r="AT81" s="80"/>
    </row>
    <row r="82" spans="2:46" ht="9" customHeight="1" x14ac:dyDescent="0.3">
      <c r="B82" s="479"/>
      <c r="C82" s="458"/>
      <c r="D82" s="13"/>
      <c r="E82" s="4"/>
      <c r="F82" s="459"/>
      <c r="G82" s="460"/>
      <c r="H82" s="459"/>
      <c r="I82" s="460"/>
      <c r="J82" s="459"/>
      <c r="K82" s="460"/>
      <c r="L82" s="459"/>
      <c r="M82" s="460"/>
      <c r="N82" s="459"/>
      <c r="O82" s="460"/>
      <c r="P82" s="459"/>
      <c r="Q82" s="460"/>
      <c r="R82" s="459"/>
      <c r="S82" s="460"/>
      <c r="T82" s="459"/>
      <c r="U82" s="460"/>
      <c r="V82" s="459"/>
      <c r="W82" s="460"/>
      <c r="X82" s="459"/>
      <c r="Y82" s="460"/>
      <c r="Z82" s="459"/>
      <c r="AA82" s="460"/>
      <c r="AB82" s="459"/>
      <c r="AC82" s="460"/>
      <c r="AD82" s="459"/>
      <c r="AE82" s="460"/>
      <c r="AF82" s="459"/>
      <c r="AG82" s="460"/>
      <c r="AH82" s="459"/>
      <c r="AI82" s="460"/>
      <c r="AJ82" s="459"/>
      <c r="AK82" s="460"/>
      <c r="AL82" s="459"/>
      <c r="AM82" s="460"/>
      <c r="AN82" s="459"/>
      <c r="AO82" s="460"/>
      <c r="AP82" s="459"/>
      <c r="AQ82" s="460"/>
      <c r="AR82" s="459"/>
      <c r="AS82" s="460"/>
      <c r="AT82" s="80"/>
    </row>
    <row r="83" spans="2:46" ht="9" customHeight="1" x14ac:dyDescent="0.3">
      <c r="B83" s="479"/>
      <c r="C83" s="499"/>
      <c r="D83" s="3"/>
      <c r="E83" s="8"/>
      <c r="F83" s="459"/>
      <c r="G83" s="460"/>
      <c r="H83" s="459"/>
      <c r="I83" s="460"/>
      <c r="J83" s="459"/>
      <c r="K83" s="460"/>
      <c r="L83" s="459"/>
      <c r="M83" s="460"/>
      <c r="N83" s="459"/>
      <c r="O83" s="460"/>
      <c r="P83" s="459"/>
      <c r="Q83" s="460"/>
      <c r="R83" s="459"/>
      <c r="S83" s="460"/>
      <c r="T83" s="459"/>
      <c r="U83" s="460"/>
      <c r="V83" s="459"/>
      <c r="W83" s="460"/>
      <c r="X83" s="459"/>
      <c r="Y83" s="460"/>
      <c r="Z83" s="459"/>
      <c r="AA83" s="460"/>
      <c r="AB83" s="459"/>
      <c r="AC83" s="460"/>
      <c r="AD83" s="459"/>
      <c r="AE83" s="460"/>
      <c r="AF83" s="459"/>
      <c r="AG83" s="460"/>
      <c r="AH83" s="459"/>
      <c r="AI83" s="460"/>
      <c r="AJ83" s="459"/>
      <c r="AK83" s="460"/>
      <c r="AL83" s="459"/>
      <c r="AM83" s="460"/>
      <c r="AN83" s="459"/>
      <c r="AO83" s="460"/>
      <c r="AP83" s="459"/>
      <c r="AQ83" s="460"/>
      <c r="AR83" s="459"/>
      <c r="AS83" s="460"/>
      <c r="AT83" s="76"/>
    </row>
    <row r="84" spans="2:46" ht="9" customHeight="1" thickBot="1" x14ac:dyDescent="0.35">
      <c r="B84" s="480"/>
      <c r="C84" s="500"/>
      <c r="D84" s="85"/>
      <c r="E84" s="86"/>
      <c r="F84" s="494"/>
      <c r="G84" s="495"/>
      <c r="H84" s="494"/>
      <c r="I84" s="495"/>
      <c r="J84" s="494"/>
      <c r="K84" s="495"/>
      <c r="L84" s="494"/>
      <c r="M84" s="495"/>
      <c r="N84" s="494"/>
      <c r="O84" s="495"/>
      <c r="P84" s="494"/>
      <c r="Q84" s="495"/>
      <c r="R84" s="494"/>
      <c r="S84" s="495"/>
      <c r="T84" s="494"/>
      <c r="U84" s="495"/>
      <c r="V84" s="494"/>
      <c r="W84" s="495"/>
      <c r="X84" s="494"/>
      <c r="Y84" s="495"/>
      <c r="Z84" s="494"/>
      <c r="AA84" s="495"/>
      <c r="AB84" s="494"/>
      <c r="AC84" s="495"/>
      <c r="AD84" s="494"/>
      <c r="AE84" s="495"/>
      <c r="AF84" s="494"/>
      <c r="AG84" s="495"/>
      <c r="AH84" s="494"/>
      <c r="AI84" s="495"/>
      <c r="AJ84" s="494"/>
      <c r="AK84" s="495"/>
      <c r="AL84" s="494"/>
      <c r="AM84" s="495"/>
      <c r="AN84" s="494"/>
      <c r="AO84" s="495"/>
      <c r="AP84" s="494"/>
      <c r="AQ84" s="495"/>
      <c r="AR84" s="494"/>
      <c r="AS84" s="495"/>
      <c r="AT84" s="87"/>
    </row>
    <row r="85" spans="2:46" s="48" customFormat="1" ht="26.4" thickTop="1" x14ac:dyDescent="0.5">
      <c r="E85" s="493">
        <v>1</v>
      </c>
      <c r="F85" s="493"/>
      <c r="G85" s="493">
        <v>2</v>
      </c>
      <c r="H85" s="493"/>
      <c r="I85" s="493">
        <v>3</v>
      </c>
      <c r="J85" s="493"/>
      <c r="K85" s="493">
        <v>4</v>
      </c>
      <c r="L85" s="493"/>
      <c r="M85" s="493">
        <v>5</v>
      </c>
      <c r="N85" s="493"/>
      <c r="O85" s="493">
        <v>6</v>
      </c>
      <c r="P85" s="493"/>
      <c r="Q85" s="493">
        <v>7</v>
      </c>
      <c r="R85" s="493"/>
      <c r="S85" s="493">
        <v>8</v>
      </c>
      <c r="T85" s="493"/>
      <c r="U85" s="493">
        <v>9</v>
      </c>
      <c r="V85" s="493"/>
      <c r="W85" s="493">
        <v>10</v>
      </c>
      <c r="X85" s="493"/>
      <c r="Y85" s="493">
        <v>11</v>
      </c>
      <c r="Z85" s="493"/>
      <c r="AA85" s="493">
        <v>12</v>
      </c>
      <c r="AB85" s="493"/>
      <c r="AC85" s="493">
        <v>13</v>
      </c>
      <c r="AD85" s="493"/>
      <c r="AE85" s="493">
        <v>14</v>
      </c>
      <c r="AF85" s="493"/>
      <c r="AG85" s="493">
        <v>15</v>
      </c>
      <c r="AH85" s="493"/>
      <c r="AI85" s="493">
        <v>16</v>
      </c>
      <c r="AJ85" s="493"/>
      <c r="AK85" s="493">
        <v>17</v>
      </c>
      <c r="AL85" s="493"/>
      <c r="AM85" s="493">
        <v>18</v>
      </c>
      <c r="AN85" s="493"/>
      <c r="AO85" s="493">
        <v>19</v>
      </c>
      <c r="AP85" s="493"/>
      <c r="AQ85" s="493">
        <v>20</v>
      </c>
      <c r="AR85" s="493"/>
      <c r="AS85" s="493">
        <v>21</v>
      </c>
      <c r="AT85" s="493"/>
    </row>
    <row r="86" spans="2:46" s="47" customFormat="1" ht="29.4" thickBot="1" x14ac:dyDescent="0.55000000000000004">
      <c r="B86" s="99" t="s">
        <v>91</v>
      </c>
      <c r="C86" s="99"/>
      <c r="D86" s="99"/>
      <c r="E86" s="99"/>
      <c r="F86" s="99"/>
      <c r="G86" s="99"/>
      <c r="H86" s="99" t="s">
        <v>88</v>
      </c>
      <c r="I86" s="99"/>
      <c r="J86" s="99"/>
      <c r="K86" s="99"/>
      <c r="L86" s="99"/>
      <c r="M86" s="99"/>
      <c r="N86" s="99"/>
      <c r="O86" s="99"/>
      <c r="P86" s="99"/>
      <c r="Q86" s="99"/>
      <c r="R86" s="99"/>
      <c r="S86" s="99"/>
      <c r="T86" s="99"/>
      <c r="U86" s="99"/>
      <c r="V86" s="99"/>
      <c r="W86" s="99"/>
      <c r="X86" s="99"/>
      <c r="Y86" s="99"/>
      <c r="Z86" s="99"/>
      <c r="AA86" s="99"/>
      <c r="AB86" s="100" t="s">
        <v>8</v>
      </c>
      <c r="AC86" s="99"/>
      <c r="AD86" s="496" t="s">
        <v>9</v>
      </c>
      <c r="AE86" s="496"/>
      <c r="AF86" s="496"/>
      <c r="AG86" s="496"/>
      <c r="AH86" s="99"/>
      <c r="AI86" s="99"/>
      <c r="AJ86" s="497" t="s">
        <v>10</v>
      </c>
      <c r="AK86" s="497"/>
      <c r="AL86" s="497"/>
      <c r="AM86" s="497"/>
      <c r="AN86" s="99"/>
      <c r="AO86" s="99"/>
      <c r="AP86" s="498" t="s">
        <v>11</v>
      </c>
      <c r="AQ86" s="498"/>
      <c r="AR86" s="498"/>
      <c r="AS86" s="498"/>
    </row>
    <row r="87" spans="2:46" s="48" customFormat="1" ht="25.8" x14ac:dyDescent="0.5"/>
    <row r="88" spans="2:46" s="48" customFormat="1" ht="25.8" x14ac:dyDescent="0.5"/>
    <row r="89" spans="2:46" x14ac:dyDescent="0.3">
      <c r="B89" s="23"/>
    </row>
  </sheetData>
  <sheetProtection password="B7E1" sheet="1" objects="1" scenarios="1"/>
  <mergeCells count="1614">
    <mergeCell ref="C55:C56"/>
    <mergeCell ref="B52:B84"/>
    <mergeCell ref="AC2:AJ2"/>
    <mergeCell ref="L4:AC4"/>
    <mergeCell ref="AK4:AT4"/>
    <mergeCell ref="AK2:AT2"/>
    <mergeCell ref="AT19:AT20"/>
    <mergeCell ref="AT13:AT14"/>
    <mergeCell ref="AT31:AT32"/>
    <mergeCell ref="AT43:AT44"/>
    <mergeCell ref="AT49:AT50"/>
    <mergeCell ref="AS85:AT85"/>
    <mergeCell ref="AD86:AG86"/>
    <mergeCell ref="AJ86:AM86"/>
    <mergeCell ref="AP86:AS86"/>
    <mergeCell ref="AG85:AH85"/>
    <mergeCell ref="AI85:AJ85"/>
    <mergeCell ref="AK85:AL85"/>
    <mergeCell ref="AM85:AN85"/>
    <mergeCell ref="AO85:AP85"/>
    <mergeCell ref="AQ85:AR85"/>
    <mergeCell ref="U85:V85"/>
    <mergeCell ref="W85:X85"/>
    <mergeCell ref="Y85:Z85"/>
    <mergeCell ref="AA85:AB85"/>
    <mergeCell ref="AC85:AD85"/>
    <mergeCell ref="AE85:AF85"/>
    <mergeCell ref="AP84:AQ84"/>
    <mergeCell ref="AR84:AS84"/>
    <mergeCell ref="E85:F85"/>
    <mergeCell ref="G85:H85"/>
    <mergeCell ref="I85:J85"/>
    <mergeCell ref="K85:L85"/>
    <mergeCell ref="M85:N85"/>
    <mergeCell ref="O85:P85"/>
    <mergeCell ref="Q85:R85"/>
    <mergeCell ref="S85:T85"/>
    <mergeCell ref="AD84:AE84"/>
    <mergeCell ref="AF84:AG84"/>
    <mergeCell ref="AH84:AI84"/>
    <mergeCell ref="AJ84:AK84"/>
    <mergeCell ref="AL84:AM84"/>
    <mergeCell ref="AN84:AO84"/>
    <mergeCell ref="R84:S84"/>
    <mergeCell ref="T84:U84"/>
    <mergeCell ref="V84:W84"/>
    <mergeCell ref="X84:Y84"/>
    <mergeCell ref="Z84:AA84"/>
    <mergeCell ref="AB84:AC84"/>
    <mergeCell ref="F84:G84"/>
    <mergeCell ref="H84:I84"/>
    <mergeCell ref="J84:K84"/>
    <mergeCell ref="L84:M84"/>
    <mergeCell ref="N84:O84"/>
    <mergeCell ref="P84:Q84"/>
    <mergeCell ref="Z83:AA83"/>
    <mergeCell ref="AB83:AC83"/>
    <mergeCell ref="AD83:AE83"/>
    <mergeCell ref="AF83:AG83"/>
    <mergeCell ref="AH83:AI83"/>
    <mergeCell ref="AJ83:AK83"/>
    <mergeCell ref="N83:O83"/>
    <mergeCell ref="P83:Q83"/>
    <mergeCell ref="R83:S83"/>
    <mergeCell ref="T83:U83"/>
    <mergeCell ref="V83:W83"/>
    <mergeCell ref="X83:Y83"/>
    <mergeCell ref="AR82:AS82"/>
    <mergeCell ref="C83:C84"/>
    <mergeCell ref="F83:G83"/>
    <mergeCell ref="H83:I83"/>
    <mergeCell ref="J83:K83"/>
    <mergeCell ref="L83:M83"/>
    <mergeCell ref="X82:Y82"/>
    <mergeCell ref="Z82:AA82"/>
    <mergeCell ref="AB82:AC82"/>
    <mergeCell ref="AD82:AE82"/>
    <mergeCell ref="AF82:AG82"/>
    <mergeCell ref="AH82:AI82"/>
    <mergeCell ref="AR81:AS81"/>
    <mergeCell ref="F82:G82"/>
    <mergeCell ref="H82:I82"/>
    <mergeCell ref="J82:K82"/>
    <mergeCell ref="L82:M82"/>
    <mergeCell ref="N82:O82"/>
    <mergeCell ref="P82:Q82"/>
    <mergeCell ref="R82:S82"/>
    <mergeCell ref="T82:U82"/>
    <mergeCell ref="V82:W82"/>
    <mergeCell ref="AF81:AG81"/>
    <mergeCell ref="AH81:AI81"/>
    <mergeCell ref="AJ81:AK81"/>
    <mergeCell ref="AL81:AM81"/>
    <mergeCell ref="AN81:AO81"/>
    <mergeCell ref="AP81:AQ81"/>
    <mergeCell ref="AL83:AM83"/>
    <mergeCell ref="AN83:AO83"/>
    <mergeCell ref="AP83:AQ83"/>
    <mergeCell ref="AR83:AS83"/>
    <mergeCell ref="T81:U81"/>
    <mergeCell ref="V81:W81"/>
    <mergeCell ref="X81:Y81"/>
    <mergeCell ref="Z81:AA81"/>
    <mergeCell ref="AB81:AC81"/>
    <mergeCell ref="AD81:AE81"/>
    <mergeCell ref="AP80:AQ80"/>
    <mergeCell ref="AR80:AS80"/>
    <mergeCell ref="C81:C82"/>
    <mergeCell ref="F81:G81"/>
    <mergeCell ref="H81:I81"/>
    <mergeCell ref="J81:K81"/>
    <mergeCell ref="L81:M81"/>
    <mergeCell ref="N81:O81"/>
    <mergeCell ref="P81:Q81"/>
    <mergeCell ref="R81:S81"/>
    <mergeCell ref="AD80:AE80"/>
    <mergeCell ref="AF80:AG80"/>
    <mergeCell ref="AH80:AI80"/>
    <mergeCell ref="AJ80:AK80"/>
    <mergeCell ref="AL80:AM80"/>
    <mergeCell ref="AN80:AO80"/>
    <mergeCell ref="R80:S80"/>
    <mergeCell ref="T80:U80"/>
    <mergeCell ref="V80:W80"/>
    <mergeCell ref="X80:Y80"/>
    <mergeCell ref="Z80:AA80"/>
    <mergeCell ref="AB80:AC80"/>
    <mergeCell ref="AJ82:AK82"/>
    <mergeCell ref="AL82:AM82"/>
    <mergeCell ref="AN82:AO82"/>
    <mergeCell ref="AP82:AQ82"/>
    <mergeCell ref="F80:G80"/>
    <mergeCell ref="H80:I80"/>
    <mergeCell ref="J80:K80"/>
    <mergeCell ref="L80:M80"/>
    <mergeCell ref="N80:O80"/>
    <mergeCell ref="P80:Q80"/>
    <mergeCell ref="Z79:AA79"/>
    <mergeCell ref="AB79:AC79"/>
    <mergeCell ref="AD79:AE79"/>
    <mergeCell ref="AF79:AG79"/>
    <mergeCell ref="AH79:AI79"/>
    <mergeCell ref="AJ79:AK79"/>
    <mergeCell ref="N79:O79"/>
    <mergeCell ref="P79:Q79"/>
    <mergeCell ref="R79:S79"/>
    <mergeCell ref="T79:U79"/>
    <mergeCell ref="V79:W79"/>
    <mergeCell ref="X79:Y79"/>
    <mergeCell ref="AR78:AS78"/>
    <mergeCell ref="C79:C80"/>
    <mergeCell ref="F79:G79"/>
    <mergeCell ref="H79:I79"/>
    <mergeCell ref="J79:K79"/>
    <mergeCell ref="L79:M79"/>
    <mergeCell ref="X78:Y78"/>
    <mergeCell ref="Z78:AA78"/>
    <mergeCell ref="AB78:AC78"/>
    <mergeCell ref="AD78:AE78"/>
    <mergeCell ref="AF78:AG78"/>
    <mergeCell ref="AH78:AI78"/>
    <mergeCell ref="AR77:AS77"/>
    <mergeCell ref="F78:G78"/>
    <mergeCell ref="H78:I78"/>
    <mergeCell ref="J78:K78"/>
    <mergeCell ref="L78:M78"/>
    <mergeCell ref="N78:O78"/>
    <mergeCell ref="P78:Q78"/>
    <mergeCell ref="R78:S78"/>
    <mergeCell ref="T78:U78"/>
    <mergeCell ref="V78:W78"/>
    <mergeCell ref="AF77:AG77"/>
    <mergeCell ref="AH77:AI77"/>
    <mergeCell ref="AJ77:AK77"/>
    <mergeCell ref="AL77:AM77"/>
    <mergeCell ref="AN77:AO77"/>
    <mergeCell ref="AP77:AQ77"/>
    <mergeCell ref="AL79:AM79"/>
    <mergeCell ref="AN79:AO79"/>
    <mergeCell ref="AP79:AQ79"/>
    <mergeCell ref="AR79:AS79"/>
    <mergeCell ref="T77:U77"/>
    <mergeCell ref="V77:W77"/>
    <mergeCell ref="X77:Y77"/>
    <mergeCell ref="Z77:AA77"/>
    <mergeCell ref="AB77:AC77"/>
    <mergeCell ref="AD77:AE77"/>
    <mergeCell ref="AP76:AQ76"/>
    <mergeCell ref="AR76:AS76"/>
    <mergeCell ref="C77:C78"/>
    <mergeCell ref="F77:G77"/>
    <mergeCell ref="H77:I77"/>
    <mergeCell ref="J77:K77"/>
    <mergeCell ref="L77:M77"/>
    <mergeCell ref="N77:O77"/>
    <mergeCell ref="P77:Q77"/>
    <mergeCell ref="R77:S77"/>
    <mergeCell ref="AD76:AE76"/>
    <mergeCell ref="AF76:AG76"/>
    <mergeCell ref="AH76:AI76"/>
    <mergeCell ref="AJ76:AK76"/>
    <mergeCell ref="AL76:AM76"/>
    <mergeCell ref="AN76:AO76"/>
    <mergeCell ref="R76:S76"/>
    <mergeCell ref="T76:U76"/>
    <mergeCell ref="V76:W76"/>
    <mergeCell ref="X76:Y76"/>
    <mergeCell ref="Z76:AA76"/>
    <mergeCell ref="AB76:AC76"/>
    <mergeCell ref="AJ78:AK78"/>
    <mergeCell ref="AL78:AM78"/>
    <mergeCell ref="AN78:AO78"/>
    <mergeCell ref="AP78:AQ78"/>
    <mergeCell ref="AL75:AM75"/>
    <mergeCell ref="AN75:AO75"/>
    <mergeCell ref="AP75:AQ75"/>
    <mergeCell ref="AR75:AS75"/>
    <mergeCell ref="F76:G76"/>
    <mergeCell ref="H76:I76"/>
    <mergeCell ref="J76:K76"/>
    <mergeCell ref="L76:M76"/>
    <mergeCell ref="N76:O76"/>
    <mergeCell ref="P76:Q76"/>
    <mergeCell ref="Z75:AA75"/>
    <mergeCell ref="AB75:AC75"/>
    <mergeCell ref="AD75:AE75"/>
    <mergeCell ref="AF75:AG75"/>
    <mergeCell ref="AH75:AI75"/>
    <mergeCell ref="AJ75:AK75"/>
    <mergeCell ref="N75:O75"/>
    <mergeCell ref="P75:Q75"/>
    <mergeCell ref="R75:S75"/>
    <mergeCell ref="T75:U75"/>
    <mergeCell ref="V75:W75"/>
    <mergeCell ref="X75:Y75"/>
    <mergeCell ref="AJ74:AK74"/>
    <mergeCell ref="AL74:AM74"/>
    <mergeCell ref="AN74:AO74"/>
    <mergeCell ref="AP74:AQ74"/>
    <mergeCell ref="AR74:AS74"/>
    <mergeCell ref="C75:C76"/>
    <mergeCell ref="F75:G75"/>
    <mergeCell ref="H75:I75"/>
    <mergeCell ref="J75:K75"/>
    <mergeCell ref="L75:M75"/>
    <mergeCell ref="X74:Y74"/>
    <mergeCell ref="Z74:AA74"/>
    <mergeCell ref="AB74:AC74"/>
    <mergeCell ref="AD74:AE74"/>
    <mergeCell ref="AF74:AG74"/>
    <mergeCell ref="AH74:AI74"/>
    <mergeCell ref="AR73:AS73"/>
    <mergeCell ref="F74:G74"/>
    <mergeCell ref="H74:I74"/>
    <mergeCell ref="J74:K74"/>
    <mergeCell ref="L74:M74"/>
    <mergeCell ref="N74:O74"/>
    <mergeCell ref="P74:Q74"/>
    <mergeCell ref="R74:S74"/>
    <mergeCell ref="T74:U74"/>
    <mergeCell ref="V74:W74"/>
    <mergeCell ref="AF73:AG73"/>
    <mergeCell ref="AH73:AI73"/>
    <mergeCell ref="AJ73:AK73"/>
    <mergeCell ref="AL73:AM73"/>
    <mergeCell ref="AN73:AO73"/>
    <mergeCell ref="AP73:AQ73"/>
    <mergeCell ref="T73:U73"/>
    <mergeCell ref="V73:W73"/>
    <mergeCell ref="X73:Y73"/>
    <mergeCell ref="Z73:AA73"/>
    <mergeCell ref="AB73:AC73"/>
    <mergeCell ref="AD73:AE73"/>
    <mergeCell ref="AP72:AQ72"/>
    <mergeCell ref="AR72:AS72"/>
    <mergeCell ref="C73:C74"/>
    <mergeCell ref="F73:G73"/>
    <mergeCell ref="H73:I73"/>
    <mergeCell ref="J73:K73"/>
    <mergeCell ref="L73:M73"/>
    <mergeCell ref="N73:O73"/>
    <mergeCell ref="P73:Q73"/>
    <mergeCell ref="R73:S73"/>
    <mergeCell ref="AD72:AE72"/>
    <mergeCell ref="AF72:AG72"/>
    <mergeCell ref="AH72:AI72"/>
    <mergeCell ref="AJ72:AK72"/>
    <mergeCell ref="AL72:AM72"/>
    <mergeCell ref="AN72:AO72"/>
    <mergeCell ref="R72:S72"/>
    <mergeCell ref="T72:U72"/>
    <mergeCell ref="V72:W72"/>
    <mergeCell ref="X72:Y72"/>
    <mergeCell ref="Z72:AA72"/>
    <mergeCell ref="AB72:AC72"/>
    <mergeCell ref="F72:G72"/>
    <mergeCell ref="H72:I72"/>
    <mergeCell ref="J72:K72"/>
    <mergeCell ref="L72:M72"/>
    <mergeCell ref="N72:O72"/>
    <mergeCell ref="P72:Q72"/>
    <mergeCell ref="AH71:AI71"/>
    <mergeCell ref="AJ71:AK71"/>
    <mergeCell ref="AL71:AM71"/>
    <mergeCell ref="AN71:AO71"/>
    <mergeCell ref="AP71:AQ71"/>
    <mergeCell ref="AR71:AS71"/>
    <mergeCell ref="V71:W71"/>
    <mergeCell ref="X71:Y71"/>
    <mergeCell ref="Z71:AA71"/>
    <mergeCell ref="AB71:AC71"/>
    <mergeCell ref="AD71:AE71"/>
    <mergeCell ref="AF71:AG71"/>
    <mergeCell ref="AP70:AQ70"/>
    <mergeCell ref="AR70:AS70"/>
    <mergeCell ref="F71:G71"/>
    <mergeCell ref="H71:I71"/>
    <mergeCell ref="J71:K71"/>
    <mergeCell ref="L71:M71"/>
    <mergeCell ref="N71:O71"/>
    <mergeCell ref="P71:Q71"/>
    <mergeCell ref="R71:S71"/>
    <mergeCell ref="T71:U71"/>
    <mergeCell ref="AD70:AE70"/>
    <mergeCell ref="AF70:AG70"/>
    <mergeCell ref="AH70:AI70"/>
    <mergeCell ref="AJ70:AK70"/>
    <mergeCell ref="AL70:AM70"/>
    <mergeCell ref="AN70:AO70"/>
    <mergeCell ref="R70:S70"/>
    <mergeCell ref="T70:U70"/>
    <mergeCell ref="AL69:AM69"/>
    <mergeCell ref="AN69:AO69"/>
    <mergeCell ref="AP69:AQ69"/>
    <mergeCell ref="AR69:AS69"/>
    <mergeCell ref="F70:G70"/>
    <mergeCell ref="H70:I70"/>
    <mergeCell ref="J70:K70"/>
    <mergeCell ref="L70:M70"/>
    <mergeCell ref="N70:O70"/>
    <mergeCell ref="P70:Q70"/>
    <mergeCell ref="Z69:AA69"/>
    <mergeCell ref="AB69:AC69"/>
    <mergeCell ref="AD69:AE69"/>
    <mergeCell ref="AF69:AG69"/>
    <mergeCell ref="AH69:AI69"/>
    <mergeCell ref="AJ69:AK69"/>
    <mergeCell ref="N69:O69"/>
    <mergeCell ref="P69:Q69"/>
    <mergeCell ref="R69:S69"/>
    <mergeCell ref="T69:U69"/>
    <mergeCell ref="V69:W69"/>
    <mergeCell ref="X69:Y69"/>
    <mergeCell ref="AR68:AS68"/>
    <mergeCell ref="C69:C72"/>
    <mergeCell ref="F69:G69"/>
    <mergeCell ref="H69:I69"/>
    <mergeCell ref="J69:K69"/>
    <mergeCell ref="L69:M69"/>
    <mergeCell ref="X68:Y68"/>
    <mergeCell ref="Z68:AA68"/>
    <mergeCell ref="AB68:AC68"/>
    <mergeCell ref="AD68:AE68"/>
    <mergeCell ref="AF68:AG68"/>
    <mergeCell ref="AH68:AI68"/>
    <mergeCell ref="AR67:AS67"/>
    <mergeCell ref="F68:G68"/>
    <mergeCell ref="H68:I68"/>
    <mergeCell ref="J68:K68"/>
    <mergeCell ref="L68:M68"/>
    <mergeCell ref="N68:O68"/>
    <mergeCell ref="P68:Q68"/>
    <mergeCell ref="R68:S68"/>
    <mergeCell ref="T68:U68"/>
    <mergeCell ref="V68:W68"/>
    <mergeCell ref="AF67:AG67"/>
    <mergeCell ref="AH67:AI67"/>
    <mergeCell ref="AJ67:AK67"/>
    <mergeCell ref="AL67:AM67"/>
    <mergeCell ref="AN67:AO67"/>
    <mergeCell ref="AP67:AQ67"/>
    <mergeCell ref="V70:W70"/>
    <mergeCell ref="X70:Y70"/>
    <mergeCell ref="Z70:AA70"/>
    <mergeCell ref="AB70:AC70"/>
    <mergeCell ref="T67:U67"/>
    <mergeCell ref="V67:W67"/>
    <mergeCell ref="X67:Y67"/>
    <mergeCell ref="Z67:AA67"/>
    <mergeCell ref="AB67:AC67"/>
    <mergeCell ref="AD67:AE67"/>
    <mergeCell ref="AP66:AQ66"/>
    <mergeCell ref="AR66:AS66"/>
    <mergeCell ref="C67:C68"/>
    <mergeCell ref="F67:G67"/>
    <mergeCell ref="H67:I67"/>
    <mergeCell ref="J67:K67"/>
    <mergeCell ref="L67:M67"/>
    <mergeCell ref="N67:O67"/>
    <mergeCell ref="P67:Q67"/>
    <mergeCell ref="R67:S67"/>
    <mergeCell ref="AD66:AE66"/>
    <mergeCell ref="AF66:AG66"/>
    <mergeCell ref="AH66:AI66"/>
    <mergeCell ref="AJ66:AK66"/>
    <mergeCell ref="AL66:AM66"/>
    <mergeCell ref="AN66:AO66"/>
    <mergeCell ref="R66:S66"/>
    <mergeCell ref="T66:U66"/>
    <mergeCell ref="V66:W66"/>
    <mergeCell ref="X66:Y66"/>
    <mergeCell ref="Z66:AA66"/>
    <mergeCell ref="AB66:AC66"/>
    <mergeCell ref="AJ68:AK68"/>
    <mergeCell ref="AL68:AM68"/>
    <mergeCell ref="AN68:AO68"/>
    <mergeCell ref="AP68:AQ68"/>
    <mergeCell ref="F66:G66"/>
    <mergeCell ref="H66:I66"/>
    <mergeCell ref="J66:K66"/>
    <mergeCell ref="L66:M66"/>
    <mergeCell ref="N66:O66"/>
    <mergeCell ref="P66:Q66"/>
    <mergeCell ref="Z65:AA65"/>
    <mergeCell ref="AB65:AC65"/>
    <mergeCell ref="AD65:AE65"/>
    <mergeCell ref="AF65:AG65"/>
    <mergeCell ref="AH65:AI65"/>
    <mergeCell ref="AJ65:AK65"/>
    <mergeCell ref="N65:O65"/>
    <mergeCell ref="P65:Q65"/>
    <mergeCell ref="R65:S65"/>
    <mergeCell ref="T65:U65"/>
    <mergeCell ref="V65:W65"/>
    <mergeCell ref="X65:Y65"/>
    <mergeCell ref="AR64:AS64"/>
    <mergeCell ref="C65:C66"/>
    <mergeCell ref="F65:G65"/>
    <mergeCell ref="H65:I65"/>
    <mergeCell ref="J65:K65"/>
    <mergeCell ref="L65:M65"/>
    <mergeCell ref="X64:Y64"/>
    <mergeCell ref="Z64:AA64"/>
    <mergeCell ref="AB64:AC64"/>
    <mergeCell ref="AD64:AE64"/>
    <mergeCell ref="AF64:AG64"/>
    <mergeCell ref="AH64:AI64"/>
    <mergeCell ref="AR63:AS63"/>
    <mergeCell ref="F64:G64"/>
    <mergeCell ref="H64:I64"/>
    <mergeCell ref="J64:K64"/>
    <mergeCell ref="L64:M64"/>
    <mergeCell ref="N64:O64"/>
    <mergeCell ref="P64:Q64"/>
    <mergeCell ref="R64:S64"/>
    <mergeCell ref="T64:U64"/>
    <mergeCell ref="V64:W64"/>
    <mergeCell ref="AF63:AG63"/>
    <mergeCell ref="AH63:AI63"/>
    <mergeCell ref="AJ63:AK63"/>
    <mergeCell ref="AL63:AM63"/>
    <mergeCell ref="AN63:AO63"/>
    <mergeCell ref="AP63:AQ63"/>
    <mergeCell ref="AL65:AM65"/>
    <mergeCell ref="AN65:AO65"/>
    <mergeCell ref="AP65:AQ65"/>
    <mergeCell ref="AR65:AS65"/>
    <mergeCell ref="T63:U63"/>
    <mergeCell ref="V63:W63"/>
    <mergeCell ref="X63:Y63"/>
    <mergeCell ref="Z63:AA63"/>
    <mergeCell ref="AB63:AC63"/>
    <mergeCell ref="AD63:AE63"/>
    <mergeCell ref="AP62:AQ62"/>
    <mergeCell ref="AR62:AS62"/>
    <mergeCell ref="C63:C64"/>
    <mergeCell ref="F63:G63"/>
    <mergeCell ref="H63:I63"/>
    <mergeCell ref="J63:K63"/>
    <mergeCell ref="L63:M63"/>
    <mergeCell ref="N63:O63"/>
    <mergeCell ref="P63:Q63"/>
    <mergeCell ref="R63:S63"/>
    <mergeCell ref="AD62:AE62"/>
    <mergeCell ref="AF62:AG62"/>
    <mergeCell ref="AH62:AI62"/>
    <mergeCell ref="AJ62:AK62"/>
    <mergeCell ref="AL62:AM62"/>
    <mergeCell ref="AN62:AO62"/>
    <mergeCell ref="R62:S62"/>
    <mergeCell ref="T62:U62"/>
    <mergeCell ref="V62:W62"/>
    <mergeCell ref="X62:Y62"/>
    <mergeCell ref="Z62:AA62"/>
    <mergeCell ref="AB62:AC62"/>
    <mergeCell ref="AJ64:AK64"/>
    <mergeCell ref="AL64:AM64"/>
    <mergeCell ref="AN64:AO64"/>
    <mergeCell ref="AP64:AQ64"/>
    <mergeCell ref="AL61:AM61"/>
    <mergeCell ref="AN61:AO61"/>
    <mergeCell ref="AP61:AQ61"/>
    <mergeCell ref="AR61:AS61"/>
    <mergeCell ref="F62:G62"/>
    <mergeCell ref="H62:I62"/>
    <mergeCell ref="J62:K62"/>
    <mergeCell ref="L62:M62"/>
    <mergeCell ref="N62:O62"/>
    <mergeCell ref="P62:Q62"/>
    <mergeCell ref="Z61:AA61"/>
    <mergeCell ref="AB61:AC61"/>
    <mergeCell ref="AD61:AE61"/>
    <mergeCell ref="AF61:AG61"/>
    <mergeCell ref="AH61:AI61"/>
    <mergeCell ref="AJ61:AK61"/>
    <mergeCell ref="N61:O61"/>
    <mergeCell ref="P61:Q61"/>
    <mergeCell ref="R61:S61"/>
    <mergeCell ref="T61:U61"/>
    <mergeCell ref="V61:W61"/>
    <mergeCell ref="X61:Y61"/>
    <mergeCell ref="AJ60:AK60"/>
    <mergeCell ref="AL60:AM60"/>
    <mergeCell ref="AN60:AO60"/>
    <mergeCell ref="AP60:AQ60"/>
    <mergeCell ref="AR60:AS60"/>
    <mergeCell ref="C61:C62"/>
    <mergeCell ref="F61:G61"/>
    <mergeCell ref="H61:I61"/>
    <mergeCell ref="J61:K61"/>
    <mergeCell ref="L61:M61"/>
    <mergeCell ref="X60:Y60"/>
    <mergeCell ref="Z60:AA60"/>
    <mergeCell ref="AB60:AC60"/>
    <mergeCell ref="AD60:AE60"/>
    <mergeCell ref="AF60:AG60"/>
    <mergeCell ref="AH60:AI60"/>
    <mergeCell ref="AR59:AS59"/>
    <mergeCell ref="F60:G60"/>
    <mergeCell ref="H60:I60"/>
    <mergeCell ref="J60:K60"/>
    <mergeCell ref="L60:M60"/>
    <mergeCell ref="N60:O60"/>
    <mergeCell ref="P60:Q60"/>
    <mergeCell ref="R60:S60"/>
    <mergeCell ref="T60:U60"/>
    <mergeCell ref="V60:W60"/>
    <mergeCell ref="AF59:AG59"/>
    <mergeCell ref="AH59:AI59"/>
    <mergeCell ref="AJ59:AK59"/>
    <mergeCell ref="AL59:AM59"/>
    <mergeCell ref="AN59:AO59"/>
    <mergeCell ref="AP59:AQ59"/>
    <mergeCell ref="T59:U59"/>
    <mergeCell ref="V59:W59"/>
    <mergeCell ref="X59:Y59"/>
    <mergeCell ref="Z59:AA59"/>
    <mergeCell ref="AB59:AC59"/>
    <mergeCell ref="AD59:AE59"/>
    <mergeCell ref="AP58:AQ58"/>
    <mergeCell ref="AR58:AS58"/>
    <mergeCell ref="C59:C60"/>
    <mergeCell ref="F59:G59"/>
    <mergeCell ref="H59:I59"/>
    <mergeCell ref="J59:K59"/>
    <mergeCell ref="L59:M59"/>
    <mergeCell ref="N59:O59"/>
    <mergeCell ref="P59:Q59"/>
    <mergeCell ref="R59:S59"/>
    <mergeCell ref="AD58:AE58"/>
    <mergeCell ref="AF58:AG58"/>
    <mergeCell ref="AH58:AI58"/>
    <mergeCell ref="AJ58:AK58"/>
    <mergeCell ref="AL58:AM58"/>
    <mergeCell ref="AN58:AO58"/>
    <mergeCell ref="R58:S58"/>
    <mergeCell ref="T58:U58"/>
    <mergeCell ref="V58:W58"/>
    <mergeCell ref="X58:Y58"/>
    <mergeCell ref="Z58:AA58"/>
    <mergeCell ref="AB58:AC58"/>
    <mergeCell ref="F58:G58"/>
    <mergeCell ref="H58:I58"/>
    <mergeCell ref="J58:K58"/>
    <mergeCell ref="L58:M58"/>
    <mergeCell ref="N58:O58"/>
    <mergeCell ref="P58:Q58"/>
    <mergeCell ref="AH57:AI57"/>
    <mergeCell ref="AJ57:AK57"/>
    <mergeCell ref="AL57:AM57"/>
    <mergeCell ref="AN57:AO57"/>
    <mergeCell ref="AP57:AQ57"/>
    <mergeCell ref="AR57:AS57"/>
    <mergeCell ref="V57:W57"/>
    <mergeCell ref="X57:Y57"/>
    <mergeCell ref="Z57:AA57"/>
    <mergeCell ref="AB57:AC57"/>
    <mergeCell ref="AD57:AE57"/>
    <mergeCell ref="AF57:AG57"/>
    <mergeCell ref="AR56:AS56"/>
    <mergeCell ref="C57:C58"/>
    <mergeCell ref="F57:G57"/>
    <mergeCell ref="H57:I57"/>
    <mergeCell ref="J57:K57"/>
    <mergeCell ref="L57:M57"/>
    <mergeCell ref="N57:O57"/>
    <mergeCell ref="P57:Q57"/>
    <mergeCell ref="R57:S57"/>
    <mergeCell ref="T57:U57"/>
    <mergeCell ref="AF56:AG56"/>
    <mergeCell ref="AH56:AI56"/>
    <mergeCell ref="AJ56:AK56"/>
    <mergeCell ref="AL56:AM56"/>
    <mergeCell ref="AN56:AO56"/>
    <mergeCell ref="AP56:AQ56"/>
    <mergeCell ref="T56:U56"/>
    <mergeCell ref="V56:W56"/>
    <mergeCell ref="X56:Y56"/>
    <mergeCell ref="Z56:AA56"/>
    <mergeCell ref="AB56:AC56"/>
    <mergeCell ref="AD56:AE56"/>
    <mergeCell ref="AN55:AO55"/>
    <mergeCell ref="AP55:AQ55"/>
    <mergeCell ref="AR55:AS55"/>
    <mergeCell ref="F56:G56"/>
    <mergeCell ref="H56:I56"/>
    <mergeCell ref="J56:K56"/>
    <mergeCell ref="L56:M56"/>
    <mergeCell ref="N56:O56"/>
    <mergeCell ref="P56:Q56"/>
    <mergeCell ref="R56:S56"/>
    <mergeCell ref="AB55:AC55"/>
    <mergeCell ref="AD55:AE55"/>
    <mergeCell ref="AF55:AG55"/>
    <mergeCell ref="AH55:AI55"/>
    <mergeCell ref="AJ55:AK55"/>
    <mergeCell ref="AL55:AM55"/>
    <mergeCell ref="P55:Q55"/>
    <mergeCell ref="R55:S55"/>
    <mergeCell ref="T55:U55"/>
    <mergeCell ref="V55:W55"/>
    <mergeCell ref="X55:Y55"/>
    <mergeCell ref="Z55:AA55"/>
    <mergeCell ref="F55:G55"/>
    <mergeCell ref="H55:I55"/>
    <mergeCell ref="J55:K55"/>
    <mergeCell ref="L55:M55"/>
    <mergeCell ref="N55:O55"/>
    <mergeCell ref="AR53:AS53"/>
    <mergeCell ref="F54:G54"/>
    <mergeCell ref="H54:I54"/>
    <mergeCell ref="J54:K54"/>
    <mergeCell ref="L54:M54"/>
    <mergeCell ref="N54:O54"/>
    <mergeCell ref="P54:Q54"/>
    <mergeCell ref="R54:S54"/>
    <mergeCell ref="T54:U54"/>
    <mergeCell ref="V54:W54"/>
    <mergeCell ref="AF53:AG53"/>
    <mergeCell ref="AH53:AI53"/>
    <mergeCell ref="AJ53:AK53"/>
    <mergeCell ref="AL53:AM53"/>
    <mergeCell ref="AN53:AO53"/>
    <mergeCell ref="AP53:AQ53"/>
    <mergeCell ref="N53:O53"/>
    <mergeCell ref="P53:Q53"/>
    <mergeCell ref="AB53:AC53"/>
    <mergeCell ref="AD53:AE53"/>
    <mergeCell ref="AJ54:AK54"/>
    <mergeCell ref="AL54:AM54"/>
    <mergeCell ref="AN54:AO54"/>
    <mergeCell ref="AP54:AQ54"/>
    <mergeCell ref="AR54:AS54"/>
    <mergeCell ref="T53:U53"/>
    <mergeCell ref="V53:W53"/>
    <mergeCell ref="X53:Y53"/>
    <mergeCell ref="Z53:AA53"/>
    <mergeCell ref="X54:Y54"/>
    <mergeCell ref="Z54:AA54"/>
    <mergeCell ref="AB54:AC54"/>
    <mergeCell ref="F52:G52"/>
    <mergeCell ref="H52:I52"/>
    <mergeCell ref="J52:K52"/>
    <mergeCell ref="L52:M52"/>
    <mergeCell ref="N52:O52"/>
    <mergeCell ref="Z51:AA51"/>
    <mergeCell ref="AB51:AC51"/>
    <mergeCell ref="AD51:AE51"/>
    <mergeCell ref="AF51:AG51"/>
    <mergeCell ref="AH51:AI51"/>
    <mergeCell ref="AJ51:AK51"/>
    <mergeCell ref="N51:O51"/>
    <mergeCell ref="P51:Q51"/>
    <mergeCell ref="R51:S51"/>
    <mergeCell ref="T51:U51"/>
    <mergeCell ref="V51:W51"/>
    <mergeCell ref="V52:W52"/>
    <mergeCell ref="X52:Y52"/>
    <mergeCell ref="Z52:AA52"/>
    <mergeCell ref="AD54:AE54"/>
    <mergeCell ref="AF54:AG54"/>
    <mergeCell ref="AH54:AI54"/>
    <mergeCell ref="AN52:AO52"/>
    <mergeCell ref="AP52:AQ52"/>
    <mergeCell ref="AR52:AS52"/>
    <mergeCell ref="F53:G53"/>
    <mergeCell ref="H53:I53"/>
    <mergeCell ref="J53:K53"/>
    <mergeCell ref="L53:M53"/>
    <mergeCell ref="AP50:AQ50"/>
    <mergeCell ref="AR50:AS50"/>
    <mergeCell ref="F51:G51"/>
    <mergeCell ref="H51:I51"/>
    <mergeCell ref="J51:K51"/>
    <mergeCell ref="L51:M51"/>
    <mergeCell ref="X50:Y50"/>
    <mergeCell ref="Z50:AA50"/>
    <mergeCell ref="AB50:AC50"/>
    <mergeCell ref="AD50:AE50"/>
    <mergeCell ref="AF50:AG50"/>
    <mergeCell ref="AH50:AI50"/>
    <mergeCell ref="R53:S53"/>
    <mergeCell ref="AB52:AC52"/>
    <mergeCell ref="AD52:AE52"/>
    <mergeCell ref="AF52:AG52"/>
    <mergeCell ref="AH52:AI52"/>
    <mergeCell ref="AJ52:AK52"/>
    <mergeCell ref="AL52:AM52"/>
    <mergeCell ref="P52:Q52"/>
    <mergeCell ref="R52:S52"/>
    <mergeCell ref="T52:U52"/>
    <mergeCell ref="AR49:AS49"/>
    <mergeCell ref="F50:G50"/>
    <mergeCell ref="H50:I50"/>
    <mergeCell ref="J50:K50"/>
    <mergeCell ref="L50:M50"/>
    <mergeCell ref="N50:O50"/>
    <mergeCell ref="P50:Q50"/>
    <mergeCell ref="R50:S50"/>
    <mergeCell ref="T50:U50"/>
    <mergeCell ref="V50:W50"/>
    <mergeCell ref="AF49:AG49"/>
    <mergeCell ref="AH49:AI49"/>
    <mergeCell ref="AJ49:AK49"/>
    <mergeCell ref="AL49:AM49"/>
    <mergeCell ref="AN49:AO49"/>
    <mergeCell ref="AP49:AQ49"/>
    <mergeCell ref="AL51:AM51"/>
    <mergeCell ref="AN51:AO51"/>
    <mergeCell ref="AP51:AQ51"/>
    <mergeCell ref="X51:Y51"/>
    <mergeCell ref="AR51:AS51"/>
    <mergeCell ref="C49:C50"/>
    <mergeCell ref="F49:G49"/>
    <mergeCell ref="H49:I49"/>
    <mergeCell ref="J49:K49"/>
    <mergeCell ref="L49:M49"/>
    <mergeCell ref="N49:O49"/>
    <mergeCell ref="P49:Q49"/>
    <mergeCell ref="R49:S49"/>
    <mergeCell ref="AD48:AE48"/>
    <mergeCell ref="AF48:AG48"/>
    <mergeCell ref="AH48:AI48"/>
    <mergeCell ref="AJ48:AK48"/>
    <mergeCell ref="AL48:AM48"/>
    <mergeCell ref="AN48:AO48"/>
    <mergeCell ref="R48:S48"/>
    <mergeCell ref="T48:U48"/>
    <mergeCell ref="V48:W48"/>
    <mergeCell ref="X48:Y48"/>
    <mergeCell ref="Z48:AA48"/>
    <mergeCell ref="AB48:AC48"/>
    <mergeCell ref="F48:G48"/>
    <mergeCell ref="H48:I48"/>
    <mergeCell ref="J48:K48"/>
    <mergeCell ref="L48:M48"/>
    <mergeCell ref="AJ50:AK50"/>
    <mergeCell ref="AL50:AM50"/>
    <mergeCell ref="AN50:AO50"/>
    <mergeCell ref="C45:C48"/>
    <mergeCell ref="F45:G45"/>
    <mergeCell ref="H45:I45"/>
    <mergeCell ref="J45:K45"/>
    <mergeCell ref="L45:M45"/>
    <mergeCell ref="F47:G47"/>
    <mergeCell ref="H47:I47"/>
    <mergeCell ref="J47:K47"/>
    <mergeCell ref="L47:M47"/>
    <mergeCell ref="N47:O47"/>
    <mergeCell ref="P47:Q47"/>
    <mergeCell ref="R47:S47"/>
    <mergeCell ref="T47:U47"/>
    <mergeCell ref="AD46:AE46"/>
    <mergeCell ref="AF46:AG46"/>
    <mergeCell ref="AH46:AI46"/>
    <mergeCell ref="AJ46:AK46"/>
    <mergeCell ref="AL46:AM46"/>
    <mergeCell ref="AN46:AO46"/>
    <mergeCell ref="R46:S46"/>
    <mergeCell ref="T46:U46"/>
    <mergeCell ref="T49:U49"/>
    <mergeCell ref="V49:W49"/>
    <mergeCell ref="X49:Y49"/>
    <mergeCell ref="Z49:AA49"/>
    <mergeCell ref="AB49:AC49"/>
    <mergeCell ref="AD49:AE49"/>
    <mergeCell ref="F46:G46"/>
    <mergeCell ref="H46:I46"/>
    <mergeCell ref="J46:K46"/>
    <mergeCell ref="L46:M46"/>
    <mergeCell ref="N46:O46"/>
    <mergeCell ref="P46:Q46"/>
    <mergeCell ref="AR45:AS45"/>
    <mergeCell ref="V45:W45"/>
    <mergeCell ref="X45:Y45"/>
    <mergeCell ref="Z45:AA45"/>
    <mergeCell ref="AB45:AC45"/>
    <mergeCell ref="AD45:AE45"/>
    <mergeCell ref="AF45:AG45"/>
    <mergeCell ref="N48:O48"/>
    <mergeCell ref="P48:Q48"/>
    <mergeCell ref="AH47:AI47"/>
    <mergeCell ref="AJ47:AK47"/>
    <mergeCell ref="AL47:AM47"/>
    <mergeCell ref="AN47:AO47"/>
    <mergeCell ref="AP47:AQ47"/>
    <mergeCell ref="AR47:AS47"/>
    <mergeCell ref="V47:W47"/>
    <mergeCell ref="X47:Y47"/>
    <mergeCell ref="Z47:AA47"/>
    <mergeCell ref="AB47:AC47"/>
    <mergeCell ref="AD47:AE47"/>
    <mergeCell ref="AF47:AG47"/>
    <mergeCell ref="AP46:AQ46"/>
    <mergeCell ref="AR46:AS46"/>
    <mergeCell ref="AP48:AQ48"/>
    <mergeCell ref="AR48:AS48"/>
    <mergeCell ref="N45:O45"/>
    <mergeCell ref="P45:Q45"/>
    <mergeCell ref="R45:S45"/>
    <mergeCell ref="T45:U45"/>
    <mergeCell ref="AL44:AM44"/>
    <mergeCell ref="AN44:AO44"/>
    <mergeCell ref="AP44:AQ44"/>
    <mergeCell ref="T44:U44"/>
    <mergeCell ref="V44:W44"/>
    <mergeCell ref="X44:Y44"/>
    <mergeCell ref="Z44:AA44"/>
    <mergeCell ref="AB44:AC44"/>
    <mergeCell ref="AD44:AE44"/>
    <mergeCell ref="V46:W46"/>
    <mergeCell ref="X46:Y46"/>
    <mergeCell ref="Z46:AA46"/>
    <mergeCell ref="AB46:AC46"/>
    <mergeCell ref="AH45:AI45"/>
    <mergeCell ref="AJ45:AK45"/>
    <mergeCell ref="AL45:AM45"/>
    <mergeCell ref="AN45:AO45"/>
    <mergeCell ref="AP45:AQ45"/>
    <mergeCell ref="AP42:AQ42"/>
    <mergeCell ref="AR42:AS42"/>
    <mergeCell ref="C43:C44"/>
    <mergeCell ref="F44:G44"/>
    <mergeCell ref="H44:I44"/>
    <mergeCell ref="J44:K44"/>
    <mergeCell ref="L44:M44"/>
    <mergeCell ref="N44:O44"/>
    <mergeCell ref="P44:Q44"/>
    <mergeCell ref="R44:S44"/>
    <mergeCell ref="AD42:AE42"/>
    <mergeCell ref="AF42:AG42"/>
    <mergeCell ref="AH42:AI42"/>
    <mergeCell ref="AJ42:AK42"/>
    <mergeCell ref="AL42:AM42"/>
    <mergeCell ref="AN42:AO42"/>
    <mergeCell ref="R42:S42"/>
    <mergeCell ref="T42:U42"/>
    <mergeCell ref="V42:W42"/>
    <mergeCell ref="X42:Y42"/>
    <mergeCell ref="Z42:AA42"/>
    <mergeCell ref="AB42:AC42"/>
    <mergeCell ref="F42:G42"/>
    <mergeCell ref="H42:I42"/>
    <mergeCell ref="J42:K42"/>
    <mergeCell ref="L42:M42"/>
    <mergeCell ref="N42:O42"/>
    <mergeCell ref="P42:Q42"/>
    <mergeCell ref="AR44:AS44"/>
    <mergeCell ref="AF44:AG44"/>
    <mergeCell ref="AH44:AI44"/>
    <mergeCell ref="AJ44:AK44"/>
    <mergeCell ref="AH41:AI41"/>
    <mergeCell ref="AJ41:AK41"/>
    <mergeCell ref="AL41:AM41"/>
    <mergeCell ref="AN41:AO41"/>
    <mergeCell ref="AP41:AQ41"/>
    <mergeCell ref="AR41:AS41"/>
    <mergeCell ref="V41:W41"/>
    <mergeCell ref="X41:Y41"/>
    <mergeCell ref="Z41:AA41"/>
    <mergeCell ref="AB41:AC41"/>
    <mergeCell ref="AD41:AE41"/>
    <mergeCell ref="AF41:AG41"/>
    <mergeCell ref="AP40:AQ40"/>
    <mergeCell ref="AR40:AS40"/>
    <mergeCell ref="F41:G41"/>
    <mergeCell ref="H41:I41"/>
    <mergeCell ref="J41:K41"/>
    <mergeCell ref="L41:M41"/>
    <mergeCell ref="N41:O41"/>
    <mergeCell ref="P41:Q41"/>
    <mergeCell ref="R41:S41"/>
    <mergeCell ref="T41:U41"/>
    <mergeCell ref="AD40:AE40"/>
    <mergeCell ref="AF40:AG40"/>
    <mergeCell ref="AH40:AI40"/>
    <mergeCell ref="AJ40:AK40"/>
    <mergeCell ref="AL40:AM40"/>
    <mergeCell ref="AN40:AO40"/>
    <mergeCell ref="R40:S40"/>
    <mergeCell ref="T40:U40"/>
    <mergeCell ref="V40:W40"/>
    <mergeCell ref="X40:Y40"/>
    <mergeCell ref="Z40:AA40"/>
    <mergeCell ref="AB40:AC40"/>
    <mergeCell ref="AL39:AM39"/>
    <mergeCell ref="AN39:AO39"/>
    <mergeCell ref="AP39:AQ39"/>
    <mergeCell ref="AR39:AS39"/>
    <mergeCell ref="F40:G40"/>
    <mergeCell ref="H40:I40"/>
    <mergeCell ref="J40:K40"/>
    <mergeCell ref="L40:M40"/>
    <mergeCell ref="N40:O40"/>
    <mergeCell ref="P40:Q40"/>
    <mergeCell ref="Z39:AA39"/>
    <mergeCell ref="AB39:AC39"/>
    <mergeCell ref="AD39:AE39"/>
    <mergeCell ref="AF39:AG39"/>
    <mergeCell ref="AH39:AI39"/>
    <mergeCell ref="AJ39:AK39"/>
    <mergeCell ref="N39:O39"/>
    <mergeCell ref="P39:Q39"/>
    <mergeCell ref="R39:S39"/>
    <mergeCell ref="T39:U39"/>
    <mergeCell ref="V39:W39"/>
    <mergeCell ref="X39:Y39"/>
    <mergeCell ref="AJ38:AK38"/>
    <mergeCell ref="AL38:AM38"/>
    <mergeCell ref="AN38:AO38"/>
    <mergeCell ref="AP38:AQ38"/>
    <mergeCell ref="AR38:AS38"/>
    <mergeCell ref="C39:C42"/>
    <mergeCell ref="F39:G39"/>
    <mergeCell ref="H39:I39"/>
    <mergeCell ref="J39:K39"/>
    <mergeCell ref="L39:M39"/>
    <mergeCell ref="X38:Y38"/>
    <mergeCell ref="Z38:AA38"/>
    <mergeCell ref="AB38:AC38"/>
    <mergeCell ref="AD38:AE38"/>
    <mergeCell ref="AF38:AG38"/>
    <mergeCell ref="AH38:AI38"/>
    <mergeCell ref="AR37:AS37"/>
    <mergeCell ref="F38:G38"/>
    <mergeCell ref="H38:I38"/>
    <mergeCell ref="J38:K38"/>
    <mergeCell ref="L38:M38"/>
    <mergeCell ref="N38:O38"/>
    <mergeCell ref="P38:Q38"/>
    <mergeCell ref="R38:S38"/>
    <mergeCell ref="T38:U38"/>
    <mergeCell ref="V38:W38"/>
    <mergeCell ref="AF37:AG37"/>
    <mergeCell ref="AH37:AI37"/>
    <mergeCell ref="AJ37:AK37"/>
    <mergeCell ref="AL37:AM37"/>
    <mergeCell ref="AN37:AO37"/>
    <mergeCell ref="AP37:AQ37"/>
    <mergeCell ref="T37:U37"/>
    <mergeCell ref="V37:W37"/>
    <mergeCell ref="X37:Y37"/>
    <mergeCell ref="Z37:AA37"/>
    <mergeCell ref="AB37:AC37"/>
    <mergeCell ref="AD37:AE37"/>
    <mergeCell ref="AP36:AQ36"/>
    <mergeCell ref="AR36:AS36"/>
    <mergeCell ref="C37:C38"/>
    <mergeCell ref="F37:G37"/>
    <mergeCell ref="H37:I37"/>
    <mergeCell ref="J37:K37"/>
    <mergeCell ref="L37:M37"/>
    <mergeCell ref="N37:O37"/>
    <mergeCell ref="P37:Q37"/>
    <mergeCell ref="R37:S37"/>
    <mergeCell ref="AD36:AE36"/>
    <mergeCell ref="AF36:AG36"/>
    <mergeCell ref="AH36:AI36"/>
    <mergeCell ref="AJ36:AK36"/>
    <mergeCell ref="AL36:AM36"/>
    <mergeCell ref="AN36:AO36"/>
    <mergeCell ref="R36:S36"/>
    <mergeCell ref="T36:U36"/>
    <mergeCell ref="V36:W36"/>
    <mergeCell ref="X36:Y36"/>
    <mergeCell ref="Z36:AA36"/>
    <mergeCell ref="AB36:AC36"/>
    <mergeCell ref="F36:G36"/>
    <mergeCell ref="H36:I36"/>
    <mergeCell ref="J36:K36"/>
    <mergeCell ref="L36:M36"/>
    <mergeCell ref="N36:O36"/>
    <mergeCell ref="P36:Q36"/>
    <mergeCell ref="AH35:AI35"/>
    <mergeCell ref="AJ35:AK35"/>
    <mergeCell ref="AL35:AM35"/>
    <mergeCell ref="AN35:AO35"/>
    <mergeCell ref="AP35:AQ35"/>
    <mergeCell ref="AR35:AS35"/>
    <mergeCell ref="V35:W35"/>
    <mergeCell ref="X35:Y35"/>
    <mergeCell ref="Z35:AA35"/>
    <mergeCell ref="AB35:AC35"/>
    <mergeCell ref="AD35:AE35"/>
    <mergeCell ref="AF35:AG35"/>
    <mergeCell ref="AP34:AQ34"/>
    <mergeCell ref="AR34:AS34"/>
    <mergeCell ref="F35:G35"/>
    <mergeCell ref="H35:I35"/>
    <mergeCell ref="J35:K35"/>
    <mergeCell ref="L35:M35"/>
    <mergeCell ref="N35:O35"/>
    <mergeCell ref="P35:Q35"/>
    <mergeCell ref="R35:S35"/>
    <mergeCell ref="T35:U35"/>
    <mergeCell ref="AD34:AE34"/>
    <mergeCell ref="AF34:AG34"/>
    <mergeCell ref="AH34:AI34"/>
    <mergeCell ref="AJ34:AK34"/>
    <mergeCell ref="AL34:AM34"/>
    <mergeCell ref="AN34:AO34"/>
    <mergeCell ref="R34:S34"/>
    <mergeCell ref="T34:U34"/>
    <mergeCell ref="V34:W34"/>
    <mergeCell ref="X34:Y34"/>
    <mergeCell ref="Z34:AA34"/>
    <mergeCell ref="AB34:AC34"/>
    <mergeCell ref="AL33:AM33"/>
    <mergeCell ref="AN33:AO33"/>
    <mergeCell ref="AP33:AQ33"/>
    <mergeCell ref="AR33:AS33"/>
    <mergeCell ref="F34:G34"/>
    <mergeCell ref="H34:I34"/>
    <mergeCell ref="J34:K34"/>
    <mergeCell ref="L34:M34"/>
    <mergeCell ref="N34:O34"/>
    <mergeCell ref="P34:Q34"/>
    <mergeCell ref="Z33:AA33"/>
    <mergeCell ref="AB33:AC33"/>
    <mergeCell ref="AD33:AE33"/>
    <mergeCell ref="AF33:AG33"/>
    <mergeCell ref="AH33:AI33"/>
    <mergeCell ref="AJ33:AK33"/>
    <mergeCell ref="N33:O33"/>
    <mergeCell ref="P33:Q33"/>
    <mergeCell ref="R33:S33"/>
    <mergeCell ref="T33:U33"/>
    <mergeCell ref="V33:W33"/>
    <mergeCell ref="X33:Y33"/>
    <mergeCell ref="AJ32:AK32"/>
    <mergeCell ref="AL32:AM32"/>
    <mergeCell ref="AN32:AO32"/>
    <mergeCell ref="AP32:AQ32"/>
    <mergeCell ref="AR32:AS32"/>
    <mergeCell ref="C33:C36"/>
    <mergeCell ref="F33:G33"/>
    <mergeCell ref="H33:I33"/>
    <mergeCell ref="J33:K33"/>
    <mergeCell ref="L33:M33"/>
    <mergeCell ref="X32:Y32"/>
    <mergeCell ref="Z32:AA32"/>
    <mergeCell ref="AB32:AC32"/>
    <mergeCell ref="AD32:AE32"/>
    <mergeCell ref="AF32:AG32"/>
    <mergeCell ref="AH32:AI32"/>
    <mergeCell ref="AR31:AS31"/>
    <mergeCell ref="F32:G32"/>
    <mergeCell ref="H32:I32"/>
    <mergeCell ref="J32:K32"/>
    <mergeCell ref="L32:M32"/>
    <mergeCell ref="N32:O32"/>
    <mergeCell ref="P32:Q32"/>
    <mergeCell ref="R32:S32"/>
    <mergeCell ref="T32:U32"/>
    <mergeCell ref="V32:W32"/>
    <mergeCell ref="AF31:AG31"/>
    <mergeCell ref="AH31:AI31"/>
    <mergeCell ref="AJ31:AK31"/>
    <mergeCell ref="AL31:AM31"/>
    <mergeCell ref="AN31:AO31"/>
    <mergeCell ref="AP31:AQ31"/>
    <mergeCell ref="T31:U31"/>
    <mergeCell ref="V31:W31"/>
    <mergeCell ref="X31:Y31"/>
    <mergeCell ref="Z31:AA31"/>
    <mergeCell ref="AB31:AC31"/>
    <mergeCell ref="AD31:AE31"/>
    <mergeCell ref="AP30:AQ30"/>
    <mergeCell ref="AR30:AS30"/>
    <mergeCell ref="C31:C32"/>
    <mergeCell ref="F31:G31"/>
    <mergeCell ref="H31:I31"/>
    <mergeCell ref="J31:K31"/>
    <mergeCell ref="L31:M31"/>
    <mergeCell ref="N31:O31"/>
    <mergeCell ref="P31:Q31"/>
    <mergeCell ref="R31:S31"/>
    <mergeCell ref="AD30:AE30"/>
    <mergeCell ref="AF30:AG30"/>
    <mergeCell ref="AH30:AI30"/>
    <mergeCell ref="AJ30:AK30"/>
    <mergeCell ref="AL30:AM30"/>
    <mergeCell ref="AN30:AO30"/>
    <mergeCell ref="R30:S30"/>
    <mergeCell ref="T30:U30"/>
    <mergeCell ref="V30:W30"/>
    <mergeCell ref="X30:Y30"/>
    <mergeCell ref="Z30:AA30"/>
    <mergeCell ref="AB30:AC30"/>
    <mergeCell ref="F30:G30"/>
    <mergeCell ref="H30:I30"/>
    <mergeCell ref="J30:K30"/>
    <mergeCell ref="L30:M30"/>
    <mergeCell ref="N30:O30"/>
    <mergeCell ref="P30:Q30"/>
    <mergeCell ref="AH29:AI29"/>
    <mergeCell ref="AJ29:AK29"/>
    <mergeCell ref="AL29:AM29"/>
    <mergeCell ref="AN29:AO29"/>
    <mergeCell ref="AP29:AQ29"/>
    <mergeCell ref="AR29:AS29"/>
    <mergeCell ref="V29:W29"/>
    <mergeCell ref="X29:Y29"/>
    <mergeCell ref="Z29:AA29"/>
    <mergeCell ref="AB29:AC29"/>
    <mergeCell ref="AD29:AE29"/>
    <mergeCell ref="AF29:AG29"/>
    <mergeCell ref="AP28:AQ28"/>
    <mergeCell ref="AR28:AS28"/>
    <mergeCell ref="F29:G29"/>
    <mergeCell ref="H29:I29"/>
    <mergeCell ref="J29:K29"/>
    <mergeCell ref="L29:M29"/>
    <mergeCell ref="N29:O29"/>
    <mergeCell ref="P29:Q29"/>
    <mergeCell ref="R29:S29"/>
    <mergeCell ref="T29:U29"/>
    <mergeCell ref="AD28:AE28"/>
    <mergeCell ref="AF28:AG28"/>
    <mergeCell ref="AH28:AI28"/>
    <mergeCell ref="AJ28:AK28"/>
    <mergeCell ref="AL28:AM28"/>
    <mergeCell ref="AN28:AO28"/>
    <mergeCell ref="R28:S28"/>
    <mergeCell ref="T28:U28"/>
    <mergeCell ref="AB28:AC28"/>
    <mergeCell ref="AL27:AM27"/>
    <mergeCell ref="AN27:AO27"/>
    <mergeCell ref="AP27:AQ27"/>
    <mergeCell ref="AR27:AS27"/>
    <mergeCell ref="F28:G28"/>
    <mergeCell ref="H28:I28"/>
    <mergeCell ref="J28:K28"/>
    <mergeCell ref="L28:M28"/>
    <mergeCell ref="N28:O28"/>
    <mergeCell ref="P28:Q28"/>
    <mergeCell ref="Z27:AA27"/>
    <mergeCell ref="AB27:AC27"/>
    <mergeCell ref="AD27:AE27"/>
    <mergeCell ref="AF27:AG27"/>
    <mergeCell ref="AH27:AI27"/>
    <mergeCell ref="AJ27:AK27"/>
    <mergeCell ref="N27:O27"/>
    <mergeCell ref="P27:Q27"/>
    <mergeCell ref="R27:S27"/>
    <mergeCell ref="T27:U27"/>
    <mergeCell ref="V27:W27"/>
    <mergeCell ref="X27:Y27"/>
    <mergeCell ref="AP26:AQ26"/>
    <mergeCell ref="AR26:AS26"/>
    <mergeCell ref="C27:C30"/>
    <mergeCell ref="F27:G27"/>
    <mergeCell ref="H27:I27"/>
    <mergeCell ref="J27:K27"/>
    <mergeCell ref="L27:M27"/>
    <mergeCell ref="X26:Y26"/>
    <mergeCell ref="Z26:AA26"/>
    <mergeCell ref="AB26:AC26"/>
    <mergeCell ref="AD26:AE26"/>
    <mergeCell ref="AF26:AG26"/>
    <mergeCell ref="AH26:AI26"/>
    <mergeCell ref="AR25:AS25"/>
    <mergeCell ref="F26:G26"/>
    <mergeCell ref="H26:I26"/>
    <mergeCell ref="J26:K26"/>
    <mergeCell ref="L26:M26"/>
    <mergeCell ref="N26:O26"/>
    <mergeCell ref="P26:Q26"/>
    <mergeCell ref="R26:S26"/>
    <mergeCell ref="T26:U26"/>
    <mergeCell ref="V26:W26"/>
    <mergeCell ref="AF25:AG25"/>
    <mergeCell ref="AH25:AI25"/>
    <mergeCell ref="AJ25:AK25"/>
    <mergeCell ref="AL25:AM25"/>
    <mergeCell ref="AN25:AO25"/>
    <mergeCell ref="AP25:AQ25"/>
    <mergeCell ref="V28:W28"/>
    <mergeCell ref="X28:Y28"/>
    <mergeCell ref="Z28:AA28"/>
    <mergeCell ref="C25:C26"/>
    <mergeCell ref="F25:G25"/>
    <mergeCell ref="H25:I25"/>
    <mergeCell ref="J25:K25"/>
    <mergeCell ref="L25:M25"/>
    <mergeCell ref="N25:O25"/>
    <mergeCell ref="P25:Q25"/>
    <mergeCell ref="R25:S25"/>
    <mergeCell ref="AD24:AE24"/>
    <mergeCell ref="AF24:AG24"/>
    <mergeCell ref="AH24:AI24"/>
    <mergeCell ref="AJ24:AK24"/>
    <mergeCell ref="AL24:AM24"/>
    <mergeCell ref="AN24:AO24"/>
    <mergeCell ref="R24:S24"/>
    <mergeCell ref="T24:U24"/>
    <mergeCell ref="V24:W24"/>
    <mergeCell ref="X24:Y24"/>
    <mergeCell ref="Z24:AA24"/>
    <mergeCell ref="AB24:AC24"/>
    <mergeCell ref="F24:G24"/>
    <mergeCell ref="H24:I24"/>
    <mergeCell ref="J24:K24"/>
    <mergeCell ref="L24:M24"/>
    <mergeCell ref="AJ26:AK26"/>
    <mergeCell ref="AL26:AM26"/>
    <mergeCell ref="AN26:AO26"/>
    <mergeCell ref="C21:C24"/>
    <mergeCell ref="F21:G21"/>
    <mergeCell ref="H21:I21"/>
    <mergeCell ref="J21:K21"/>
    <mergeCell ref="L21:M21"/>
    <mergeCell ref="F23:G23"/>
    <mergeCell ref="H23:I23"/>
    <mergeCell ref="J23:K23"/>
    <mergeCell ref="L23:M23"/>
    <mergeCell ref="N23:O23"/>
    <mergeCell ref="P23:Q23"/>
    <mergeCell ref="R23:S23"/>
    <mergeCell ref="T23:U23"/>
    <mergeCell ref="AD22:AE22"/>
    <mergeCell ref="AF22:AG22"/>
    <mergeCell ref="AH22:AI22"/>
    <mergeCell ref="AJ22:AK22"/>
    <mergeCell ref="AL22:AM22"/>
    <mergeCell ref="AN22:AO22"/>
    <mergeCell ref="R22:S22"/>
    <mergeCell ref="T22:U22"/>
    <mergeCell ref="T25:U25"/>
    <mergeCell ref="V25:W25"/>
    <mergeCell ref="X25:Y25"/>
    <mergeCell ref="Z25:AA25"/>
    <mergeCell ref="AB25:AC25"/>
    <mergeCell ref="AD25:AE25"/>
    <mergeCell ref="F22:G22"/>
    <mergeCell ref="H22:I22"/>
    <mergeCell ref="J22:K22"/>
    <mergeCell ref="L22:M22"/>
    <mergeCell ref="N22:O22"/>
    <mergeCell ref="P22:Q22"/>
    <mergeCell ref="AR21:AS21"/>
    <mergeCell ref="V21:W21"/>
    <mergeCell ref="X21:Y21"/>
    <mergeCell ref="Z21:AA21"/>
    <mergeCell ref="AB21:AC21"/>
    <mergeCell ref="AD21:AE21"/>
    <mergeCell ref="AF21:AG21"/>
    <mergeCell ref="N24:O24"/>
    <mergeCell ref="P24:Q24"/>
    <mergeCell ref="AH23:AI23"/>
    <mergeCell ref="AJ23:AK23"/>
    <mergeCell ref="AL23:AM23"/>
    <mergeCell ref="AN23:AO23"/>
    <mergeCell ref="AP23:AQ23"/>
    <mergeCell ref="AR23:AS23"/>
    <mergeCell ref="V23:W23"/>
    <mergeCell ref="X23:Y23"/>
    <mergeCell ref="Z23:AA23"/>
    <mergeCell ref="AB23:AC23"/>
    <mergeCell ref="AD23:AE23"/>
    <mergeCell ref="AF23:AG23"/>
    <mergeCell ref="AP22:AQ22"/>
    <mergeCell ref="AR22:AS22"/>
    <mergeCell ref="AP24:AQ24"/>
    <mergeCell ref="AR24:AS24"/>
    <mergeCell ref="N21:O21"/>
    <mergeCell ref="P21:Q21"/>
    <mergeCell ref="R21:S21"/>
    <mergeCell ref="T21:U21"/>
    <mergeCell ref="AL20:AM20"/>
    <mergeCell ref="AN20:AO20"/>
    <mergeCell ref="AP20:AQ20"/>
    <mergeCell ref="T20:U20"/>
    <mergeCell ref="V20:W20"/>
    <mergeCell ref="X20:Y20"/>
    <mergeCell ref="Z20:AA20"/>
    <mergeCell ref="AB20:AC20"/>
    <mergeCell ref="AD20:AE20"/>
    <mergeCell ref="V22:W22"/>
    <mergeCell ref="X22:Y22"/>
    <mergeCell ref="Z22:AA22"/>
    <mergeCell ref="AB22:AC22"/>
    <mergeCell ref="AH21:AI21"/>
    <mergeCell ref="AJ21:AK21"/>
    <mergeCell ref="AL21:AM21"/>
    <mergeCell ref="AN21:AO21"/>
    <mergeCell ref="AP21:AQ21"/>
    <mergeCell ref="AP18:AQ18"/>
    <mergeCell ref="AR18:AS18"/>
    <mergeCell ref="C19:C20"/>
    <mergeCell ref="F20:G20"/>
    <mergeCell ref="H20:I20"/>
    <mergeCell ref="J20:K20"/>
    <mergeCell ref="L20:M20"/>
    <mergeCell ref="N20:O20"/>
    <mergeCell ref="P20:Q20"/>
    <mergeCell ref="R20:S20"/>
    <mergeCell ref="AD18:AE18"/>
    <mergeCell ref="AF18:AG18"/>
    <mergeCell ref="AH18:AI18"/>
    <mergeCell ref="AJ18:AK18"/>
    <mergeCell ref="AL18:AM18"/>
    <mergeCell ref="AN18:AO18"/>
    <mergeCell ref="R18:S18"/>
    <mergeCell ref="T18:U18"/>
    <mergeCell ref="V18:W18"/>
    <mergeCell ref="X18:Y18"/>
    <mergeCell ref="Z18:AA18"/>
    <mergeCell ref="AB18:AC18"/>
    <mergeCell ref="F18:G18"/>
    <mergeCell ref="H18:I18"/>
    <mergeCell ref="J18:K18"/>
    <mergeCell ref="L18:M18"/>
    <mergeCell ref="N18:O18"/>
    <mergeCell ref="P18:Q18"/>
    <mergeCell ref="AR20:AS20"/>
    <mergeCell ref="AF20:AG20"/>
    <mergeCell ref="AH20:AI20"/>
    <mergeCell ref="AJ20:AK20"/>
    <mergeCell ref="F17:G17"/>
    <mergeCell ref="H17:I17"/>
    <mergeCell ref="J17:K17"/>
    <mergeCell ref="L17:M17"/>
    <mergeCell ref="N17:O17"/>
    <mergeCell ref="P17:Q17"/>
    <mergeCell ref="R17:S17"/>
    <mergeCell ref="T17:U17"/>
    <mergeCell ref="AD16:AE16"/>
    <mergeCell ref="AF16:AG16"/>
    <mergeCell ref="AH16:AI16"/>
    <mergeCell ref="AJ16:AK16"/>
    <mergeCell ref="AL16:AM16"/>
    <mergeCell ref="AN16:AO16"/>
    <mergeCell ref="R16:S16"/>
    <mergeCell ref="T16:U16"/>
    <mergeCell ref="V16:W16"/>
    <mergeCell ref="X16:Y16"/>
    <mergeCell ref="AJ15:AK15"/>
    <mergeCell ref="N15:O15"/>
    <mergeCell ref="P15:Q15"/>
    <mergeCell ref="R15:S15"/>
    <mergeCell ref="T15:U15"/>
    <mergeCell ref="V15:W15"/>
    <mergeCell ref="X15:Y15"/>
    <mergeCell ref="AH17:AI17"/>
    <mergeCell ref="AJ17:AK17"/>
    <mergeCell ref="AL17:AM17"/>
    <mergeCell ref="AN17:AO17"/>
    <mergeCell ref="AP17:AQ17"/>
    <mergeCell ref="AR17:AS17"/>
    <mergeCell ref="V17:W17"/>
    <mergeCell ref="X17:Y17"/>
    <mergeCell ref="Z17:AA17"/>
    <mergeCell ref="AB17:AC17"/>
    <mergeCell ref="AD17:AE17"/>
    <mergeCell ref="AF17:AG17"/>
    <mergeCell ref="AP16:AQ16"/>
    <mergeCell ref="AR16:AS16"/>
    <mergeCell ref="AR13:AS13"/>
    <mergeCell ref="F14:G14"/>
    <mergeCell ref="H14:I14"/>
    <mergeCell ref="J14:K14"/>
    <mergeCell ref="L14:M14"/>
    <mergeCell ref="N14:O14"/>
    <mergeCell ref="P14:Q14"/>
    <mergeCell ref="R14:S14"/>
    <mergeCell ref="T14:U14"/>
    <mergeCell ref="V14:W14"/>
    <mergeCell ref="AF13:AG13"/>
    <mergeCell ref="AH13:AI13"/>
    <mergeCell ref="AJ13:AK13"/>
    <mergeCell ref="AL13:AM13"/>
    <mergeCell ref="AN13:AO13"/>
    <mergeCell ref="AP13:AQ13"/>
    <mergeCell ref="Z16:AA16"/>
    <mergeCell ref="AB16:AC16"/>
    <mergeCell ref="AL15:AM15"/>
    <mergeCell ref="AN15:AO15"/>
    <mergeCell ref="AP15:AQ15"/>
    <mergeCell ref="AR15:AS15"/>
    <mergeCell ref="F16:G16"/>
    <mergeCell ref="H16:I16"/>
    <mergeCell ref="J16:K16"/>
    <mergeCell ref="L16:M16"/>
    <mergeCell ref="N16:O16"/>
    <mergeCell ref="P16:Q16"/>
    <mergeCell ref="Z15:AA15"/>
    <mergeCell ref="AB15:AC15"/>
    <mergeCell ref="AD15:AE15"/>
    <mergeCell ref="AF15:AG15"/>
    <mergeCell ref="AR12:AS12"/>
    <mergeCell ref="C13:C14"/>
    <mergeCell ref="F13:G13"/>
    <mergeCell ref="H13:I13"/>
    <mergeCell ref="J13:K13"/>
    <mergeCell ref="L13:M13"/>
    <mergeCell ref="N13:O13"/>
    <mergeCell ref="P13:Q13"/>
    <mergeCell ref="R13:S13"/>
    <mergeCell ref="AD12:AE12"/>
    <mergeCell ref="AF12:AG12"/>
    <mergeCell ref="AH12:AI12"/>
    <mergeCell ref="AJ12:AK12"/>
    <mergeCell ref="AL12:AM12"/>
    <mergeCell ref="AN12:AO12"/>
    <mergeCell ref="R12:S12"/>
    <mergeCell ref="T12:U12"/>
    <mergeCell ref="V12:W12"/>
    <mergeCell ref="X12:Y12"/>
    <mergeCell ref="Z12:AA12"/>
    <mergeCell ref="AB12:AC12"/>
    <mergeCell ref="F12:G12"/>
    <mergeCell ref="H12:I12"/>
    <mergeCell ref="J12:K12"/>
    <mergeCell ref="L12:M12"/>
    <mergeCell ref="AJ14:AK14"/>
    <mergeCell ref="AL14:AM14"/>
    <mergeCell ref="AN14:AO14"/>
    <mergeCell ref="AP14:AQ14"/>
    <mergeCell ref="AR14:AS14"/>
    <mergeCell ref="X14:Y14"/>
    <mergeCell ref="Z14:AA14"/>
    <mergeCell ref="B12:B50"/>
    <mergeCell ref="AE11:AF11"/>
    <mergeCell ref="AG11:AH11"/>
    <mergeCell ref="AI11:AJ11"/>
    <mergeCell ref="AK11:AL11"/>
    <mergeCell ref="AM11:AN11"/>
    <mergeCell ref="AO11:AP11"/>
    <mergeCell ref="S11:T11"/>
    <mergeCell ref="U11:V11"/>
    <mergeCell ref="W11:X11"/>
    <mergeCell ref="Y11:Z11"/>
    <mergeCell ref="AA11:AB11"/>
    <mergeCell ref="AC11:AD11"/>
    <mergeCell ref="N12:O12"/>
    <mergeCell ref="P12:Q12"/>
    <mergeCell ref="T13:U13"/>
    <mergeCell ref="V13:W13"/>
    <mergeCell ref="X13:Y13"/>
    <mergeCell ref="Z13:AA13"/>
    <mergeCell ref="AB13:AC13"/>
    <mergeCell ref="AD13:AE13"/>
    <mergeCell ref="AP12:AQ12"/>
    <mergeCell ref="C15:C18"/>
    <mergeCell ref="F15:G15"/>
    <mergeCell ref="H15:I15"/>
    <mergeCell ref="J15:K15"/>
    <mergeCell ref="L15:M15"/>
    <mergeCell ref="AB14:AC14"/>
    <mergeCell ref="AD14:AE14"/>
    <mergeCell ref="AF14:AG14"/>
    <mergeCell ref="AH14:AI14"/>
    <mergeCell ref="AH15:AI15"/>
    <mergeCell ref="AO10:AP10"/>
    <mergeCell ref="AQ10:AR10"/>
    <mergeCell ref="AS10:AT10"/>
    <mergeCell ref="B11:D11"/>
    <mergeCell ref="E11:F11"/>
    <mergeCell ref="G11:H11"/>
    <mergeCell ref="I11:J11"/>
    <mergeCell ref="M11:N11"/>
    <mergeCell ref="O11:P11"/>
    <mergeCell ref="Q11:R11"/>
    <mergeCell ref="AC10:AD10"/>
    <mergeCell ref="AE10:AF10"/>
    <mergeCell ref="AG10:AH10"/>
    <mergeCell ref="AI10:AJ10"/>
    <mergeCell ref="AK10:AL10"/>
    <mergeCell ref="AM10:AN10"/>
    <mergeCell ref="Q10:R10"/>
    <mergeCell ref="S10:T10"/>
    <mergeCell ref="U10:V10"/>
    <mergeCell ref="W10:X10"/>
    <mergeCell ref="Y10:Z10"/>
    <mergeCell ref="AA10:AB10"/>
    <mergeCell ref="B10:D10"/>
    <mergeCell ref="E10:F10"/>
    <mergeCell ref="G10:H10"/>
    <mergeCell ref="I10:J10"/>
    <mergeCell ref="K10:L10"/>
    <mergeCell ref="M10:N10"/>
    <mergeCell ref="O10:P10"/>
    <mergeCell ref="AQ11:AR11"/>
    <mergeCell ref="AS11:AT11"/>
    <mergeCell ref="AO8:AP8"/>
    <mergeCell ref="AQ8:AR8"/>
    <mergeCell ref="AS8:AT8"/>
    <mergeCell ref="B9:D9"/>
    <mergeCell ref="E9:F9"/>
    <mergeCell ref="G9:H9"/>
    <mergeCell ref="I9:J9"/>
    <mergeCell ref="K9:L9"/>
    <mergeCell ref="M9:N9"/>
    <mergeCell ref="O9:P9"/>
    <mergeCell ref="AC8:AD8"/>
    <mergeCell ref="AE8:AF8"/>
    <mergeCell ref="AG8:AH8"/>
    <mergeCell ref="AI8:AJ8"/>
    <mergeCell ref="AK8:AL8"/>
    <mergeCell ref="AM8:AN8"/>
    <mergeCell ref="Q8:R8"/>
    <mergeCell ref="S8:T8"/>
    <mergeCell ref="U8:V8"/>
    <mergeCell ref="W8:X8"/>
    <mergeCell ref="Y8:Z8"/>
    <mergeCell ref="AA8:AB8"/>
    <mergeCell ref="AO9:AP9"/>
    <mergeCell ref="AQ9:AR9"/>
    <mergeCell ref="AS9:AT9"/>
    <mergeCell ref="AQ6:AR6"/>
    <mergeCell ref="AS6:AT6"/>
    <mergeCell ref="B7:D7"/>
    <mergeCell ref="E7:F7"/>
    <mergeCell ref="G7:H7"/>
    <mergeCell ref="I7:J7"/>
    <mergeCell ref="K7:L7"/>
    <mergeCell ref="M7:N7"/>
    <mergeCell ref="O7:P7"/>
    <mergeCell ref="AC6:AD6"/>
    <mergeCell ref="AE6:AF6"/>
    <mergeCell ref="AG6:AH6"/>
    <mergeCell ref="AI6:AJ6"/>
    <mergeCell ref="AK6:AL6"/>
    <mergeCell ref="AM6:AN6"/>
    <mergeCell ref="Q6:R6"/>
    <mergeCell ref="S6:T6"/>
    <mergeCell ref="U6:V6"/>
    <mergeCell ref="AO7:AP7"/>
    <mergeCell ref="AQ7:AR7"/>
    <mergeCell ref="AS7:AT7"/>
    <mergeCell ref="AC7:AD7"/>
    <mergeCell ref="AE7:AF7"/>
    <mergeCell ref="AG7:AH7"/>
    <mergeCell ref="AI7:AJ7"/>
    <mergeCell ref="AK7:AL7"/>
    <mergeCell ref="AM7:AN7"/>
    <mergeCell ref="Q7:R7"/>
    <mergeCell ref="S7:T7"/>
    <mergeCell ref="U7:V7"/>
    <mergeCell ref="W7:X7"/>
    <mergeCell ref="Y7:Z7"/>
    <mergeCell ref="W6:X6"/>
    <mergeCell ref="Y6:Z6"/>
    <mergeCell ref="AA6:AB6"/>
    <mergeCell ref="AC9:AD9"/>
    <mergeCell ref="AE9:AF9"/>
    <mergeCell ref="AG9:AH9"/>
    <mergeCell ref="AI9:AJ9"/>
    <mergeCell ref="AK9:AL9"/>
    <mergeCell ref="L2:W2"/>
    <mergeCell ref="B6:D6"/>
    <mergeCell ref="E6:F6"/>
    <mergeCell ref="G6:H6"/>
    <mergeCell ref="I6:J6"/>
    <mergeCell ref="K6:L6"/>
    <mergeCell ref="M6:N6"/>
    <mergeCell ref="O6:P6"/>
    <mergeCell ref="AO6:AP6"/>
    <mergeCell ref="B8:D8"/>
    <mergeCell ref="E8:F8"/>
    <mergeCell ref="G8:H8"/>
    <mergeCell ref="I8:J8"/>
    <mergeCell ref="K8:L8"/>
    <mergeCell ref="M8:N8"/>
    <mergeCell ref="O8:P8"/>
    <mergeCell ref="AA7:AB7"/>
    <mergeCell ref="AM9:AN9"/>
    <mergeCell ref="Q9:R9"/>
    <mergeCell ref="S9:T9"/>
    <mergeCell ref="U9:V9"/>
    <mergeCell ref="W9:X9"/>
    <mergeCell ref="Y9:Z9"/>
    <mergeCell ref="AA9:AB9"/>
  </mergeCells>
  <pageMargins left="0.39370078740157483" right="0.39370078740157483" top="0.35433070866141736" bottom="0.35433070866141736" header="0.31496062992125984" footer="0.31496062992125984"/>
  <pageSetup paperSize="9" scale="34"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pageSetUpPr fitToPage="1"/>
  </sheetPr>
  <dimension ref="B1:AT89"/>
  <sheetViews>
    <sheetView zoomScale="40" zoomScaleNormal="40" workbookViewId="0">
      <selection activeCell="AY40" sqref="AY40"/>
    </sheetView>
  </sheetViews>
  <sheetFormatPr defaultColWidth="9.21875" defaultRowHeight="14.4" x14ac:dyDescent="0.3"/>
  <cols>
    <col min="1" max="1" width="0.21875" customWidth="1"/>
    <col min="2" max="2" width="10.77734375" customWidth="1"/>
    <col min="3" max="4" width="13.77734375" customWidth="1"/>
    <col min="5" max="46" width="8.77734375" customWidth="1"/>
    <col min="47" max="49" width="3" customWidth="1"/>
  </cols>
  <sheetData>
    <row r="1" spans="2:46" x14ac:dyDescent="0.3">
      <c r="B1" s="1"/>
      <c r="AQ1" s="1"/>
    </row>
    <row r="2" spans="2:46" ht="50.1" customHeight="1" thickBot="1" x14ac:dyDescent="0.8">
      <c r="B2" s="65" t="s">
        <v>85</v>
      </c>
      <c r="C2" s="62"/>
      <c r="D2" s="63"/>
      <c r="E2" s="63"/>
      <c r="F2" s="64"/>
      <c r="G2" s="63"/>
      <c r="H2" s="64"/>
      <c r="I2" s="64"/>
      <c r="J2" s="64"/>
      <c r="K2" s="64"/>
      <c r="L2" s="423" t="str">
        <f>'Plot Data'!H7</f>
        <v>Quick Ash (%)</v>
      </c>
      <c r="M2" s="423"/>
      <c r="N2" s="423"/>
      <c r="O2" s="423"/>
      <c r="P2" s="423"/>
      <c r="Q2" s="423"/>
      <c r="R2" s="423"/>
      <c r="S2" s="423"/>
      <c r="T2" s="423"/>
      <c r="U2" s="423"/>
      <c r="V2" s="423"/>
      <c r="W2" s="423"/>
      <c r="X2" s="63"/>
      <c r="Y2" s="63"/>
      <c r="Z2" s="63"/>
      <c r="AA2" s="63"/>
      <c r="AB2" s="65"/>
      <c r="AC2" s="424" t="s">
        <v>92</v>
      </c>
      <c r="AD2" s="424"/>
      <c r="AE2" s="424"/>
      <c r="AF2" s="424"/>
      <c r="AG2" s="424"/>
      <c r="AH2" s="424"/>
      <c r="AI2" s="424"/>
      <c r="AJ2" s="424"/>
      <c r="AK2" s="425" t="str">
        <f>'Data Input'!AT11</f>
        <v>AS CRM 002</v>
      </c>
      <c r="AL2" s="425"/>
      <c r="AM2" s="425"/>
      <c r="AN2" s="425"/>
      <c r="AO2" s="425"/>
      <c r="AP2" s="425"/>
      <c r="AQ2" s="425"/>
      <c r="AR2" s="425"/>
      <c r="AS2" s="425"/>
      <c r="AT2" s="425"/>
    </row>
    <row r="3" spans="2:46" ht="22.05" customHeight="1" x14ac:dyDescent="0.85">
      <c r="B3" s="61"/>
      <c r="C3" s="66"/>
      <c r="D3" s="66"/>
      <c r="E3" s="66"/>
      <c r="F3" s="67"/>
      <c r="G3" s="66"/>
      <c r="H3" s="67"/>
      <c r="I3" s="67"/>
      <c r="J3" s="66"/>
      <c r="K3" s="66"/>
      <c r="L3" s="66"/>
      <c r="M3" s="66"/>
      <c r="N3" s="66"/>
      <c r="O3" s="66"/>
      <c r="P3" s="66"/>
      <c r="Q3" s="66"/>
      <c r="R3" s="66"/>
      <c r="S3" s="66"/>
      <c r="T3" s="66"/>
      <c r="U3" s="66"/>
      <c r="V3" s="66"/>
      <c r="W3" s="66"/>
      <c r="X3" s="66"/>
      <c r="Y3" s="66"/>
      <c r="Z3" s="66"/>
      <c r="AA3" s="66"/>
      <c r="AB3" s="66"/>
      <c r="AC3" s="66"/>
      <c r="AD3" s="66"/>
      <c r="AE3" s="66"/>
      <c r="AF3" s="66"/>
      <c r="AG3" s="66"/>
      <c r="AH3" s="68"/>
      <c r="AI3" s="66"/>
      <c r="AJ3" s="68"/>
      <c r="AK3" s="66"/>
      <c r="AL3" s="66"/>
      <c r="AM3" s="66"/>
      <c r="AN3" s="66"/>
      <c r="AO3" s="67"/>
      <c r="AP3" s="66"/>
      <c r="AQ3" s="67"/>
      <c r="AR3" s="66"/>
      <c r="AS3" s="66"/>
    </row>
    <row r="4" spans="2:46" ht="50.1" customHeight="1" x14ac:dyDescent="0.85">
      <c r="B4" s="60"/>
      <c r="C4" s="66"/>
      <c r="D4" s="66"/>
      <c r="E4" s="66"/>
      <c r="F4" s="66"/>
      <c r="G4" s="66"/>
      <c r="H4" s="66"/>
      <c r="I4" s="66"/>
      <c r="J4" s="66"/>
      <c r="K4" s="66"/>
      <c r="L4" s="426" t="s">
        <v>87</v>
      </c>
      <c r="M4" s="426"/>
      <c r="N4" s="426"/>
      <c r="O4" s="426"/>
      <c r="P4" s="426"/>
      <c r="Q4" s="426"/>
      <c r="R4" s="426"/>
      <c r="S4" s="426"/>
      <c r="T4" s="426"/>
      <c r="U4" s="426"/>
      <c r="V4" s="426"/>
      <c r="W4" s="426"/>
      <c r="X4" s="426"/>
      <c r="Y4" s="426"/>
      <c r="Z4" s="426"/>
      <c r="AA4" s="426"/>
      <c r="AB4" s="426"/>
      <c r="AC4" s="426"/>
      <c r="AD4" s="69" t="s">
        <v>86</v>
      </c>
      <c r="AE4" s="66"/>
      <c r="AF4" s="66"/>
      <c r="AG4" s="66"/>
      <c r="AH4" s="66"/>
      <c r="AI4" s="66"/>
      <c r="AJ4" s="66"/>
      <c r="AK4" s="427" t="s">
        <v>89</v>
      </c>
      <c r="AL4" s="427"/>
      <c r="AM4" s="427"/>
      <c r="AN4" s="427"/>
      <c r="AO4" s="427"/>
      <c r="AP4" s="427"/>
      <c r="AQ4" s="427"/>
      <c r="AR4" s="427"/>
      <c r="AS4" s="427"/>
      <c r="AT4" s="427"/>
    </row>
    <row r="5" spans="2:46" ht="22.05" customHeight="1" thickBot="1" x14ac:dyDescent="0.35">
      <c r="K5" s="2"/>
    </row>
    <row r="6" spans="2:46" ht="50.1" customHeight="1" x14ac:dyDescent="0.3">
      <c r="B6" s="428" t="s">
        <v>0</v>
      </c>
      <c r="C6" s="429"/>
      <c r="D6" s="430"/>
      <c r="E6" s="431"/>
      <c r="F6" s="432"/>
      <c r="G6" s="431"/>
      <c r="H6" s="432"/>
      <c r="I6" s="431"/>
      <c r="J6" s="432"/>
      <c r="K6" s="431"/>
      <c r="L6" s="432"/>
      <c r="M6" s="431"/>
      <c r="N6" s="432"/>
      <c r="O6" s="431"/>
      <c r="P6" s="432"/>
      <c r="Q6" s="431"/>
      <c r="R6" s="432"/>
      <c r="S6" s="431"/>
      <c r="T6" s="432"/>
      <c r="U6" s="431"/>
      <c r="V6" s="432"/>
      <c r="W6" s="431"/>
      <c r="X6" s="432"/>
      <c r="Y6" s="431"/>
      <c r="Z6" s="432"/>
      <c r="AA6" s="431"/>
      <c r="AB6" s="432"/>
      <c r="AC6" s="431"/>
      <c r="AD6" s="432"/>
      <c r="AE6" s="431"/>
      <c r="AF6" s="432"/>
      <c r="AG6" s="431"/>
      <c r="AH6" s="432"/>
      <c r="AI6" s="431"/>
      <c r="AJ6" s="432"/>
      <c r="AK6" s="431"/>
      <c r="AL6" s="432"/>
      <c r="AM6" s="431"/>
      <c r="AN6" s="432"/>
      <c r="AO6" s="431"/>
      <c r="AP6" s="432"/>
      <c r="AQ6" s="431"/>
      <c r="AR6" s="432"/>
      <c r="AS6" s="431"/>
      <c r="AT6" s="432"/>
    </row>
    <row r="7" spans="2:46" ht="50.1" customHeight="1" thickBot="1" x14ac:dyDescent="0.35">
      <c r="B7" s="433" t="s">
        <v>1</v>
      </c>
      <c r="C7" s="434"/>
      <c r="D7" s="435"/>
      <c r="E7" s="436"/>
      <c r="F7" s="437"/>
      <c r="G7" s="436"/>
      <c r="H7" s="437"/>
      <c r="I7" s="436"/>
      <c r="J7" s="437"/>
      <c r="K7" s="436"/>
      <c r="L7" s="437"/>
      <c r="M7" s="436"/>
      <c r="N7" s="437"/>
      <c r="O7" s="436"/>
      <c r="P7" s="437"/>
      <c r="Q7" s="436"/>
      <c r="R7" s="437"/>
      <c r="S7" s="436"/>
      <c r="T7" s="437"/>
      <c r="U7" s="436"/>
      <c r="V7" s="437"/>
      <c r="W7" s="436"/>
      <c r="X7" s="437"/>
      <c r="Y7" s="436"/>
      <c r="Z7" s="437"/>
      <c r="AA7" s="436"/>
      <c r="AB7" s="437"/>
      <c r="AC7" s="436"/>
      <c r="AD7" s="437"/>
      <c r="AE7" s="436"/>
      <c r="AF7" s="437"/>
      <c r="AG7" s="436"/>
      <c r="AH7" s="437"/>
      <c r="AI7" s="436"/>
      <c r="AJ7" s="437"/>
      <c r="AK7" s="436"/>
      <c r="AL7" s="437"/>
      <c r="AM7" s="436"/>
      <c r="AN7" s="437"/>
      <c r="AO7" s="436"/>
      <c r="AP7" s="437"/>
      <c r="AQ7" s="436"/>
      <c r="AR7" s="437"/>
      <c r="AS7" s="436"/>
      <c r="AT7" s="437"/>
    </row>
    <row r="8" spans="2:46" ht="50.1" customHeight="1" thickBot="1" x14ac:dyDescent="0.35">
      <c r="B8" s="438" t="s">
        <v>2</v>
      </c>
      <c r="C8" s="439"/>
      <c r="D8" s="440"/>
      <c r="E8" s="441"/>
      <c r="F8" s="442"/>
      <c r="G8" s="441"/>
      <c r="H8" s="442"/>
      <c r="I8" s="441"/>
      <c r="J8" s="442"/>
      <c r="K8" s="441"/>
      <c r="L8" s="442"/>
      <c r="M8" s="441"/>
      <c r="N8" s="442"/>
      <c r="O8" s="441"/>
      <c r="P8" s="442"/>
      <c r="Q8" s="441"/>
      <c r="R8" s="442"/>
      <c r="S8" s="441"/>
      <c r="T8" s="442"/>
      <c r="U8" s="441"/>
      <c r="V8" s="442"/>
      <c r="W8" s="441"/>
      <c r="X8" s="442"/>
      <c r="Y8" s="441"/>
      <c r="Z8" s="442"/>
      <c r="AA8" s="441"/>
      <c r="AB8" s="442"/>
      <c r="AC8" s="441"/>
      <c r="AD8" s="442"/>
      <c r="AE8" s="441"/>
      <c r="AF8" s="442"/>
      <c r="AG8" s="441"/>
      <c r="AH8" s="442"/>
      <c r="AI8" s="441"/>
      <c r="AJ8" s="442"/>
      <c r="AK8" s="441"/>
      <c r="AL8" s="442"/>
      <c r="AM8" s="441"/>
      <c r="AN8" s="442"/>
      <c r="AO8" s="441"/>
      <c r="AP8" s="442"/>
      <c r="AQ8" s="441"/>
      <c r="AR8" s="442"/>
      <c r="AS8" s="441"/>
      <c r="AT8" s="442"/>
    </row>
    <row r="9" spans="2:46" ht="50.1" customHeight="1" thickBot="1" x14ac:dyDescent="0.35">
      <c r="B9" s="447" t="s">
        <v>3</v>
      </c>
      <c r="C9" s="448"/>
      <c r="D9" s="449"/>
      <c r="E9" s="443"/>
      <c r="F9" s="444"/>
      <c r="G9" s="443"/>
      <c r="H9" s="444"/>
      <c r="I9" s="443"/>
      <c r="J9" s="444"/>
      <c r="K9" s="443"/>
      <c r="L9" s="444"/>
      <c r="M9" s="443"/>
      <c r="N9" s="444"/>
      <c r="O9" s="443"/>
      <c r="P9" s="444"/>
      <c r="Q9" s="443"/>
      <c r="R9" s="444"/>
      <c r="S9" s="443"/>
      <c r="T9" s="444"/>
      <c r="U9" s="443"/>
      <c r="V9" s="444"/>
      <c r="W9" s="443"/>
      <c r="X9" s="444"/>
      <c r="Y9" s="443"/>
      <c r="Z9" s="444"/>
      <c r="AA9" s="443"/>
      <c r="AB9" s="444"/>
      <c r="AC9" s="443"/>
      <c r="AD9" s="444"/>
      <c r="AE9" s="443"/>
      <c r="AF9" s="444"/>
      <c r="AG9" s="443"/>
      <c r="AH9" s="444"/>
      <c r="AI9" s="443"/>
      <c r="AJ9" s="444"/>
      <c r="AK9" s="443"/>
      <c r="AL9" s="444"/>
      <c r="AM9" s="443"/>
      <c r="AN9" s="444"/>
      <c r="AO9" s="443"/>
      <c r="AP9" s="444"/>
      <c r="AQ9" s="443"/>
      <c r="AR9" s="444"/>
      <c r="AS9" s="443"/>
      <c r="AT9" s="444"/>
    </row>
    <row r="10" spans="2:46" ht="50.1" customHeight="1" thickBot="1" x14ac:dyDescent="0.35">
      <c r="B10" s="428" t="s">
        <v>4</v>
      </c>
      <c r="C10" s="429"/>
      <c r="D10" s="430"/>
      <c r="E10" s="441"/>
      <c r="F10" s="442"/>
      <c r="G10" s="441"/>
      <c r="H10" s="442"/>
      <c r="I10" s="441"/>
      <c r="J10" s="442"/>
      <c r="K10" s="445"/>
      <c r="L10" s="446"/>
      <c r="M10" s="441"/>
      <c r="N10" s="442"/>
      <c r="O10" s="441"/>
      <c r="P10" s="442"/>
      <c r="Q10" s="441"/>
      <c r="R10" s="442"/>
      <c r="S10" s="441"/>
      <c r="T10" s="442"/>
      <c r="U10" s="441"/>
      <c r="V10" s="442"/>
      <c r="W10" s="441"/>
      <c r="X10" s="442"/>
      <c r="Y10" s="441"/>
      <c r="Z10" s="442"/>
      <c r="AA10" s="441"/>
      <c r="AB10" s="442"/>
      <c r="AC10" s="441"/>
      <c r="AD10" s="442"/>
      <c r="AE10" s="441"/>
      <c r="AF10" s="442"/>
      <c r="AG10" s="441"/>
      <c r="AH10" s="442"/>
      <c r="AI10" s="441"/>
      <c r="AJ10" s="442"/>
      <c r="AK10" s="441"/>
      <c r="AL10" s="442"/>
      <c r="AM10" s="441"/>
      <c r="AN10" s="442"/>
      <c r="AO10" s="441"/>
      <c r="AP10" s="442"/>
      <c r="AQ10" s="441"/>
      <c r="AR10" s="442"/>
      <c r="AS10" s="441"/>
      <c r="AT10" s="442"/>
    </row>
    <row r="11" spans="2:46" ht="50.1" customHeight="1" thickBot="1" x14ac:dyDescent="0.35">
      <c r="B11" s="450" t="s">
        <v>5</v>
      </c>
      <c r="C11" s="451"/>
      <c r="D11" s="452"/>
      <c r="E11" s="441"/>
      <c r="F11" s="442"/>
      <c r="G11" s="441"/>
      <c r="H11" s="442"/>
      <c r="I11" s="441"/>
      <c r="J11" s="442"/>
      <c r="K11" s="72"/>
      <c r="L11" s="72"/>
      <c r="M11" s="441"/>
      <c r="N11" s="442"/>
      <c r="O11" s="441"/>
      <c r="P11" s="442"/>
      <c r="Q11" s="441"/>
      <c r="R11" s="442"/>
      <c r="S11" s="441"/>
      <c r="T11" s="442"/>
      <c r="U11" s="441"/>
      <c r="V11" s="442"/>
      <c r="W11" s="441"/>
      <c r="X11" s="442"/>
      <c r="Y11" s="441"/>
      <c r="Z11" s="442"/>
      <c r="AA11" s="441"/>
      <c r="AB11" s="442"/>
      <c r="AC11" s="441"/>
      <c r="AD11" s="442"/>
      <c r="AE11" s="441"/>
      <c r="AF11" s="442"/>
      <c r="AG11" s="441"/>
      <c r="AH11" s="442"/>
      <c r="AI11" s="441"/>
      <c r="AJ11" s="442"/>
      <c r="AK11" s="441"/>
      <c r="AL11" s="442"/>
      <c r="AM11" s="441"/>
      <c r="AN11" s="442"/>
      <c r="AO11" s="441"/>
      <c r="AP11" s="442"/>
      <c r="AQ11" s="441"/>
      <c r="AR11" s="442"/>
      <c r="AS11" s="441"/>
      <c r="AT11" s="442"/>
    </row>
    <row r="12" spans="2:46" ht="18" customHeight="1" thickTop="1" x14ac:dyDescent="0.6">
      <c r="B12" s="453" t="s">
        <v>6</v>
      </c>
      <c r="C12" s="98"/>
      <c r="D12" s="73"/>
      <c r="E12" s="74"/>
      <c r="F12" s="456"/>
      <c r="G12" s="457"/>
      <c r="H12" s="456"/>
      <c r="I12" s="457"/>
      <c r="J12" s="456"/>
      <c r="K12" s="457"/>
      <c r="L12" s="456"/>
      <c r="M12" s="457"/>
      <c r="N12" s="456"/>
      <c r="O12" s="457"/>
      <c r="P12" s="456"/>
      <c r="Q12" s="457"/>
      <c r="R12" s="456"/>
      <c r="S12" s="457"/>
      <c r="T12" s="456"/>
      <c r="U12" s="457"/>
      <c r="V12" s="456"/>
      <c r="W12" s="457"/>
      <c r="X12" s="456"/>
      <c r="Y12" s="457"/>
      <c r="Z12" s="456"/>
      <c r="AA12" s="457"/>
      <c r="AB12" s="456"/>
      <c r="AC12" s="457"/>
      <c r="AD12" s="456"/>
      <c r="AE12" s="457"/>
      <c r="AF12" s="456"/>
      <c r="AG12" s="457"/>
      <c r="AH12" s="456"/>
      <c r="AI12" s="457"/>
      <c r="AJ12" s="456"/>
      <c r="AK12" s="457"/>
      <c r="AL12" s="456"/>
      <c r="AM12" s="457"/>
      <c r="AN12" s="456"/>
      <c r="AO12" s="457"/>
      <c r="AP12" s="456"/>
      <c r="AQ12" s="457"/>
      <c r="AR12" s="456"/>
      <c r="AS12" s="457"/>
      <c r="AT12" s="93"/>
    </row>
    <row r="13" spans="2:46" ht="18" customHeight="1" thickBot="1" x14ac:dyDescent="0.35">
      <c r="B13" s="454"/>
      <c r="C13" s="458">
        <f>'Plot Data'!H64</f>
        <v>22.684278715471383</v>
      </c>
      <c r="D13" s="5"/>
      <c r="E13" s="6"/>
      <c r="F13" s="461"/>
      <c r="G13" s="462"/>
      <c r="H13" s="461"/>
      <c r="I13" s="462"/>
      <c r="J13" s="461"/>
      <c r="K13" s="462"/>
      <c r="L13" s="461"/>
      <c r="M13" s="462"/>
      <c r="N13" s="461"/>
      <c r="O13" s="462"/>
      <c r="P13" s="461"/>
      <c r="Q13" s="462"/>
      <c r="R13" s="461"/>
      <c r="S13" s="462"/>
      <c r="T13" s="461"/>
      <c r="U13" s="462"/>
      <c r="V13" s="461"/>
      <c r="W13" s="462"/>
      <c r="X13" s="461"/>
      <c r="Y13" s="462"/>
      <c r="Z13" s="461"/>
      <c r="AA13" s="462"/>
      <c r="AB13" s="461"/>
      <c r="AC13" s="462"/>
      <c r="AD13" s="461"/>
      <c r="AE13" s="462"/>
      <c r="AF13" s="461"/>
      <c r="AG13" s="462"/>
      <c r="AH13" s="461"/>
      <c r="AI13" s="462"/>
      <c r="AJ13" s="461"/>
      <c r="AK13" s="462"/>
      <c r="AL13" s="461"/>
      <c r="AM13" s="462"/>
      <c r="AN13" s="461"/>
      <c r="AO13" s="462"/>
      <c r="AP13" s="461"/>
      <c r="AQ13" s="462"/>
      <c r="AR13" s="461"/>
      <c r="AS13" s="462"/>
      <c r="AT13" s="463" t="s">
        <v>48</v>
      </c>
    </row>
    <row r="14" spans="2:46" ht="18" customHeight="1" thickTop="1" x14ac:dyDescent="0.3">
      <c r="B14" s="454"/>
      <c r="C14" s="458"/>
      <c r="D14" s="7"/>
      <c r="E14" s="8"/>
      <c r="F14" s="459"/>
      <c r="G14" s="460"/>
      <c r="H14" s="459"/>
      <c r="I14" s="460"/>
      <c r="J14" s="459"/>
      <c r="K14" s="460"/>
      <c r="L14" s="459"/>
      <c r="M14" s="460"/>
      <c r="N14" s="459"/>
      <c r="O14" s="460"/>
      <c r="P14" s="459"/>
      <c r="Q14" s="460"/>
      <c r="R14" s="459"/>
      <c r="S14" s="460"/>
      <c r="T14" s="459"/>
      <c r="U14" s="460"/>
      <c r="V14" s="459"/>
      <c r="W14" s="460"/>
      <c r="X14" s="459"/>
      <c r="Y14" s="460"/>
      <c r="Z14" s="459"/>
      <c r="AA14" s="460"/>
      <c r="AB14" s="459"/>
      <c r="AC14" s="460"/>
      <c r="AD14" s="459"/>
      <c r="AE14" s="460"/>
      <c r="AF14" s="459"/>
      <c r="AG14" s="460"/>
      <c r="AH14" s="459"/>
      <c r="AI14" s="460"/>
      <c r="AJ14" s="459"/>
      <c r="AK14" s="460"/>
      <c r="AL14" s="459"/>
      <c r="AM14" s="460"/>
      <c r="AN14" s="459"/>
      <c r="AO14" s="460"/>
      <c r="AP14" s="459"/>
      <c r="AQ14" s="460"/>
      <c r="AR14" s="459"/>
      <c r="AS14" s="460"/>
      <c r="AT14" s="464"/>
    </row>
    <row r="15" spans="2:46" ht="18" customHeight="1" x14ac:dyDescent="0.6">
      <c r="B15" s="454"/>
      <c r="C15" s="458">
        <f>C19+(C13-C19)/2</f>
        <v>22.60166083432139</v>
      </c>
      <c r="D15" s="13"/>
      <c r="E15" s="8"/>
      <c r="F15" s="459"/>
      <c r="G15" s="460"/>
      <c r="H15" s="459"/>
      <c r="I15" s="460"/>
      <c r="J15" s="459"/>
      <c r="K15" s="460"/>
      <c r="L15" s="459"/>
      <c r="M15" s="460"/>
      <c r="N15" s="459"/>
      <c r="O15" s="460"/>
      <c r="P15" s="459"/>
      <c r="Q15" s="460"/>
      <c r="R15" s="459"/>
      <c r="S15" s="460"/>
      <c r="T15" s="459"/>
      <c r="U15" s="460"/>
      <c r="V15" s="459"/>
      <c r="W15" s="460"/>
      <c r="X15" s="459"/>
      <c r="Y15" s="460"/>
      <c r="Z15" s="459"/>
      <c r="AA15" s="460"/>
      <c r="AB15" s="459"/>
      <c r="AC15" s="460"/>
      <c r="AD15" s="459"/>
      <c r="AE15" s="460"/>
      <c r="AF15" s="459"/>
      <c r="AG15" s="460"/>
      <c r="AH15" s="459"/>
      <c r="AI15" s="460"/>
      <c r="AJ15" s="459"/>
      <c r="AK15" s="460"/>
      <c r="AL15" s="459"/>
      <c r="AM15" s="460"/>
      <c r="AN15" s="459"/>
      <c r="AO15" s="460"/>
      <c r="AP15" s="459"/>
      <c r="AQ15" s="460"/>
      <c r="AR15" s="459"/>
      <c r="AS15" s="460"/>
      <c r="AT15" s="94"/>
    </row>
    <row r="16" spans="2:46" ht="18" customHeight="1" x14ac:dyDescent="0.6">
      <c r="B16" s="454"/>
      <c r="C16" s="458"/>
      <c r="D16" s="3"/>
      <c r="E16" s="8"/>
      <c r="F16" s="459"/>
      <c r="G16" s="460"/>
      <c r="H16" s="459"/>
      <c r="I16" s="460"/>
      <c r="J16" s="459"/>
      <c r="K16" s="460"/>
      <c r="L16" s="459"/>
      <c r="M16" s="460"/>
      <c r="N16" s="459"/>
      <c r="O16" s="460"/>
      <c r="P16" s="459"/>
      <c r="Q16" s="460"/>
      <c r="R16" s="459"/>
      <c r="S16" s="460"/>
      <c r="T16" s="459"/>
      <c r="U16" s="460"/>
      <c r="V16" s="459"/>
      <c r="W16" s="460"/>
      <c r="X16" s="459"/>
      <c r="Y16" s="460"/>
      <c r="Z16" s="459"/>
      <c r="AA16" s="460"/>
      <c r="AB16" s="459"/>
      <c r="AC16" s="460"/>
      <c r="AD16" s="459"/>
      <c r="AE16" s="460"/>
      <c r="AF16" s="459"/>
      <c r="AG16" s="460"/>
      <c r="AH16" s="459"/>
      <c r="AI16" s="460"/>
      <c r="AJ16" s="459"/>
      <c r="AK16" s="460"/>
      <c r="AL16" s="459"/>
      <c r="AM16" s="460"/>
      <c r="AN16" s="459"/>
      <c r="AO16" s="460"/>
      <c r="AP16" s="459"/>
      <c r="AQ16" s="460"/>
      <c r="AR16" s="459"/>
      <c r="AS16" s="460"/>
      <c r="AT16" s="94"/>
    </row>
    <row r="17" spans="2:46" ht="18" customHeight="1" x14ac:dyDescent="0.6">
      <c r="B17" s="454"/>
      <c r="C17" s="458"/>
      <c r="D17" s="3"/>
      <c r="E17" s="8"/>
      <c r="F17" s="459"/>
      <c r="G17" s="460"/>
      <c r="H17" s="459"/>
      <c r="I17" s="460"/>
      <c r="J17" s="459"/>
      <c r="K17" s="460"/>
      <c r="L17" s="459"/>
      <c r="M17" s="460"/>
      <c r="N17" s="459"/>
      <c r="O17" s="460"/>
      <c r="P17" s="459"/>
      <c r="Q17" s="460"/>
      <c r="R17" s="459"/>
      <c r="S17" s="460"/>
      <c r="T17" s="459"/>
      <c r="U17" s="460"/>
      <c r="V17" s="459"/>
      <c r="W17" s="460"/>
      <c r="X17" s="459"/>
      <c r="Y17" s="460"/>
      <c r="Z17" s="459"/>
      <c r="AA17" s="460"/>
      <c r="AB17" s="459"/>
      <c r="AC17" s="460"/>
      <c r="AD17" s="459"/>
      <c r="AE17" s="460"/>
      <c r="AF17" s="459"/>
      <c r="AG17" s="460"/>
      <c r="AH17" s="459"/>
      <c r="AI17" s="460"/>
      <c r="AJ17" s="459"/>
      <c r="AK17" s="460"/>
      <c r="AL17" s="459"/>
      <c r="AM17" s="460"/>
      <c r="AN17" s="459"/>
      <c r="AO17" s="460"/>
      <c r="AP17" s="459"/>
      <c r="AQ17" s="460"/>
      <c r="AR17" s="459"/>
      <c r="AS17" s="460"/>
      <c r="AT17" s="94"/>
    </row>
    <row r="18" spans="2:46" ht="18" customHeight="1" x14ac:dyDescent="0.6">
      <c r="B18" s="454"/>
      <c r="C18" s="458"/>
      <c r="D18" s="7"/>
      <c r="E18" s="8"/>
      <c r="F18" s="459"/>
      <c r="G18" s="460"/>
      <c r="H18" s="459"/>
      <c r="I18" s="460"/>
      <c r="J18" s="459"/>
      <c r="K18" s="460"/>
      <c r="L18" s="459"/>
      <c r="M18" s="460"/>
      <c r="N18" s="459"/>
      <c r="O18" s="460"/>
      <c r="P18" s="459"/>
      <c r="Q18" s="460"/>
      <c r="R18" s="459"/>
      <c r="S18" s="460"/>
      <c r="T18" s="459"/>
      <c r="U18" s="460"/>
      <c r="V18" s="459"/>
      <c r="W18" s="460"/>
      <c r="X18" s="459"/>
      <c r="Y18" s="460"/>
      <c r="Z18" s="459"/>
      <c r="AA18" s="460"/>
      <c r="AB18" s="459"/>
      <c r="AC18" s="460"/>
      <c r="AD18" s="459"/>
      <c r="AE18" s="460"/>
      <c r="AF18" s="459"/>
      <c r="AG18" s="460"/>
      <c r="AH18" s="459"/>
      <c r="AI18" s="460"/>
      <c r="AJ18" s="459"/>
      <c r="AK18" s="460"/>
      <c r="AL18" s="459"/>
      <c r="AM18" s="460"/>
      <c r="AN18" s="459"/>
      <c r="AO18" s="460"/>
      <c r="AP18" s="459"/>
      <c r="AQ18" s="460"/>
      <c r="AR18" s="459"/>
      <c r="AS18" s="460"/>
      <c r="AT18" s="94"/>
    </row>
    <row r="19" spans="2:46" ht="18" customHeight="1" thickBot="1" x14ac:dyDescent="0.35">
      <c r="B19" s="454"/>
      <c r="C19" s="458">
        <f>'Plot Data'!H62</f>
        <v>22.519042953171397</v>
      </c>
      <c r="D19" s="9"/>
      <c r="E19" s="10"/>
      <c r="F19" s="11"/>
      <c r="G19" s="12"/>
      <c r="H19" s="11"/>
      <c r="I19" s="12"/>
      <c r="J19" s="11"/>
      <c r="K19" s="12"/>
      <c r="L19" s="11"/>
      <c r="M19" s="12"/>
      <c r="N19" s="11"/>
      <c r="O19" s="12"/>
      <c r="P19" s="11"/>
      <c r="Q19" s="12"/>
      <c r="R19" s="11"/>
      <c r="S19" s="12"/>
      <c r="T19" s="11"/>
      <c r="U19" s="12"/>
      <c r="V19" s="11"/>
      <c r="W19" s="12"/>
      <c r="X19" s="11"/>
      <c r="Y19" s="12"/>
      <c r="Z19" s="11"/>
      <c r="AA19" s="12"/>
      <c r="AB19" s="11"/>
      <c r="AC19" s="12"/>
      <c r="AD19" s="11"/>
      <c r="AE19" s="12"/>
      <c r="AF19" s="11"/>
      <c r="AG19" s="12"/>
      <c r="AH19" s="11"/>
      <c r="AI19" s="12"/>
      <c r="AJ19" s="11"/>
      <c r="AK19" s="12"/>
      <c r="AL19" s="11"/>
      <c r="AM19" s="12"/>
      <c r="AN19" s="11"/>
      <c r="AO19" s="12"/>
      <c r="AP19" s="11"/>
      <c r="AQ19" s="12"/>
      <c r="AR19" s="11"/>
      <c r="AS19" s="12"/>
      <c r="AT19" s="463" t="s">
        <v>47</v>
      </c>
    </row>
    <row r="20" spans="2:46" ht="18" customHeight="1" x14ac:dyDescent="0.3">
      <c r="B20" s="454"/>
      <c r="C20" s="458"/>
      <c r="D20" s="7"/>
      <c r="E20" s="8"/>
      <c r="F20" s="459"/>
      <c r="G20" s="460"/>
      <c r="H20" s="459"/>
      <c r="I20" s="460"/>
      <c r="J20" s="459"/>
      <c r="K20" s="460"/>
      <c r="L20" s="459"/>
      <c r="M20" s="460"/>
      <c r="N20" s="459"/>
      <c r="O20" s="460"/>
      <c r="P20" s="459"/>
      <c r="Q20" s="460"/>
      <c r="R20" s="459"/>
      <c r="S20" s="460"/>
      <c r="T20" s="459"/>
      <c r="U20" s="460"/>
      <c r="V20" s="459"/>
      <c r="W20" s="460"/>
      <c r="X20" s="459"/>
      <c r="Y20" s="460"/>
      <c r="Z20" s="459"/>
      <c r="AA20" s="460"/>
      <c r="AB20" s="459"/>
      <c r="AC20" s="460"/>
      <c r="AD20" s="459"/>
      <c r="AE20" s="460"/>
      <c r="AF20" s="459"/>
      <c r="AG20" s="460"/>
      <c r="AH20" s="459"/>
      <c r="AI20" s="460"/>
      <c r="AJ20" s="459"/>
      <c r="AK20" s="460"/>
      <c r="AL20" s="459"/>
      <c r="AM20" s="460"/>
      <c r="AN20" s="459"/>
      <c r="AO20" s="460"/>
      <c r="AP20" s="459"/>
      <c r="AQ20" s="460"/>
      <c r="AR20" s="459"/>
      <c r="AS20" s="460"/>
      <c r="AT20" s="464"/>
    </row>
    <row r="21" spans="2:46" ht="18" customHeight="1" x14ac:dyDescent="0.6">
      <c r="B21" s="454"/>
      <c r="C21" s="458">
        <f>C25+(C19-C25)/2</f>
        <v>22.436425072021407</v>
      </c>
      <c r="D21" s="13"/>
      <c r="E21" s="8"/>
      <c r="F21" s="459"/>
      <c r="G21" s="460"/>
      <c r="H21" s="459"/>
      <c r="I21" s="460"/>
      <c r="J21" s="459"/>
      <c r="K21" s="460"/>
      <c r="L21" s="459"/>
      <c r="M21" s="460"/>
      <c r="N21" s="459"/>
      <c r="O21" s="460"/>
      <c r="P21" s="459"/>
      <c r="Q21" s="460"/>
      <c r="R21" s="459"/>
      <c r="S21" s="460"/>
      <c r="T21" s="459"/>
      <c r="U21" s="460"/>
      <c r="V21" s="459"/>
      <c r="W21" s="460"/>
      <c r="X21" s="459"/>
      <c r="Y21" s="460"/>
      <c r="Z21" s="459"/>
      <c r="AA21" s="460"/>
      <c r="AB21" s="459"/>
      <c r="AC21" s="460"/>
      <c r="AD21" s="459"/>
      <c r="AE21" s="460"/>
      <c r="AF21" s="459"/>
      <c r="AG21" s="460"/>
      <c r="AH21" s="459"/>
      <c r="AI21" s="460"/>
      <c r="AJ21" s="459"/>
      <c r="AK21" s="460"/>
      <c r="AL21" s="459"/>
      <c r="AM21" s="460"/>
      <c r="AN21" s="459"/>
      <c r="AO21" s="460"/>
      <c r="AP21" s="459"/>
      <c r="AQ21" s="460"/>
      <c r="AR21" s="459"/>
      <c r="AS21" s="460"/>
      <c r="AT21" s="94"/>
    </row>
    <row r="22" spans="2:46" ht="18" customHeight="1" x14ac:dyDescent="0.6">
      <c r="B22" s="454"/>
      <c r="C22" s="458"/>
      <c r="D22" s="3"/>
      <c r="E22" s="8"/>
      <c r="F22" s="459"/>
      <c r="G22" s="460"/>
      <c r="H22" s="459"/>
      <c r="I22" s="460"/>
      <c r="J22" s="459"/>
      <c r="K22" s="460"/>
      <c r="L22" s="459"/>
      <c r="M22" s="460"/>
      <c r="N22" s="459"/>
      <c r="O22" s="460"/>
      <c r="P22" s="459"/>
      <c r="Q22" s="460"/>
      <c r="R22" s="459"/>
      <c r="S22" s="460"/>
      <c r="T22" s="459"/>
      <c r="U22" s="460"/>
      <c r="V22" s="459"/>
      <c r="W22" s="460"/>
      <c r="X22" s="459"/>
      <c r="Y22" s="460"/>
      <c r="Z22" s="459"/>
      <c r="AA22" s="460"/>
      <c r="AB22" s="459"/>
      <c r="AC22" s="460"/>
      <c r="AD22" s="459"/>
      <c r="AE22" s="460"/>
      <c r="AF22" s="459"/>
      <c r="AG22" s="460"/>
      <c r="AH22" s="459"/>
      <c r="AI22" s="460"/>
      <c r="AJ22" s="459"/>
      <c r="AK22" s="460"/>
      <c r="AL22" s="459"/>
      <c r="AM22" s="460"/>
      <c r="AN22" s="459"/>
      <c r="AO22" s="460"/>
      <c r="AP22" s="459"/>
      <c r="AQ22" s="460"/>
      <c r="AR22" s="459"/>
      <c r="AS22" s="460"/>
      <c r="AT22" s="94"/>
    </row>
    <row r="23" spans="2:46" ht="18" customHeight="1" x14ac:dyDescent="0.6">
      <c r="B23" s="454"/>
      <c r="C23" s="458"/>
      <c r="D23" s="3"/>
      <c r="E23" s="8"/>
      <c r="F23" s="459"/>
      <c r="G23" s="460"/>
      <c r="H23" s="459"/>
      <c r="I23" s="460"/>
      <c r="J23" s="459"/>
      <c r="K23" s="460"/>
      <c r="L23" s="459"/>
      <c r="M23" s="460"/>
      <c r="N23" s="459"/>
      <c r="O23" s="460"/>
      <c r="P23" s="459"/>
      <c r="Q23" s="460"/>
      <c r="R23" s="459"/>
      <c r="S23" s="460"/>
      <c r="T23" s="459"/>
      <c r="U23" s="460"/>
      <c r="V23" s="459"/>
      <c r="W23" s="460"/>
      <c r="X23" s="459"/>
      <c r="Y23" s="460"/>
      <c r="Z23" s="459"/>
      <c r="AA23" s="460"/>
      <c r="AB23" s="459"/>
      <c r="AC23" s="460"/>
      <c r="AD23" s="459"/>
      <c r="AE23" s="460"/>
      <c r="AF23" s="459"/>
      <c r="AG23" s="460"/>
      <c r="AH23" s="459"/>
      <c r="AI23" s="460"/>
      <c r="AJ23" s="459"/>
      <c r="AK23" s="460"/>
      <c r="AL23" s="459"/>
      <c r="AM23" s="460"/>
      <c r="AN23" s="459"/>
      <c r="AO23" s="460"/>
      <c r="AP23" s="459"/>
      <c r="AQ23" s="460"/>
      <c r="AR23" s="459"/>
      <c r="AS23" s="460"/>
      <c r="AT23" s="94"/>
    </row>
    <row r="24" spans="2:46" ht="18" customHeight="1" x14ac:dyDescent="0.6">
      <c r="B24" s="454"/>
      <c r="C24" s="458"/>
      <c r="D24" s="7"/>
      <c r="E24" s="8"/>
      <c r="F24" s="459"/>
      <c r="G24" s="460"/>
      <c r="H24" s="459"/>
      <c r="I24" s="460"/>
      <c r="J24" s="459"/>
      <c r="K24" s="460"/>
      <c r="L24" s="459"/>
      <c r="M24" s="460"/>
      <c r="N24" s="459"/>
      <c r="O24" s="460"/>
      <c r="P24" s="459"/>
      <c r="Q24" s="460"/>
      <c r="R24" s="459"/>
      <c r="S24" s="460"/>
      <c r="T24" s="459"/>
      <c r="U24" s="460"/>
      <c r="V24" s="459"/>
      <c r="W24" s="460"/>
      <c r="X24" s="459"/>
      <c r="Y24" s="460"/>
      <c r="Z24" s="459"/>
      <c r="AA24" s="460"/>
      <c r="AB24" s="459"/>
      <c r="AC24" s="460"/>
      <c r="AD24" s="459"/>
      <c r="AE24" s="460"/>
      <c r="AF24" s="459"/>
      <c r="AG24" s="460"/>
      <c r="AH24" s="459"/>
      <c r="AI24" s="460"/>
      <c r="AJ24" s="459"/>
      <c r="AK24" s="460"/>
      <c r="AL24" s="459"/>
      <c r="AM24" s="460"/>
      <c r="AN24" s="459"/>
      <c r="AO24" s="460"/>
      <c r="AP24" s="459"/>
      <c r="AQ24" s="460"/>
      <c r="AR24" s="459"/>
      <c r="AS24" s="460"/>
      <c r="AT24" s="94"/>
    </row>
    <row r="25" spans="2:46" ht="18" customHeight="1" x14ac:dyDescent="0.6">
      <c r="B25" s="454"/>
      <c r="C25" s="458">
        <f>'Plot Data'!H63</f>
        <v>22.353807190871414</v>
      </c>
      <c r="D25" s="13"/>
      <c r="E25" s="8"/>
      <c r="F25" s="459"/>
      <c r="G25" s="460"/>
      <c r="H25" s="459"/>
      <c r="I25" s="460"/>
      <c r="J25" s="459"/>
      <c r="K25" s="460"/>
      <c r="L25" s="459"/>
      <c r="M25" s="460"/>
      <c r="N25" s="459"/>
      <c r="O25" s="460"/>
      <c r="P25" s="459"/>
      <c r="Q25" s="460"/>
      <c r="R25" s="459"/>
      <c r="S25" s="460"/>
      <c r="T25" s="459"/>
      <c r="U25" s="460"/>
      <c r="V25" s="459"/>
      <c r="W25" s="460"/>
      <c r="X25" s="459"/>
      <c r="Y25" s="460"/>
      <c r="Z25" s="459"/>
      <c r="AA25" s="460"/>
      <c r="AB25" s="459"/>
      <c r="AC25" s="460"/>
      <c r="AD25" s="459"/>
      <c r="AE25" s="460"/>
      <c r="AF25" s="459"/>
      <c r="AG25" s="460"/>
      <c r="AH25" s="459"/>
      <c r="AI25" s="460"/>
      <c r="AJ25" s="459"/>
      <c r="AK25" s="460"/>
      <c r="AL25" s="459"/>
      <c r="AM25" s="460"/>
      <c r="AN25" s="459"/>
      <c r="AO25" s="460"/>
      <c r="AP25" s="459"/>
      <c r="AQ25" s="460"/>
      <c r="AR25" s="459"/>
      <c r="AS25" s="460"/>
      <c r="AT25" s="94"/>
    </row>
    <row r="26" spans="2:46" ht="18" customHeight="1" x14ac:dyDescent="0.6">
      <c r="B26" s="454"/>
      <c r="C26" s="458"/>
      <c r="D26" s="7"/>
      <c r="E26" s="8"/>
      <c r="F26" s="459"/>
      <c r="G26" s="460"/>
      <c r="H26" s="459"/>
      <c r="I26" s="460"/>
      <c r="J26" s="459"/>
      <c r="K26" s="460"/>
      <c r="L26" s="459"/>
      <c r="M26" s="460"/>
      <c r="N26" s="459"/>
      <c r="O26" s="460"/>
      <c r="P26" s="459"/>
      <c r="Q26" s="460"/>
      <c r="R26" s="459"/>
      <c r="S26" s="460"/>
      <c r="T26" s="459"/>
      <c r="U26" s="460"/>
      <c r="V26" s="459"/>
      <c r="W26" s="460"/>
      <c r="X26" s="459"/>
      <c r="Y26" s="460"/>
      <c r="Z26" s="459"/>
      <c r="AA26" s="460"/>
      <c r="AB26" s="459"/>
      <c r="AC26" s="460"/>
      <c r="AD26" s="459"/>
      <c r="AE26" s="460"/>
      <c r="AF26" s="459"/>
      <c r="AG26" s="460"/>
      <c r="AH26" s="459"/>
      <c r="AI26" s="460"/>
      <c r="AJ26" s="459"/>
      <c r="AK26" s="460"/>
      <c r="AL26" s="459"/>
      <c r="AM26" s="460"/>
      <c r="AN26" s="459"/>
      <c r="AO26" s="460"/>
      <c r="AP26" s="459"/>
      <c r="AQ26" s="460"/>
      <c r="AR26" s="459"/>
      <c r="AS26" s="460"/>
      <c r="AT26" s="94"/>
    </row>
    <row r="27" spans="2:46" ht="18" customHeight="1" x14ac:dyDescent="0.6">
      <c r="B27" s="454"/>
      <c r="C27" s="458">
        <f>C31+(C25-C31)/2</f>
        <v>22.271189309721422</v>
      </c>
      <c r="D27" s="13"/>
      <c r="E27" s="8"/>
      <c r="F27" s="459"/>
      <c r="G27" s="460"/>
      <c r="H27" s="459"/>
      <c r="I27" s="460"/>
      <c r="J27" s="459"/>
      <c r="K27" s="460"/>
      <c r="L27" s="459"/>
      <c r="M27" s="460"/>
      <c r="N27" s="459"/>
      <c r="O27" s="460"/>
      <c r="P27" s="459"/>
      <c r="Q27" s="460"/>
      <c r="R27" s="459"/>
      <c r="S27" s="460"/>
      <c r="T27" s="459"/>
      <c r="U27" s="460"/>
      <c r="V27" s="459"/>
      <c r="W27" s="460"/>
      <c r="X27" s="459"/>
      <c r="Y27" s="460"/>
      <c r="Z27" s="459"/>
      <c r="AA27" s="460"/>
      <c r="AB27" s="459"/>
      <c r="AC27" s="460"/>
      <c r="AD27" s="459"/>
      <c r="AE27" s="460"/>
      <c r="AF27" s="459"/>
      <c r="AG27" s="460"/>
      <c r="AH27" s="459"/>
      <c r="AI27" s="460"/>
      <c r="AJ27" s="459"/>
      <c r="AK27" s="460"/>
      <c r="AL27" s="459"/>
      <c r="AM27" s="460"/>
      <c r="AN27" s="459"/>
      <c r="AO27" s="460"/>
      <c r="AP27" s="459"/>
      <c r="AQ27" s="460"/>
      <c r="AR27" s="459"/>
      <c r="AS27" s="460"/>
      <c r="AT27" s="94"/>
    </row>
    <row r="28" spans="2:46" ht="18" customHeight="1" x14ac:dyDescent="0.6">
      <c r="B28" s="454"/>
      <c r="C28" s="458"/>
      <c r="D28" s="3"/>
      <c r="E28" s="8"/>
      <c r="F28" s="459"/>
      <c r="G28" s="460"/>
      <c r="H28" s="459"/>
      <c r="I28" s="460"/>
      <c r="J28" s="459"/>
      <c r="K28" s="460"/>
      <c r="L28" s="459"/>
      <c r="M28" s="460"/>
      <c r="N28" s="459"/>
      <c r="O28" s="460"/>
      <c r="P28" s="459"/>
      <c r="Q28" s="460"/>
      <c r="R28" s="459"/>
      <c r="S28" s="460"/>
      <c r="T28" s="459"/>
      <c r="U28" s="460"/>
      <c r="V28" s="459"/>
      <c r="W28" s="460"/>
      <c r="X28" s="459"/>
      <c r="Y28" s="460"/>
      <c r="Z28" s="459"/>
      <c r="AA28" s="460"/>
      <c r="AB28" s="459"/>
      <c r="AC28" s="460"/>
      <c r="AD28" s="459"/>
      <c r="AE28" s="460"/>
      <c r="AF28" s="459"/>
      <c r="AG28" s="460"/>
      <c r="AH28" s="459"/>
      <c r="AI28" s="460"/>
      <c r="AJ28" s="459"/>
      <c r="AK28" s="460"/>
      <c r="AL28" s="459"/>
      <c r="AM28" s="460"/>
      <c r="AN28" s="459"/>
      <c r="AO28" s="460"/>
      <c r="AP28" s="459"/>
      <c r="AQ28" s="460"/>
      <c r="AR28" s="459"/>
      <c r="AS28" s="460"/>
      <c r="AT28" s="94"/>
    </row>
    <row r="29" spans="2:46" ht="18" customHeight="1" x14ac:dyDescent="0.6">
      <c r="B29" s="454"/>
      <c r="C29" s="458"/>
      <c r="D29" s="3"/>
      <c r="E29" s="8"/>
      <c r="F29" s="459"/>
      <c r="G29" s="460"/>
      <c r="H29" s="459"/>
      <c r="I29" s="460"/>
      <c r="J29" s="459"/>
      <c r="K29" s="460"/>
      <c r="L29" s="459"/>
      <c r="M29" s="460"/>
      <c r="N29" s="459"/>
      <c r="O29" s="460"/>
      <c r="P29" s="459"/>
      <c r="Q29" s="460"/>
      <c r="R29" s="459"/>
      <c r="S29" s="460"/>
      <c r="T29" s="459"/>
      <c r="U29" s="460"/>
      <c r="V29" s="459"/>
      <c r="W29" s="460"/>
      <c r="X29" s="459"/>
      <c r="Y29" s="460"/>
      <c r="Z29" s="459"/>
      <c r="AA29" s="460"/>
      <c r="AB29" s="459"/>
      <c r="AC29" s="460"/>
      <c r="AD29" s="459"/>
      <c r="AE29" s="460"/>
      <c r="AF29" s="459"/>
      <c r="AG29" s="460"/>
      <c r="AH29" s="459"/>
      <c r="AI29" s="460"/>
      <c r="AJ29" s="459"/>
      <c r="AK29" s="460"/>
      <c r="AL29" s="459"/>
      <c r="AM29" s="460"/>
      <c r="AN29" s="459"/>
      <c r="AO29" s="460"/>
      <c r="AP29" s="459"/>
      <c r="AQ29" s="460"/>
      <c r="AR29" s="459"/>
      <c r="AS29" s="460"/>
      <c r="AT29" s="94"/>
    </row>
    <row r="30" spans="2:46" ht="18" customHeight="1" x14ac:dyDescent="0.6">
      <c r="B30" s="454"/>
      <c r="C30" s="458"/>
      <c r="D30" s="7"/>
      <c r="E30" s="8"/>
      <c r="F30" s="459"/>
      <c r="G30" s="460"/>
      <c r="H30" s="459"/>
      <c r="I30" s="460"/>
      <c r="J30" s="459"/>
      <c r="K30" s="460"/>
      <c r="L30" s="459"/>
      <c r="M30" s="460"/>
      <c r="N30" s="459"/>
      <c r="O30" s="460"/>
      <c r="P30" s="459"/>
      <c r="Q30" s="460"/>
      <c r="R30" s="459"/>
      <c r="S30" s="460"/>
      <c r="T30" s="459"/>
      <c r="U30" s="460"/>
      <c r="V30" s="459"/>
      <c r="W30" s="460"/>
      <c r="X30" s="459"/>
      <c r="Y30" s="460"/>
      <c r="Z30" s="459"/>
      <c r="AA30" s="460"/>
      <c r="AB30" s="459"/>
      <c r="AC30" s="460"/>
      <c r="AD30" s="459"/>
      <c r="AE30" s="460"/>
      <c r="AF30" s="459"/>
      <c r="AG30" s="460"/>
      <c r="AH30" s="459"/>
      <c r="AI30" s="460"/>
      <c r="AJ30" s="459"/>
      <c r="AK30" s="460"/>
      <c r="AL30" s="459"/>
      <c r="AM30" s="460"/>
      <c r="AN30" s="459"/>
      <c r="AO30" s="460"/>
      <c r="AP30" s="459"/>
      <c r="AQ30" s="460"/>
      <c r="AR30" s="459"/>
      <c r="AS30" s="460"/>
      <c r="AT30" s="94"/>
    </row>
    <row r="31" spans="2:46" ht="18" customHeight="1" thickBot="1" x14ac:dyDescent="0.35">
      <c r="B31" s="454"/>
      <c r="C31" s="458">
        <f>'Plot Data'!H58</f>
        <v>22.188571428571429</v>
      </c>
      <c r="D31" s="14"/>
      <c r="E31" s="15"/>
      <c r="F31" s="465"/>
      <c r="G31" s="466"/>
      <c r="H31" s="465"/>
      <c r="I31" s="466"/>
      <c r="J31" s="465"/>
      <c r="K31" s="466"/>
      <c r="L31" s="465"/>
      <c r="M31" s="466"/>
      <c r="N31" s="465"/>
      <c r="O31" s="466"/>
      <c r="P31" s="465"/>
      <c r="Q31" s="466"/>
      <c r="R31" s="465"/>
      <c r="S31" s="466"/>
      <c r="T31" s="465"/>
      <c r="U31" s="466"/>
      <c r="V31" s="465"/>
      <c r="W31" s="466"/>
      <c r="X31" s="465"/>
      <c r="Y31" s="466"/>
      <c r="Z31" s="465"/>
      <c r="AA31" s="466"/>
      <c r="AB31" s="465"/>
      <c r="AC31" s="466"/>
      <c r="AD31" s="465"/>
      <c r="AE31" s="466"/>
      <c r="AF31" s="465"/>
      <c r="AG31" s="466"/>
      <c r="AH31" s="465"/>
      <c r="AI31" s="466"/>
      <c r="AJ31" s="465"/>
      <c r="AK31" s="466"/>
      <c r="AL31" s="465"/>
      <c r="AM31" s="466"/>
      <c r="AN31" s="465"/>
      <c r="AO31" s="466"/>
      <c r="AP31" s="465"/>
      <c r="AQ31" s="466"/>
      <c r="AR31" s="465"/>
      <c r="AS31" s="466"/>
      <c r="AT31" s="469" t="s">
        <v>90</v>
      </c>
    </row>
    <row r="32" spans="2:46" ht="18" customHeight="1" x14ac:dyDescent="0.3">
      <c r="B32" s="454"/>
      <c r="C32" s="458"/>
      <c r="D32" s="16"/>
      <c r="E32" s="17"/>
      <c r="F32" s="467"/>
      <c r="G32" s="468"/>
      <c r="H32" s="467"/>
      <c r="I32" s="468"/>
      <c r="J32" s="467"/>
      <c r="K32" s="468"/>
      <c r="L32" s="467"/>
      <c r="M32" s="468"/>
      <c r="N32" s="467"/>
      <c r="O32" s="468"/>
      <c r="P32" s="467"/>
      <c r="Q32" s="468"/>
      <c r="R32" s="467"/>
      <c r="S32" s="468"/>
      <c r="T32" s="467"/>
      <c r="U32" s="468"/>
      <c r="V32" s="467"/>
      <c r="W32" s="468"/>
      <c r="X32" s="467"/>
      <c r="Y32" s="468"/>
      <c r="Z32" s="467"/>
      <c r="AA32" s="468"/>
      <c r="AB32" s="467"/>
      <c r="AC32" s="468"/>
      <c r="AD32" s="467"/>
      <c r="AE32" s="468"/>
      <c r="AF32" s="467"/>
      <c r="AG32" s="468"/>
      <c r="AH32" s="467"/>
      <c r="AI32" s="468"/>
      <c r="AJ32" s="467"/>
      <c r="AK32" s="468"/>
      <c r="AL32" s="467"/>
      <c r="AM32" s="468"/>
      <c r="AN32" s="467"/>
      <c r="AO32" s="468"/>
      <c r="AP32" s="467"/>
      <c r="AQ32" s="468"/>
      <c r="AR32" s="467"/>
      <c r="AS32" s="468"/>
      <c r="AT32" s="464"/>
    </row>
    <row r="33" spans="2:46" ht="18" customHeight="1" x14ac:dyDescent="0.6">
      <c r="B33" s="454"/>
      <c r="C33" s="458">
        <f>C37+(C31-C37)/2</f>
        <v>22.105953547421436</v>
      </c>
      <c r="D33" s="13"/>
      <c r="E33" s="8"/>
      <c r="F33" s="459"/>
      <c r="G33" s="460"/>
      <c r="H33" s="459"/>
      <c r="I33" s="460"/>
      <c r="J33" s="459"/>
      <c r="K33" s="460"/>
      <c r="L33" s="459"/>
      <c r="M33" s="460"/>
      <c r="N33" s="459"/>
      <c r="O33" s="460"/>
      <c r="P33" s="459"/>
      <c r="Q33" s="460"/>
      <c r="R33" s="459"/>
      <c r="S33" s="460"/>
      <c r="T33" s="459"/>
      <c r="U33" s="460"/>
      <c r="V33" s="459"/>
      <c r="W33" s="460"/>
      <c r="X33" s="459"/>
      <c r="Y33" s="460"/>
      <c r="Z33" s="459"/>
      <c r="AA33" s="460"/>
      <c r="AB33" s="459"/>
      <c r="AC33" s="460"/>
      <c r="AD33" s="459"/>
      <c r="AE33" s="460"/>
      <c r="AF33" s="459"/>
      <c r="AG33" s="460"/>
      <c r="AH33" s="459"/>
      <c r="AI33" s="460"/>
      <c r="AJ33" s="459"/>
      <c r="AK33" s="460"/>
      <c r="AL33" s="459"/>
      <c r="AM33" s="460"/>
      <c r="AN33" s="459"/>
      <c r="AO33" s="460"/>
      <c r="AP33" s="459"/>
      <c r="AQ33" s="460"/>
      <c r="AR33" s="459"/>
      <c r="AS33" s="460"/>
      <c r="AT33" s="94"/>
    </row>
    <row r="34" spans="2:46" ht="18" customHeight="1" x14ac:dyDescent="0.6">
      <c r="B34" s="454"/>
      <c r="C34" s="458"/>
      <c r="D34" s="13"/>
      <c r="E34" s="8"/>
      <c r="F34" s="459"/>
      <c r="G34" s="460"/>
      <c r="H34" s="459"/>
      <c r="I34" s="460"/>
      <c r="J34" s="459"/>
      <c r="K34" s="460"/>
      <c r="L34" s="459"/>
      <c r="M34" s="460"/>
      <c r="N34" s="459"/>
      <c r="O34" s="460"/>
      <c r="P34" s="459"/>
      <c r="Q34" s="460"/>
      <c r="R34" s="459"/>
      <c r="S34" s="460"/>
      <c r="T34" s="459"/>
      <c r="U34" s="460"/>
      <c r="V34" s="459"/>
      <c r="W34" s="460"/>
      <c r="X34" s="459"/>
      <c r="Y34" s="460"/>
      <c r="Z34" s="459"/>
      <c r="AA34" s="460"/>
      <c r="AB34" s="459"/>
      <c r="AC34" s="460"/>
      <c r="AD34" s="459"/>
      <c r="AE34" s="460"/>
      <c r="AF34" s="459"/>
      <c r="AG34" s="460"/>
      <c r="AH34" s="459"/>
      <c r="AI34" s="460"/>
      <c r="AJ34" s="459"/>
      <c r="AK34" s="460"/>
      <c r="AL34" s="459"/>
      <c r="AM34" s="460"/>
      <c r="AN34" s="459"/>
      <c r="AO34" s="460"/>
      <c r="AP34" s="459"/>
      <c r="AQ34" s="460"/>
      <c r="AR34" s="459"/>
      <c r="AS34" s="460"/>
      <c r="AT34" s="94"/>
    </row>
    <row r="35" spans="2:46" ht="18" customHeight="1" x14ac:dyDescent="0.6">
      <c r="B35" s="454"/>
      <c r="C35" s="458"/>
      <c r="D35" s="13"/>
      <c r="E35" s="8"/>
      <c r="F35" s="459"/>
      <c r="G35" s="460"/>
      <c r="H35" s="459"/>
      <c r="I35" s="460"/>
      <c r="J35" s="459"/>
      <c r="K35" s="460"/>
      <c r="L35" s="459"/>
      <c r="M35" s="460"/>
      <c r="N35" s="459"/>
      <c r="O35" s="460"/>
      <c r="P35" s="459"/>
      <c r="Q35" s="460"/>
      <c r="R35" s="459"/>
      <c r="S35" s="460"/>
      <c r="T35" s="459"/>
      <c r="U35" s="460"/>
      <c r="V35" s="459"/>
      <c r="W35" s="460"/>
      <c r="X35" s="459"/>
      <c r="Y35" s="460"/>
      <c r="Z35" s="459"/>
      <c r="AA35" s="460"/>
      <c r="AB35" s="459"/>
      <c r="AC35" s="460"/>
      <c r="AD35" s="459"/>
      <c r="AE35" s="460"/>
      <c r="AF35" s="459"/>
      <c r="AG35" s="460"/>
      <c r="AH35" s="459"/>
      <c r="AI35" s="460"/>
      <c r="AJ35" s="459"/>
      <c r="AK35" s="460"/>
      <c r="AL35" s="459"/>
      <c r="AM35" s="460"/>
      <c r="AN35" s="459"/>
      <c r="AO35" s="460"/>
      <c r="AP35" s="459"/>
      <c r="AQ35" s="460"/>
      <c r="AR35" s="459"/>
      <c r="AS35" s="460"/>
      <c r="AT35" s="94"/>
    </row>
    <row r="36" spans="2:46" ht="18" customHeight="1" x14ac:dyDescent="0.6">
      <c r="B36" s="454"/>
      <c r="C36" s="458"/>
      <c r="D36" s="92"/>
      <c r="E36" s="8"/>
      <c r="F36" s="459"/>
      <c r="G36" s="460"/>
      <c r="H36" s="459"/>
      <c r="I36" s="460"/>
      <c r="J36" s="459"/>
      <c r="K36" s="460"/>
      <c r="L36" s="459"/>
      <c r="M36" s="460"/>
      <c r="N36" s="459"/>
      <c r="O36" s="460"/>
      <c r="P36" s="459"/>
      <c r="Q36" s="460"/>
      <c r="R36" s="459"/>
      <c r="S36" s="460"/>
      <c r="T36" s="459"/>
      <c r="U36" s="460"/>
      <c r="V36" s="459"/>
      <c r="W36" s="460"/>
      <c r="X36" s="459"/>
      <c r="Y36" s="460"/>
      <c r="Z36" s="459"/>
      <c r="AA36" s="460"/>
      <c r="AB36" s="459"/>
      <c r="AC36" s="460"/>
      <c r="AD36" s="459"/>
      <c r="AE36" s="460"/>
      <c r="AF36" s="459"/>
      <c r="AG36" s="460"/>
      <c r="AH36" s="459"/>
      <c r="AI36" s="460"/>
      <c r="AJ36" s="459"/>
      <c r="AK36" s="460"/>
      <c r="AL36" s="459"/>
      <c r="AM36" s="460"/>
      <c r="AN36" s="459"/>
      <c r="AO36" s="460"/>
      <c r="AP36" s="459"/>
      <c r="AQ36" s="460"/>
      <c r="AR36" s="459"/>
      <c r="AS36" s="460"/>
      <c r="AT36" s="94"/>
    </row>
    <row r="37" spans="2:46" ht="18" customHeight="1" x14ac:dyDescent="0.6">
      <c r="B37" s="454"/>
      <c r="C37" s="458">
        <f>'Plot Data'!H66</f>
        <v>22.023335666271443</v>
      </c>
      <c r="D37" s="13"/>
      <c r="E37" s="8"/>
      <c r="F37" s="470"/>
      <c r="G37" s="471"/>
      <c r="H37" s="459"/>
      <c r="I37" s="460"/>
      <c r="J37" s="459"/>
      <c r="K37" s="460"/>
      <c r="L37" s="459"/>
      <c r="M37" s="460"/>
      <c r="N37" s="459"/>
      <c r="O37" s="460"/>
      <c r="P37" s="459"/>
      <c r="Q37" s="460"/>
      <c r="R37" s="459"/>
      <c r="S37" s="460"/>
      <c r="T37" s="459"/>
      <c r="U37" s="460"/>
      <c r="V37" s="459"/>
      <c r="W37" s="460"/>
      <c r="X37" s="459"/>
      <c r="Y37" s="460"/>
      <c r="Z37" s="459"/>
      <c r="AA37" s="460"/>
      <c r="AB37" s="459"/>
      <c r="AC37" s="460"/>
      <c r="AD37" s="459"/>
      <c r="AE37" s="460"/>
      <c r="AF37" s="459"/>
      <c r="AG37" s="460"/>
      <c r="AH37" s="459"/>
      <c r="AI37" s="460"/>
      <c r="AJ37" s="459"/>
      <c r="AK37" s="460"/>
      <c r="AL37" s="459"/>
      <c r="AM37" s="460"/>
      <c r="AN37" s="459"/>
      <c r="AO37" s="460"/>
      <c r="AP37" s="459"/>
      <c r="AQ37" s="460"/>
      <c r="AR37" s="459"/>
      <c r="AS37" s="460"/>
      <c r="AT37" s="94"/>
    </row>
    <row r="38" spans="2:46" ht="18" customHeight="1" x14ac:dyDescent="0.6">
      <c r="B38" s="454"/>
      <c r="C38" s="458"/>
      <c r="D38" s="7"/>
      <c r="E38" s="8"/>
      <c r="F38" s="459"/>
      <c r="G38" s="460"/>
      <c r="H38" s="459"/>
      <c r="I38" s="460"/>
      <c r="J38" s="459"/>
      <c r="K38" s="460"/>
      <c r="L38" s="459"/>
      <c r="M38" s="460"/>
      <c r="N38" s="459"/>
      <c r="O38" s="460"/>
      <c r="P38" s="459"/>
      <c r="Q38" s="460"/>
      <c r="R38" s="459"/>
      <c r="S38" s="460"/>
      <c r="T38" s="459"/>
      <c r="U38" s="460"/>
      <c r="V38" s="459"/>
      <c r="W38" s="460"/>
      <c r="X38" s="459"/>
      <c r="Y38" s="460"/>
      <c r="Z38" s="459"/>
      <c r="AA38" s="460"/>
      <c r="AB38" s="459"/>
      <c r="AC38" s="460"/>
      <c r="AD38" s="459"/>
      <c r="AE38" s="460"/>
      <c r="AF38" s="459"/>
      <c r="AG38" s="460"/>
      <c r="AH38" s="459"/>
      <c r="AI38" s="460"/>
      <c r="AJ38" s="459"/>
      <c r="AK38" s="460"/>
      <c r="AL38" s="459"/>
      <c r="AM38" s="460"/>
      <c r="AN38" s="459"/>
      <c r="AO38" s="460"/>
      <c r="AP38" s="459"/>
      <c r="AQ38" s="460"/>
      <c r="AR38" s="459"/>
      <c r="AS38" s="460"/>
      <c r="AT38" s="94"/>
    </row>
    <row r="39" spans="2:46" ht="18" customHeight="1" x14ac:dyDescent="0.6">
      <c r="B39" s="454"/>
      <c r="C39" s="458">
        <f>C43+(C37-C43)/2</f>
        <v>21.94071778512145</v>
      </c>
      <c r="D39" s="13"/>
      <c r="E39" s="8"/>
      <c r="F39" s="459"/>
      <c r="G39" s="460"/>
      <c r="H39" s="459"/>
      <c r="I39" s="460"/>
      <c r="J39" s="459"/>
      <c r="K39" s="460"/>
      <c r="L39" s="459"/>
      <c r="M39" s="460"/>
      <c r="N39" s="459"/>
      <c r="O39" s="460"/>
      <c r="P39" s="459"/>
      <c r="Q39" s="460"/>
      <c r="R39" s="459"/>
      <c r="S39" s="460"/>
      <c r="T39" s="459"/>
      <c r="U39" s="460"/>
      <c r="V39" s="459"/>
      <c r="W39" s="460"/>
      <c r="X39" s="459"/>
      <c r="Y39" s="460"/>
      <c r="Z39" s="459"/>
      <c r="AA39" s="460"/>
      <c r="AB39" s="459"/>
      <c r="AC39" s="460"/>
      <c r="AD39" s="459"/>
      <c r="AE39" s="460"/>
      <c r="AF39" s="459"/>
      <c r="AG39" s="460"/>
      <c r="AH39" s="459"/>
      <c r="AI39" s="460"/>
      <c r="AJ39" s="459"/>
      <c r="AK39" s="460"/>
      <c r="AL39" s="459"/>
      <c r="AM39" s="460"/>
      <c r="AN39" s="459"/>
      <c r="AO39" s="460"/>
      <c r="AP39" s="459"/>
      <c r="AQ39" s="460"/>
      <c r="AR39" s="459"/>
      <c r="AS39" s="460"/>
      <c r="AT39" s="94"/>
    </row>
    <row r="40" spans="2:46" ht="18" customHeight="1" x14ac:dyDescent="0.6">
      <c r="B40" s="454"/>
      <c r="C40" s="458"/>
      <c r="D40" s="3"/>
      <c r="E40" s="8"/>
      <c r="F40" s="459"/>
      <c r="G40" s="460"/>
      <c r="H40" s="459"/>
      <c r="I40" s="460"/>
      <c r="J40" s="459"/>
      <c r="K40" s="460"/>
      <c r="L40" s="459"/>
      <c r="M40" s="460"/>
      <c r="N40" s="459"/>
      <c r="O40" s="460"/>
      <c r="P40" s="459"/>
      <c r="Q40" s="460"/>
      <c r="R40" s="459"/>
      <c r="S40" s="460"/>
      <c r="T40" s="459"/>
      <c r="U40" s="460"/>
      <c r="V40" s="459"/>
      <c r="W40" s="460"/>
      <c r="X40" s="459"/>
      <c r="Y40" s="460"/>
      <c r="Z40" s="459"/>
      <c r="AA40" s="460"/>
      <c r="AB40" s="459"/>
      <c r="AC40" s="460"/>
      <c r="AD40" s="459"/>
      <c r="AE40" s="460"/>
      <c r="AF40" s="459"/>
      <c r="AG40" s="460"/>
      <c r="AH40" s="459"/>
      <c r="AI40" s="460"/>
      <c r="AJ40" s="459"/>
      <c r="AK40" s="460"/>
      <c r="AL40" s="459"/>
      <c r="AM40" s="460"/>
      <c r="AN40" s="459"/>
      <c r="AO40" s="460"/>
      <c r="AP40" s="459"/>
      <c r="AQ40" s="460"/>
      <c r="AR40" s="459"/>
      <c r="AS40" s="460"/>
      <c r="AT40" s="94"/>
    </row>
    <row r="41" spans="2:46" ht="18" customHeight="1" x14ac:dyDescent="0.6">
      <c r="B41" s="454"/>
      <c r="C41" s="458"/>
      <c r="D41" s="3"/>
      <c r="E41" s="8"/>
      <c r="F41" s="459"/>
      <c r="G41" s="460"/>
      <c r="H41" s="459"/>
      <c r="I41" s="460"/>
      <c r="J41" s="459"/>
      <c r="K41" s="460"/>
      <c r="L41" s="459"/>
      <c r="M41" s="460"/>
      <c r="N41" s="459"/>
      <c r="O41" s="460"/>
      <c r="P41" s="459"/>
      <c r="Q41" s="460"/>
      <c r="R41" s="459"/>
      <c r="S41" s="460"/>
      <c r="T41" s="459"/>
      <c r="U41" s="460"/>
      <c r="V41" s="459"/>
      <c r="W41" s="460"/>
      <c r="X41" s="459"/>
      <c r="Y41" s="460"/>
      <c r="Z41" s="459"/>
      <c r="AA41" s="460"/>
      <c r="AB41" s="459"/>
      <c r="AC41" s="460"/>
      <c r="AD41" s="459"/>
      <c r="AE41" s="460"/>
      <c r="AF41" s="459"/>
      <c r="AG41" s="460"/>
      <c r="AH41" s="459"/>
      <c r="AI41" s="460"/>
      <c r="AJ41" s="459"/>
      <c r="AK41" s="460"/>
      <c r="AL41" s="459"/>
      <c r="AM41" s="460"/>
      <c r="AN41" s="459"/>
      <c r="AO41" s="460"/>
      <c r="AP41" s="459"/>
      <c r="AQ41" s="460"/>
      <c r="AR41" s="459"/>
      <c r="AS41" s="460"/>
      <c r="AT41" s="94"/>
    </row>
    <row r="42" spans="2:46" ht="18" customHeight="1" x14ac:dyDescent="0.6">
      <c r="B42" s="454"/>
      <c r="C42" s="458"/>
      <c r="D42" s="7"/>
      <c r="E42" s="8"/>
      <c r="F42" s="459"/>
      <c r="G42" s="460"/>
      <c r="H42" s="459"/>
      <c r="I42" s="460"/>
      <c r="J42" s="459"/>
      <c r="K42" s="460"/>
      <c r="L42" s="459"/>
      <c r="M42" s="460"/>
      <c r="N42" s="459"/>
      <c r="O42" s="460"/>
      <c r="P42" s="459"/>
      <c r="Q42" s="460"/>
      <c r="R42" s="459"/>
      <c r="S42" s="460"/>
      <c r="T42" s="459"/>
      <c r="U42" s="460"/>
      <c r="V42" s="459"/>
      <c r="W42" s="460"/>
      <c r="X42" s="459"/>
      <c r="Y42" s="460"/>
      <c r="Z42" s="459"/>
      <c r="AA42" s="460"/>
      <c r="AB42" s="459"/>
      <c r="AC42" s="460"/>
      <c r="AD42" s="459"/>
      <c r="AE42" s="460"/>
      <c r="AF42" s="459"/>
      <c r="AG42" s="460"/>
      <c r="AH42" s="459"/>
      <c r="AI42" s="460"/>
      <c r="AJ42" s="459"/>
      <c r="AK42" s="460"/>
      <c r="AL42" s="459"/>
      <c r="AM42" s="460"/>
      <c r="AN42" s="459"/>
      <c r="AO42" s="460"/>
      <c r="AP42" s="459"/>
      <c r="AQ42" s="460"/>
      <c r="AR42" s="459"/>
      <c r="AS42" s="460"/>
      <c r="AT42" s="94"/>
    </row>
    <row r="43" spans="2:46" ht="18" customHeight="1" thickBot="1" x14ac:dyDescent="0.35">
      <c r="B43" s="454"/>
      <c r="C43" s="458">
        <f>'Plot Data'!H65</f>
        <v>21.858099903971461</v>
      </c>
      <c r="D43" s="9"/>
      <c r="E43" s="10"/>
      <c r="F43" s="11"/>
      <c r="G43" s="12"/>
      <c r="H43" s="11"/>
      <c r="I43" s="12"/>
      <c r="J43" s="11"/>
      <c r="K43" s="12"/>
      <c r="L43" s="11"/>
      <c r="M43" s="12"/>
      <c r="N43" s="11"/>
      <c r="O43" s="12"/>
      <c r="P43" s="11"/>
      <c r="Q43" s="12"/>
      <c r="R43" s="11"/>
      <c r="S43" s="12"/>
      <c r="T43" s="11"/>
      <c r="U43" s="12"/>
      <c r="V43" s="11"/>
      <c r="W43" s="12"/>
      <c r="X43" s="11"/>
      <c r="Y43" s="12"/>
      <c r="Z43" s="11"/>
      <c r="AA43" s="12"/>
      <c r="AB43" s="11"/>
      <c r="AC43" s="12"/>
      <c r="AD43" s="11"/>
      <c r="AE43" s="12"/>
      <c r="AF43" s="11"/>
      <c r="AG43" s="12"/>
      <c r="AH43" s="11"/>
      <c r="AI43" s="12"/>
      <c r="AJ43" s="11"/>
      <c r="AK43" s="12"/>
      <c r="AL43" s="11"/>
      <c r="AM43" s="12"/>
      <c r="AN43" s="11"/>
      <c r="AO43" s="12"/>
      <c r="AP43" s="11"/>
      <c r="AQ43" s="12"/>
      <c r="AR43" s="11"/>
      <c r="AS43" s="12"/>
      <c r="AT43" s="463" t="s">
        <v>46</v>
      </c>
    </row>
    <row r="44" spans="2:46" ht="18" customHeight="1" x14ac:dyDescent="0.3">
      <c r="B44" s="454"/>
      <c r="C44" s="458"/>
      <c r="D44" s="7"/>
      <c r="E44" s="8"/>
      <c r="F44" s="459"/>
      <c r="G44" s="460"/>
      <c r="H44" s="459"/>
      <c r="I44" s="460"/>
      <c r="J44" s="459"/>
      <c r="K44" s="460"/>
      <c r="L44" s="459"/>
      <c r="M44" s="460"/>
      <c r="N44" s="459"/>
      <c r="O44" s="460"/>
      <c r="P44" s="459"/>
      <c r="Q44" s="460"/>
      <c r="R44" s="459"/>
      <c r="S44" s="460"/>
      <c r="T44" s="459"/>
      <c r="U44" s="460"/>
      <c r="V44" s="459"/>
      <c r="W44" s="460"/>
      <c r="X44" s="459"/>
      <c r="Y44" s="460"/>
      <c r="Z44" s="459"/>
      <c r="AA44" s="460"/>
      <c r="AB44" s="459"/>
      <c r="AC44" s="460"/>
      <c r="AD44" s="459"/>
      <c r="AE44" s="460"/>
      <c r="AF44" s="459"/>
      <c r="AG44" s="460"/>
      <c r="AH44" s="459"/>
      <c r="AI44" s="460"/>
      <c r="AJ44" s="459"/>
      <c r="AK44" s="460"/>
      <c r="AL44" s="459"/>
      <c r="AM44" s="460"/>
      <c r="AN44" s="459"/>
      <c r="AO44" s="460"/>
      <c r="AP44" s="459"/>
      <c r="AQ44" s="460"/>
      <c r="AR44" s="459"/>
      <c r="AS44" s="460"/>
      <c r="AT44" s="464"/>
    </row>
    <row r="45" spans="2:46" ht="18" customHeight="1" x14ac:dyDescent="0.6">
      <c r="B45" s="454"/>
      <c r="C45" s="458">
        <f>C49+(C43-C49)/2</f>
        <v>21.775482022821468</v>
      </c>
      <c r="D45" s="13"/>
      <c r="E45" s="8"/>
      <c r="F45" s="459"/>
      <c r="G45" s="460"/>
      <c r="H45" s="459"/>
      <c r="I45" s="460"/>
      <c r="J45" s="459"/>
      <c r="K45" s="460"/>
      <c r="L45" s="459"/>
      <c r="M45" s="460"/>
      <c r="N45" s="459"/>
      <c r="O45" s="460"/>
      <c r="P45" s="459"/>
      <c r="Q45" s="460"/>
      <c r="R45" s="459"/>
      <c r="S45" s="460"/>
      <c r="T45" s="459"/>
      <c r="U45" s="460"/>
      <c r="V45" s="459"/>
      <c r="W45" s="460"/>
      <c r="X45" s="459"/>
      <c r="Y45" s="460"/>
      <c r="Z45" s="459"/>
      <c r="AA45" s="460"/>
      <c r="AB45" s="459"/>
      <c r="AC45" s="460"/>
      <c r="AD45" s="459"/>
      <c r="AE45" s="460"/>
      <c r="AF45" s="459"/>
      <c r="AG45" s="460"/>
      <c r="AH45" s="459"/>
      <c r="AI45" s="460"/>
      <c r="AJ45" s="459"/>
      <c r="AK45" s="460"/>
      <c r="AL45" s="459"/>
      <c r="AM45" s="460"/>
      <c r="AN45" s="459"/>
      <c r="AO45" s="460"/>
      <c r="AP45" s="459"/>
      <c r="AQ45" s="460"/>
      <c r="AR45" s="459"/>
      <c r="AS45" s="460"/>
      <c r="AT45" s="94"/>
    </row>
    <row r="46" spans="2:46" ht="18" customHeight="1" x14ac:dyDescent="0.6">
      <c r="B46" s="454"/>
      <c r="C46" s="458"/>
      <c r="D46" s="3"/>
      <c r="E46" s="8"/>
      <c r="F46" s="459"/>
      <c r="G46" s="460"/>
      <c r="H46" s="459"/>
      <c r="I46" s="460"/>
      <c r="J46" s="459"/>
      <c r="K46" s="460"/>
      <c r="L46" s="459"/>
      <c r="M46" s="460"/>
      <c r="N46" s="459"/>
      <c r="O46" s="460"/>
      <c r="P46" s="459"/>
      <c r="Q46" s="460"/>
      <c r="R46" s="459"/>
      <c r="S46" s="460"/>
      <c r="T46" s="459"/>
      <c r="U46" s="460"/>
      <c r="V46" s="459"/>
      <c r="W46" s="460"/>
      <c r="X46" s="459"/>
      <c r="Y46" s="460"/>
      <c r="Z46" s="459"/>
      <c r="AA46" s="460"/>
      <c r="AB46" s="459"/>
      <c r="AC46" s="460"/>
      <c r="AD46" s="459"/>
      <c r="AE46" s="460"/>
      <c r="AF46" s="459"/>
      <c r="AG46" s="460"/>
      <c r="AH46" s="459"/>
      <c r="AI46" s="460"/>
      <c r="AJ46" s="459"/>
      <c r="AK46" s="460"/>
      <c r="AL46" s="459"/>
      <c r="AM46" s="460"/>
      <c r="AN46" s="459"/>
      <c r="AO46" s="460"/>
      <c r="AP46" s="459"/>
      <c r="AQ46" s="460"/>
      <c r="AR46" s="459"/>
      <c r="AS46" s="460"/>
      <c r="AT46" s="94"/>
    </row>
    <row r="47" spans="2:46" ht="18" customHeight="1" x14ac:dyDescent="0.6">
      <c r="B47" s="454"/>
      <c r="C47" s="458"/>
      <c r="D47" s="3"/>
      <c r="E47" s="8"/>
      <c r="F47" s="459"/>
      <c r="G47" s="460"/>
      <c r="H47" s="459"/>
      <c r="I47" s="460"/>
      <c r="J47" s="459"/>
      <c r="K47" s="460"/>
      <c r="L47" s="459"/>
      <c r="M47" s="460"/>
      <c r="N47" s="459"/>
      <c r="O47" s="460"/>
      <c r="P47" s="459"/>
      <c r="Q47" s="460"/>
      <c r="R47" s="459"/>
      <c r="S47" s="460"/>
      <c r="T47" s="459"/>
      <c r="U47" s="460"/>
      <c r="V47" s="459"/>
      <c r="W47" s="460"/>
      <c r="X47" s="459"/>
      <c r="Y47" s="460"/>
      <c r="Z47" s="459"/>
      <c r="AA47" s="460"/>
      <c r="AB47" s="459"/>
      <c r="AC47" s="460"/>
      <c r="AD47" s="459"/>
      <c r="AE47" s="460"/>
      <c r="AF47" s="459"/>
      <c r="AG47" s="460"/>
      <c r="AH47" s="459"/>
      <c r="AI47" s="460"/>
      <c r="AJ47" s="459"/>
      <c r="AK47" s="460"/>
      <c r="AL47" s="459"/>
      <c r="AM47" s="460"/>
      <c r="AN47" s="459"/>
      <c r="AO47" s="460"/>
      <c r="AP47" s="459"/>
      <c r="AQ47" s="460"/>
      <c r="AR47" s="459"/>
      <c r="AS47" s="460"/>
      <c r="AT47" s="94"/>
    </row>
    <row r="48" spans="2:46" ht="18" customHeight="1" x14ac:dyDescent="0.6">
      <c r="B48" s="454"/>
      <c r="C48" s="458"/>
      <c r="D48" s="7"/>
      <c r="E48" s="8"/>
      <c r="F48" s="459"/>
      <c r="G48" s="460"/>
      <c r="H48" s="459"/>
      <c r="I48" s="460"/>
      <c r="J48" s="459"/>
      <c r="K48" s="460"/>
      <c r="L48" s="459"/>
      <c r="M48" s="460"/>
      <c r="N48" s="459"/>
      <c r="O48" s="460"/>
      <c r="P48" s="459"/>
      <c r="Q48" s="460"/>
      <c r="R48" s="459"/>
      <c r="S48" s="460"/>
      <c r="T48" s="459"/>
      <c r="U48" s="460"/>
      <c r="V48" s="459"/>
      <c r="W48" s="460"/>
      <c r="X48" s="459"/>
      <c r="Y48" s="460"/>
      <c r="Z48" s="459"/>
      <c r="AA48" s="460"/>
      <c r="AB48" s="459"/>
      <c r="AC48" s="460"/>
      <c r="AD48" s="459"/>
      <c r="AE48" s="460"/>
      <c r="AF48" s="459"/>
      <c r="AG48" s="460"/>
      <c r="AH48" s="459"/>
      <c r="AI48" s="460"/>
      <c r="AJ48" s="459"/>
      <c r="AK48" s="460"/>
      <c r="AL48" s="459"/>
      <c r="AM48" s="460"/>
      <c r="AN48" s="459"/>
      <c r="AO48" s="460"/>
      <c r="AP48" s="459"/>
      <c r="AQ48" s="460"/>
      <c r="AR48" s="459"/>
      <c r="AS48" s="460"/>
      <c r="AT48" s="94"/>
    </row>
    <row r="49" spans="2:46" ht="18" customHeight="1" thickBot="1" x14ac:dyDescent="0.35">
      <c r="B49" s="454"/>
      <c r="C49" s="458">
        <f>'Plot Data'!H67</f>
        <v>21.692864141671475</v>
      </c>
      <c r="D49" s="5"/>
      <c r="E49" s="6"/>
      <c r="F49" s="461"/>
      <c r="G49" s="462"/>
      <c r="H49" s="461"/>
      <c r="I49" s="462"/>
      <c r="J49" s="461"/>
      <c r="K49" s="462"/>
      <c r="L49" s="461"/>
      <c r="M49" s="462"/>
      <c r="N49" s="461"/>
      <c r="O49" s="462"/>
      <c r="P49" s="461"/>
      <c r="Q49" s="462"/>
      <c r="R49" s="461"/>
      <c r="S49" s="462"/>
      <c r="T49" s="461"/>
      <c r="U49" s="462"/>
      <c r="V49" s="461"/>
      <c r="W49" s="462"/>
      <c r="X49" s="461"/>
      <c r="Y49" s="462"/>
      <c r="Z49" s="461"/>
      <c r="AA49" s="462"/>
      <c r="AB49" s="461"/>
      <c r="AC49" s="462"/>
      <c r="AD49" s="461"/>
      <c r="AE49" s="462"/>
      <c r="AF49" s="461"/>
      <c r="AG49" s="462"/>
      <c r="AH49" s="461"/>
      <c r="AI49" s="462"/>
      <c r="AJ49" s="461"/>
      <c r="AK49" s="462"/>
      <c r="AL49" s="461"/>
      <c r="AM49" s="462"/>
      <c r="AN49" s="461"/>
      <c r="AO49" s="462"/>
      <c r="AP49" s="461"/>
      <c r="AQ49" s="462"/>
      <c r="AR49" s="461"/>
      <c r="AS49" s="462"/>
      <c r="AT49" s="463" t="s">
        <v>45</v>
      </c>
    </row>
    <row r="50" spans="2:46" ht="18" customHeight="1" thickTop="1" thickBot="1" x14ac:dyDescent="0.35">
      <c r="B50" s="455"/>
      <c r="C50" s="472"/>
      <c r="D50" s="77"/>
      <c r="E50" s="78"/>
      <c r="F50" s="473"/>
      <c r="G50" s="474"/>
      <c r="H50" s="473"/>
      <c r="I50" s="474"/>
      <c r="J50" s="473"/>
      <c r="K50" s="474"/>
      <c r="L50" s="473"/>
      <c r="M50" s="474"/>
      <c r="N50" s="473"/>
      <c r="O50" s="474"/>
      <c r="P50" s="473"/>
      <c r="Q50" s="474"/>
      <c r="R50" s="473"/>
      <c r="S50" s="474"/>
      <c r="T50" s="473"/>
      <c r="U50" s="474"/>
      <c r="V50" s="473"/>
      <c r="W50" s="474"/>
      <c r="X50" s="473"/>
      <c r="Y50" s="474"/>
      <c r="Z50" s="473"/>
      <c r="AA50" s="474"/>
      <c r="AB50" s="473"/>
      <c r="AC50" s="474"/>
      <c r="AD50" s="473"/>
      <c r="AE50" s="474"/>
      <c r="AF50" s="473"/>
      <c r="AG50" s="474"/>
      <c r="AH50" s="473"/>
      <c r="AI50" s="474"/>
      <c r="AJ50" s="473"/>
      <c r="AK50" s="474"/>
      <c r="AL50" s="473"/>
      <c r="AM50" s="474"/>
      <c r="AN50" s="473"/>
      <c r="AO50" s="474"/>
      <c r="AP50" s="473"/>
      <c r="AQ50" s="474"/>
      <c r="AR50" s="473"/>
      <c r="AS50" s="474"/>
      <c r="AT50" s="477"/>
    </row>
    <row r="51" spans="2:46" ht="30" customHeight="1" thickTop="1" thickBot="1" x14ac:dyDescent="0.35">
      <c r="B51" s="88"/>
      <c r="C51" s="95"/>
      <c r="D51" s="90"/>
      <c r="E51" s="89"/>
      <c r="F51" s="475"/>
      <c r="G51" s="476"/>
      <c r="H51" s="475"/>
      <c r="I51" s="476"/>
      <c r="J51" s="475"/>
      <c r="K51" s="476"/>
      <c r="L51" s="475"/>
      <c r="M51" s="476"/>
      <c r="N51" s="475"/>
      <c r="O51" s="476"/>
      <c r="P51" s="475"/>
      <c r="Q51" s="476"/>
      <c r="R51" s="475"/>
      <c r="S51" s="476"/>
      <c r="T51" s="475"/>
      <c r="U51" s="476"/>
      <c r="V51" s="475"/>
      <c r="W51" s="476"/>
      <c r="X51" s="475"/>
      <c r="Y51" s="476"/>
      <c r="Z51" s="475"/>
      <c r="AA51" s="476"/>
      <c r="AB51" s="475"/>
      <c r="AC51" s="476"/>
      <c r="AD51" s="475"/>
      <c r="AE51" s="476"/>
      <c r="AF51" s="475"/>
      <c r="AG51" s="476"/>
      <c r="AH51" s="475"/>
      <c r="AI51" s="476"/>
      <c r="AJ51" s="475"/>
      <c r="AK51" s="476"/>
      <c r="AL51" s="475"/>
      <c r="AM51" s="476"/>
      <c r="AN51" s="475"/>
      <c r="AO51" s="476"/>
      <c r="AP51" s="475"/>
      <c r="AQ51" s="476"/>
      <c r="AR51" s="475"/>
      <c r="AS51" s="476"/>
      <c r="AT51" s="91"/>
    </row>
    <row r="52" spans="2:46" ht="7.5" customHeight="1" thickTop="1" x14ac:dyDescent="0.3">
      <c r="B52" s="478" t="s">
        <v>7</v>
      </c>
      <c r="C52" s="96"/>
      <c r="D52" s="79"/>
      <c r="E52" s="74"/>
      <c r="F52" s="456"/>
      <c r="G52" s="457"/>
      <c r="H52" s="456"/>
      <c r="I52" s="457"/>
      <c r="J52" s="456"/>
      <c r="K52" s="457"/>
      <c r="L52" s="456"/>
      <c r="M52" s="457"/>
      <c r="N52" s="456"/>
      <c r="O52" s="457"/>
      <c r="P52" s="456"/>
      <c r="Q52" s="457"/>
      <c r="R52" s="456"/>
      <c r="S52" s="457"/>
      <c r="T52" s="456"/>
      <c r="U52" s="457"/>
      <c r="V52" s="456"/>
      <c r="W52" s="457"/>
      <c r="X52" s="456"/>
      <c r="Y52" s="457"/>
      <c r="Z52" s="456"/>
      <c r="AA52" s="457"/>
      <c r="AB52" s="456"/>
      <c r="AC52" s="457"/>
      <c r="AD52" s="456"/>
      <c r="AE52" s="457"/>
      <c r="AF52" s="456"/>
      <c r="AG52" s="457"/>
      <c r="AH52" s="456"/>
      <c r="AI52" s="457"/>
      <c r="AJ52" s="456"/>
      <c r="AK52" s="457"/>
      <c r="AL52" s="456"/>
      <c r="AM52" s="457"/>
      <c r="AN52" s="456"/>
      <c r="AO52" s="457"/>
      <c r="AP52" s="456"/>
      <c r="AQ52" s="457"/>
      <c r="AR52" s="456"/>
      <c r="AS52" s="457"/>
      <c r="AT52" s="75"/>
    </row>
    <row r="53" spans="2:46" ht="9" customHeight="1" x14ac:dyDescent="0.3">
      <c r="B53" s="479"/>
      <c r="C53" s="97"/>
      <c r="D53" s="13"/>
      <c r="E53" s="4"/>
      <c r="F53" s="481"/>
      <c r="G53" s="482"/>
      <c r="H53" s="481"/>
      <c r="I53" s="482"/>
      <c r="J53" s="481"/>
      <c r="K53" s="482"/>
      <c r="L53" s="481"/>
      <c r="M53" s="482"/>
      <c r="N53" s="481"/>
      <c r="O53" s="482"/>
      <c r="P53" s="481"/>
      <c r="Q53" s="482"/>
      <c r="R53" s="481"/>
      <c r="S53" s="482"/>
      <c r="T53" s="481"/>
      <c r="U53" s="482"/>
      <c r="V53" s="481"/>
      <c r="W53" s="482"/>
      <c r="X53" s="481"/>
      <c r="Y53" s="482"/>
      <c r="Z53" s="481"/>
      <c r="AA53" s="482"/>
      <c r="AB53" s="481"/>
      <c r="AC53" s="482"/>
      <c r="AD53" s="481"/>
      <c r="AE53" s="482"/>
      <c r="AF53" s="481"/>
      <c r="AG53" s="482"/>
      <c r="AH53" s="481"/>
      <c r="AI53" s="482"/>
      <c r="AJ53" s="481"/>
      <c r="AK53" s="482"/>
      <c r="AL53" s="481"/>
      <c r="AM53" s="482"/>
      <c r="AN53" s="481"/>
      <c r="AO53" s="482"/>
      <c r="AP53" s="481"/>
      <c r="AQ53" s="482"/>
      <c r="AR53" s="481"/>
      <c r="AS53" s="482"/>
      <c r="AT53" s="80"/>
    </row>
    <row r="54" spans="2:46" ht="9" customHeight="1" x14ac:dyDescent="0.3">
      <c r="B54" s="479"/>
      <c r="C54" s="97"/>
      <c r="D54" s="3"/>
      <c r="E54" s="8"/>
      <c r="F54" s="459"/>
      <c r="G54" s="460"/>
      <c r="H54" s="459"/>
      <c r="I54" s="460"/>
      <c r="J54" s="459"/>
      <c r="K54" s="460"/>
      <c r="L54" s="459"/>
      <c r="M54" s="460"/>
      <c r="N54" s="459"/>
      <c r="O54" s="460"/>
      <c r="P54" s="459"/>
      <c r="Q54" s="460"/>
      <c r="R54" s="459"/>
      <c r="S54" s="460"/>
      <c r="T54" s="459"/>
      <c r="U54" s="460"/>
      <c r="V54" s="459"/>
      <c r="W54" s="460"/>
      <c r="X54" s="459"/>
      <c r="Y54" s="460"/>
      <c r="Z54" s="459"/>
      <c r="AA54" s="460"/>
      <c r="AB54" s="459"/>
      <c r="AC54" s="460"/>
      <c r="AD54" s="459"/>
      <c r="AE54" s="460"/>
      <c r="AF54" s="459"/>
      <c r="AG54" s="460"/>
      <c r="AH54" s="459"/>
      <c r="AI54" s="460"/>
      <c r="AJ54" s="459"/>
      <c r="AK54" s="460"/>
      <c r="AL54" s="459"/>
      <c r="AM54" s="460"/>
      <c r="AN54" s="459"/>
      <c r="AO54" s="460"/>
      <c r="AP54" s="459"/>
      <c r="AQ54" s="460"/>
      <c r="AR54" s="459"/>
      <c r="AS54" s="460"/>
      <c r="AT54" s="76"/>
    </row>
    <row r="55" spans="2:46" ht="9" customHeight="1" thickBot="1" x14ac:dyDescent="0.4">
      <c r="B55" s="479"/>
      <c r="C55" s="485">
        <f>'Plot Data'!H68</f>
        <v>0.44377142857142859</v>
      </c>
      <c r="D55" s="70"/>
      <c r="E55" s="71"/>
      <c r="F55" s="483"/>
      <c r="G55" s="484"/>
      <c r="H55" s="483"/>
      <c r="I55" s="484"/>
      <c r="J55" s="483"/>
      <c r="K55" s="484"/>
      <c r="L55" s="483"/>
      <c r="M55" s="484"/>
      <c r="N55" s="483"/>
      <c r="O55" s="484"/>
      <c r="P55" s="483"/>
      <c r="Q55" s="484"/>
      <c r="R55" s="483"/>
      <c r="S55" s="484"/>
      <c r="T55" s="483"/>
      <c r="U55" s="484"/>
      <c r="V55" s="483"/>
      <c r="W55" s="484"/>
      <c r="X55" s="483"/>
      <c r="Y55" s="484"/>
      <c r="Z55" s="483"/>
      <c r="AA55" s="484"/>
      <c r="AB55" s="483"/>
      <c r="AC55" s="484"/>
      <c r="AD55" s="483"/>
      <c r="AE55" s="484"/>
      <c r="AF55" s="483"/>
      <c r="AG55" s="484"/>
      <c r="AH55" s="483"/>
      <c r="AI55" s="484"/>
      <c r="AJ55" s="483"/>
      <c r="AK55" s="484"/>
      <c r="AL55" s="483"/>
      <c r="AM55" s="484"/>
      <c r="AN55" s="483"/>
      <c r="AO55" s="484"/>
      <c r="AP55" s="483"/>
      <c r="AQ55" s="484"/>
      <c r="AR55" s="483"/>
      <c r="AS55" s="484"/>
      <c r="AT55" s="81"/>
    </row>
    <row r="56" spans="2:46" ht="9" customHeight="1" thickTop="1" x14ac:dyDescent="0.3">
      <c r="B56" s="479"/>
      <c r="C56" s="486"/>
      <c r="D56" s="19"/>
      <c r="E56" s="20"/>
      <c r="F56" s="487"/>
      <c r="G56" s="488"/>
      <c r="H56" s="487"/>
      <c r="I56" s="488"/>
      <c r="J56" s="487"/>
      <c r="K56" s="488"/>
      <c r="L56" s="487"/>
      <c r="M56" s="488"/>
      <c r="N56" s="487"/>
      <c r="O56" s="488"/>
      <c r="P56" s="487"/>
      <c r="Q56" s="488"/>
      <c r="R56" s="487"/>
      <c r="S56" s="488"/>
      <c r="T56" s="487"/>
      <c r="U56" s="488"/>
      <c r="V56" s="487"/>
      <c r="W56" s="488"/>
      <c r="X56" s="487"/>
      <c r="Y56" s="488"/>
      <c r="Z56" s="487"/>
      <c r="AA56" s="488"/>
      <c r="AB56" s="487"/>
      <c r="AC56" s="488"/>
      <c r="AD56" s="487"/>
      <c r="AE56" s="488"/>
      <c r="AF56" s="487"/>
      <c r="AG56" s="488"/>
      <c r="AH56" s="487"/>
      <c r="AI56" s="488"/>
      <c r="AJ56" s="487"/>
      <c r="AK56" s="488"/>
      <c r="AL56" s="487"/>
      <c r="AM56" s="488"/>
      <c r="AN56" s="487"/>
      <c r="AO56" s="488"/>
      <c r="AP56" s="487"/>
      <c r="AQ56" s="488"/>
      <c r="AR56" s="487"/>
      <c r="AS56" s="488"/>
      <c r="AT56" s="82"/>
    </row>
    <row r="57" spans="2:46" ht="9" customHeight="1" x14ac:dyDescent="0.3">
      <c r="B57" s="479"/>
      <c r="C57" s="458"/>
      <c r="D57" s="13"/>
      <c r="E57" s="8"/>
      <c r="F57" s="459"/>
      <c r="G57" s="460"/>
      <c r="H57" s="459"/>
      <c r="I57" s="460"/>
      <c r="J57" s="459"/>
      <c r="K57" s="460"/>
      <c r="L57" s="459"/>
      <c r="M57" s="460"/>
      <c r="N57" s="459"/>
      <c r="O57" s="460"/>
      <c r="P57" s="459"/>
      <c r="Q57" s="460"/>
      <c r="R57" s="459"/>
      <c r="S57" s="460"/>
      <c r="T57" s="459"/>
      <c r="U57" s="460"/>
      <c r="V57" s="459"/>
      <c r="W57" s="460"/>
      <c r="X57" s="459"/>
      <c r="Y57" s="460"/>
      <c r="Z57" s="459"/>
      <c r="AA57" s="460"/>
      <c r="AB57" s="459"/>
      <c r="AC57" s="460"/>
      <c r="AD57" s="459"/>
      <c r="AE57" s="460"/>
      <c r="AF57" s="459"/>
      <c r="AG57" s="460"/>
      <c r="AH57" s="459"/>
      <c r="AI57" s="460"/>
      <c r="AJ57" s="459"/>
      <c r="AK57" s="460"/>
      <c r="AL57" s="459"/>
      <c r="AM57" s="460"/>
      <c r="AN57" s="459"/>
      <c r="AO57" s="460"/>
      <c r="AP57" s="459"/>
      <c r="AQ57" s="460"/>
      <c r="AR57" s="459"/>
      <c r="AS57" s="460"/>
      <c r="AT57" s="76"/>
    </row>
    <row r="58" spans="2:46" ht="9" customHeight="1" x14ac:dyDescent="0.3">
      <c r="B58" s="479"/>
      <c r="C58" s="458"/>
      <c r="D58" s="3"/>
      <c r="E58" s="8"/>
      <c r="F58" s="459"/>
      <c r="G58" s="460"/>
      <c r="H58" s="459"/>
      <c r="I58" s="460"/>
      <c r="J58" s="459"/>
      <c r="K58" s="460"/>
      <c r="L58" s="459"/>
      <c r="M58" s="460"/>
      <c r="N58" s="459"/>
      <c r="O58" s="460"/>
      <c r="P58" s="459"/>
      <c r="Q58" s="460"/>
      <c r="R58" s="459"/>
      <c r="S58" s="460"/>
      <c r="T58" s="459"/>
      <c r="U58" s="460"/>
      <c r="V58" s="459"/>
      <c r="W58" s="460"/>
      <c r="X58" s="459"/>
      <c r="Y58" s="460"/>
      <c r="Z58" s="459"/>
      <c r="AA58" s="460"/>
      <c r="AB58" s="459"/>
      <c r="AC58" s="460"/>
      <c r="AD58" s="459"/>
      <c r="AE58" s="460"/>
      <c r="AF58" s="459"/>
      <c r="AG58" s="460"/>
      <c r="AH58" s="459"/>
      <c r="AI58" s="460"/>
      <c r="AJ58" s="459"/>
      <c r="AK58" s="460"/>
      <c r="AL58" s="459"/>
      <c r="AM58" s="460"/>
      <c r="AN58" s="459"/>
      <c r="AO58" s="460"/>
      <c r="AP58" s="459"/>
      <c r="AQ58" s="460"/>
      <c r="AR58" s="459"/>
      <c r="AS58" s="460"/>
      <c r="AT58" s="76"/>
    </row>
    <row r="59" spans="2:46" ht="9" customHeight="1" x14ac:dyDescent="0.3">
      <c r="B59" s="479"/>
      <c r="C59" s="458">
        <f>C63+(C55-C63)/2</f>
        <v>0.38830000000000003</v>
      </c>
      <c r="D59" s="13"/>
      <c r="E59" s="4"/>
      <c r="F59" s="459"/>
      <c r="G59" s="460"/>
      <c r="H59" s="459"/>
      <c r="I59" s="460"/>
      <c r="J59" s="459"/>
      <c r="K59" s="460"/>
      <c r="L59" s="459"/>
      <c r="M59" s="460"/>
      <c r="N59" s="459"/>
      <c r="O59" s="460"/>
      <c r="P59" s="459"/>
      <c r="Q59" s="460"/>
      <c r="R59" s="459"/>
      <c r="S59" s="460"/>
      <c r="T59" s="459"/>
      <c r="U59" s="460"/>
      <c r="V59" s="459"/>
      <c r="W59" s="460"/>
      <c r="X59" s="459"/>
      <c r="Y59" s="460"/>
      <c r="Z59" s="459"/>
      <c r="AA59" s="460"/>
      <c r="AB59" s="459"/>
      <c r="AC59" s="460"/>
      <c r="AD59" s="459"/>
      <c r="AE59" s="460"/>
      <c r="AF59" s="459"/>
      <c r="AG59" s="460"/>
      <c r="AH59" s="459"/>
      <c r="AI59" s="460"/>
      <c r="AJ59" s="459"/>
      <c r="AK59" s="460"/>
      <c r="AL59" s="459"/>
      <c r="AM59" s="460"/>
      <c r="AN59" s="459"/>
      <c r="AO59" s="460"/>
      <c r="AP59" s="459"/>
      <c r="AQ59" s="460"/>
      <c r="AR59" s="459"/>
      <c r="AS59" s="460"/>
      <c r="AT59" s="80"/>
    </row>
    <row r="60" spans="2:46" ht="9" customHeight="1" x14ac:dyDescent="0.3">
      <c r="B60" s="479"/>
      <c r="C60" s="458"/>
      <c r="D60" s="13"/>
      <c r="E60" s="4"/>
      <c r="F60" s="459"/>
      <c r="G60" s="460"/>
      <c r="H60" s="459"/>
      <c r="I60" s="460"/>
      <c r="J60" s="459"/>
      <c r="K60" s="460"/>
      <c r="L60" s="459"/>
      <c r="M60" s="460"/>
      <c r="N60" s="459"/>
      <c r="O60" s="460"/>
      <c r="P60" s="459"/>
      <c r="Q60" s="460"/>
      <c r="R60" s="459"/>
      <c r="S60" s="460"/>
      <c r="T60" s="459"/>
      <c r="U60" s="460"/>
      <c r="V60" s="459"/>
      <c r="W60" s="460"/>
      <c r="X60" s="459"/>
      <c r="Y60" s="460"/>
      <c r="Z60" s="459"/>
      <c r="AA60" s="460"/>
      <c r="AB60" s="459"/>
      <c r="AC60" s="460"/>
      <c r="AD60" s="459"/>
      <c r="AE60" s="460"/>
      <c r="AF60" s="459"/>
      <c r="AG60" s="460"/>
      <c r="AH60" s="459"/>
      <c r="AI60" s="460"/>
      <c r="AJ60" s="459"/>
      <c r="AK60" s="460"/>
      <c r="AL60" s="459"/>
      <c r="AM60" s="460"/>
      <c r="AN60" s="459"/>
      <c r="AO60" s="460"/>
      <c r="AP60" s="459"/>
      <c r="AQ60" s="460"/>
      <c r="AR60" s="459"/>
      <c r="AS60" s="460"/>
      <c r="AT60" s="80"/>
    </row>
    <row r="61" spans="2:46" ht="9" customHeight="1" x14ac:dyDescent="0.3">
      <c r="B61" s="479"/>
      <c r="C61" s="458"/>
      <c r="D61" s="7"/>
      <c r="E61" s="18"/>
      <c r="F61" s="489"/>
      <c r="G61" s="490"/>
      <c r="H61" s="489"/>
      <c r="I61" s="490"/>
      <c r="J61" s="489"/>
      <c r="K61" s="490"/>
      <c r="L61" s="489"/>
      <c r="M61" s="490"/>
      <c r="N61" s="489"/>
      <c r="O61" s="490"/>
      <c r="P61" s="489"/>
      <c r="Q61" s="490"/>
      <c r="R61" s="489"/>
      <c r="S61" s="490"/>
      <c r="T61" s="489"/>
      <c r="U61" s="490"/>
      <c r="V61" s="489"/>
      <c r="W61" s="490"/>
      <c r="X61" s="489"/>
      <c r="Y61" s="490"/>
      <c r="Z61" s="489"/>
      <c r="AA61" s="490"/>
      <c r="AB61" s="489"/>
      <c r="AC61" s="490"/>
      <c r="AD61" s="489"/>
      <c r="AE61" s="490"/>
      <c r="AF61" s="489"/>
      <c r="AG61" s="490"/>
      <c r="AH61" s="489"/>
      <c r="AI61" s="490"/>
      <c r="AJ61" s="489"/>
      <c r="AK61" s="490"/>
      <c r="AL61" s="489"/>
      <c r="AM61" s="490"/>
      <c r="AN61" s="489"/>
      <c r="AO61" s="490"/>
      <c r="AP61" s="489"/>
      <c r="AQ61" s="490"/>
      <c r="AR61" s="489"/>
      <c r="AS61" s="490"/>
      <c r="AT61" s="83"/>
    </row>
    <row r="62" spans="2:46" ht="9" customHeight="1" x14ac:dyDescent="0.3">
      <c r="B62" s="479"/>
      <c r="C62" s="458"/>
      <c r="D62" s="21"/>
      <c r="E62" s="22"/>
      <c r="F62" s="491"/>
      <c r="G62" s="492"/>
      <c r="H62" s="491"/>
      <c r="I62" s="492"/>
      <c r="J62" s="491"/>
      <c r="K62" s="492"/>
      <c r="L62" s="491"/>
      <c r="M62" s="492"/>
      <c r="N62" s="491"/>
      <c r="O62" s="492"/>
      <c r="P62" s="491"/>
      <c r="Q62" s="492"/>
      <c r="R62" s="491"/>
      <c r="S62" s="492"/>
      <c r="T62" s="491"/>
      <c r="U62" s="492"/>
      <c r="V62" s="491"/>
      <c r="W62" s="492"/>
      <c r="X62" s="491"/>
      <c r="Y62" s="492"/>
      <c r="Z62" s="491"/>
      <c r="AA62" s="492"/>
      <c r="AB62" s="491"/>
      <c r="AC62" s="492"/>
      <c r="AD62" s="491"/>
      <c r="AE62" s="492"/>
      <c r="AF62" s="491"/>
      <c r="AG62" s="492"/>
      <c r="AH62" s="491"/>
      <c r="AI62" s="492"/>
      <c r="AJ62" s="491"/>
      <c r="AK62" s="492"/>
      <c r="AL62" s="491"/>
      <c r="AM62" s="492"/>
      <c r="AN62" s="491"/>
      <c r="AO62" s="492"/>
      <c r="AP62" s="491"/>
      <c r="AQ62" s="492"/>
      <c r="AR62" s="491"/>
      <c r="AS62" s="492"/>
      <c r="AT62" s="84"/>
    </row>
    <row r="63" spans="2:46" ht="9" customHeight="1" x14ac:dyDescent="0.3">
      <c r="B63" s="479"/>
      <c r="C63" s="458">
        <f>C69+(C55-C69)/2</f>
        <v>0.33282857142857147</v>
      </c>
      <c r="D63" s="13"/>
      <c r="E63" s="4"/>
      <c r="F63" s="459"/>
      <c r="G63" s="460"/>
      <c r="H63" s="459"/>
      <c r="I63" s="460"/>
      <c r="J63" s="459"/>
      <c r="K63" s="460"/>
      <c r="L63" s="459"/>
      <c r="M63" s="460"/>
      <c r="N63" s="459"/>
      <c r="O63" s="460"/>
      <c r="P63" s="459"/>
      <c r="Q63" s="460"/>
      <c r="R63" s="459"/>
      <c r="S63" s="460"/>
      <c r="T63" s="459"/>
      <c r="U63" s="460"/>
      <c r="V63" s="459"/>
      <c r="W63" s="460"/>
      <c r="X63" s="459"/>
      <c r="Y63" s="460"/>
      <c r="Z63" s="459"/>
      <c r="AA63" s="460"/>
      <c r="AB63" s="459"/>
      <c r="AC63" s="460"/>
      <c r="AD63" s="459"/>
      <c r="AE63" s="460"/>
      <c r="AF63" s="459"/>
      <c r="AG63" s="460"/>
      <c r="AH63" s="459"/>
      <c r="AI63" s="460"/>
      <c r="AJ63" s="459"/>
      <c r="AK63" s="460"/>
      <c r="AL63" s="459"/>
      <c r="AM63" s="460"/>
      <c r="AN63" s="459"/>
      <c r="AO63" s="460"/>
      <c r="AP63" s="459"/>
      <c r="AQ63" s="460"/>
      <c r="AR63" s="459"/>
      <c r="AS63" s="460"/>
      <c r="AT63" s="80"/>
    </row>
    <row r="64" spans="2:46" ht="9" customHeight="1" x14ac:dyDescent="0.3">
      <c r="B64" s="479"/>
      <c r="C64" s="458"/>
      <c r="D64" s="13"/>
      <c r="E64" s="4"/>
      <c r="F64" s="459"/>
      <c r="G64" s="460"/>
      <c r="H64" s="459"/>
      <c r="I64" s="460"/>
      <c r="J64" s="459"/>
      <c r="K64" s="460"/>
      <c r="L64" s="459"/>
      <c r="M64" s="460"/>
      <c r="N64" s="459"/>
      <c r="O64" s="460"/>
      <c r="P64" s="459"/>
      <c r="Q64" s="460"/>
      <c r="R64" s="459"/>
      <c r="S64" s="460"/>
      <c r="T64" s="459"/>
      <c r="U64" s="460"/>
      <c r="V64" s="459"/>
      <c r="W64" s="460"/>
      <c r="X64" s="459"/>
      <c r="Y64" s="460"/>
      <c r="Z64" s="459"/>
      <c r="AA64" s="460"/>
      <c r="AB64" s="459"/>
      <c r="AC64" s="460"/>
      <c r="AD64" s="459"/>
      <c r="AE64" s="460"/>
      <c r="AF64" s="459"/>
      <c r="AG64" s="460"/>
      <c r="AH64" s="459"/>
      <c r="AI64" s="460"/>
      <c r="AJ64" s="459"/>
      <c r="AK64" s="460"/>
      <c r="AL64" s="459"/>
      <c r="AM64" s="460"/>
      <c r="AN64" s="459"/>
      <c r="AO64" s="460"/>
      <c r="AP64" s="459"/>
      <c r="AQ64" s="460"/>
      <c r="AR64" s="459"/>
      <c r="AS64" s="460"/>
      <c r="AT64" s="80"/>
    </row>
    <row r="65" spans="2:46" x14ac:dyDescent="0.3">
      <c r="B65" s="479"/>
      <c r="C65" s="458"/>
      <c r="D65" s="13"/>
      <c r="E65" s="4"/>
      <c r="F65" s="459"/>
      <c r="G65" s="460"/>
      <c r="H65" s="459"/>
      <c r="I65" s="460"/>
      <c r="J65" s="459"/>
      <c r="K65" s="460"/>
      <c r="L65" s="459"/>
      <c r="M65" s="460"/>
      <c r="N65" s="459"/>
      <c r="O65" s="460"/>
      <c r="P65" s="459"/>
      <c r="Q65" s="460"/>
      <c r="R65" s="459"/>
      <c r="S65" s="460"/>
      <c r="T65" s="459"/>
      <c r="U65" s="460"/>
      <c r="V65" s="459"/>
      <c r="W65" s="460"/>
      <c r="X65" s="459"/>
      <c r="Y65" s="460"/>
      <c r="Z65" s="459"/>
      <c r="AA65" s="460"/>
      <c r="AB65" s="459"/>
      <c r="AC65" s="460"/>
      <c r="AD65" s="459"/>
      <c r="AE65" s="460"/>
      <c r="AF65" s="459"/>
      <c r="AG65" s="460"/>
      <c r="AH65" s="459"/>
      <c r="AI65" s="460"/>
      <c r="AJ65" s="459"/>
      <c r="AK65" s="460"/>
      <c r="AL65" s="459"/>
      <c r="AM65" s="460"/>
      <c r="AN65" s="459"/>
      <c r="AO65" s="460"/>
      <c r="AP65" s="459"/>
      <c r="AQ65" s="460"/>
      <c r="AR65" s="459"/>
      <c r="AS65" s="460"/>
      <c r="AT65" s="80"/>
    </row>
    <row r="66" spans="2:46" x14ac:dyDescent="0.3">
      <c r="B66" s="479"/>
      <c r="C66" s="458"/>
      <c r="D66" s="13"/>
      <c r="E66" s="4"/>
      <c r="F66" s="459"/>
      <c r="G66" s="460"/>
      <c r="H66" s="459"/>
      <c r="I66" s="460"/>
      <c r="J66" s="459"/>
      <c r="K66" s="460"/>
      <c r="L66" s="459"/>
      <c r="M66" s="460"/>
      <c r="N66" s="459"/>
      <c r="O66" s="460"/>
      <c r="P66" s="459"/>
      <c r="Q66" s="460"/>
      <c r="R66" s="459"/>
      <c r="S66" s="460"/>
      <c r="T66" s="459"/>
      <c r="U66" s="460"/>
      <c r="V66" s="459"/>
      <c r="W66" s="460"/>
      <c r="X66" s="459"/>
      <c r="Y66" s="460"/>
      <c r="Z66" s="459"/>
      <c r="AA66" s="460"/>
      <c r="AB66" s="459"/>
      <c r="AC66" s="460"/>
      <c r="AD66" s="459"/>
      <c r="AE66" s="460"/>
      <c r="AF66" s="459"/>
      <c r="AG66" s="460"/>
      <c r="AH66" s="459"/>
      <c r="AI66" s="460"/>
      <c r="AJ66" s="459"/>
      <c r="AK66" s="460"/>
      <c r="AL66" s="459"/>
      <c r="AM66" s="460"/>
      <c r="AN66" s="459"/>
      <c r="AO66" s="460"/>
      <c r="AP66" s="459"/>
      <c r="AQ66" s="460"/>
      <c r="AR66" s="459"/>
      <c r="AS66" s="460"/>
      <c r="AT66" s="80"/>
    </row>
    <row r="67" spans="2:46" x14ac:dyDescent="0.3">
      <c r="B67" s="479"/>
      <c r="C67" s="458"/>
      <c r="D67" s="13"/>
      <c r="E67" s="4"/>
      <c r="F67" s="459"/>
      <c r="G67" s="460"/>
      <c r="H67" s="459"/>
      <c r="I67" s="460"/>
      <c r="J67" s="459"/>
      <c r="K67" s="460"/>
      <c r="L67" s="459"/>
      <c r="M67" s="460"/>
      <c r="N67" s="459"/>
      <c r="O67" s="460"/>
      <c r="P67" s="459"/>
      <c r="Q67" s="460"/>
      <c r="R67" s="459"/>
      <c r="S67" s="460"/>
      <c r="T67" s="459"/>
      <c r="U67" s="460"/>
      <c r="V67" s="459"/>
      <c r="W67" s="460"/>
      <c r="X67" s="459"/>
      <c r="Y67" s="460"/>
      <c r="Z67" s="459"/>
      <c r="AA67" s="460"/>
      <c r="AB67" s="459"/>
      <c r="AC67" s="460"/>
      <c r="AD67" s="459"/>
      <c r="AE67" s="460"/>
      <c r="AF67" s="459"/>
      <c r="AG67" s="460"/>
      <c r="AH67" s="459"/>
      <c r="AI67" s="460"/>
      <c r="AJ67" s="459"/>
      <c r="AK67" s="460"/>
      <c r="AL67" s="459"/>
      <c r="AM67" s="460"/>
      <c r="AN67" s="459"/>
      <c r="AO67" s="460"/>
      <c r="AP67" s="459"/>
      <c r="AQ67" s="460"/>
      <c r="AR67" s="459"/>
      <c r="AS67" s="460"/>
      <c r="AT67" s="80"/>
    </row>
    <row r="68" spans="2:46" x14ac:dyDescent="0.3">
      <c r="B68" s="479"/>
      <c r="C68" s="458"/>
      <c r="D68" s="13"/>
      <c r="E68" s="4"/>
      <c r="F68" s="459"/>
      <c r="G68" s="460"/>
      <c r="H68" s="459"/>
      <c r="I68" s="460"/>
      <c r="J68" s="459"/>
      <c r="K68" s="460"/>
      <c r="L68" s="459"/>
      <c r="M68" s="460"/>
      <c r="N68" s="459"/>
      <c r="O68" s="460"/>
      <c r="P68" s="459"/>
      <c r="Q68" s="460"/>
      <c r="R68" s="459"/>
      <c r="S68" s="460"/>
      <c r="T68" s="459"/>
      <c r="U68" s="460"/>
      <c r="V68" s="459"/>
      <c r="W68" s="460"/>
      <c r="X68" s="459"/>
      <c r="Y68" s="460"/>
      <c r="Z68" s="459"/>
      <c r="AA68" s="460"/>
      <c r="AB68" s="459"/>
      <c r="AC68" s="460"/>
      <c r="AD68" s="459"/>
      <c r="AE68" s="460"/>
      <c r="AF68" s="459"/>
      <c r="AG68" s="460"/>
      <c r="AH68" s="459"/>
      <c r="AI68" s="460"/>
      <c r="AJ68" s="459"/>
      <c r="AK68" s="460"/>
      <c r="AL68" s="459"/>
      <c r="AM68" s="460"/>
      <c r="AN68" s="459"/>
      <c r="AO68" s="460"/>
      <c r="AP68" s="459"/>
      <c r="AQ68" s="460"/>
      <c r="AR68" s="459"/>
      <c r="AS68" s="460"/>
      <c r="AT68" s="80"/>
    </row>
    <row r="69" spans="2:46" x14ac:dyDescent="0.3">
      <c r="B69" s="479"/>
      <c r="C69" s="458">
        <f>C55/2</f>
        <v>0.2218857142857143</v>
      </c>
      <c r="D69" s="13"/>
      <c r="E69" s="4"/>
      <c r="F69" s="459"/>
      <c r="G69" s="460"/>
      <c r="H69" s="459"/>
      <c r="I69" s="460"/>
      <c r="J69" s="459"/>
      <c r="K69" s="460"/>
      <c r="L69" s="459"/>
      <c r="M69" s="460"/>
      <c r="N69" s="459"/>
      <c r="O69" s="460"/>
      <c r="P69" s="459"/>
      <c r="Q69" s="460"/>
      <c r="R69" s="459"/>
      <c r="S69" s="460"/>
      <c r="T69" s="459"/>
      <c r="U69" s="460"/>
      <c r="V69" s="459"/>
      <c r="W69" s="460"/>
      <c r="X69" s="459"/>
      <c r="Y69" s="460"/>
      <c r="Z69" s="459"/>
      <c r="AA69" s="460"/>
      <c r="AB69" s="459"/>
      <c r="AC69" s="460"/>
      <c r="AD69" s="459"/>
      <c r="AE69" s="460"/>
      <c r="AF69" s="459"/>
      <c r="AG69" s="460"/>
      <c r="AH69" s="459"/>
      <c r="AI69" s="460"/>
      <c r="AJ69" s="459"/>
      <c r="AK69" s="460"/>
      <c r="AL69" s="459"/>
      <c r="AM69" s="460"/>
      <c r="AN69" s="459"/>
      <c r="AO69" s="460"/>
      <c r="AP69" s="459"/>
      <c r="AQ69" s="460"/>
      <c r="AR69" s="459"/>
      <c r="AS69" s="460"/>
      <c r="AT69" s="80"/>
    </row>
    <row r="70" spans="2:46" x14ac:dyDescent="0.3">
      <c r="B70" s="479"/>
      <c r="C70" s="458"/>
      <c r="D70" s="13"/>
      <c r="E70" s="4"/>
      <c r="F70" s="459"/>
      <c r="G70" s="460"/>
      <c r="H70" s="459"/>
      <c r="I70" s="460"/>
      <c r="J70" s="459"/>
      <c r="K70" s="460"/>
      <c r="L70" s="459"/>
      <c r="M70" s="460"/>
      <c r="N70" s="459"/>
      <c r="O70" s="460"/>
      <c r="P70" s="459"/>
      <c r="Q70" s="460"/>
      <c r="R70" s="459"/>
      <c r="S70" s="460"/>
      <c r="T70" s="459"/>
      <c r="U70" s="460"/>
      <c r="V70" s="459"/>
      <c r="W70" s="460"/>
      <c r="X70" s="459"/>
      <c r="Y70" s="460"/>
      <c r="Z70" s="459"/>
      <c r="AA70" s="460"/>
      <c r="AB70" s="459"/>
      <c r="AC70" s="460"/>
      <c r="AD70" s="459"/>
      <c r="AE70" s="460"/>
      <c r="AF70" s="459"/>
      <c r="AG70" s="460"/>
      <c r="AH70" s="459"/>
      <c r="AI70" s="460"/>
      <c r="AJ70" s="459"/>
      <c r="AK70" s="460"/>
      <c r="AL70" s="459"/>
      <c r="AM70" s="460"/>
      <c r="AN70" s="459"/>
      <c r="AO70" s="460"/>
      <c r="AP70" s="459"/>
      <c r="AQ70" s="460"/>
      <c r="AR70" s="459"/>
      <c r="AS70" s="460"/>
      <c r="AT70" s="80"/>
    </row>
    <row r="71" spans="2:46" x14ac:dyDescent="0.3">
      <c r="B71" s="479"/>
      <c r="C71" s="458"/>
      <c r="D71" s="13"/>
      <c r="E71" s="4"/>
      <c r="F71" s="459"/>
      <c r="G71" s="460"/>
      <c r="H71" s="459"/>
      <c r="I71" s="460"/>
      <c r="J71" s="459"/>
      <c r="K71" s="460"/>
      <c r="L71" s="459"/>
      <c r="M71" s="460"/>
      <c r="N71" s="459"/>
      <c r="O71" s="460"/>
      <c r="P71" s="459"/>
      <c r="Q71" s="460"/>
      <c r="R71" s="459"/>
      <c r="S71" s="460"/>
      <c r="T71" s="459"/>
      <c r="U71" s="460"/>
      <c r="V71" s="459"/>
      <c r="W71" s="460"/>
      <c r="X71" s="459"/>
      <c r="Y71" s="460"/>
      <c r="Z71" s="459"/>
      <c r="AA71" s="460"/>
      <c r="AB71" s="459"/>
      <c r="AC71" s="460"/>
      <c r="AD71" s="459"/>
      <c r="AE71" s="460"/>
      <c r="AF71" s="459"/>
      <c r="AG71" s="460"/>
      <c r="AH71" s="459"/>
      <c r="AI71" s="460"/>
      <c r="AJ71" s="459"/>
      <c r="AK71" s="460"/>
      <c r="AL71" s="459"/>
      <c r="AM71" s="460"/>
      <c r="AN71" s="459"/>
      <c r="AO71" s="460"/>
      <c r="AP71" s="459"/>
      <c r="AQ71" s="460"/>
      <c r="AR71" s="459"/>
      <c r="AS71" s="460"/>
      <c r="AT71" s="80"/>
    </row>
    <row r="72" spans="2:46" x14ac:dyDescent="0.3">
      <c r="B72" s="479"/>
      <c r="C72" s="458"/>
      <c r="D72" s="13"/>
      <c r="E72" s="4"/>
      <c r="F72" s="459"/>
      <c r="G72" s="460"/>
      <c r="H72" s="459"/>
      <c r="I72" s="460"/>
      <c r="J72" s="459"/>
      <c r="K72" s="460"/>
      <c r="L72" s="459"/>
      <c r="M72" s="460"/>
      <c r="N72" s="459"/>
      <c r="O72" s="460"/>
      <c r="P72" s="459"/>
      <c r="Q72" s="460"/>
      <c r="R72" s="459"/>
      <c r="S72" s="460"/>
      <c r="T72" s="459"/>
      <c r="U72" s="460"/>
      <c r="V72" s="459"/>
      <c r="W72" s="460"/>
      <c r="X72" s="459"/>
      <c r="Y72" s="460"/>
      <c r="Z72" s="459"/>
      <c r="AA72" s="460"/>
      <c r="AB72" s="459"/>
      <c r="AC72" s="460"/>
      <c r="AD72" s="459"/>
      <c r="AE72" s="460"/>
      <c r="AF72" s="459"/>
      <c r="AG72" s="460"/>
      <c r="AH72" s="459"/>
      <c r="AI72" s="460"/>
      <c r="AJ72" s="459"/>
      <c r="AK72" s="460"/>
      <c r="AL72" s="459"/>
      <c r="AM72" s="460"/>
      <c r="AN72" s="459"/>
      <c r="AO72" s="460"/>
      <c r="AP72" s="459"/>
      <c r="AQ72" s="460"/>
      <c r="AR72" s="459"/>
      <c r="AS72" s="460"/>
      <c r="AT72" s="80"/>
    </row>
    <row r="73" spans="2:46" x14ac:dyDescent="0.3">
      <c r="B73" s="479"/>
      <c r="C73" s="458"/>
      <c r="D73" s="13"/>
      <c r="E73" s="4"/>
      <c r="F73" s="459"/>
      <c r="G73" s="460"/>
      <c r="H73" s="459"/>
      <c r="I73" s="460"/>
      <c r="J73" s="459"/>
      <c r="K73" s="460"/>
      <c r="L73" s="459"/>
      <c r="M73" s="460"/>
      <c r="N73" s="459"/>
      <c r="O73" s="460"/>
      <c r="P73" s="459"/>
      <c r="Q73" s="460"/>
      <c r="R73" s="459"/>
      <c r="S73" s="460"/>
      <c r="T73" s="459"/>
      <c r="U73" s="460"/>
      <c r="V73" s="459"/>
      <c r="W73" s="460"/>
      <c r="X73" s="459"/>
      <c r="Y73" s="460"/>
      <c r="Z73" s="459"/>
      <c r="AA73" s="460"/>
      <c r="AB73" s="459"/>
      <c r="AC73" s="460"/>
      <c r="AD73" s="459"/>
      <c r="AE73" s="460"/>
      <c r="AF73" s="459"/>
      <c r="AG73" s="460"/>
      <c r="AH73" s="459"/>
      <c r="AI73" s="460"/>
      <c r="AJ73" s="459"/>
      <c r="AK73" s="460"/>
      <c r="AL73" s="459"/>
      <c r="AM73" s="460"/>
      <c r="AN73" s="459"/>
      <c r="AO73" s="460"/>
      <c r="AP73" s="459"/>
      <c r="AQ73" s="460"/>
      <c r="AR73" s="459"/>
      <c r="AS73" s="460"/>
      <c r="AT73" s="80"/>
    </row>
    <row r="74" spans="2:46" x14ac:dyDescent="0.3">
      <c r="B74" s="479"/>
      <c r="C74" s="458"/>
      <c r="D74" s="13"/>
      <c r="E74" s="4"/>
      <c r="F74" s="459"/>
      <c r="G74" s="460"/>
      <c r="H74" s="459"/>
      <c r="I74" s="460"/>
      <c r="J74" s="459"/>
      <c r="K74" s="460"/>
      <c r="L74" s="459"/>
      <c r="M74" s="460"/>
      <c r="N74" s="459"/>
      <c r="O74" s="460"/>
      <c r="P74" s="459"/>
      <c r="Q74" s="460"/>
      <c r="R74" s="459"/>
      <c r="S74" s="460"/>
      <c r="T74" s="459"/>
      <c r="U74" s="460"/>
      <c r="V74" s="459"/>
      <c r="W74" s="460"/>
      <c r="X74" s="459"/>
      <c r="Y74" s="460"/>
      <c r="Z74" s="459"/>
      <c r="AA74" s="460"/>
      <c r="AB74" s="459"/>
      <c r="AC74" s="460"/>
      <c r="AD74" s="459"/>
      <c r="AE74" s="460"/>
      <c r="AF74" s="459"/>
      <c r="AG74" s="460"/>
      <c r="AH74" s="459"/>
      <c r="AI74" s="460"/>
      <c r="AJ74" s="459"/>
      <c r="AK74" s="460"/>
      <c r="AL74" s="459"/>
      <c r="AM74" s="460"/>
      <c r="AN74" s="459"/>
      <c r="AO74" s="460"/>
      <c r="AP74" s="459"/>
      <c r="AQ74" s="460"/>
      <c r="AR74" s="459"/>
      <c r="AS74" s="460"/>
      <c r="AT74" s="80"/>
    </row>
    <row r="75" spans="2:46" x14ac:dyDescent="0.3">
      <c r="B75" s="479"/>
      <c r="C75" s="458"/>
      <c r="D75" s="13"/>
      <c r="E75" s="4"/>
      <c r="F75" s="459"/>
      <c r="G75" s="460"/>
      <c r="H75" s="459"/>
      <c r="I75" s="460"/>
      <c r="J75" s="459"/>
      <c r="K75" s="460"/>
      <c r="L75" s="459"/>
      <c r="M75" s="460"/>
      <c r="N75" s="459"/>
      <c r="O75" s="460"/>
      <c r="P75" s="459"/>
      <c r="Q75" s="460"/>
      <c r="R75" s="459"/>
      <c r="S75" s="460"/>
      <c r="T75" s="459"/>
      <c r="U75" s="460"/>
      <c r="V75" s="459"/>
      <c r="W75" s="460"/>
      <c r="X75" s="459"/>
      <c r="Y75" s="460"/>
      <c r="Z75" s="459"/>
      <c r="AA75" s="460"/>
      <c r="AB75" s="459"/>
      <c r="AC75" s="460"/>
      <c r="AD75" s="459"/>
      <c r="AE75" s="460"/>
      <c r="AF75" s="459"/>
      <c r="AG75" s="460"/>
      <c r="AH75" s="459"/>
      <c r="AI75" s="460"/>
      <c r="AJ75" s="459"/>
      <c r="AK75" s="460"/>
      <c r="AL75" s="459"/>
      <c r="AM75" s="460"/>
      <c r="AN75" s="459"/>
      <c r="AO75" s="460"/>
      <c r="AP75" s="459"/>
      <c r="AQ75" s="460"/>
      <c r="AR75" s="459"/>
      <c r="AS75" s="460"/>
      <c r="AT75" s="80"/>
    </row>
    <row r="76" spans="2:46" x14ac:dyDescent="0.3">
      <c r="B76" s="479"/>
      <c r="C76" s="458"/>
      <c r="D76" s="13"/>
      <c r="E76" s="4"/>
      <c r="F76" s="459"/>
      <c r="G76" s="460"/>
      <c r="H76" s="459"/>
      <c r="I76" s="460"/>
      <c r="J76" s="459"/>
      <c r="K76" s="460"/>
      <c r="L76" s="459"/>
      <c r="M76" s="460"/>
      <c r="N76" s="459"/>
      <c r="O76" s="460"/>
      <c r="P76" s="459"/>
      <c r="Q76" s="460"/>
      <c r="R76" s="459"/>
      <c r="S76" s="460"/>
      <c r="T76" s="459"/>
      <c r="U76" s="460"/>
      <c r="V76" s="459"/>
      <c r="W76" s="460"/>
      <c r="X76" s="459"/>
      <c r="Y76" s="460"/>
      <c r="Z76" s="459"/>
      <c r="AA76" s="460"/>
      <c r="AB76" s="459"/>
      <c r="AC76" s="460"/>
      <c r="AD76" s="459"/>
      <c r="AE76" s="460"/>
      <c r="AF76" s="459"/>
      <c r="AG76" s="460"/>
      <c r="AH76" s="459"/>
      <c r="AI76" s="460"/>
      <c r="AJ76" s="459"/>
      <c r="AK76" s="460"/>
      <c r="AL76" s="459"/>
      <c r="AM76" s="460"/>
      <c r="AN76" s="459"/>
      <c r="AO76" s="460"/>
      <c r="AP76" s="459"/>
      <c r="AQ76" s="460"/>
      <c r="AR76" s="459"/>
      <c r="AS76" s="460"/>
      <c r="AT76" s="80"/>
    </row>
    <row r="77" spans="2:46" x14ac:dyDescent="0.3">
      <c r="B77" s="479"/>
      <c r="C77" s="458">
        <f>C69/2</f>
        <v>0.11094285714285715</v>
      </c>
      <c r="D77" s="13"/>
      <c r="E77" s="4"/>
      <c r="F77" s="459"/>
      <c r="G77" s="460"/>
      <c r="H77" s="459"/>
      <c r="I77" s="460"/>
      <c r="J77" s="459"/>
      <c r="K77" s="460"/>
      <c r="L77" s="459"/>
      <c r="M77" s="460"/>
      <c r="N77" s="459"/>
      <c r="O77" s="460"/>
      <c r="P77" s="459"/>
      <c r="Q77" s="460"/>
      <c r="R77" s="459"/>
      <c r="S77" s="460"/>
      <c r="T77" s="459"/>
      <c r="U77" s="460"/>
      <c r="V77" s="459"/>
      <c r="W77" s="460"/>
      <c r="X77" s="459"/>
      <c r="Y77" s="460"/>
      <c r="Z77" s="459"/>
      <c r="AA77" s="460"/>
      <c r="AB77" s="459"/>
      <c r="AC77" s="460"/>
      <c r="AD77" s="459"/>
      <c r="AE77" s="460"/>
      <c r="AF77" s="459"/>
      <c r="AG77" s="460"/>
      <c r="AH77" s="459"/>
      <c r="AI77" s="460"/>
      <c r="AJ77" s="459"/>
      <c r="AK77" s="460"/>
      <c r="AL77" s="459"/>
      <c r="AM77" s="460"/>
      <c r="AN77" s="459"/>
      <c r="AO77" s="460"/>
      <c r="AP77" s="459"/>
      <c r="AQ77" s="460"/>
      <c r="AR77" s="459"/>
      <c r="AS77" s="460"/>
      <c r="AT77" s="80"/>
    </row>
    <row r="78" spans="2:46" x14ac:dyDescent="0.3">
      <c r="B78" s="479"/>
      <c r="C78" s="458"/>
      <c r="D78" s="13"/>
      <c r="E78" s="4"/>
      <c r="F78" s="459"/>
      <c r="G78" s="460"/>
      <c r="H78" s="459"/>
      <c r="I78" s="460"/>
      <c r="J78" s="459"/>
      <c r="K78" s="460"/>
      <c r="L78" s="459"/>
      <c r="M78" s="460"/>
      <c r="N78" s="459"/>
      <c r="O78" s="460"/>
      <c r="P78" s="459"/>
      <c r="Q78" s="460"/>
      <c r="R78" s="459"/>
      <c r="S78" s="460"/>
      <c r="T78" s="459"/>
      <c r="U78" s="460"/>
      <c r="V78" s="459"/>
      <c r="W78" s="460"/>
      <c r="X78" s="459"/>
      <c r="Y78" s="460"/>
      <c r="Z78" s="459"/>
      <c r="AA78" s="460"/>
      <c r="AB78" s="459"/>
      <c r="AC78" s="460"/>
      <c r="AD78" s="459"/>
      <c r="AE78" s="460"/>
      <c r="AF78" s="459"/>
      <c r="AG78" s="460"/>
      <c r="AH78" s="459"/>
      <c r="AI78" s="460"/>
      <c r="AJ78" s="459"/>
      <c r="AK78" s="460"/>
      <c r="AL78" s="459"/>
      <c r="AM78" s="460"/>
      <c r="AN78" s="459"/>
      <c r="AO78" s="460"/>
      <c r="AP78" s="459"/>
      <c r="AQ78" s="460"/>
      <c r="AR78" s="459"/>
      <c r="AS78" s="460"/>
      <c r="AT78" s="80"/>
    </row>
    <row r="79" spans="2:46" x14ac:dyDescent="0.3">
      <c r="B79" s="479"/>
      <c r="C79" s="458"/>
      <c r="D79" s="13"/>
      <c r="E79" s="4"/>
      <c r="F79" s="459"/>
      <c r="G79" s="460"/>
      <c r="H79" s="459"/>
      <c r="I79" s="460"/>
      <c r="J79" s="459"/>
      <c r="K79" s="460"/>
      <c r="L79" s="459"/>
      <c r="M79" s="460"/>
      <c r="N79" s="459"/>
      <c r="O79" s="460"/>
      <c r="P79" s="459"/>
      <c r="Q79" s="460"/>
      <c r="R79" s="459"/>
      <c r="S79" s="460"/>
      <c r="T79" s="459"/>
      <c r="U79" s="460"/>
      <c r="V79" s="459"/>
      <c r="W79" s="460"/>
      <c r="X79" s="459"/>
      <c r="Y79" s="460"/>
      <c r="Z79" s="459"/>
      <c r="AA79" s="460"/>
      <c r="AB79" s="459"/>
      <c r="AC79" s="460"/>
      <c r="AD79" s="459"/>
      <c r="AE79" s="460"/>
      <c r="AF79" s="459"/>
      <c r="AG79" s="460"/>
      <c r="AH79" s="459"/>
      <c r="AI79" s="460"/>
      <c r="AJ79" s="459"/>
      <c r="AK79" s="460"/>
      <c r="AL79" s="459"/>
      <c r="AM79" s="460"/>
      <c r="AN79" s="459"/>
      <c r="AO79" s="460"/>
      <c r="AP79" s="459"/>
      <c r="AQ79" s="460"/>
      <c r="AR79" s="459"/>
      <c r="AS79" s="460"/>
      <c r="AT79" s="80"/>
    </row>
    <row r="80" spans="2:46" x14ac:dyDescent="0.3">
      <c r="B80" s="479"/>
      <c r="C80" s="458"/>
      <c r="D80" s="13"/>
      <c r="E80" s="4"/>
      <c r="F80" s="459"/>
      <c r="G80" s="460"/>
      <c r="H80" s="459"/>
      <c r="I80" s="460"/>
      <c r="J80" s="459"/>
      <c r="K80" s="460"/>
      <c r="L80" s="459"/>
      <c r="M80" s="460"/>
      <c r="N80" s="459"/>
      <c r="O80" s="460"/>
      <c r="P80" s="459"/>
      <c r="Q80" s="460"/>
      <c r="R80" s="459"/>
      <c r="S80" s="460"/>
      <c r="T80" s="459"/>
      <c r="U80" s="460"/>
      <c r="V80" s="459"/>
      <c r="W80" s="460"/>
      <c r="X80" s="459"/>
      <c r="Y80" s="460"/>
      <c r="Z80" s="459"/>
      <c r="AA80" s="460"/>
      <c r="AB80" s="459"/>
      <c r="AC80" s="460"/>
      <c r="AD80" s="459"/>
      <c r="AE80" s="460"/>
      <c r="AF80" s="459"/>
      <c r="AG80" s="460"/>
      <c r="AH80" s="459"/>
      <c r="AI80" s="460"/>
      <c r="AJ80" s="459"/>
      <c r="AK80" s="460"/>
      <c r="AL80" s="459"/>
      <c r="AM80" s="460"/>
      <c r="AN80" s="459"/>
      <c r="AO80" s="460"/>
      <c r="AP80" s="459"/>
      <c r="AQ80" s="460"/>
      <c r="AR80" s="459"/>
      <c r="AS80" s="460"/>
      <c r="AT80" s="80"/>
    </row>
    <row r="81" spans="2:46" x14ac:dyDescent="0.3">
      <c r="B81" s="479"/>
      <c r="C81" s="458">
        <f>C77/2</f>
        <v>5.5471428571428574E-2</v>
      </c>
      <c r="D81" s="13"/>
      <c r="E81" s="4"/>
      <c r="F81" s="459"/>
      <c r="G81" s="460"/>
      <c r="H81" s="459"/>
      <c r="I81" s="460"/>
      <c r="J81" s="459"/>
      <c r="K81" s="460"/>
      <c r="L81" s="459"/>
      <c r="M81" s="460"/>
      <c r="N81" s="459"/>
      <c r="O81" s="460"/>
      <c r="P81" s="459"/>
      <c r="Q81" s="460"/>
      <c r="R81" s="459"/>
      <c r="S81" s="460"/>
      <c r="T81" s="459"/>
      <c r="U81" s="460"/>
      <c r="V81" s="459"/>
      <c r="W81" s="460"/>
      <c r="X81" s="459"/>
      <c r="Y81" s="460"/>
      <c r="Z81" s="459"/>
      <c r="AA81" s="460"/>
      <c r="AB81" s="459"/>
      <c r="AC81" s="460"/>
      <c r="AD81" s="459"/>
      <c r="AE81" s="460"/>
      <c r="AF81" s="459"/>
      <c r="AG81" s="460"/>
      <c r="AH81" s="459"/>
      <c r="AI81" s="460"/>
      <c r="AJ81" s="459"/>
      <c r="AK81" s="460"/>
      <c r="AL81" s="459"/>
      <c r="AM81" s="460"/>
      <c r="AN81" s="459"/>
      <c r="AO81" s="460"/>
      <c r="AP81" s="459"/>
      <c r="AQ81" s="460"/>
      <c r="AR81" s="459"/>
      <c r="AS81" s="460"/>
      <c r="AT81" s="80"/>
    </row>
    <row r="82" spans="2:46" x14ac:dyDescent="0.3">
      <c r="B82" s="479"/>
      <c r="C82" s="458"/>
      <c r="D82" s="13"/>
      <c r="E82" s="4"/>
      <c r="F82" s="459"/>
      <c r="G82" s="460"/>
      <c r="H82" s="459"/>
      <c r="I82" s="460"/>
      <c r="J82" s="459"/>
      <c r="K82" s="460"/>
      <c r="L82" s="459"/>
      <c r="M82" s="460"/>
      <c r="N82" s="459"/>
      <c r="O82" s="460"/>
      <c r="P82" s="459"/>
      <c r="Q82" s="460"/>
      <c r="R82" s="459"/>
      <c r="S82" s="460"/>
      <c r="T82" s="459"/>
      <c r="U82" s="460"/>
      <c r="V82" s="459"/>
      <c r="W82" s="460"/>
      <c r="X82" s="459"/>
      <c r="Y82" s="460"/>
      <c r="Z82" s="459"/>
      <c r="AA82" s="460"/>
      <c r="AB82" s="459"/>
      <c r="AC82" s="460"/>
      <c r="AD82" s="459"/>
      <c r="AE82" s="460"/>
      <c r="AF82" s="459"/>
      <c r="AG82" s="460"/>
      <c r="AH82" s="459"/>
      <c r="AI82" s="460"/>
      <c r="AJ82" s="459"/>
      <c r="AK82" s="460"/>
      <c r="AL82" s="459"/>
      <c r="AM82" s="460"/>
      <c r="AN82" s="459"/>
      <c r="AO82" s="460"/>
      <c r="AP82" s="459"/>
      <c r="AQ82" s="460"/>
      <c r="AR82" s="459"/>
      <c r="AS82" s="460"/>
      <c r="AT82" s="80"/>
    </row>
    <row r="83" spans="2:46" x14ac:dyDescent="0.3">
      <c r="B83" s="479"/>
      <c r="C83" s="499"/>
      <c r="D83" s="3"/>
      <c r="E83" s="8"/>
      <c r="F83" s="459"/>
      <c r="G83" s="460"/>
      <c r="H83" s="459"/>
      <c r="I83" s="460"/>
      <c r="J83" s="459"/>
      <c r="K83" s="460"/>
      <c r="L83" s="459"/>
      <c r="M83" s="460"/>
      <c r="N83" s="459"/>
      <c r="O83" s="460"/>
      <c r="P83" s="459"/>
      <c r="Q83" s="460"/>
      <c r="R83" s="459"/>
      <c r="S83" s="460"/>
      <c r="T83" s="459"/>
      <c r="U83" s="460"/>
      <c r="V83" s="459"/>
      <c r="W83" s="460"/>
      <c r="X83" s="459"/>
      <c r="Y83" s="460"/>
      <c r="Z83" s="459"/>
      <c r="AA83" s="460"/>
      <c r="AB83" s="459"/>
      <c r="AC83" s="460"/>
      <c r="AD83" s="459"/>
      <c r="AE83" s="460"/>
      <c r="AF83" s="459"/>
      <c r="AG83" s="460"/>
      <c r="AH83" s="459"/>
      <c r="AI83" s="460"/>
      <c r="AJ83" s="459"/>
      <c r="AK83" s="460"/>
      <c r="AL83" s="459"/>
      <c r="AM83" s="460"/>
      <c r="AN83" s="459"/>
      <c r="AO83" s="460"/>
      <c r="AP83" s="459"/>
      <c r="AQ83" s="460"/>
      <c r="AR83" s="459"/>
      <c r="AS83" s="460"/>
      <c r="AT83" s="76"/>
    </row>
    <row r="84" spans="2:46" ht="15" thickBot="1" x14ac:dyDescent="0.35">
      <c r="B84" s="480"/>
      <c r="C84" s="500"/>
      <c r="D84" s="85"/>
      <c r="E84" s="86"/>
      <c r="F84" s="494"/>
      <c r="G84" s="495"/>
      <c r="H84" s="494"/>
      <c r="I84" s="495"/>
      <c r="J84" s="494"/>
      <c r="K84" s="495"/>
      <c r="L84" s="494"/>
      <c r="M84" s="495"/>
      <c r="N84" s="494"/>
      <c r="O84" s="495"/>
      <c r="P84" s="494"/>
      <c r="Q84" s="495"/>
      <c r="R84" s="494"/>
      <c r="S84" s="495"/>
      <c r="T84" s="494"/>
      <c r="U84" s="495"/>
      <c r="V84" s="494"/>
      <c r="W84" s="495"/>
      <c r="X84" s="494"/>
      <c r="Y84" s="495"/>
      <c r="Z84" s="494"/>
      <c r="AA84" s="495"/>
      <c r="AB84" s="494"/>
      <c r="AC84" s="495"/>
      <c r="AD84" s="494"/>
      <c r="AE84" s="495"/>
      <c r="AF84" s="494"/>
      <c r="AG84" s="495"/>
      <c r="AH84" s="494"/>
      <c r="AI84" s="495"/>
      <c r="AJ84" s="494"/>
      <c r="AK84" s="495"/>
      <c r="AL84" s="494"/>
      <c r="AM84" s="495"/>
      <c r="AN84" s="494"/>
      <c r="AO84" s="495"/>
      <c r="AP84" s="494"/>
      <c r="AQ84" s="495"/>
      <c r="AR84" s="494"/>
      <c r="AS84" s="495"/>
      <c r="AT84" s="87"/>
    </row>
    <row r="85" spans="2:46" s="48" customFormat="1" ht="26.4" thickTop="1" x14ac:dyDescent="0.5">
      <c r="E85" s="493">
        <v>1</v>
      </c>
      <c r="F85" s="493"/>
      <c r="G85" s="493">
        <v>2</v>
      </c>
      <c r="H85" s="493"/>
      <c r="I85" s="493">
        <v>3</v>
      </c>
      <c r="J85" s="493"/>
      <c r="K85" s="493">
        <v>4</v>
      </c>
      <c r="L85" s="493"/>
      <c r="M85" s="493">
        <v>5</v>
      </c>
      <c r="N85" s="493"/>
      <c r="O85" s="493">
        <v>6</v>
      </c>
      <c r="P85" s="493"/>
      <c r="Q85" s="493">
        <v>7</v>
      </c>
      <c r="R85" s="493"/>
      <c r="S85" s="493">
        <v>8</v>
      </c>
      <c r="T85" s="493"/>
      <c r="U85" s="493">
        <v>9</v>
      </c>
      <c r="V85" s="493"/>
      <c r="W85" s="493">
        <v>10</v>
      </c>
      <c r="X85" s="493"/>
      <c r="Y85" s="493">
        <v>11</v>
      </c>
      <c r="Z85" s="493"/>
      <c r="AA85" s="493">
        <v>12</v>
      </c>
      <c r="AB85" s="493"/>
      <c r="AC85" s="493">
        <v>13</v>
      </c>
      <c r="AD85" s="493"/>
      <c r="AE85" s="493">
        <v>14</v>
      </c>
      <c r="AF85" s="493"/>
      <c r="AG85" s="493">
        <v>15</v>
      </c>
      <c r="AH85" s="493"/>
      <c r="AI85" s="493">
        <v>16</v>
      </c>
      <c r="AJ85" s="493"/>
      <c r="AK85" s="493">
        <v>17</v>
      </c>
      <c r="AL85" s="493"/>
      <c r="AM85" s="493">
        <v>18</v>
      </c>
      <c r="AN85" s="493"/>
      <c r="AO85" s="493">
        <v>19</v>
      </c>
      <c r="AP85" s="493"/>
      <c r="AQ85" s="493">
        <v>20</v>
      </c>
      <c r="AR85" s="493"/>
      <c r="AS85" s="493">
        <v>21</v>
      </c>
      <c r="AT85" s="493"/>
    </row>
    <row r="86" spans="2:46" s="47" customFormat="1" ht="29.4" thickBot="1" x14ac:dyDescent="0.55000000000000004">
      <c r="B86" s="99" t="s">
        <v>91</v>
      </c>
      <c r="C86" s="99"/>
      <c r="D86" s="99"/>
      <c r="E86" s="99"/>
      <c r="F86" s="99"/>
      <c r="G86" s="99"/>
      <c r="H86" s="99" t="s">
        <v>88</v>
      </c>
      <c r="I86" s="99"/>
      <c r="J86" s="99"/>
      <c r="K86" s="99"/>
      <c r="L86" s="99"/>
      <c r="M86" s="99"/>
      <c r="N86" s="99"/>
      <c r="O86" s="99"/>
      <c r="P86" s="99"/>
      <c r="Q86" s="99"/>
      <c r="R86" s="99"/>
      <c r="S86" s="99"/>
      <c r="T86" s="99"/>
      <c r="U86" s="99"/>
      <c r="V86" s="99"/>
      <c r="W86" s="99"/>
      <c r="X86" s="99"/>
      <c r="Y86" s="99"/>
      <c r="Z86" s="99"/>
      <c r="AA86" s="99"/>
      <c r="AB86" s="100" t="s">
        <v>8</v>
      </c>
      <c r="AC86" s="99"/>
      <c r="AD86" s="496" t="s">
        <v>9</v>
      </c>
      <c r="AE86" s="496"/>
      <c r="AF86" s="496"/>
      <c r="AG86" s="496"/>
      <c r="AH86" s="99"/>
      <c r="AI86" s="99"/>
      <c r="AJ86" s="497" t="s">
        <v>10</v>
      </c>
      <c r="AK86" s="497"/>
      <c r="AL86" s="497"/>
      <c r="AM86" s="497"/>
      <c r="AN86" s="99"/>
      <c r="AO86" s="99"/>
      <c r="AP86" s="498">
        <v>96</v>
      </c>
      <c r="AQ86" s="498"/>
      <c r="AR86" s="498"/>
      <c r="AS86" s="498"/>
    </row>
    <row r="87" spans="2:46" s="48" customFormat="1" ht="25.8" x14ac:dyDescent="0.5"/>
    <row r="88" spans="2:46" s="48" customFormat="1" ht="25.8" x14ac:dyDescent="0.5"/>
    <row r="89" spans="2:46" x14ac:dyDescent="0.3">
      <c r="B89" s="23"/>
    </row>
  </sheetData>
  <mergeCells count="1614">
    <mergeCell ref="AM85:AN85"/>
    <mergeCell ref="AO85:AP85"/>
    <mergeCell ref="AQ85:AR85"/>
    <mergeCell ref="AS85:AT85"/>
    <mergeCell ref="AD86:AG86"/>
    <mergeCell ref="AJ86:AM86"/>
    <mergeCell ref="AP86:AS86"/>
    <mergeCell ref="E85:F85"/>
    <mergeCell ref="G85:H85"/>
    <mergeCell ref="I85:J85"/>
    <mergeCell ref="K85:L85"/>
    <mergeCell ref="M85:N85"/>
    <mergeCell ref="O85:P85"/>
    <mergeCell ref="Q85:R85"/>
    <mergeCell ref="S85:T85"/>
    <mergeCell ref="U85:V85"/>
    <mergeCell ref="W85:X85"/>
    <mergeCell ref="Y85:Z85"/>
    <mergeCell ref="AA85:AB85"/>
    <mergeCell ref="AC85:AD85"/>
    <mergeCell ref="AE85:AF85"/>
    <mergeCell ref="AG85:AH85"/>
    <mergeCell ref="AI85:AJ85"/>
    <mergeCell ref="AK85:AL85"/>
    <mergeCell ref="AT49:AT50"/>
    <mergeCell ref="B52:B84"/>
    <mergeCell ref="C55:C56"/>
    <mergeCell ref="C57:C58"/>
    <mergeCell ref="C59:C60"/>
    <mergeCell ref="C61:C62"/>
    <mergeCell ref="C63:C64"/>
    <mergeCell ref="C65:C66"/>
    <mergeCell ref="C67:C68"/>
    <mergeCell ref="C69:C72"/>
    <mergeCell ref="C73:C74"/>
    <mergeCell ref="C75:C76"/>
    <mergeCell ref="C77:C78"/>
    <mergeCell ref="C79:C80"/>
    <mergeCell ref="C81:C82"/>
    <mergeCell ref="C83:C84"/>
    <mergeCell ref="AR84:AS84"/>
    <mergeCell ref="AF84:AG84"/>
    <mergeCell ref="AH84:AI84"/>
    <mergeCell ref="AJ84:AK84"/>
    <mergeCell ref="AL84:AM84"/>
    <mergeCell ref="AN84:AO84"/>
    <mergeCell ref="AP84:AQ84"/>
    <mergeCell ref="T84:U84"/>
    <mergeCell ref="V84:W84"/>
    <mergeCell ref="X84:Y84"/>
    <mergeCell ref="Z84:AA84"/>
    <mergeCell ref="AB84:AC84"/>
    <mergeCell ref="AD84:AE84"/>
    <mergeCell ref="AP83:AQ83"/>
    <mergeCell ref="AR83:AS83"/>
    <mergeCell ref="B12:B50"/>
    <mergeCell ref="AT31:AT32"/>
    <mergeCell ref="C33:C36"/>
    <mergeCell ref="C37:C38"/>
    <mergeCell ref="C39:C42"/>
    <mergeCell ref="C43:C44"/>
    <mergeCell ref="AT43:AT44"/>
    <mergeCell ref="C45:C48"/>
    <mergeCell ref="F46:G46"/>
    <mergeCell ref="H46:I46"/>
    <mergeCell ref="J46:K46"/>
    <mergeCell ref="L46:M46"/>
    <mergeCell ref="N46:O46"/>
    <mergeCell ref="P46:Q46"/>
    <mergeCell ref="R46:S46"/>
    <mergeCell ref="T46:U46"/>
    <mergeCell ref="V46:W46"/>
    <mergeCell ref="X46:Y46"/>
    <mergeCell ref="Z46:AA46"/>
    <mergeCell ref="AB46:AC46"/>
    <mergeCell ref="AD46:AE46"/>
    <mergeCell ref="AF46:AG46"/>
    <mergeCell ref="AH46:AI46"/>
    <mergeCell ref="AJ46:AK46"/>
    <mergeCell ref="AL46:AM46"/>
    <mergeCell ref="AN46:AO46"/>
    <mergeCell ref="AP46:AQ46"/>
    <mergeCell ref="AR46:AS46"/>
    <mergeCell ref="AJ48:AK48"/>
    <mergeCell ref="AL48:AM48"/>
    <mergeCell ref="AN48:AO48"/>
    <mergeCell ref="AP48:AQ48"/>
    <mergeCell ref="AR48:AS48"/>
    <mergeCell ref="AT19:AT20"/>
    <mergeCell ref="C21:C24"/>
    <mergeCell ref="F22:G22"/>
    <mergeCell ref="AP22:AQ22"/>
    <mergeCell ref="AR22:AS22"/>
    <mergeCell ref="C25:C26"/>
    <mergeCell ref="AJ24:AK24"/>
    <mergeCell ref="AL24:AM24"/>
    <mergeCell ref="AN24:AO24"/>
    <mergeCell ref="AP24:AQ24"/>
    <mergeCell ref="AR24:AS24"/>
    <mergeCell ref="V24:W24"/>
    <mergeCell ref="X24:Y24"/>
    <mergeCell ref="Z24:AA24"/>
    <mergeCell ref="AB24:AC24"/>
    <mergeCell ref="AD24:AE24"/>
    <mergeCell ref="AF24:AG24"/>
    <mergeCell ref="AP26:AQ26"/>
    <mergeCell ref="AR26:AS26"/>
    <mergeCell ref="V26:W26"/>
    <mergeCell ref="X26:Y26"/>
    <mergeCell ref="Z26:AA26"/>
    <mergeCell ref="AB26:AC26"/>
    <mergeCell ref="AD26:AE26"/>
    <mergeCell ref="AF26:AG26"/>
    <mergeCell ref="AP25:AQ25"/>
    <mergeCell ref="AR25:AS25"/>
    <mergeCell ref="AH24:AI24"/>
    <mergeCell ref="AN22:AO22"/>
    <mergeCell ref="AP21:AQ21"/>
    <mergeCell ref="AR21:AS21"/>
    <mergeCell ref="F23:G23"/>
    <mergeCell ref="F12:G12"/>
    <mergeCell ref="H12:I12"/>
    <mergeCell ref="J12:K12"/>
    <mergeCell ref="L12:M12"/>
    <mergeCell ref="N12:O12"/>
    <mergeCell ref="P12:Q12"/>
    <mergeCell ref="R12:S12"/>
    <mergeCell ref="T12:U12"/>
    <mergeCell ref="V12:W12"/>
    <mergeCell ref="X12:Y12"/>
    <mergeCell ref="Z12:AA12"/>
    <mergeCell ref="AB12:AC12"/>
    <mergeCell ref="AD12:AE12"/>
    <mergeCell ref="AF12:AG12"/>
    <mergeCell ref="AH12:AI12"/>
    <mergeCell ref="AJ12:AK12"/>
    <mergeCell ref="C13:C14"/>
    <mergeCell ref="F14:G14"/>
    <mergeCell ref="H14:I14"/>
    <mergeCell ref="J14:K14"/>
    <mergeCell ref="L14:M14"/>
    <mergeCell ref="N14:O14"/>
    <mergeCell ref="P14:Q14"/>
    <mergeCell ref="R14:S14"/>
    <mergeCell ref="T14:U14"/>
    <mergeCell ref="AF13:AG13"/>
    <mergeCell ref="AH13:AI13"/>
    <mergeCell ref="AJ13:AK13"/>
    <mergeCell ref="V13:W13"/>
    <mergeCell ref="X13:Y13"/>
    <mergeCell ref="Z13:AA13"/>
    <mergeCell ref="AB13:AC13"/>
    <mergeCell ref="C15:C18"/>
    <mergeCell ref="C19:C20"/>
    <mergeCell ref="C31:C32"/>
    <mergeCell ref="C49:C50"/>
    <mergeCell ref="F84:G84"/>
    <mergeCell ref="H84:I84"/>
    <mergeCell ref="J84:K84"/>
    <mergeCell ref="L84:M84"/>
    <mergeCell ref="N84:O84"/>
    <mergeCell ref="P84:Q84"/>
    <mergeCell ref="R84:S84"/>
    <mergeCell ref="AD83:AE83"/>
    <mergeCell ref="AF83:AG83"/>
    <mergeCell ref="AH83:AI83"/>
    <mergeCell ref="AJ83:AK83"/>
    <mergeCell ref="AL83:AM83"/>
    <mergeCell ref="AN83:AO83"/>
    <mergeCell ref="R83:S83"/>
    <mergeCell ref="T83:U83"/>
    <mergeCell ref="V83:W83"/>
    <mergeCell ref="X83:Y83"/>
    <mergeCell ref="Z83:AA83"/>
    <mergeCell ref="AB83:AC83"/>
    <mergeCell ref="F83:G83"/>
    <mergeCell ref="H83:I83"/>
    <mergeCell ref="J83:K83"/>
    <mergeCell ref="L83:M83"/>
    <mergeCell ref="N83:O83"/>
    <mergeCell ref="P83:Q83"/>
    <mergeCell ref="AD82:AE82"/>
    <mergeCell ref="AF82:AG82"/>
    <mergeCell ref="AH82:AI82"/>
    <mergeCell ref="AJ82:AK82"/>
    <mergeCell ref="N82:O82"/>
    <mergeCell ref="P82:Q82"/>
    <mergeCell ref="R82:S82"/>
    <mergeCell ref="T82:U82"/>
    <mergeCell ref="V82:W82"/>
    <mergeCell ref="X82:Y82"/>
    <mergeCell ref="AR81:AS81"/>
    <mergeCell ref="F82:G82"/>
    <mergeCell ref="H82:I82"/>
    <mergeCell ref="J82:K82"/>
    <mergeCell ref="L82:M82"/>
    <mergeCell ref="X81:Y81"/>
    <mergeCell ref="Z81:AA81"/>
    <mergeCell ref="AB81:AC81"/>
    <mergeCell ref="AD81:AE81"/>
    <mergeCell ref="AF81:AG81"/>
    <mergeCell ref="AH81:AI81"/>
    <mergeCell ref="AR80:AS80"/>
    <mergeCell ref="F81:G81"/>
    <mergeCell ref="H81:I81"/>
    <mergeCell ref="J81:K81"/>
    <mergeCell ref="L81:M81"/>
    <mergeCell ref="N81:O81"/>
    <mergeCell ref="P81:Q81"/>
    <mergeCell ref="R81:S81"/>
    <mergeCell ref="T81:U81"/>
    <mergeCell ref="V81:W81"/>
    <mergeCell ref="AF80:AG80"/>
    <mergeCell ref="AH80:AI80"/>
    <mergeCell ref="AJ80:AK80"/>
    <mergeCell ref="AL80:AM80"/>
    <mergeCell ref="AN80:AO80"/>
    <mergeCell ref="AP80:AQ80"/>
    <mergeCell ref="AL82:AM82"/>
    <mergeCell ref="AN82:AO82"/>
    <mergeCell ref="AP82:AQ82"/>
    <mergeCell ref="AR82:AS82"/>
    <mergeCell ref="T80:U80"/>
    <mergeCell ref="V80:W80"/>
    <mergeCell ref="X80:Y80"/>
    <mergeCell ref="Z80:AA80"/>
    <mergeCell ref="AB80:AC80"/>
    <mergeCell ref="AD80:AE80"/>
    <mergeCell ref="AJ81:AK81"/>
    <mergeCell ref="AL81:AM81"/>
    <mergeCell ref="AN81:AO81"/>
    <mergeCell ref="AP81:AQ81"/>
    <mergeCell ref="Z82:AA82"/>
    <mergeCell ref="AB82:AC82"/>
    <mergeCell ref="F80:G80"/>
    <mergeCell ref="H80:I80"/>
    <mergeCell ref="J80:K80"/>
    <mergeCell ref="L80:M80"/>
    <mergeCell ref="N80:O80"/>
    <mergeCell ref="P80:Q80"/>
    <mergeCell ref="R80:S80"/>
    <mergeCell ref="AD79:AE79"/>
    <mergeCell ref="AF79:AG79"/>
    <mergeCell ref="AH79:AI79"/>
    <mergeCell ref="AJ79:AK79"/>
    <mergeCell ref="AL79:AM79"/>
    <mergeCell ref="AN79:AO79"/>
    <mergeCell ref="R79:S79"/>
    <mergeCell ref="T79:U79"/>
    <mergeCell ref="V79:W79"/>
    <mergeCell ref="X79:Y79"/>
    <mergeCell ref="Z79:AA79"/>
    <mergeCell ref="AB79:AC79"/>
    <mergeCell ref="AL78:AM78"/>
    <mergeCell ref="AN78:AO78"/>
    <mergeCell ref="AP78:AQ78"/>
    <mergeCell ref="AR78:AS78"/>
    <mergeCell ref="F79:G79"/>
    <mergeCell ref="H79:I79"/>
    <mergeCell ref="J79:K79"/>
    <mergeCell ref="L79:M79"/>
    <mergeCell ref="N79:O79"/>
    <mergeCell ref="P79:Q79"/>
    <mergeCell ref="Z78:AA78"/>
    <mergeCell ref="AB78:AC78"/>
    <mergeCell ref="AD78:AE78"/>
    <mergeCell ref="AF78:AG78"/>
    <mergeCell ref="AH78:AI78"/>
    <mergeCell ref="AJ78:AK78"/>
    <mergeCell ref="N78:O78"/>
    <mergeCell ref="P78:Q78"/>
    <mergeCell ref="R78:S78"/>
    <mergeCell ref="T78:U78"/>
    <mergeCell ref="V78:W78"/>
    <mergeCell ref="X78:Y78"/>
    <mergeCell ref="AP79:AQ79"/>
    <mergeCell ref="AR79:AS79"/>
    <mergeCell ref="AJ77:AK77"/>
    <mergeCell ref="AL77:AM77"/>
    <mergeCell ref="AN77:AO77"/>
    <mergeCell ref="AP77:AQ77"/>
    <mergeCell ref="AR77:AS77"/>
    <mergeCell ref="F78:G78"/>
    <mergeCell ref="H78:I78"/>
    <mergeCell ref="J78:K78"/>
    <mergeCell ref="L78:M78"/>
    <mergeCell ref="X77:Y77"/>
    <mergeCell ref="Z77:AA77"/>
    <mergeCell ref="AB77:AC77"/>
    <mergeCell ref="AD77:AE77"/>
    <mergeCell ref="AF77:AG77"/>
    <mergeCell ref="AH77:AI77"/>
    <mergeCell ref="AR76:AS76"/>
    <mergeCell ref="F77:G77"/>
    <mergeCell ref="H77:I77"/>
    <mergeCell ref="J77:K77"/>
    <mergeCell ref="L77:M77"/>
    <mergeCell ref="N77:O77"/>
    <mergeCell ref="P77:Q77"/>
    <mergeCell ref="R77:S77"/>
    <mergeCell ref="T77:U77"/>
    <mergeCell ref="V77:W77"/>
    <mergeCell ref="AF76:AG76"/>
    <mergeCell ref="AH76:AI76"/>
    <mergeCell ref="AJ76:AK76"/>
    <mergeCell ref="AL76:AM76"/>
    <mergeCell ref="AN76:AO76"/>
    <mergeCell ref="AP76:AQ76"/>
    <mergeCell ref="T76:U76"/>
    <mergeCell ref="V76:W76"/>
    <mergeCell ref="X76:Y76"/>
    <mergeCell ref="Z76:AA76"/>
    <mergeCell ref="AB76:AC76"/>
    <mergeCell ref="AD76:AE76"/>
    <mergeCell ref="AP75:AQ75"/>
    <mergeCell ref="AR75:AS75"/>
    <mergeCell ref="F76:G76"/>
    <mergeCell ref="H76:I76"/>
    <mergeCell ref="J76:K76"/>
    <mergeCell ref="L76:M76"/>
    <mergeCell ref="N76:O76"/>
    <mergeCell ref="P76:Q76"/>
    <mergeCell ref="R76:S76"/>
    <mergeCell ref="AD75:AE75"/>
    <mergeCell ref="AF75:AG75"/>
    <mergeCell ref="AH75:AI75"/>
    <mergeCell ref="AJ75:AK75"/>
    <mergeCell ref="AL75:AM75"/>
    <mergeCell ref="AN75:AO75"/>
    <mergeCell ref="R75:S75"/>
    <mergeCell ref="T75:U75"/>
    <mergeCell ref="V75:W75"/>
    <mergeCell ref="X75:Y75"/>
    <mergeCell ref="Z75:AA75"/>
    <mergeCell ref="AB75:AC75"/>
    <mergeCell ref="F75:G75"/>
    <mergeCell ref="H75:I75"/>
    <mergeCell ref="J75:K75"/>
    <mergeCell ref="L75:M75"/>
    <mergeCell ref="N75:O75"/>
    <mergeCell ref="P75:Q75"/>
    <mergeCell ref="AH74:AI74"/>
    <mergeCell ref="AJ74:AK74"/>
    <mergeCell ref="AL74:AM74"/>
    <mergeCell ref="AN74:AO74"/>
    <mergeCell ref="AP74:AQ74"/>
    <mergeCell ref="AR74:AS74"/>
    <mergeCell ref="V74:W74"/>
    <mergeCell ref="X74:Y74"/>
    <mergeCell ref="Z74:AA74"/>
    <mergeCell ref="AB74:AC74"/>
    <mergeCell ref="AD74:AE74"/>
    <mergeCell ref="AF74:AG74"/>
    <mergeCell ref="AP73:AQ73"/>
    <mergeCell ref="AR73:AS73"/>
    <mergeCell ref="F74:G74"/>
    <mergeCell ref="H74:I74"/>
    <mergeCell ref="J74:K74"/>
    <mergeCell ref="L74:M74"/>
    <mergeCell ref="N74:O74"/>
    <mergeCell ref="P74:Q74"/>
    <mergeCell ref="R74:S74"/>
    <mergeCell ref="T74:U74"/>
    <mergeCell ref="AD73:AE73"/>
    <mergeCell ref="AF73:AG73"/>
    <mergeCell ref="AH73:AI73"/>
    <mergeCell ref="AJ73:AK73"/>
    <mergeCell ref="AL73:AM73"/>
    <mergeCell ref="AN73:AO73"/>
    <mergeCell ref="R73:S73"/>
    <mergeCell ref="T73:U73"/>
    <mergeCell ref="AL72:AM72"/>
    <mergeCell ref="AN72:AO72"/>
    <mergeCell ref="AP72:AQ72"/>
    <mergeCell ref="AR72:AS72"/>
    <mergeCell ref="F73:G73"/>
    <mergeCell ref="H73:I73"/>
    <mergeCell ref="J73:K73"/>
    <mergeCell ref="L73:M73"/>
    <mergeCell ref="N73:O73"/>
    <mergeCell ref="P73:Q73"/>
    <mergeCell ref="Z72:AA72"/>
    <mergeCell ref="AB72:AC72"/>
    <mergeCell ref="AD72:AE72"/>
    <mergeCell ref="AF72:AG72"/>
    <mergeCell ref="AH72:AI72"/>
    <mergeCell ref="AJ72:AK72"/>
    <mergeCell ref="N72:O72"/>
    <mergeCell ref="P72:Q72"/>
    <mergeCell ref="R72:S72"/>
    <mergeCell ref="T72:U72"/>
    <mergeCell ref="V72:W72"/>
    <mergeCell ref="X72:Y72"/>
    <mergeCell ref="V73:W73"/>
    <mergeCell ref="X73:Y73"/>
    <mergeCell ref="Z73:AA73"/>
    <mergeCell ref="AB73:AC73"/>
    <mergeCell ref="AR71:AS71"/>
    <mergeCell ref="F72:G72"/>
    <mergeCell ref="H72:I72"/>
    <mergeCell ref="J72:K72"/>
    <mergeCell ref="L72:M72"/>
    <mergeCell ref="X71:Y71"/>
    <mergeCell ref="Z71:AA71"/>
    <mergeCell ref="AB71:AC71"/>
    <mergeCell ref="AD71:AE71"/>
    <mergeCell ref="AF71:AG71"/>
    <mergeCell ref="AH71:AI71"/>
    <mergeCell ref="AR70:AS70"/>
    <mergeCell ref="F71:G71"/>
    <mergeCell ref="H71:I71"/>
    <mergeCell ref="J71:K71"/>
    <mergeCell ref="L71:M71"/>
    <mergeCell ref="N71:O71"/>
    <mergeCell ref="P71:Q71"/>
    <mergeCell ref="R71:S71"/>
    <mergeCell ref="T71:U71"/>
    <mergeCell ref="V71:W71"/>
    <mergeCell ref="AF70:AG70"/>
    <mergeCell ref="AH70:AI70"/>
    <mergeCell ref="AJ70:AK70"/>
    <mergeCell ref="AL70:AM70"/>
    <mergeCell ref="AN70:AO70"/>
    <mergeCell ref="AP70:AQ70"/>
    <mergeCell ref="T70:U70"/>
    <mergeCell ref="V70:W70"/>
    <mergeCell ref="X70:Y70"/>
    <mergeCell ref="Z70:AA70"/>
    <mergeCell ref="AB70:AC70"/>
    <mergeCell ref="AR69:AS69"/>
    <mergeCell ref="F70:G70"/>
    <mergeCell ref="H70:I70"/>
    <mergeCell ref="J70:K70"/>
    <mergeCell ref="L70:M70"/>
    <mergeCell ref="N70:O70"/>
    <mergeCell ref="P70:Q70"/>
    <mergeCell ref="R70:S70"/>
    <mergeCell ref="AD69:AE69"/>
    <mergeCell ref="AF69:AG69"/>
    <mergeCell ref="AH69:AI69"/>
    <mergeCell ref="AJ69:AK69"/>
    <mergeCell ref="AL69:AM69"/>
    <mergeCell ref="AN69:AO69"/>
    <mergeCell ref="R69:S69"/>
    <mergeCell ref="T69:U69"/>
    <mergeCell ref="V69:W69"/>
    <mergeCell ref="X69:Y69"/>
    <mergeCell ref="Z69:AA69"/>
    <mergeCell ref="AB69:AC69"/>
    <mergeCell ref="AJ71:AK71"/>
    <mergeCell ref="AL71:AM71"/>
    <mergeCell ref="AN71:AO71"/>
    <mergeCell ref="AP71:AQ71"/>
    <mergeCell ref="F69:G69"/>
    <mergeCell ref="H69:I69"/>
    <mergeCell ref="J69:K69"/>
    <mergeCell ref="L69:M69"/>
    <mergeCell ref="N69:O69"/>
    <mergeCell ref="P69:Q69"/>
    <mergeCell ref="Z68:AA68"/>
    <mergeCell ref="AB68:AC68"/>
    <mergeCell ref="AD68:AE68"/>
    <mergeCell ref="AF68:AG68"/>
    <mergeCell ref="AH68:AI68"/>
    <mergeCell ref="AJ68:AK68"/>
    <mergeCell ref="N68:O68"/>
    <mergeCell ref="P68:Q68"/>
    <mergeCell ref="R68:S68"/>
    <mergeCell ref="T68:U68"/>
    <mergeCell ref="V68:W68"/>
    <mergeCell ref="X68:Y68"/>
    <mergeCell ref="AD70:AE70"/>
    <mergeCell ref="AP69:AQ69"/>
    <mergeCell ref="AR67:AS67"/>
    <mergeCell ref="F68:G68"/>
    <mergeCell ref="H68:I68"/>
    <mergeCell ref="J68:K68"/>
    <mergeCell ref="L68:M68"/>
    <mergeCell ref="X67:Y67"/>
    <mergeCell ref="Z67:AA67"/>
    <mergeCell ref="AB67:AC67"/>
    <mergeCell ref="AD67:AE67"/>
    <mergeCell ref="AF67:AG67"/>
    <mergeCell ref="AH67:AI67"/>
    <mergeCell ref="AR66:AS66"/>
    <mergeCell ref="F67:G67"/>
    <mergeCell ref="H67:I67"/>
    <mergeCell ref="J67:K67"/>
    <mergeCell ref="L67:M67"/>
    <mergeCell ref="N67:O67"/>
    <mergeCell ref="P67:Q67"/>
    <mergeCell ref="R67:S67"/>
    <mergeCell ref="T67:U67"/>
    <mergeCell ref="V67:W67"/>
    <mergeCell ref="AF66:AG66"/>
    <mergeCell ref="AH66:AI66"/>
    <mergeCell ref="AJ66:AK66"/>
    <mergeCell ref="AL66:AM66"/>
    <mergeCell ref="AN66:AO66"/>
    <mergeCell ref="AP66:AQ66"/>
    <mergeCell ref="AL68:AM68"/>
    <mergeCell ref="AN68:AO68"/>
    <mergeCell ref="AP68:AQ68"/>
    <mergeCell ref="AR68:AS68"/>
    <mergeCell ref="T66:U66"/>
    <mergeCell ref="AR65:AS65"/>
    <mergeCell ref="F66:G66"/>
    <mergeCell ref="H66:I66"/>
    <mergeCell ref="J66:K66"/>
    <mergeCell ref="L66:M66"/>
    <mergeCell ref="N66:O66"/>
    <mergeCell ref="P66:Q66"/>
    <mergeCell ref="R66:S66"/>
    <mergeCell ref="AD65:AE65"/>
    <mergeCell ref="AF65:AG65"/>
    <mergeCell ref="AH65:AI65"/>
    <mergeCell ref="AJ65:AK65"/>
    <mergeCell ref="AL65:AM65"/>
    <mergeCell ref="AN65:AO65"/>
    <mergeCell ref="R65:S65"/>
    <mergeCell ref="T65:U65"/>
    <mergeCell ref="V65:W65"/>
    <mergeCell ref="X65:Y65"/>
    <mergeCell ref="Z65:AA65"/>
    <mergeCell ref="AB65:AC65"/>
    <mergeCell ref="AJ67:AK67"/>
    <mergeCell ref="AL67:AM67"/>
    <mergeCell ref="AN67:AO67"/>
    <mergeCell ref="AP67:AQ67"/>
    <mergeCell ref="AL64:AM64"/>
    <mergeCell ref="AN64:AO64"/>
    <mergeCell ref="AP64:AQ64"/>
    <mergeCell ref="AR64:AS64"/>
    <mergeCell ref="F65:G65"/>
    <mergeCell ref="H65:I65"/>
    <mergeCell ref="J65:K65"/>
    <mergeCell ref="L65:M65"/>
    <mergeCell ref="N65:O65"/>
    <mergeCell ref="P65:Q65"/>
    <mergeCell ref="Z64:AA64"/>
    <mergeCell ref="AB64:AC64"/>
    <mergeCell ref="AD64:AE64"/>
    <mergeCell ref="AF64:AG64"/>
    <mergeCell ref="AH64:AI64"/>
    <mergeCell ref="AJ64:AK64"/>
    <mergeCell ref="N64:O64"/>
    <mergeCell ref="P64:Q64"/>
    <mergeCell ref="R64:S64"/>
    <mergeCell ref="T64:U64"/>
    <mergeCell ref="V64:W64"/>
    <mergeCell ref="X64:Y64"/>
    <mergeCell ref="V66:W66"/>
    <mergeCell ref="X66:Y66"/>
    <mergeCell ref="Z66:AA66"/>
    <mergeCell ref="AB66:AC66"/>
    <mergeCell ref="AD66:AE66"/>
    <mergeCell ref="AP65:AQ65"/>
    <mergeCell ref="AJ63:AK63"/>
    <mergeCell ref="AL63:AM63"/>
    <mergeCell ref="AN63:AO63"/>
    <mergeCell ref="AP63:AQ63"/>
    <mergeCell ref="AR63:AS63"/>
    <mergeCell ref="F64:G64"/>
    <mergeCell ref="H64:I64"/>
    <mergeCell ref="J64:K64"/>
    <mergeCell ref="L64:M64"/>
    <mergeCell ref="X63:Y63"/>
    <mergeCell ref="Z63:AA63"/>
    <mergeCell ref="AB63:AC63"/>
    <mergeCell ref="AD63:AE63"/>
    <mergeCell ref="AF63:AG63"/>
    <mergeCell ref="AH63:AI63"/>
    <mergeCell ref="AR62:AS62"/>
    <mergeCell ref="F63:G63"/>
    <mergeCell ref="H63:I63"/>
    <mergeCell ref="J63:K63"/>
    <mergeCell ref="L63:M63"/>
    <mergeCell ref="N63:O63"/>
    <mergeCell ref="P63:Q63"/>
    <mergeCell ref="R63:S63"/>
    <mergeCell ref="T63:U63"/>
    <mergeCell ref="V63:W63"/>
    <mergeCell ref="AF62:AG62"/>
    <mergeCell ref="AH62:AI62"/>
    <mergeCell ref="AJ62:AK62"/>
    <mergeCell ref="AL62:AM62"/>
    <mergeCell ref="AN62:AO62"/>
    <mergeCell ref="AP62:AQ62"/>
    <mergeCell ref="T62:U62"/>
    <mergeCell ref="V62:W62"/>
    <mergeCell ref="X62:Y62"/>
    <mergeCell ref="Z62:AA62"/>
    <mergeCell ref="AB62:AC62"/>
    <mergeCell ref="AD62:AE62"/>
    <mergeCell ref="AP61:AQ61"/>
    <mergeCell ref="AR61:AS61"/>
    <mergeCell ref="F62:G62"/>
    <mergeCell ref="H62:I62"/>
    <mergeCell ref="J62:K62"/>
    <mergeCell ref="L62:M62"/>
    <mergeCell ref="N62:O62"/>
    <mergeCell ref="P62:Q62"/>
    <mergeCell ref="R62:S62"/>
    <mergeCell ref="AD61:AE61"/>
    <mergeCell ref="AF61:AG61"/>
    <mergeCell ref="AH61:AI61"/>
    <mergeCell ref="AJ61:AK61"/>
    <mergeCell ref="AL61:AM61"/>
    <mergeCell ref="AN61:AO61"/>
    <mergeCell ref="R61:S61"/>
    <mergeCell ref="T61:U61"/>
    <mergeCell ref="V61:W61"/>
    <mergeCell ref="X61:Y61"/>
    <mergeCell ref="Z61:AA61"/>
    <mergeCell ref="AB61:AC61"/>
    <mergeCell ref="F61:G61"/>
    <mergeCell ref="H61:I61"/>
    <mergeCell ref="J61:K61"/>
    <mergeCell ref="L61:M61"/>
    <mergeCell ref="N61:O61"/>
    <mergeCell ref="P61:Q61"/>
    <mergeCell ref="AH60:AI60"/>
    <mergeCell ref="AJ60:AK60"/>
    <mergeCell ref="AL60:AM60"/>
    <mergeCell ref="AN60:AO60"/>
    <mergeCell ref="AP60:AQ60"/>
    <mergeCell ref="AR60:AS60"/>
    <mergeCell ref="V60:W60"/>
    <mergeCell ref="X60:Y60"/>
    <mergeCell ref="Z60:AA60"/>
    <mergeCell ref="AB60:AC60"/>
    <mergeCell ref="AD60:AE60"/>
    <mergeCell ref="AF60:AG60"/>
    <mergeCell ref="AR59:AS59"/>
    <mergeCell ref="F60:G60"/>
    <mergeCell ref="H60:I60"/>
    <mergeCell ref="J60:K60"/>
    <mergeCell ref="L60:M60"/>
    <mergeCell ref="N60:O60"/>
    <mergeCell ref="P60:Q60"/>
    <mergeCell ref="R60:S60"/>
    <mergeCell ref="T60:U60"/>
    <mergeCell ref="AF59:AG59"/>
    <mergeCell ref="AH59:AI59"/>
    <mergeCell ref="AJ59:AK59"/>
    <mergeCell ref="AL59:AM59"/>
    <mergeCell ref="AN59:AO59"/>
    <mergeCell ref="AP59:AQ59"/>
    <mergeCell ref="T59:U59"/>
    <mergeCell ref="V59:W59"/>
    <mergeCell ref="X59:Y59"/>
    <mergeCell ref="Z59:AA59"/>
    <mergeCell ref="AB59:AC59"/>
    <mergeCell ref="AD59:AE59"/>
    <mergeCell ref="AN58:AO58"/>
    <mergeCell ref="AP58:AQ58"/>
    <mergeCell ref="AR58:AS58"/>
    <mergeCell ref="F59:G59"/>
    <mergeCell ref="H59:I59"/>
    <mergeCell ref="J59:K59"/>
    <mergeCell ref="L59:M59"/>
    <mergeCell ref="N59:O59"/>
    <mergeCell ref="P59:Q59"/>
    <mergeCell ref="R59:S59"/>
    <mergeCell ref="AB58:AC58"/>
    <mergeCell ref="AD58:AE58"/>
    <mergeCell ref="AF58:AG58"/>
    <mergeCell ref="AH58:AI58"/>
    <mergeCell ref="AJ58:AK58"/>
    <mergeCell ref="AL58:AM58"/>
    <mergeCell ref="P58:Q58"/>
    <mergeCell ref="R58:S58"/>
    <mergeCell ref="T58:U58"/>
    <mergeCell ref="V58:W58"/>
    <mergeCell ref="X58:Y58"/>
    <mergeCell ref="Z58:AA58"/>
    <mergeCell ref="F58:G58"/>
    <mergeCell ref="H58:I58"/>
    <mergeCell ref="J58:K58"/>
    <mergeCell ref="L58:M58"/>
    <mergeCell ref="N58:O58"/>
    <mergeCell ref="X57:Y57"/>
    <mergeCell ref="Z57:AA57"/>
    <mergeCell ref="AB57:AC57"/>
    <mergeCell ref="AD57:AE57"/>
    <mergeCell ref="AF57:AG57"/>
    <mergeCell ref="AH57:AI57"/>
    <mergeCell ref="AR56:AS56"/>
    <mergeCell ref="F57:G57"/>
    <mergeCell ref="H57:I57"/>
    <mergeCell ref="J57:K57"/>
    <mergeCell ref="L57:M57"/>
    <mergeCell ref="N57:O57"/>
    <mergeCell ref="P57:Q57"/>
    <mergeCell ref="R57:S57"/>
    <mergeCell ref="T57:U57"/>
    <mergeCell ref="V57:W57"/>
    <mergeCell ref="AF56:AG56"/>
    <mergeCell ref="AH56:AI56"/>
    <mergeCell ref="AJ56:AK56"/>
    <mergeCell ref="AL56:AM56"/>
    <mergeCell ref="AN56:AO56"/>
    <mergeCell ref="AP56:AQ56"/>
    <mergeCell ref="N56:O56"/>
    <mergeCell ref="P56:Q56"/>
    <mergeCell ref="AJ57:AK57"/>
    <mergeCell ref="AL57:AM57"/>
    <mergeCell ref="AN57:AO57"/>
    <mergeCell ref="AP57:AQ57"/>
    <mergeCell ref="AR57:AS57"/>
    <mergeCell ref="F56:G56"/>
    <mergeCell ref="H56:I56"/>
    <mergeCell ref="J56:K56"/>
    <mergeCell ref="T56:U56"/>
    <mergeCell ref="V56:W56"/>
    <mergeCell ref="X56:Y56"/>
    <mergeCell ref="Z56:AA56"/>
    <mergeCell ref="AB56:AC56"/>
    <mergeCell ref="AD56:AE56"/>
    <mergeCell ref="AN55:AO55"/>
    <mergeCell ref="AP55:AQ55"/>
    <mergeCell ref="AR54:AS54"/>
    <mergeCell ref="F55:G55"/>
    <mergeCell ref="H55:I55"/>
    <mergeCell ref="J55:K55"/>
    <mergeCell ref="L55:M55"/>
    <mergeCell ref="N55:O55"/>
    <mergeCell ref="Z54:AA54"/>
    <mergeCell ref="AB54:AC54"/>
    <mergeCell ref="AD54:AE54"/>
    <mergeCell ref="AF54:AG54"/>
    <mergeCell ref="AH54:AI54"/>
    <mergeCell ref="AJ54:AK54"/>
    <mergeCell ref="N54:O54"/>
    <mergeCell ref="P54:Q54"/>
    <mergeCell ref="R54:S54"/>
    <mergeCell ref="T54:U54"/>
    <mergeCell ref="V54:W54"/>
    <mergeCell ref="AR55:AS55"/>
    <mergeCell ref="AJ53:AK53"/>
    <mergeCell ref="AL53:AM53"/>
    <mergeCell ref="AN53:AO53"/>
    <mergeCell ref="L56:M56"/>
    <mergeCell ref="AP53:AQ53"/>
    <mergeCell ref="F54:G54"/>
    <mergeCell ref="H54:I54"/>
    <mergeCell ref="J54:K54"/>
    <mergeCell ref="L54:M54"/>
    <mergeCell ref="X53:Y53"/>
    <mergeCell ref="Z53:AA53"/>
    <mergeCell ref="AB53:AC53"/>
    <mergeCell ref="AD53:AE53"/>
    <mergeCell ref="AF53:AG53"/>
    <mergeCell ref="AH53:AI53"/>
    <mergeCell ref="R56:S56"/>
    <mergeCell ref="AB55:AC55"/>
    <mergeCell ref="AD55:AE55"/>
    <mergeCell ref="AF55:AG55"/>
    <mergeCell ref="AH55:AI55"/>
    <mergeCell ref="AJ55:AK55"/>
    <mergeCell ref="AL55:AM55"/>
    <mergeCell ref="P55:Q55"/>
    <mergeCell ref="R55:S55"/>
    <mergeCell ref="T55:U55"/>
    <mergeCell ref="V55:W55"/>
    <mergeCell ref="X55:Y55"/>
    <mergeCell ref="Z55:AA55"/>
    <mergeCell ref="AL54:AM54"/>
    <mergeCell ref="AN54:AO54"/>
    <mergeCell ref="AP54:AQ54"/>
    <mergeCell ref="X54:Y54"/>
    <mergeCell ref="AR52:AS52"/>
    <mergeCell ref="F53:G53"/>
    <mergeCell ref="H53:I53"/>
    <mergeCell ref="J53:K53"/>
    <mergeCell ref="L53:M53"/>
    <mergeCell ref="N53:O53"/>
    <mergeCell ref="P53:Q53"/>
    <mergeCell ref="R53:S53"/>
    <mergeCell ref="T53:U53"/>
    <mergeCell ref="V53:W53"/>
    <mergeCell ref="AF52:AG52"/>
    <mergeCell ref="AH52:AI52"/>
    <mergeCell ref="AJ52:AK52"/>
    <mergeCell ref="AL52:AM52"/>
    <mergeCell ref="AN52:AO52"/>
    <mergeCell ref="AP52:AQ52"/>
    <mergeCell ref="F50:G50"/>
    <mergeCell ref="H50:I50"/>
    <mergeCell ref="J50:K50"/>
    <mergeCell ref="L50:M50"/>
    <mergeCell ref="N50:O50"/>
    <mergeCell ref="P50:Q50"/>
    <mergeCell ref="R50:S50"/>
    <mergeCell ref="T50:U50"/>
    <mergeCell ref="F52:G52"/>
    <mergeCell ref="H52:I52"/>
    <mergeCell ref="J52:K52"/>
    <mergeCell ref="L52:M52"/>
    <mergeCell ref="N52:O52"/>
    <mergeCell ref="P52:Q52"/>
    <mergeCell ref="R52:S52"/>
    <mergeCell ref="AR53:AS53"/>
    <mergeCell ref="T52:U52"/>
    <mergeCell ref="V52:W52"/>
    <mergeCell ref="X52:Y52"/>
    <mergeCell ref="Z52:AA52"/>
    <mergeCell ref="AB52:AC52"/>
    <mergeCell ref="AD52:AE52"/>
    <mergeCell ref="F49:G49"/>
    <mergeCell ref="H49:I49"/>
    <mergeCell ref="J49:K49"/>
    <mergeCell ref="L49:M49"/>
    <mergeCell ref="AD51:AE51"/>
    <mergeCell ref="AF51:AG51"/>
    <mergeCell ref="AH51:AI51"/>
    <mergeCell ref="AJ51:AK51"/>
    <mergeCell ref="AL51:AM51"/>
    <mergeCell ref="AN51:AO51"/>
    <mergeCell ref="T51:U51"/>
    <mergeCell ref="V51:W51"/>
    <mergeCell ref="X51:Y51"/>
    <mergeCell ref="Z51:AA51"/>
    <mergeCell ref="AB51:AC51"/>
    <mergeCell ref="F51:G51"/>
    <mergeCell ref="H51:I51"/>
    <mergeCell ref="J51:K51"/>
    <mergeCell ref="L51:M51"/>
    <mergeCell ref="N51:O51"/>
    <mergeCell ref="P51:Q51"/>
    <mergeCell ref="AH50:AI50"/>
    <mergeCell ref="AJ50:AK50"/>
    <mergeCell ref="AL50:AM50"/>
    <mergeCell ref="AN50:AO50"/>
    <mergeCell ref="AP50:AQ50"/>
    <mergeCell ref="AR50:AS50"/>
    <mergeCell ref="V50:W50"/>
    <mergeCell ref="X50:Y50"/>
    <mergeCell ref="Z50:AA50"/>
    <mergeCell ref="AB50:AC50"/>
    <mergeCell ref="AD50:AE50"/>
    <mergeCell ref="AF50:AG50"/>
    <mergeCell ref="AP49:AQ49"/>
    <mergeCell ref="AR49:AS49"/>
    <mergeCell ref="AP51:AQ51"/>
    <mergeCell ref="AR51:AS51"/>
    <mergeCell ref="V49:W49"/>
    <mergeCell ref="X49:Y49"/>
    <mergeCell ref="Z49:AA49"/>
    <mergeCell ref="AB49:AC49"/>
    <mergeCell ref="N49:O49"/>
    <mergeCell ref="P49:Q49"/>
    <mergeCell ref="R51:S51"/>
    <mergeCell ref="AD49:AE49"/>
    <mergeCell ref="AF49:AG49"/>
    <mergeCell ref="AH49:AI49"/>
    <mergeCell ref="AJ49:AK49"/>
    <mergeCell ref="AL49:AM49"/>
    <mergeCell ref="AN49:AO49"/>
    <mergeCell ref="R49:S49"/>
    <mergeCell ref="T49:U49"/>
    <mergeCell ref="F48:G48"/>
    <mergeCell ref="H48:I48"/>
    <mergeCell ref="J48:K48"/>
    <mergeCell ref="L48:M48"/>
    <mergeCell ref="N48:O48"/>
    <mergeCell ref="P48:Q48"/>
    <mergeCell ref="R48:S48"/>
    <mergeCell ref="T48:U48"/>
    <mergeCell ref="AF47:AG47"/>
    <mergeCell ref="AH47:AI47"/>
    <mergeCell ref="AJ47:AK47"/>
    <mergeCell ref="AL47:AM47"/>
    <mergeCell ref="AN47:AO47"/>
    <mergeCell ref="AP47:AQ47"/>
    <mergeCell ref="T47:U47"/>
    <mergeCell ref="V47:W47"/>
    <mergeCell ref="X47:Y47"/>
    <mergeCell ref="Z47:AA47"/>
    <mergeCell ref="AB47:AC47"/>
    <mergeCell ref="AD47:AE47"/>
    <mergeCell ref="AH48:AI48"/>
    <mergeCell ref="V48:W48"/>
    <mergeCell ref="X48:Y48"/>
    <mergeCell ref="Z48:AA48"/>
    <mergeCell ref="AB48:AC48"/>
    <mergeCell ref="AD48:AE48"/>
    <mergeCell ref="AF48:AG48"/>
    <mergeCell ref="AP45:AQ45"/>
    <mergeCell ref="AR45:AS45"/>
    <mergeCell ref="F47:G47"/>
    <mergeCell ref="H47:I47"/>
    <mergeCell ref="J47:K47"/>
    <mergeCell ref="L47:M47"/>
    <mergeCell ref="N47:O47"/>
    <mergeCell ref="P47:Q47"/>
    <mergeCell ref="R47:S47"/>
    <mergeCell ref="AD45:AE45"/>
    <mergeCell ref="AF45:AG45"/>
    <mergeCell ref="AH45:AI45"/>
    <mergeCell ref="AJ45:AK45"/>
    <mergeCell ref="AL45:AM45"/>
    <mergeCell ref="AN45:AO45"/>
    <mergeCell ref="R45:S45"/>
    <mergeCell ref="T45:U45"/>
    <mergeCell ref="V45:W45"/>
    <mergeCell ref="X45:Y45"/>
    <mergeCell ref="Z45:AA45"/>
    <mergeCell ref="AB45:AC45"/>
    <mergeCell ref="F45:G45"/>
    <mergeCell ref="H45:I45"/>
    <mergeCell ref="J45:K45"/>
    <mergeCell ref="L45:M45"/>
    <mergeCell ref="N45:O45"/>
    <mergeCell ref="P45:Q45"/>
    <mergeCell ref="AR47:AS47"/>
    <mergeCell ref="AH44:AI44"/>
    <mergeCell ref="AJ44:AK44"/>
    <mergeCell ref="AL44:AM44"/>
    <mergeCell ref="AN44:AO44"/>
    <mergeCell ref="AP44:AQ44"/>
    <mergeCell ref="AR44:AS44"/>
    <mergeCell ref="V44:W44"/>
    <mergeCell ref="X44:Y44"/>
    <mergeCell ref="Z44:AA44"/>
    <mergeCell ref="AB44:AC44"/>
    <mergeCell ref="AD44:AE44"/>
    <mergeCell ref="AF44:AG44"/>
    <mergeCell ref="F44:G44"/>
    <mergeCell ref="H44:I44"/>
    <mergeCell ref="J44:K44"/>
    <mergeCell ref="L44:M44"/>
    <mergeCell ref="N44:O44"/>
    <mergeCell ref="P44:Q44"/>
    <mergeCell ref="R44:S44"/>
    <mergeCell ref="T44:U44"/>
    <mergeCell ref="AL42:AM42"/>
    <mergeCell ref="AN42:AO42"/>
    <mergeCell ref="AP42:AQ42"/>
    <mergeCell ref="AR42:AS42"/>
    <mergeCell ref="Z42:AA42"/>
    <mergeCell ref="AB42:AC42"/>
    <mergeCell ref="AD42:AE42"/>
    <mergeCell ref="AF42:AG42"/>
    <mergeCell ref="AH42:AI42"/>
    <mergeCell ref="AJ42:AK42"/>
    <mergeCell ref="N42:O42"/>
    <mergeCell ref="P42:Q42"/>
    <mergeCell ref="R42:S42"/>
    <mergeCell ref="T42:U42"/>
    <mergeCell ref="V42:W42"/>
    <mergeCell ref="X42:Y42"/>
    <mergeCell ref="AJ41:AK41"/>
    <mergeCell ref="AL41:AM41"/>
    <mergeCell ref="AN41:AO41"/>
    <mergeCell ref="AP41:AQ41"/>
    <mergeCell ref="AR41:AS41"/>
    <mergeCell ref="F42:G42"/>
    <mergeCell ref="H42:I42"/>
    <mergeCell ref="J42:K42"/>
    <mergeCell ref="L42:M42"/>
    <mergeCell ref="X41:Y41"/>
    <mergeCell ref="Z41:AA41"/>
    <mergeCell ref="AB41:AC41"/>
    <mergeCell ref="AD41:AE41"/>
    <mergeCell ref="AF41:AG41"/>
    <mergeCell ref="AH41:AI41"/>
    <mergeCell ref="AR40:AS40"/>
    <mergeCell ref="F41:G41"/>
    <mergeCell ref="H41:I41"/>
    <mergeCell ref="J41:K41"/>
    <mergeCell ref="L41:M41"/>
    <mergeCell ref="N41:O41"/>
    <mergeCell ref="P41:Q41"/>
    <mergeCell ref="R41:S41"/>
    <mergeCell ref="T41:U41"/>
    <mergeCell ref="V41:W41"/>
    <mergeCell ref="AF40:AG40"/>
    <mergeCell ref="AH40:AI40"/>
    <mergeCell ref="AJ40:AK40"/>
    <mergeCell ref="AL40:AM40"/>
    <mergeCell ref="AN40:AO40"/>
    <mergeCell ref="AP40:AQ40"/>
    <mergeCell ref="T40:U40"/>
    <mergeCell ref="V40:W40"/>
    <mergeCell ref="X40:Y40"/>
    <mergeCell ref="Z40:AA40"/>
    <mergeCell ref="AB40:AC40"/>
    <mergeCell ref="AD40:AE40"/>
    <mergeCell ref="AP39:AQ39"/>
    <mergeCell ref="AR39:AS39"/>
    <mergeCell ref="F40:G40"/>
    <mergeCell ref="H40:I40"/>
    <mergeCell ref="J40:K40"/>
    <mergeCell ref="L40:M40"/>
    <mergeCell ref="N40:O40"/>
    <mergeCell ref="P40:Q40"/>
    <mergeCell ref="R40:S40"/>
    <mergeCell ref="AD39:AE39"/>
    <mergeCell ref="AF39:AG39"/>
    <mergeCell ref="AH39:AI39"/>
    <mergeCell ref="AJ39:AK39"/>
    <mergeCell ref="AL39:AM39"/>
    <mergeCell ref="AN39:AO39"/>
    <mergeCell ref="R39:S39"/>
    <mergeCell ref="T39:U39"/>
    <mergeCell ref="V39:W39"/>
    <mergeCell ref="X39:Y39"/>
    <mergeCell ref="Z39:AA39"/>
    <mergeCell ref="AB39:AC39"/>
    <mergeCell ref="F39:G39"/>
    <mergeCell ref="H39:I39"/>
    <mergeCell ref="J39:K39"/>
    <mergeCell ref="L39:M39"/>
    <mergeCell ref="N39:O39"/>
    <mergeCell ref="P39:Q39"/>
    <mergeCell ref="AH38:AI38"/>
    <mergeCell ref="AJ38:AK38"/>
    <mergeCell ref="AL38:AM38"/>
    <mergeCell ref="AN38:AO38"/>
    <mergeCell ref="AP38:AQ38"/>
    <mergeCell ref="AR38:AS38"/>
    <mergeCell ref="V38:W38"/>
    <mergeCell ref="X38:Y38"/>
    <mergeCell ref="Z38:AA38"/>
    <mergeCell ref="AB38:AC38"/>
    <mergeCell ref="AD38:AE38"/>
    <mergeCell ref="AF38:AG38"/>
    <mergeCell ref="AP37:AQ37"/>
    <mergeCell ref="AR37:AS37"/>
    <mergeCell ref="F38:G38"/>
    <mergeCell ref="H38:I38"/>
    <mergeCell ref="J38:K38"/>
    <mergeCell ref="L38:M38"/>
    <mergeCell ref="N38:O38"/>
    <mergeCell ref="P38:Q38"/>
    <mergeCell ref="R38:S38"/>
    <mergeCell ref="T38:U38"/>
    <mergeCell ref="AD37:AE37"/>
    <mergeCell ref="AF37:AG37"/>
    <mergeCell ref="AH37:AI37"/>
    <mergeCell ref="AJ37:AK37"/>
    <mergeCell ref="AL37:AM37"/>
    <mergeCell ref="AN37:AO37"/>
    <mergeCell ref="R37:S37"/>
    <mergeCell ref="T37:U37"/>
    <mergeCell ref="V37:W37"/>
    <mergeCell ref="X37:Y37"/>
    <mergeCell ref="Z37:AA37"/>
    <mergeCell ref="AB37:AC37"/>
    <mergeCell ref="AL36:AM36"/>
    <mergeCell ref="AN36:AO36"/>
    <mergeCell ref="AP36:AQ36"/>
    <mergeCell ref="AR36:AS36"/>
    <mergeCell ref="F37:G37"/>
    <mergeCell ref="H37:I37"/>
    <mergeCell ref="J37:K37"/>
    <mergeCell ref="L37:M37"/>
    <mergeCell ref="N37:O37"/>
    <mergeCell ref="P37:Q37"/>
    <mergeCell ref="Z36:AA36"/>
    <mergeCell ref="AB36:AC36"/>
    <mergeCell ref="AD36:AE36"/>
    <mergeCell ref="AF36:AG36"/>
    <mergeCell ref="AH36:AI36"/>
    <mergeCell ref="AJ36:AK36"/>
    <mergeCell ref="N36:O36"/>
    <mergeCell ref="P36:Q36"/>
    <mergeCell ref="R36:S36"/>
    <mergeCell ref="T36:U36"/>
    <mergeCell ref="V36:W36"/>
    <mergeCell ref="X36:Y36"/>
    <mergeCell ref="AJ35:AK35"/>
    <mergeCell ref="AL35:AM35"/>
    <mergeCell ref="AN35:AO35"/>
    <mergeCell ref="AP35:AQ35"/>
    <mergeCell ref="AR35:AS35"/>
    <mergeCell ref="F36:G36"/>
    <mergeCell ref="H36:I36"/>
    <mergeCell ref="J36:K36"/>
    <mergeCell ref="L36:M36"/>
    <mergeCell ref="X35:Y35"/>
    <mergeCell ref="Z35:AA35"/>
    <mergeCell ref="AB35:AC35"/>
    <mergeCell ref="AD35:AE35"/>
    <mergeCell ref="AF35:AG35"/>
    <mergeCell ref="AH35:AI35"/>
    <mergeCell ref="AR34:AS34"/>
    <mergeCell ref="F35:G35"/>
    <mergeCell ref="H35:I35"/>
    <mergeCell ref="J35:K35"/>
    <mergeCell ref="L35:M35"/>
    <mergeCell ref="N35:O35"/>
    <mergeCell ref="P35:Q35"/>
    <mergeCell ref="R35:S35"/>
    <mergeCell ref="T35:U35"/>
    <mergeCell ref="V35:W35"/>
    <mergeCell ref="AF34:AG34"/>
    <mergeCell ref="AH34:AI34"/>
    <mergeCell ref="AJ34:AK34"/>
    <mergeCell ref="AL34:AM34"/>
    <mergeCell ref="AN34:AO34"/>
    <mergeCell ref="AP34:AQ34"/>
    <mergeCell ref="T34:U34"/>
    <mergeCell ref="V34:W34"/>
    <mergeCell ref="X34:Y34"/>
    <mergeCell ref="Z34:AA34"/>
    <mergeCell ref="AB34:AC34"/>
    <mergeCell ref="AD34:AE34"/>
    <mergeCell ref="AP33:AQ33"/>
    <mergeCell ref="AR33:AS33"/>
    <mergeCell ref="F34:G34"/>
    <mergeCell ref="H34:I34"/>
    <mergeCell ref="J34:K34"/>
    <mergeCell ref="L34:M34"/>
    <mergeCell ref="N34:O34"/>
    <mergeCell ref="P34:Q34"/>
    <mergeCell ref="R34:S34"/>
    <mergeCell ref="AD33:AE33"/>
    <mergeCell ref="AF33:AG33"/>
    <mergeCell ref="AH33:AI33"/>
    <mergeCell ref="AJ33:AK33"/>
    <mergeCell ref="AL33:AM33"/>
    <mergeCell ref="AN33:AO33"/>
    <mergeCell ref="R33:S33"/>
    <mergeCell ref="T33:U33"/>
    <mergeCell ref="V33:W33"/>
    <mergeCell ref="X33:Y33"/>
    <mergeCell ref="Z33:AA33"/>
    <mergeCell ref="AB33:AC33"/>
    <mergeCell ref="F33:G33"/>
    <mergeCell ref="H33:I33"/>
    <mergeCell ref="J33:K33"/>
    <mergeCell ref="L33:M33"/>
    <mergeCell ref="N33:O33"/>
    <mergeCell ref="P33:Q33"/>
    <mergeCell ref="AH32:AI32"/>
    <mergeCell ref="AJ32:AK32"/>
    <mergeCell ref="AL32:AM32"/>
    <mergeCell ref="AN32:AO32"/>
    <mergeCell ref="AP32:AQ32"/>
    <mergeCell ref="AR32:AS32"/>
    <mergeCell ref="V32:W32"/>
    <mergeCell ref="X32:Y32"/>
    <mergeCell ref="Z32:AA32"/>
    <mergeCell ref="AB32:AC32"/>
    <mergeCell ref="AD32:AE32"/>
    <mergeCell ref="AF32:AG32"/>
    <mergeCell ref="AP31:AQ31"/>
    <mergeCell ref="AR31:AS31"/>
    <mergeCell ref="F32:G32"/>
    <mergeCell ref="H32:I32"/>
    <mergeCell ref="J32:K32"/>
    <mergeCell ref="L32:M32"/>
    <mergeCell ref="N32:O32"/>
    <mergeCell ref="P32:Q32"/>
    <mergeCell ref="R32:S32"/>
    <mergeCell ref="T32:U32"/>
    <mergeCell ref="AD31:AE31"/>
    <mergeCell ref="AF31:AG31"/>
    <mergeCell ref="AH31:AI31"/>
    <mergeCell ref="AJ31:AK31"/>
    <mergeCell ref="AL31:AM31"/>
    <mergeCell ref="AN31:AO31"/>
    <mergeCell ref="R31:S31"/>
    <mergeCell ref="T31:U31"/>
    <mergeCell ref="AB31:AC31"/>
    <mergeCell ref="AL30:AM30"/>
    <mergeCell ref="AN30:AO30"/>
    <mergeCell ref="AP30:AQ30"/>
    <mergeCell ref="AR30:AS30"/>
    <mergeCell ref="F31:G31"/>
    <mergeCell ref="H31:I31"/>
    <mergeCell ref="J31:K31"/>
    <mergeCell ref="L31:M31"/>
    <mergeCell ref="N31:O31"/>
    <mergeCell ref="P31:Q31"/>
    <mergeCell ref="Z30:AA30"/>
    <mergeCell ref="AB30:AC30"/>
    <mergeCell ref="AD30:AE30"/>
    <mergeCell ref="AF30:AG30"/>
    <mergeCell ref="AH30:AI30"/>
    <mergeCell ref="AJ30:AK30"/>
    <mergeCell ref="N30:O30"/>
    <mergeCell ref="P30:Q30"/>
    <mergeCell ref="R30:S30"/>
    <mergeCell ref="T30:U30"/>
    <mergeCell ref="V30:W30"/>
    <mergeCell ref="X30:Y30"/>
    <mergeCell ref="V31:W31"/>
    <mergeCell ref="X31:Y31"/>
    <mergeCell ref="Z31:AA31"/>
    <mergeCell ref="AP29:AQ29"/>
    <mergeCell ref="AR29:AS29"/>
    <mergeCell ref="F30:G30"/>
    <mergeCell ref="H30:I30"/>
    <mergeCell ref="J30:K30"/>
    <mergeCell ref="L30:M30"/>
    <mergeCell ref="X29:Y29"/>
    <mergeCell ref="Z29:AA29"/>
    <mergeCell ref="AB29:AC29"/>
    <mergeCell ref="AD29:AE29"/>
    <mergeCell ref="AF29:AG29"/>
    <mergeCell ref="AH29:AI29"/>
    <mergeCell ref="AR28:AS28"/>
    <mergeCell ref="F29:G29"/>
    <mergeCell ref="H29:I29"/>
    <mergeCell ref="J29:K29"/>
    <mergeCell ref="L29:M29"/>
    <mergeCell ref="N29:O29"/>
    <mergeCell ref="P29:Q29"/>
    <mergeCell ref="R29:S29"/>
    <mergeCell ref="T29:U29"/>
    <mergeCell ref="V29:W29"/>
    <mergeCell ref="AF28:AG28"/>
    <mergeCell ref="AH28:AI28"/>
    <mergeCell ref="AJ28:AK28"/>
    <mergeCell ref="AL28:AM28"/>
    <mergeCell ref="AN28:AO28"/>
    <mergeCell ref="AP28:AQ28"/>
    <mergeCell ref="F28:G28"/>
    <mergeCell ref="H28:I28"/>
    <mergeCell ref="J28:K28"/>
    <mergeCell ref="L28:M28"/>
    <mergeCell ref="N28:O28"/>
    <mergeCell ref="P28:Q28"/>
    <mergeCell ref="R28:S28"/>
    <mergeCell ref="AD27:AE27"/>
    <mergeCell ref="AF27:AG27"/>
    <mergeCell ref="AH27:AI27"/>
    <mergeCell ref="AJ27:AK27"/>
    <mergeCell ref="AL27:AM27"/>
    <mergeCell ref="AN27:AO27"/>
    <mergeCell ref="R27:S27"/>
    <mergeCell ref="T27:U27"/>
    <mergeCell ref="V27:W27"/>
    <mergeCell ref="X27:Y27"/>
    <mergeCell ref="Z27:AA27"/>
    <mergeCell ref="AB27:AC27"/>
    <mergeCell ref="F27:G27"/>
    <mergeCell ref="H27:I27"/>
    <mergeCell ref="J27:K27"/>
    <mergeCell ref="L27:M27"/>
    <mergeCell ref="AJ29:AK29"/>
    <mergeCell ref="AL29:AM29"/>
    <mergeCell ref="AN29:AO29"/>
    <mergeCell ref="C27:C30"/>
    <mergeCell ref="F26:G26"/>
    <mergeCell ref="H26:I26"/>
    <mergeCell ref="J26:K26"/>
    <mergeCell ref="L26:M26"/>
    <mergeCell ref="N26:O26"/>
    <mergeCell ref="P26:Q26"/>
    <mergeCell ref="R26:S26"/>
    <mergeCell ref="T26:U26"/>
    <mergeCell ref="AD25:AE25"/>
    <mergeCell ref="AF25:AG25"/>
    <mergeCell ref="AH25:AI25"/>
    <mergeCell ref="AJ25:AK25"/>
    <mergeCell ref="AL25:AM25"/>
    <mergeCell ref="AN25:AO25"/>
    <mergeCell ref="R25:S25"/>
    <mergeCell ref="T25:U25"/>
    <mergeCell ref="T28:U28"/>
    <mergeCell ref="V28:W28"/>
    <mergeCell ref="X28:Y28"/>
    <mergeCell ref="Z28:AA28"/>
    <mergeCell ref="AB28:AC28"/>
    <mergeCell ref="AD28:AE28"/>
    <mergeCell ref="N27:O27"/>
    <mergeCell ref="P27:Q27"/>
    <mergeCell ref="AH26:AI26"/>
    <mergeCell ref="AJ26:AK26"/>
    <mergeCell ref="AL26:AM26"/>
    <mergeCell ref="AN26:AO26"/>
    <mergeCell ref="AP27:AQ27"/>
    <mergeCell ref="AR27:AS27"/>
    <mergeCell ref="F24:G24"/>
    <mergeCell ref="H24:I24"/>
    <mergeCell ref="J24:K24"/>
    <mergeCell ref="L24:M24"/>
    <mergeCell ref="N24:O24"/>
    <mergeCell ref="P24:Q24"/>
    <mergeCell ref="R24:S24"/>
    <mergeCell ref="T24:U24"/>
    <mergeCell ref="AF23:AG23"/>
    <mergeCell ref="AH23:AI23"/>
    <mergeCell ref="AJ23:AK23"/>
    <mergeCell ref="AL23:AM23"/>
    <mergeCell ref="AN23:AO23"/>
    <mergeCell ref="AP23:AQ23"/>
    <mergeCell ref="T23:U23"/>
    <mergeCell ref="V23:W23"/>
    <mergeCell ref="X23:Y23"/>
    <mergeCell ref="Z23:AA23"/>
    <mergeCell ref="AB23:AC23"/>
    <mergeCell ref="AD23:AE23"/>
    <mergeCell ref="V25:W25"/>
    <mergeCell ref="X25:Y25"/>
    <mergeCell ref="Z25:AA25"/>
    <mergeCell ref="AB25:AC25"/>
    <mergeCell ref="F25:G25"/>
    <mergeCell ref="H25:I25"/>
    <mergeCell ref="J25:K25"/>
    <mergeCell ref="L25:M25"/>
    <mergeCell ref="N25:O25"/>
    <mergeCell ref="P25:Q25"/>
    <mergeCell ref="H23:I23"/>
    <mergeCell ref="J23:K23"/>
    <mergeCell ref="L23:M23"/>
    <mergeCell ref="N23:O23"/>
    <mergeCell ref="P23:Q23"/>
    <mergeCell ref="R23:S23"/>
    <mergeCell ref="AD21:AE21"/>
    <mergeCell ref="AF21:AG21"/>
    <mergeCell ref="AH21:AI21"/>
    <mergeCell ref="AJ21:AK21"/>
    <mergeCell ref="AL21:AM21"/>
    <mergeCell ref="AN21:AO21"/>
    <mergeCell ref="R21:S21"/>
    <mergeCell ref="T21:U21"/>
    <mergeCell ref="V21:W21"/>
    <mergeCell ref="X21:Y21"/>
    <mergeCell ref="Z21:AA21"/>
    <mergeCell ref="AB21:AC21"/>
    <mergeCell ref="F21:G21"/>
    <mergeCell ref="H21:I21"/>
    <mergeCell ref="J21:K21"/>
    <mergeCell ref="L21:M21"/>
    <mergeCell ref="N21:O21"/>
    <mergeCell ref="P21:Q21"/>
    <mergeCell ref="AR23:AS23"/>
    <mergeCell ref="H22:I22"/>
    <mergeCell ref="J22:K22"/>
    <mergeCell ref="L22:M22"/>
    <mergeCell ref="Z20:AA20"/>
    <mergeCell ref="AB20:AC20"/>
    <mergeCell ref="AD20:AE20"/>
    <mergeCell ref="AF20:AG20"/>
    <mergeCell ref="N22:O22"/>
    <mergeCell ref="P22:Q22"/>
    <mergeCell ref="R22:S22"/>
    <mergeCell ref="T22:U22"/>
    <mergeCell ref="V22:W22"/>
    <mergeCell ref="X22:Y22"/>
    <mergeCell ref="Z22:AA22"/>
    <mergeCell ref="AB22:AC22"/>
    <mergeCell ref="AD22:AE22"/>
    <mergeCell ref="AF22:AG22"/>
    <mergeCell ref="AH22:AI22"/>
    <mergeCell ref="AJ22:AK22"/>
    <mergeCell ref="AL22:AM22"/>
    <mergeCell ref="F20:G20"/>
    <mergeCell ref="H20:I20"/>
    <mergeCell ref="J20:K20"/>
    <mergeCell ref="L20:M20"/>
    <mergeCell ref="N20:O20"/>
    <mergeCell ref="P20:Q20"/>
    <mergeCell ref="R20:S20"/>
    <mergeCell ref="T20:U20"/>
    <mergeCell ref="AL18:AM18"/>
    <mergeCell ref="AN18:AO18"/>
    <mergeCell ref="AP18:AQ18"/>
    <mergeCell ref="AR18:AS18"/>
    <mergeCell ref="Z18:AA18"/>
    <mergeCell ref="AB18:AC18"/>
    <mergeCell ref="AD18:AE18"/>
    <mergeCell ref="AF18:AG18"/>
    <mergeCell ref="AH18:AI18"/>
    <mergeCell ref="AJ18:AK18"/>
    <mergeCell ref="N18:O18"/>
    <mergeCell ref="P18:Q18"/>
    <mergeCell ref="R18:S18"/>
    <mergeCell ref="T18:U18"/>
    <mergeCell ref="V18:W18"/>
    <mergeCell ref="X18:Y18"/>
    <mergeCell ref="AH20:AI20"/>
    <mergeCell ref="AJ20:AK20"/>
    <mergeCell ref="AL20:AM20"/>
    <mergeCell ref="AN20:AO20"/>
    <mergeCell ref="AP20:AQ20"/>
    <mergeCell ref="AR20:AS20"/>
    <mergeCell ref="V20:W20"/>
    <mergeCell ref="X20:Y20"/>
    <mergeCell ref="AJ17:AK17"/>
    <mergeCell ref="AL17:AM17"/>
    <mergeCell ref="AN17:AO17"/>
    <mergeCell ref="AP17:AQ17"/>
    <mergeCell ref="AR17:AS17"/>
    <mergeCell ref="F18:G18"/>
    <mergeCell ref="H18:I18"/>
    <mergeCell ref="J18:K18"/>
    <mergeCell ref="L18:M18"/>
    <mergeCell ref="X17:Y17"/>
    <mergeCell ref="Z17:AA17"/>
    <mergeCell ref="AB17:AC17"/>
    <mergeCell ref="AD17:AE17"/>
    <mergeCell ref="AF17:AG17"/>
    <mergeCell ref="AH17:AI17"/>
    <mergeCell ref="AR16:AS16"/>
    <mergeCell ref="F17:G17"/>
    <mergeCell ref="H17:I17"/>
    <mergeCell ref="J17:K17"/>
    <mergeCell ref="L17:M17"/>
    <mergeCell ref="N17:O17"/>
    <mergeCell ref="P17:Q17"/>
    <mergeCell ref="R17:S17"/>
    <mergeCell ref="T17:U17"/>
    <mergeCell ref="V17:W17"/>
    <mergeCell ref="AF16:AG16"/>
    <mergeCell ref="AH16:AI16"/>
    <mergeCell ref="AJ16:AK16"/>
    <mergeCell ref="AL16:AM16"/>
    <mergeCell ref="AN16:AO16"/>
    <mergeCell ref="AP16:AQ16"/>
    <mergeCell ref="T16:U16"/>
    <mergeCell ref="AP15:AQ15"/>
    <mergeCell ref="AR15:AS15"/>
    <mergeCell ref="F16:G16"/>
    <mergeCell ref="H16:I16"/>
    <mergeCell ref="J16:K16"/>
    <mergeCell ref="L16:M16"/>
    <mergeCell ref="N16:O16"/>
    <mergeCell ref="P16:Q16"/>
    <mergeCell ref="R16:S16"/>
    <mergeCell ref="AD15:AE15"/>
    <mergeCell ref="AF15:AG15"/>
    <mergeCell ref="AH15:AI15"/>
    <mergeCell ref="AJ15:AK15"/>
    <mergeCell ref="AL15:AM15"/>
    <mergeCell ref="AN15:AO15"/>
    <mergeCell ref="R15:S15"/>
    <mergeCell ref="T15:U15"/>
    <mergeCell ref="V15:W15"/>
    <mergeCell ref="X15:Y15"/>
    <mergeCell ref="Z15:AA15"/>
    <mergeCell ref="AB15:AC15"/>
    <mergeCell ref="F15:G15"/>
    <mergeCell ref="H15:I15"/>
    <mergeCell ref="J15:K15"/>
    <mergeCell ref="L15:M15"/>
    <mergeCell ref="N15:O15"/>
    <mergeCell ref="P15:Q15"/>
    <mergeCell ref="AD13:AE13"/>
    <mergeCell ref="F13:G13"/>
    <mergeCell ref="H13:I13"/>
    <mergeCell ref="J13:K13"/>
    <mergeCell ref="L13:M13"/>
    <mergeCell ref="N13:O13"/>
    <mergeCell ref="P13:Q13"/>
    <mergeCell ref="R13:S13"/>
    <mergeCell ref="AH14:AI14"/>
    <mergeCell ref="AJ14:AK14"/>
    <mergeCell ref="AL14:AM14"/>
    <mergeCell ref="AN14:AO14"/>
    <mergeCell ref="V16:W16"/>
    <mergeCell ref="X16:Y16"/>
    <mergeCell ref="Z16:AA16"/>
    <mergeCell ref="AB16:AC16"/>
    <mergeCell ref="AD16:AE16"/>
    <mergeCell ref="AQ11:AR11"/>
    <mergeCell ref="AS11:AT11"/>
    <mergeCell ref="AC11:AD11"/>
    <mergeCell ref="AE11:AF11"/>
    <mergeCell ref="AG11:AH11"/>
    <mergeCell ref="AI11:AJ11"/>
    <mergeCell ref="AK11:AL11"/>
    <mergeCell ref="AM11:AN11"/>
    <mergeCell ref="Q11:R11"/>
    <mergeCell ref="S11:T11"/>
    <mergeCell ref="U11:V11"/>
    <mergeCell ref="W11:X11"/>
    <mergeCell ref="Y11:Z11"/>
    <mergeCell ref="AA11:AB11"/>
    <mergeCell ref="AP14:AQ14"/>
    <mergeCell ref="AR14:AS14"/>
    <mergeCell ref="V14:W14"/>
    <mergeCell ref="X14:Y14"/>
    <mergeCell ref="Z14:AA14"/>
    <mergeCell ref="AB14:AC14"/>
    <mergeCell ref="AD14:AE14"/>
    <mergeCell ref="AF14:AG14"/>
    <mergeCell ref="AR13:AS13"/>
    <mergeCell ref="AL12:AM12"/>
    <mergeCell ref="AN12:AO12"/>
    <mergeCell ref="AP12:AQ12"/>
    <mergeCell ref="AR12:AS12"/>
    <mergeCell ref="AT13:AT14"/>
    <mergeCell ref="AL13:AM13"/>
    <mergeCell ref="AN13:AO13"/>
    <mergeCell ref="AP13:AQ13"/>
    <mergeCell ref="T13:U13"/>
    <mergeCell ref="W9:X9"/>
    <mergeCell ref="Y9:Z9"/>
    <mergeCell ref="AA9:AB9"/>
    <mergeCell ref="AO10:AP10"/>
    <mergeCell ref="AQ10:AR10"/>
    <mergeCell ref="AS10:AT10"/>
    <mergeCell ref="B9:D9"/>
    <mergeCell ref="E9:F9"/>
    <mergeCell ref="G9:H9"/>
    <mergeCell ref="I9:J9"/>
    <mergeCell ref="K9:L9"/>
    <mergeCell ref="M9:N9"/>
    <mergeCell ref="O9:P9"/>
    <mergeCell ref="B11:D11"/>
    <mergeCell ref="E11:F11"/>
    <mergeCell ref="G11:H11"/>
    <mergeCell ref="I11:J11"/>
    <mergeCell ref="M11:N11"/>
    <mergeCell ref="O11:P11"/>
    <mergeCell ref="AC10:AD10"/>
    <mergeCell ref="AE10:AF10"/>
    <mergeCell ref="AG10:AH10"/>
    <mergeCell ref="AI10:AJ10"/>
    <mergeCell ref="AK10:AL10"/>
    <mergeCell ref="AM10:AN10"/>
    <mergeCell ref="Q10:R10"/>
    <mergeCell ref="S10:T10"/>
    <mergeCell ref="U10:V10"/>
    <mergeCell ref="W10:X10"/>
    <mergeCell ref="Y10:Z10"/>
    <mergeCell ref="AA10:AB10"/>
    <mergeCell ref="AO11:AP11"/>
    <mergeCell ref="AC8:AD8"/>
    <mergeCell ref="AE8:AF8"/>
    <mergeCell ref="AG8:AH8"/>
    <mergeCell ref="AI8:AJ8"/>
    <mergeCell ref="AK8:AL8"/>
    <mergeCell ref="AM8:AN8"/>
    <mergeCell ref="Q8:R8"/>
    <mergeCell ref="S8:T8"/>
    <mergeCell ref="U8:V8"/>
    <mergeCell ref="W8:X8"/>
    <mergeCell ref="Y8:Z8"/>
    <mergeCell ref="AA8:AB8"/>
    <mergeCell ref="AS8:AT8"/>
    <mergeCell ref="AO9:AP9"/>
    <mergeCell ref="AQ9:AR9"/>
    <mergeCell ref="AS9:AT9"/>
    <mergeCell ref="B10:D10"/>
    <mergeCell ref="E10:F10"/>
    <mergeCell ref="G10:H10"/>
    <mergeCell ref="I10:J10"/>
    <mergeCell ref="K10:L10"/>
    <mergeCell ref="M10:N10"/>
    <mergeCell ref="O10:P10"/>
    <mergeCell ref="AC9:AD9"/>
    <mergeCell ref="AE9:AF9"/>
    <mergeCell ref="AG9:AH9"/>
    <mergeCell ref="AI9:AJ9"/>
    <mergeCell ref="AK9:AL9"/>
    <mergeCell ref="AM9:AN9"/>
    <mergeCell ref="Q9:R9"/>
    <mergeCell ref="S9:T9"/>
    <mergeCell ref="U9:V9"/>
    <mergeCell ref="AO8:AP8"/>
    <mergeCell ref="AQ8:AR8"/>
    <mergeCell ref="L2:W2"/>
    <mergeCell ref="B6:D6"/>
    <mergeCell ref="E6:F6"/>
    <mergeCell ref="G6:H6"/>
    <mergeCell ref="I6:J6"/>
    <mergeCell ref="K6:L6"/>
    <mergeCell ref="M6:N6"/>
    <mergeCell ref="O6:P6"/>
    <mergeCell ref="AO6:AP6"/>
    <mergeCell ref="AQ6:AR6"/>
    <mergeCell ref="AC2:AJ2"/>
    <mergeCell ref="AK2:AT2"/>
    <mergeCell ref="L4:AC4"/>
    <mergeCell ref="AK4:AT4"/>
    <mergeCell ref="B8:D8"/>
    <mergeCell ref="E8:F8"/>
    <mergeCell ref="G8:H8"/>
    <mergeCell ref="I8:J8"/>
    <mergeCell ref="K8:L8"/>
    <mergeCell ref="M8:N8"/>
    <mergeCell ref="O8:P8"/>
    <mergeCell ref="AC7:AD7"/>
    <mergeCell ref="AE7:AF7"/>
    <mergeCell ref="AG7:AH7"/>
    <mergeCell ref="AI7:AJ7"/>
    <mergeCell ref="AK7:AL7"/>
    <mergeCell ref="AM7:AN7"/>
    <mergeCell ref="Q7:R7"/>
    <mergeCell ref="S7:T7"/>
    <mergeCell ref="U7:V7"/>
    <mergeCell ref="AS6:AT6"/>
    <mergeCell ref="B7:D7"/>
    <mergeCell ref="E7:F7"/>
    <mergeCell ref="G7:H7"/>
    <mergeCell ref="I7:J7"/>
    <mergeCell ref="K7:L7"/>
    <mergeCell ref="M7:N7"/>
    <mergeCell ref="O7:P7"/>
    <mergeCell ref="AC6:AD6"/>
    <mergeCell ref="AE6:AF6"/>
    <mergeCell ref="AG6:AH6"/>
    <mergeCell ref="AI6:AJ6"/>
    <mergeCell ref="AK6:AL6"/>
    <mergeCell ref="AM6:AN6"/>
    <mergeCell ref="Q6:R6"/>
    <mergeCell ref="S6:T6"/>
    <mergeCell ref="U6:V6"/>
    <mergeCell ref="AS7:AT7"/>
    <mergeCell ref="AO7:AP7"/>
    <mergeCell ref="AQ7:AR7"/>
    <mergeCell ref="W6:X6"/>
    <mergeCell ref="Y6:Z6"/>
    <mergeCell ref="AA6:AB6"/>
    <mergeCell ref="Y7:Z7"/>
    <mergeCell ref="AA7:AB7"/>
    <mergeCell ref="W7:X7"/>
  </mergeCells>
  <pageMargins left="0.39370078740157483" right="0.39370078740157483" top="0.35433070866141736" bottom="0.35433070866141736" header="0.31496062992125984" footer="0.31496062992125984"/>
  <pageSetup paperSize="9" scale="32" orientation="landscape" horizont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pageSetUpPr fitToPage="1"/>
  </sheetPr>
  <dimension ref="B2:G36"/>
  <sheetViews>
    <sheetView workbookViewId="0">
      <selection activeCell="B36" sqref="B1:G36"/>
    </sheetView>
  </sheetViews>
  <sheetFormatPr defaultColWidth="9.21875" defaultRowHeight="13.8" x14ac:dyDescent="0.25"/>
  <cols>
    <col min="1" max="1" width="9.21875" style="407"/>
    <col min="2" max="2" width="12.21875" style="407" customWidth="1"/>
    <col min="3" max="6" width="29.5546875" style="407" customWidth="1"/>
    <col min="7" max="7" width="32.21875" style="407" customWidth="1"/>
    <col min="8" max="16384" width="9.21875" style="407"/>
  </cols>
  <sheetData>
    <row r="2" spans="2:7" ht="14.4" thickBot="1" x14ac:dyDescent="0.3"/>
    <row r="3" spans="2:7" ht="21.6" thickBot="1" x14ac:dyDescent="0.45">
      <c r="B3" s="663" t="s">
        <v>313</v>
      </c>
      <c r="C3" s="664"/>
      <c r="D3" s="664"/>
      <c r="E3" s="664"/>
      <c r="F3" s="664"/>
      <c r="G3" s="665"/>
    </row>
    <row r="4" spans="2:7" ht="3.75" customHeight="1" thickBot="1" x14ac:dyDescent="0.3"/>
    <row r="5" spans="2:7" ht="14.4" thickBot="1" x14ac:dyDescent="0.3">
      <c r="B5" s="408" t="s">
        <v>0</v>
      </c>
      <c r="C5" s="409" t="s">
        <v>135</v>
      </c>
      <c r="D5" s="409" t="s">
        <v>134</v>
      </c>
      <c r="E5" s="409" t="s">
        <v>133</v>
      </c>
      <c r="F5" s="409" t="s">
        <v>136</v>
      </c>
      <c r="G5" s="410" t="s">
        <v>314</v>
      </c>
    </row>
    <row r="6" spans="2:7" ht="18.75" customHeight="1" x14ac:dyDescent="0.25">
      <c r="B6" s="411"/>
      <c r="C6" s="412"/>
      <c r="D6" s="412"/>
      <c r="E6" s="412"/>
      <c r="F6" s="412"/>
      <c r="G6" s="413"/>
    </row>
    <row r="7" spans="2:7" ht="18.75" customHeight="1" x14ac:dyDescent="0.25">
      <c r="B7" s="411"/>
      <c r="C7" s="412"/>
      <c r="D7" s="412"/>
      <c r="E7" s="412"/>
      <c r="F7" s="412"/>
      <c r="G7" s="413"/>
    </row>
    <row r="8" spans="2:7" ht="18.75" customHeight="1" x14ac:dyDescent="0.25">
      <c r="B8" s="411"/>
      <c r="C8" s="412"/>
      <c r="D8" s="412"/>
      <c r="E8" s="412"/>
      <c r="F8" s="412"/>
      <c r="G8" s="413"/>
    </row>
    <row r="9" spans="2:7" ht="18.75" customHeight="1" x14ac:dyDescent="0.25">
      <c r="B9" s="411"/>
      <c r="C9" s="412"/>
      <c r="D9" s="412"/>
      <c r="E9" s="412"/>
      <c r="F9" s="412"/>
      <c r="G9" s="413"/>
    </row>
    <row r="10" spans="2:7" ht="18.75" customHeight="1" x14ac:dyDescent="0.25">
      <c r="B10" s="411"/>
      <c r="C10" s="412"/>
      <c r="D10" s="412"/>
      <c r="E10" s="412"/>
      <c r="F10" s="412"/>
      <c r="G10" s="413"/>
    </row>
    <row r="11" spans="2:7" ht="18.75" customHeight="1" x14ac:dyDescent="0.25">
      <c r="B11" s="411"/>
      <c r="C11" s="412"/>
      <c r="D11" s="412"/>
      <c r="E11" s="412"/>
      <c r="F11" s="412"/>
      <c r="G11" s="413"/>
    </row>
    <row r="12" spans="2:7" ht="18.75" customHeight="1" x14ac:dyDescent="0.25">
      <c r="B12" s="411"/>
      <c r="C12" s="412"/>
      <c r="D12" s="412"/>
      <c r="E12" s="412"/>
      <c r="F12" s="412"/>
      <c r="G12" s="413"/>
    </row>
    <row r="13" spans="2:7" ht="18.75" customHeight="1" x14ac:dyDescent="0.25">
      <c r="B13" s="411"/>
      <c r="C13" s="412"/>
      <c r="D13" s="412"/>
      <c r="E13" s="412"/>
      <c r="F13" s="412"/>
      <c r="G13" s="413"/>
    </row>
    <row r="14" spans="2:7" ht="18.75" customHeight="1" x14ac:dyDescent="0.25">
      <c r="B14" s="411"/>
      <c r="C14" s="412"/>
      <c r="D14" s="412"/>
      <c r="E14" s="412"/>
      <c r="F14" s="412"/>
      <c r="G14" s="413"/>
    </row>
    <row r="15" spans="2:7" ht="18.75" customHeight="1" x14ac:dyDescent="0.25">
      <c r="B15" s="411"/>
      <c r="C15" s="412"/>
      <c r="D15" s="412"/>
      <c r="E15" s="412"/>
      <c r="F15" s="412"/>
      <c r="G15" s="413"/>
    </row>
    <row r="16" spans="2:7" ht="18.75" customHeight="1" x14ac:dyDescent="0.25">
      <c r="B16" s="411"/>
      <c r="C16" s="412"/>
      <c r="D16" s="412"/>
      <c r="E16" s="412"/>
      <c r="F16" s="412"/>
      <c r="G16" s="413"/>
    </row>
    <row r="17" spans="2:7" ht="18.75" customHeight="1" x14ac:dyDescent="0.25">
      <c r="B17" s="411"/>
      <c r="C17" s="412"/>
      <c r="D17" s="412"/>
      <c r="E17" s="412"/>
      <c r="F17" s="412"/>
      <c r="G17" s="413"/>
    </row>
    <row r="18" spans="2:7" ht="18.75" customHeight="1" x14ac:dyDescent="0.25">
      <c r="B18" s="411"/>
      <c r="C18" s="412"/>
      <c r="D18" s="412"/>
      <c r="E18" s="412"/>
      <c r="F18" s="412"/>
      <c r="G18" s="413"/>
    </row>
    <row r="19" spans="2:7" ht="18.75" customHeight="1" x14ac:dyDescent="0.25">
      <c r="B19" s="411"/>
      <c r="C19" s="412"/>
      <c r="D19" s="412"/>
      <c r="E19" s="412"/>
      <c r="F19" s="412"/>
      <c r="G19" s="413"/>
    </row>
    <row r="20" spans="2:7" ht="18.75" customHeight="1" x14ac:dyDescent="0.25">
      <c r="B20" s="411"/>
      <c r="C20" s="412"/>
      <c r="D20" s="412"/>
      <c r="E20" s="412"/>
      <c r="F20" s="412"/>
      <c r="G20" s="413"/>
    </row>
    <row r="21" spans="2:7" ht="18.75" customHeight="1" x14ac:dyDescent="0.25">
      <c r="B21" s="411"/>
      <c r="C21" s="412"/>
      <c r="D21" s="412"/>
      <c r="E21" s="412"/>
      <c r="F21" s="412"/>
      <c r="G21" s="413"/>
    </row>
    <row r="22" spans="2:7" ht="18.75" customHeight="1" x14ac:dyDescent="0.25">
      <c r="B22" s="414"/>
      <c r="C22" s="415"/>
      <c r="D22" s="415"/>
      <c r="E22" s="415"/>
      <c r="F22" s="415"/>
      <c r="G22" s="416"/>
    </row>
    <row r="23" spans="2:7" ht="18.75" customHeight="1" x14ac:dyDescent="0.25">
      <c r="B23" s="414"/>
      <c r="C23" s="415"/>
      <c r="D23" s="415"/>
      <c r="E23" s="415"/>
      <c r="F23" s="415"/>
      <c r="G23" s="416"/>
    </row>
    <row r="24" spans="2:7" ht="18.75" customHeight="1" x14ac:dyDescent="0.25">
      <c r="B24" s="414"/>
      <c r="C24" s="415"/>
      <c r="D24" s="415"/>
      <c r="E24" s="415"/>
      <c r="F24" s="415"/>
      <c r="G24" s="416"/>
    </row>
    <row r="25" spans="2:7" ht="18.75" customHeight="1" x14ac:dyDescent="0.25">
      <c r="B25" s="414"/>
      <c r="C25" s="415"/>
      <c r="D25" s="415"/>
      <c r="E25" s="415"/>
      <c r="F25" s="415"/>
      <c r="G25" s="416"/>
    </row>
    <row r="26" spans="2:7" ht="18.75" customHeight="1" x14ac:dyDescent="0.25">
      <c r="B26" s="414"/>
      <c r="C26" s="415"/>
      <c r="D26" s="415"/>
      <c r="E26" s="415"/>
      <c r="F26" s="415"/>
      <c r="G26" s="416"/>
    </row>
    <row r="27" spans="2:7" ht="18.75" customHeight="1" x14ac:dyDescent="0.25">
      <c r="B27" s="414"/>
      <c r="C27" s="415"/>
      <c r="D27" s="415"/>
      <c r="E27" s="415"/>
      <c r="F27" s="415"/>
      <c r="G27" s="416"/>
    </row>
    <row r="28" spans="2:7" ht="18.75" customHeight="1" x14ac:dyDescent="0.25">
      <c r="B28" s="414"/>
      <c r="C28" s="415"/>
      <c r="D28" s="415"/>
      <c r="E28" s="415"/>
      <c r="F28" s="415"/>
      <c r="G28" s="416"/>
    </row>
    <row r="29" spans="2:7" ht="18.75" customHeight="1" x14ac:dyDescent="0.25">
      <c r="B29" s="414"/>
      <c r="C29" s="415"/>
      <c r="D29" s="415"/>
      <c r="E29" s="415"/>
      <c r="F29" s="415"/>
      <c r="G29" s="416"/>
    </row>
    <row r="30" spans="2:7" ht="18.75" customHeight="1" x14ac:dyDescent="0.25">
      <c r="B30" s="414"/>
      <c r="C30" s="415"/>
      <c r="D30" s="415"/>
      <c r="E30" s="415"/>
      <c r="F30" s="415"/>
      <c r="G30" s="416"/>
    </row>
    <row r="31" spans="2:7" ht="18.75" customHeight="1" x14ac:dyDescent="0.25">
      <c r="B31" s="414"/>
      <c r="C31" s="415"/>
      <c r="D31" s="415"/>
      <c r="E31" s="415"/>
      <c r="F31" s="415"/>
      <c r="G31" s="416"/>
    </row>
    <row r="32" spans="2:7" ht="18.75" customHeight="1" x14ac:dyDescent="0.25">
      <c r="B32" s="414"/>
      <c r="C32" s="415"/>
      <c r="D32" s="415"/>
      <c r="E32" s="415"/>
      <c r="F32" s="415"/>
      <c r="G32" s="416"/>
    </row>
    <row r="33" spans="2:7" ht="18.75" customHeight="1" x14ac:dyDescent="0.25">
      <c r="B33" s="414"/>
      <c r="C33" s="415"/>
      <c r="D33" s="415"/>
      <c r="E33" s="415"/>
      <c r="F33" s="415"/>
      <c r="G33" s="416"/>
    </row>
    <row r="34" spans="2:7" ht="18.75" customHeight="1" x14ac:dyDescent="0.25">
      <c r="B34" s="414"/>
      <c r="C34" s="415"/>
      <c r="D34" s="415"/>
      <c r="E34" s="415"/>
      <c r="F34" s="415"/>
      <c r="G34" s="416"/>
    </row>
    <row r="35" spans="2:7" ht="18.75" customHeight="1" x14ac:dyDescent="0.25">
      <c r="B35" s="414"/>
      <c r="C35" s="415"/>
      <c r="D35" s="415"/>
      <c r="E35" s="415"/>
      <c r="F35" s="415"/>
      <c r="G35" s="416"/>
    </row>
    <row r="36" spans="2:7" ht="18.75" customHeight="1" thickBot="1" x14ac:dyDescent="0.3">
      <c r="B36" s="417"/>
      <c r="C36" s="418"/>
      <c r="D36" s="418"/>
      <c r="E36" s="418"/>
      <c r="F36" s="418"/>
      <c r="G36" s="419"/>
    </row>
  </sheetData>
  <mergeCells count="1">
    <mergeCell ref="B3:G3"/>
  </mergeCells>
  <pageMargins left="0.7" right="0.7" top="0.75" bottom="0.75" header="0.3" footer="0.3"/>
  <pageSetup paperSize="9" scale="74" fitToWidth="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pageSetUpPr fitToPage="1"/>
  </sheetPr>
  <dimension ref="B1:AT89"/>
  <sheetViews>
    <sheetView zoomScale="40" zoomScaleNormal="40" workbookViewId="0">
      <selection activeCell="B36" sqref="B1:G36"/>
    </sheetView>
  </sheetViews>
  <sheetFormatPr defaultColWidth="9.21875" defaultRowHeight="14.4" x14ac:dyDescent="0.3"/>
  <cols>
    <col min="1" max="1" width="0.21875" customWidth="1"/>
    <col min="2" max="2" width="10.77734375" customWidth="1"/>
    <col min="3" max="4" width="13.77734375" customWidth="1"/>
    <col min="5" max="46" width="8.77734375" customWidth="1"/>
    <col min="47" max="49" width="3" customWidth="1"/>
  </cols>
  <sheetData>
    <row r="1" spans="2:46" x14ac:dyDescent="0.3">
      <c r="B1" s="1"/>
      <c r="AQ1" s="1"/>
    </row>
    <row r="2" spans="2:46" ht="50.1" customHeight="1" thickBot="1" x14ac:dyDescent="0.8">
      <c r="B2" s="65" t="s">
        <v>85</v>
      </c>
      <c r="C2" s="62"/>
      <c r="D2" s="63"/>
      <c r="E2" s="63"/>
      <c r="F2" s="64"/>
      <c r="G2" s="63"/>
      <c r="H2" s="64"/>
      <c r="I2" s="64"/>
      <c r="J2" s="64"/>
      <c r="K2" s="64"/>
      <c r="L2" s="423" t="str">
        <f>'Plot Data'!J7</f>
        <v>AFT Cu Wire (˚C)</v>
      </c>
      <c r="M2" s="423"/>
      <c r="N2" s="423"/>
      <c r="O2" s="423"/>
      <c r="P2" s="423"/>
      <c r="Q2" s="423"/>
      <c r="R2" s="423"/>
      <c r="S2" s="423"/>
      <c r="T2" s="423"/>
      <c r="U2" s="423"/>
      <c r="V2" s="423"/>
      <c r="W2" s="423"/>
      <c r="X2" s="63"/>
      <c r="Y2" s="63"/>
      <c r="Z2" s="63"/>
      <c r="AA2" s="63"/>
      <c r="AB2" s="65"/>
      <c r="AC2" s="424" t="s">
        <v>92</v>
      </c>
      <c r="AD2" s="424"/>
      <c r="AE2" s="424"/>
      <c r="AF2" s="424"/>
      <c r="AG2" s="424"/>
      <c r="AH2" s="424"/>
      <c r="AI2" s="424"/>
      <c r="AJ2" s="424"/>
      <c r="AK2" s="425" t="s">
        <v>309</v>
      </c>
      <c r="AL2" s="425"/>
      <c r="AM2" s="425"/>
      <c r="AN2" s="425"/>
      <c r="AO2" s="425"/>
      <c r="AP2" s="425"/>
      <c r="AQ2" s="425"/>
      <c r="AR2" s="425"/>
      <c r="AS2" s="425"/>
      <c r="AT2" s="425"/>
    </row>
    <row r="3" spans="2:46" ht="22.05" customHeight="1" x14ac:dyDescent="0.85">
      <c r="B3" s="61"/>
      <c r="C3" s="66"/>
      <c r="D3" s="66"/>
      <c r="E3" s="66"/>
      <c r="F3" s="67"/>
      <c r="G3" s="66"/>
      <c r="H3" s="67"/>
      <c r="I3" s="67"/>
      <c r="J3" s="66"/>
      <c r="K3" s="66"/>
      <c r="L3" s="66"/>
      <c r="M3" s="66"/>
      <c r="N3" s="66"/>
      <c r="O3" s="66"/>
      <c r="P3" s="66"/>
      <c r="Q3" s="66"/>
      <c r="R3" s="66"/>
      <c r="S3" s="66"/>
      <c r="T3" s="66"/>
      <c r="U3" s="66"/>
      <c r="V3" s="66"/>
      <c r="W3" s="66"/>
      <c r="X3" s="66"/>
      <c r="Y3" s="66"/>
      <c r="Z3" s="66"/>
      <c r="AA3" s="66"/>
      <c r="AB3" s="66"/>
      <c r="AC3" s="66"/>
      <c r="AD3" s="66"/>
      <c r="AE3" s="66"/>
      <c r="AF3" s="66"/>
      <c r="AG3" s="66"/>
      <c r="AH3" s="68"/>
      <c r="AI3" s="66"/>
      <c r="AJ3" s="68"/>
      <c r="AK3" s="66"/>
      <c r="AL3" s="66"/>
      <c r="AM3" s="66"/>
      <c r="AN3" s="66"/>
      <c r="AO3" s="67"/>
      <c r="AP3" s="66"/>
      <c r="AQ3" s="67"/>
      <c r="AR3" s="66"/>
      <c r="AS3" s="66"/>
    </row>
    <row r="4" spans="2:46" ht="50.1" customHeight="1" x14ac:dyDescent="0.85">
      <c r="B4" s="60"/>
      <c r="C4" s="66"/>
      <c r="D4" s="66"/>
      <c r="E4" s="66"/>
      <c r="F4" s="66"/>
      <c r="G4" s="66"/>
      <c r="H4" s="66"/>
      <c r="I4" s="66"/>
      <c r="J4" s="66"/>
      <c r="K4" s="66"/>
      <c r="L4" s="426" t="s">
        <v>87</v>
      </c>
      <c r="M4" s="426"/>
      <c r="N4" s="426"/>
      <c r="O4" s="426"/>
      <c r="P4" s="426"/>
      <c r="Q4" s="426"/>
      <c r="R4" s="426"/>
      <c r="S4" s="426"/>
      <c r="T4" s="426"/>
      <c r="U4" s="426"/>
      <c r="V4" s="426"/>
      <c r="W4" s="426"/>
      <c r="X4" s="426"/>
      <c r="Y4" s="426"/>
      <c r="Z4" s="426"/>
      <c r="AA4" s="426"/>
      <c r="AB4" s="426"/>
      <c r="AC4" s="426"/>
      <c r="AD4" s="69" t="s">
        <v>93</v>
      </c>
      <c r="AE4" s="66"/>
      <c r="AF4" s="66"/>
      <c r="AG4" s="66"/>
      <c r="AH4" s="66"/>
      <c r="AI4" s="66"/>
      <c r="AJ4" s="66"/>
      <c r="AK4" s="427" t="s">
        <v>89</v>
      </c>
      <c r="AL4" s="427"/>
      <c r="AM4" s="427"/>
      <c r="AN4" s="427"/>
      <c r="AO4" s="427"/>
      <c r="AP4" s="427"/>
      <c r="AQ4" s="427"/>
      <c r="AR4" s="427"/>
      <c r="AS4" s="427"/>
      <c r="AT4" s="427"/>
    </row>
    <row r="5" spans="2:46" ht="22.05" customHeight="1" thickBot="1" x14ac:dyDescent="0.35">
      <c r="K5" s="2"/>
    </row>
    <row r="6" spans="2:46" ht="50.1" customHeight="1" x14ac:dyDescent="0.3">
      <c r="B6" s="428" t="s">
        <v>0</v>
      </c>
      <c r="C6" s="429"/>
      <c r="D6" s="430"/>
      <c r="E6" s="431"/>
      <c r="F6" s="432"/>
      <c r="G6" s="431"/>
      <c r="H6" s="432"/>
      <c r="I6" s="431"/>
      <c r="J6" s="432"/>
      <c r="K6" s="431"/>
      <c r="L6" s="432"/>
      <c r="M6" s="431"/>
      <c r="N6" s="432"/>
      <c r="O6" s="431"/>
      <c r="P6" s="432"/>
      <c r="Q6" s="431"/>
      <c r="R6" s="432"/>
      <c r="S6" s="431"/>
      <c r="T6" s="432"/>
      <c r="U6" s="431"/>
      <c r="V6" s="432"/>
      <c r="W6" s="431"/>
      <c r="X6" s="432"/>
      <c r="Y6" s="431"/>
      <c r="Z6" s="432"/>
      <c r="AA6" s="431"/>
      <c r="AB6" s="432"/>
      <c r="AC6" s="431"/>
      <c r="AD6" s="432"/>
      <c r="AE6" s="431"/>
      <c r="AF6" s="432"/>
      <c r="AG6" s="431"/>
      <c r="AH6" s="432"/>
      <c r="AI6" s="431"/>
      <c r="AJ6" s="432"/>
      <c r="AK6" s="431"/>
      <c r="AL6" s="432"/>
      <c r="AM6" s="431"/>
      <c r="AN6" s="432"/>
      <c r="AO6" s="431"/>
      <c r="AP6" s="432"/>
      <c r="AQ6" s="431"/>
      <c r="AR6" s="432"/>
      <c r="AS6" s="431"/>
      <c r="AT6" s="432"/>
    </row>
    <row r="7" spans="2:46" ht="50.1" customHeight="1" thickBot="1" x14ac:dyDescent="0.35">
      <c r="B7" s="433" t="s">
        <v>1</v>
      </c>
      <c r="C7" s="434"/>
      <c r="D7" s="435"/>
      <c r="E7" s="436"/>
      <c r="F7" s="437"/>
      <c r="G7" s="436"/>
      <c r="H7" s="437"/>
      <c r="I7" s="436"/>
      <c r="J7" s="437"/>
      <c r="K7" s="436"/>
      <c r="L7" s="437"/>
      <c r="M7" s="436"/>
      <c r="N7" s="437"/>
      <c r="O7" s="436"/>
      <c r="P7" s="437"/>
      <c r="Q7" s="436"/>
      <c r="R7" s="437"/>
      <c r="S7" s="436"/>
      <c r="T7" s="437"/>
      <c r="U7" s="436"/>
      <c r="V7" s="437"/>
      <c r="W7" s="436"/>
      <c r="X7" s="437"/>
      <c r="Y7" s="436"/>
      <c r="Z7" s="437"/>
      <c r="AA7" s="436"/>
      <c r="AB7" s="437"/>
      <c r="AC7" s="436"/>
      <c r="AD7" s="437"/>
      <c r="AE7" s="436"/>
      <c r="AF7" s="437"/>
      <c r="AG7" s="436"/>
      <c r="AH7" s="437"/>
      <c r="AI7" s="436"/>
      <c r="AJ7" s="437"/>
      <c r="AK7" s="436"/>
      <c r="AL7" s="437"/>
      <c r="AM7" s="436"/>
      <c r="AN7" s="437"/>
      <c r="AO7" s="436"/>
      <c r="AP7" s="437"/>
      <c r="AQ7" s="436"/>
      <c r="AR7" s="437"/>
      <c r="AS7" s="436"/>
      <c r="AT7" s="437"/>
    </row>
    <row r="8" spans="2:46" ht="50.1" customHeight="1" thickBot="1" x14ac:dyDescent="0.35">
      <c r="B8" s="438" t="s">
        <v>2</v>
      </c>
      <c r="C8" s="439"/>
      <c r="D8" s="440"/>
      <c r="E8" s="441"/>
      <c r="F8" s="442"/>
      <c r="G8" s="441"/>
      <c r="H8" s="442"/>
      <c r="I8" s="441"/>
      <c r="J8" s="442"/>
      <c r="K8" s="441"/>
      <c r="L8" s="442"/>
      <c r="M8" s="441"/>
      <c r="N8" s="442"/>
      <c r="O8" s="441"/>
      <c r="P8" s="442"/>
      <c r="Q8" s="441"/>
      <c r="R8" s="442"/>
      <c r="S8" s="441"/>
      <c r="T8" s="442"/>
      <c r="U8" s="441"/>
      <c r="V8" s="442"/>
      <c r="W8" s="441"/>
      <c r="X8" s="442"/>
      <c r="Y8" s="441"/>
      <c r="Z8" s="442"/>
      <c r="AA8" s="441"/>
      <c r="AB8" s="442"/>
      <c r="AC8" s="441"/>
      <c r="AD8" s="442"/>
      <c r="AE8" s="441"/>
      <c r="AF8" s="442"/>
      <c r="AG8" s="441"/>
      <c r="AH8" s="442"/>
      <c r="AI8" s="441"/>
      <c r="AJ8" s="442"/>
      <c r="AK8" s="441"/>
      <c r="AL8" s="442"/>
      <c r="AM8" s="441"/>
      <c r="AN8" s="442"/>
      <c r="AO8" s="441"/>
      <c r="AP8" s="442"/>
      <c r="AQ8" s="441"/>
      <c r="AR8" s="442"/>
      <c r="AS8" s="441"/>
      <c r="AT8" s="442"/>
    </row>
    <row r="9" spans="2:46" ht="50.1" customHeight="1" thickBot="1" x14ac:dyDescent="0.35">
      <c r="B9" s="447" t="s">
        <v>3</v>
      </c>
      <c r="C9" s="448"/>
      <c r="D9" s="449"/>
      <c r="E9" s="443"/>
      <c r="F9" s="444"/>
      <c r="G9" s="443"/>
      <c r="H9" s="444"/>
      <c r="I9" s="443"/>
      <c r="J9" s="444"/>
      <c r="K9" s="443"/>
      <c r="L9" s="444"/>
      <c r="M9" s="443"/>
      <c r="N9" s="444"/>
      <c r="O9" s="443"/>
      <c r="P9" s="444"/>
      <c r="Q9" s="443"/>
      <c r="R9" s="444"/>
      <c r="S9" s="443"/>
      <c r="T9" s="444"/>
      <c r="U9" s="443"/>
      <c r="V9" s="444"/>
      <c r="W9" s="443"/>
      <c r="X9" s="444"/>
      <c r="Y9" s="443"/>
      <c r="Z9" s="444"/>
      <c r="AA9" s="443"/>
      <c r="AB9" s="444"/>
      <c r="AC9" s="443"/>
      <c r="AD9" s="444"/>
      <c r="AE9" s="443"/>
      <c r="AF9" s="444"/>
      <c r="AG9" s="443"/>
      <c r="AH9" s="444"/>
      <c r="AI9" s="443"/>
      <c r="AJ9" s="444"/>
      <c r="AK9" s="443"/>
      <c r="AL9" s="444"/>
      <c r="AM9" s="443"/>
      <c r="AN9" s="444"/>
      <c r="AO9" s="443"/>
      <c r="AP9" s="444"/>
      <c r="AQ9" s="443"/>
      <c r="AR9" s="444"/>
      <c r="AS9" s="443"/>
      <c r="AT9" s="444"/>
    </row>
    <row r="10" spans="2:46" ht="50.1" customHeight="1" thickBot="1" x14ac:dyDescent="0.35">
      <c r="B10" s="428" t="s">
        <v>4</v>
      </c>
      <c r="C10" s="429"/>
      <c r="D10" s="430"/>
      <c r="E10" s="441"/>
      <c r="F10" s="442"/>
      <c r="G10" s="441"/>
      <c r="H10" s="442"/>
      <c r="I10" s="441"/>
      <c r="J10" s="442"/>
      <c r="K10" s="445"/>
      <c r="L10" s="446"/>
      <c r="M10" s="441"/>
      <c r="N10" s="442"/>
      <c r="O10" s="441"/>
      <c r="P10" s="442"/>
      <c r="Q10" s="441"/>
      <c r="R10" s="442"/>
      <c r="S10" s="441"/>
      <c r="T10" s="442"/>
      <c r="U10" s="441"/>
      <c r="V10" s="442"/>
      <c r="W10" s="441"/>
      <c r="X10" s="442"/>
      <c r="Y10" s="441"/>
      <c r="Z10" s="442"/>
      <c r="AA10" s="441"/>
      <c r="AB10" s="442"/>
      <c r="AC10" s="441"/>
      <c r="AD10" s="442"/>
      <c r="AE10" s="441"/>
      <c r="AF10" s="442"/>
      <c r="AG10" s="441"/>
      <c r="AH10" s="442"/>
      <c r="AI10" s="441"/>
      <c r="AJ10" s="442"/>
      <c r="AK10" s="441"/>
      <c r="AL10" s="442"/>
      <c r="AM10" s="441"/>
      <c r="AN10" s="442"/>
      <c r="AO10" s="441"/>
      <c r="AP10" s="442"/>
      <c r="AQ10" s="441"/>
      <c r="AR10" s="442"/>
      <c r="AS10" s="441"/>
      <c r="AT10" s="442"/>
    </row>
    <row r="11" spans="2:46" ht="50.1" customHeight="1" thickBot="1" x14ac:dyDescent="0.35">
      <c r="B11" s="450" t="s">
        <v>5</v>
      </c>
      <c r="C11" s="451"/>
      <c r="D11" s="452"/>
      <c r="E11" s="441"/>
      <c r="F11" s="442"/>
      <c r="G11" s="441"/>
      <c r="H11" s="442"/>
      <c r="I11" s="441"/>
      <c r="J11" s="442"/>
      <c r="K11" s="72"/>
      <c r="L11" s="72"/>
      <c r="M11" s="441"/>
      <c r="N11" s="442"/>
      <c r="O11" s="441"/>
      <c r="P11" s="442"/>
      <c r="Q11" s="441"/>
      <c r="R11" s="442"/>
      <c r="S11" s="441"/>
      <c r="T11" s="442"/>
      <c r="U11" s="441"/>
      <c r="V11" s="442"/>
      <c r="W11" s="441"/>
      <c r="X11" s="442"/>
      <c r="Y11" s="441"/>
      <c r="Z11" s="442"/>
      <c r="AA11" s="441"/>
      <c r="AB11" s="442"/>
      <c r="AC11" s="441"/>
      <c r="AD11" s="442"/>
      <c r="AE11" s="441"/>
      <c r="AF11" s="442"/>
      <c r="AG11" s="441"/>
      <c r="AH11" s="442"/>
      <c r="AI11" s="441"/>
      <c r="AJ11" s="442"/>
      <c r="AK11" s="441"/>
      <c r="AL11" s="442"/>
      <c r="AM11" s="441"/>
      <c r="AN11" s="442"/>
      <c r="AO11" s="441"/>
      <c r="AP11" s="442"/>
      <c r="AQ11" s="441"/>
      <c r="AR11" s="442"/>
      <c r="AS11" s="441"/>
      <c r="AT11" s="442"/>
    </row>
    <row r="12" spans="2:46" ht="18" customHeight="1" thickTop="1" x14ac:dyDescent="0.6">
      <c r="B12" s="666" t="s">
        <v>6</v>
      </c>
      <c r="C12" s="389"/>
      <c r="D12" s="73"/>
      <c r="E12" s="74"/>
      <c r="F12" s="456"/>
      <c r="G12" s="457"/>
      <c r="H12" s="456"/>
      <c r="I12" s="457"/>
      <c r="J12" s="456"/>
      <c r="K12" s="457"/>
      <c r="L12" s="456"/>
      <c r="M12" s="457"/>
      <c r="N12" s="456"/>
      <c r="O12" s="457"/>
      <c r="P12" s="456"/>
      <c r="Q12" s="457"/>
      <c r="R12" s="456"/>
      <c r="S12" s="457"/>
      <c r="T12" s="456"/>
      <c r="U12" s="457"/>
      <c r="V12" s="456"/>
      <c r="W12" s="457"/>
      <c r="X12" s="456"/>
      <c r="Y12" s="457"/>
      <c r="Z12" s="456"/>
      <c r="AA12" s="457"/>
      <c r="AB12" s="456"/>
      <c r="AC12" s="457"/>
      <c r="AD12" s="456"/>
      <c r="AE12" s="457"/>
      <c r="AF12" s="456"/>
      <c r="AG12" s="457"/>
      <c r="AH12" s="456"/>
      <c r="AI12" s="457"/>
      <c r="AJ12" s="456"/>
      <c r="AK12" s="457"/>
      <c r="AL12" s="456"/>
      <c r="AM12" s="457"/>
      <c r="AN12" s="456"/>
      <c r="AO12" s="457"/>
      <c r="AP12" s="456"/>
      <c r="AQ12" s="457"/>
      <c r="AR12" s="456"/>
      <c r="AS12" s="457"/>
      <c r="AT12" s="93"/>
    </row>
    <row r="13" spans="2:46" ht="18" customHeight="1" thickBot="1" x14ac:dyDescent="0.35">
      <c r="B13" s="667"/>
      <c r="C13" s="669">
        <f>'Plot Data'!J64</f>
        <v>141.23727272727274</v>
      </c>
      <c r="D13" s="5"/>
      <c r="E13" s="6"/>
      <c r="F13" s="461"/>
      <c r="G13" s="462"/>
      <c r="H13" s="461"/>
      <c r="I13" s="462"/>
      <c r="J13" s="461"/>
      <c r="K13" s="462"/>
      <c r="L13" s="461"/>
      <c r="M13" s="462"/>
      <c r="N13" s="461"/>
      <c r="O13" s="462"/>
      <c r="P13" s="461"/>
      <c r="Q13" s="462"/>
      <c r="R13" s="461"/>
      <c r="S13" s="462"/>
      <c r="T13" s="461"/>
      <c r="U13" s="462"/>
      <c r="V13" s="461"/>
      <c r="W13" s="462"/>
      <c r="X13" s="461"/>
      <c r="Y13" s="462"/>
      <c r="Z13" s="461"/>
      <c r="AA13" s="462"/>
      <c r="AB13" s="461"/>
      <c r="AC13" s="462"/>
      <c r="AD13" s="461"/>
      <c r="AE13" s="462"/>
      <c r="AF13" s="461"/>
      <c r="AG13" s="462"/>
      <c r="AH13" s="461"/>
      <c r="AI13" s="462"/>
      <c r="AJ13" s="461"/>
      <c r="AK13" s="462"/>
      <c r="AL13" s="461"/>
      <c r="AM13" s="462"/>
      <c r="AN13" s="461"/>
      <c r="AO13" s="462"/>
      <c r="AP13" s="461"/>
      <c r="AQ13" s="462"/>
      <c r="AR13" s="461"/>
      <c r="AS13" s="462"/>
      <c r="AT13" s="463" t="s">
        <v>48</v>
      </c>
    </row>
    <row r="14" spans="2:46" ht="18" customHeight="1" thickTop="1" x14ac:dyDescent="0.3">
      <c r="B14" s="667"/>
      <c r="C14" s="669"/>
      <c r="D14" s="7"/>
      <c r="E14" s="8"/>
      <c r="F14" s="459"/>
      <c r="G14" s="460"/>
      <c r="H14" s="459"/>
      <c r="I14" s="460"/>
      <c r="J14" s="459"/>
      <c r="K14" s="460"/>
      <c r="L14" s="459"/>
      <c r="M14" s="460"/>
      <c r="N14" s="459"/>
      <c r="O14" s="460"/>
      <c r="P14" s="459"/>
      <c r="Q14" s="460"/>
      <c r="R14" s="459"/>
      <c r="S14" s="460"/>
      <c r="T14" s="459"/>
      <c r="U14" s="460"/>
      <c r="V14" s="459"/>
      <c r="W14" s="460"/>
      <c r="X14" s="459"/>
      <c r="Y14" s="460"/>
      <c r="Z14" s="459"/>
      <c r="AA14" s="460"/>
      <c r="AB14" s="459"/>
      <c r="AC14" s="460"/>
      <c r="AD14" s="459"/>
      <c r="AE14" s="460"/>
      <c r="AF14" s="459"/>
      <c r="AG14" s="460"/>
      <c r="AH14" s="459"/>
      <c r="AI14" s="460"/>
      <c r="AJ14" s="459"/>
      <c r="AK14" s="460"/>
      <c r="AL14" s="459"/>
      <c r="AM14" s="460"/>
      <c r="AN14" s="459"/>
      <c r="AO14" s="460"/>
      <c r="AP14" s="459"/>
      <c r="AQ14" s="460"/>
      <c r="AR14" s="459"/>
      <c r="AS14" s="460"/>
      <c r="AT14" s="464"/>
    </row>
    <row r="15" spans="2:46" ht="18" customHeight="1" x14ac:dyDescent="0.6">
      <c r="B15" s="667"/>
      <c r="C15" s="669">
        <f>C19+(C13-C19)/2</f>
        <v>138.48727272727274</v>
      </c>
      <c r="D15" s="13"/>
      <c r="E15" s="8"/>
      <c r="F15" s="459"/>
      <c r="G15" s="460"/>
      <c r="H15" s="459"/>
      <c r="I15" s="460"/>
      <c r="J15" s="459"/>
      <c r="K15" s="460"/>
      <c r="L15" s="459"/>
      <c r="M15" s="460"/>
      <c r="N15" s="459"/>
      <c r="O15" s="460"/>
      <c r="P15" s="459"/>
      <c r="Q15" s="460"/>
      <c r="R15" s="459"/>
      <c r="S15" s="460"/>
      <c r="T15" s="459"/>
      <c r="U15" s="460"/>
      <c r="V15" s="459"/>
      <c r="W15" s="460"/>
      <c r="X15" s="459"/>
      <c r="Y15" s="460"/>
      <c r="Z15" s="459"/>
      <c r="AA15" s="460"/>
      <c r="AB15" s="459"/>
      <c r="AC15" s="460"/>
      <c r="AD15" s="459"/>
      <c r="AE15" s="460"/>
      <c r="AF15" s="459"/>
      <c r="AG15" s="460"/>
      <c r="AH15" s="459"/>
      <c r="AI15" s="460"/>
      <c r="AJ15" s="459"/>
      <c r="AK15" s="460"/>
      <c r="AL15" s="459"/>
      <c r="AM15" s="460"/>
      <c r="AN15" s="459"/>
      <c r="AO15" s="460"/>
      <c r="AP15" s="459"/>
      <c r="AQ15" s="460"/>
      <c r="AR15" s="459"/>
      <c r="AS15" s="460"/>
      <c r="AT15" s="94"/>
    </row>
    <row r="16" spans="2:46" ht="18" customHeight="1" x14ac:dyDescent="0.6">
      <c r="B16" s="667"/>
      <c r="C16" s="669"/>
      <c r="D16" s="3"/>
      <c r="E16" s="8"/>
      <c r="F16" s="459"/>
      <c r="G16" s="460"/>
      <c r="H16" s="459"/>
      <c r="I16" s="460"/>
      <c r="J16" s="459"/>
      <c r="K16" s="460"/>
      <c r="L16" s="459"/>
      <c r="M16" s="460"/>
      <c r="N16" s="459"/>
      <c r="O16" s="460"/>
      <c r="P16" s="459"/>
      <c r="Q16" s="460"/>
      <c r="R16" s="459"/>
      <c r="S16" s="460"/>
      <c r="T16" s="459"/>
      <c r="U16" s="460"/>
      <c r="V16" s="459"/>
      <c r="W16" s="460"/>
      <c r="X16" s="459"/>
      <c r="Y16" s="460"/>
      <c r="Z16" s="459"/>
      <c r="AA16" s="460"/>
      <c r="AB16" s="459"/>
      <c r="AC16" s="460"/>
      <c r="AD16" s="459"/>
      <c r="AE16" s="460"/>
      <c r="AF16" s="459"/>
      <c r="AG16" s="460"/>
      <c r="AH16" s="459"/>
      <c r="AI16" s="460"/>
      <c r="AJ16" s="459"/>
      <c r="AK16" s="460"/>
      <c r="AL16" s="459"/>
      <c r="AM16" s="460"/>
      <c r="AN16" s="459"/>
      <c r="AO16" s="460"/>
      <c r="AP16" s="459"/>
      <c r="AQ16" s="460"/>
      <c r="AR16" s="459"/>
      <c r="AS16" s="460"/>
      <c r="AT16" s="94"/>
    </row>
    <row r="17" spans="2:46" ht="18" customHeight="1" x14ac:dyDescent="0.6">
      <c r="B17" s="667"/>
      <c r="C17" s="669"/>
      <c r="D17" s="3"/>
      <c r="E17" s="8"/>
      <c r="F17" s="459"/>
      <c r="G17" s="460"/>
      <c r="H17" s="459"/>
      <c r="I17" s="460"/>
      <c r="J17" s="459"/>
      <c r="K17" s="460"/>
      <c r="L17" s="459"/>
      <c r="M17" s="460"/>
      <c r="N17" s="459"/>
      <c r="O17" s="460"/>
      <c r="P17" s="459"/>
      <c r="Q17" s="460"/>
      <c r="R17" s="459"/>
      <c r="S17" s="460"/>
      <c r="T17" s="459"/>
      <c r="U17" s="460"/>
      <c r="V17" s="459"/>
      <c r="W17" s="460"/>
      <c r="X17" s="459"/>
      <c r="Y17" s="460"/>
      <c r="Z17" s="459"/>
      <c r="AA17" s="460"/>
      <c r="AB17" s="459"/>
      <c r="AC17" s="460"/>
      <c r="AD17" s="459"/>
      <c r="AE17" s="460"/>
      <c r="AF17" s="459"/>
      <c r="AG17" s="460"/>
      <c r="AH17" s="459"/>
      <c r="AI17" s="460"/>
      <c r="AJ17" s="459"/>
      <c r="AK17" s="460"/>
      <c r="AL17" s="459"/>
      <c r="AM17" s="460"/>
      <c r="AN17" s="459"/>
      <c r="AO17" s="460"/>
      <c r="AP17" s="459"/>
      <c r="AQ17" s="460"/>
      <c r="AR17" s="459"/>
      <c r="AS17" s="460"/>
      <c r="AT17" s="94"/>
    </row>
    <row r="18" spans="2:46" ht="18" customHeight="1" x14ac:dyDescent="0.6">
      <c r="B18" s="667"/>
      <c r="C18" s="669"/>
      <c r="D18" s="7"/>
      <c r="E18" s="8"/>
      <c r="F18" s="459"/>
      <c r="G18" s="460"/>
      <c r="H18" s="459"/>
      <c r="I18" s="460"/>
      <c r="J18" s="459"/>
      <c r="K18" s="460"/>
      <c r="L18" s="459"/>
      <c r="M18" s="460"/>
      <c r="N18" s="459"/>
      <c r="O18" s="460"/>
      <c r="P18" s="459"/>
      <c r="Q18" s="460"/>
      <c r="R18" s="459"/>
      <c r="S18" s="460"/>
      <c r="T18" s="459"/>
      <c r="U18" s="460"/>
      <c r="V18" s="459"/>
      <c r="W18" s="460"/>
      <c r="X18" s="459"/>
      <c r="Y18" s="460"/>
      <c r="Z18" s="459"/>
      <c r="AA18" s="460"/>
      <c r="AB18" s="459"/>
      <c r="AC18" s="460"/>
      <c r="AD18" s="459"/>
      <c r="AE18" s="460"/>
      <c r="AF18" s="459"/>
      <c r="AG18" s="460"/>
      <c r="AH18" s="459"/>
      <c r="AI18" s="460"/>
      <c r="AJ18" s="459"/>
      <c r="AK18" s="460"/>
      <c r="AL18" s="459"/>
      <c r="AM18" s="460"/>
      <c r="AN18" s="459"/>
      <c r="AO18" s="460"/>
      <c r="AP18" s="459"/>
      <c r="AQ18" s="460"/>
      <c r="AR18" s="459"/>
      <c r="AS18" s="460"/>
      <c r="AT18" s="94"/>
    </row>
    <row r="19" spans="2:46" ht="18" customHeight="1" thickBot="1" x14ac:dyDescent="0.35">
      <c r="B19" s="667"/>
      <c r="C19" s="669">
        <f>'Plot Data'!J62</f>
        <v>135.73727272727274</v>
      </c>
      <c r="D19" s="9"/>
      <c r="E19" s="10"/>
      <c r="F19" s="11"/>
      <c r="G19" s="12"/>
      <c r="H19" s="11"/>
      <c r="I19" s="12"/>
      <c r="J19" s="11"/>
      <c r="K19" s="12"/>
      <c r="L19" s="11"/>
      <c r="M19" s="12"/>
      <c r="N19" s="11"/>
      <c r="O19" s="12"/>
      <c r="P19" s="11"/>
      <c r="Q19" s="12"/>
      <c r="R19" s="11"/>
      <c r="S19" s="12"/>
      <c r="T19" s="11"/>
      <c r="U19" s="12"/>
      <c r="V19" s="11"/>
      <c r="W19" s="12"/>
      <c r="X19" s="11"/>
      <c r="Y19" s="12"/>
      <c r="Z19" s="11"/>
      <c r="AA19" s="12"/>
      <c r="AB19" s="11"/>
      <c r="AC19" s="12"/>
      <c r="AD19" s="11"/>
      <c r="AE19" s="12"/>
      <c r="AF19" s="11"/>
      <c r="AG19" s="12"/>
      <c r="AH19" s="11"/>
      <c r="AI19" s="12"/>
      <c r="AJ19" s="11"/>
      <c r="AK19" s="12"/>
      <c r="AL19" s="11"/>
      <c r="AM19" s="12"/>
      <c r="AN19" s="11"/>
      <c r="AO19" s="12"/>
      <c r="AP19" s="11"/>
      <c r="AQ19" s="12"/>
      <c r="AR19" s="11"/>
      <c r="AS19" s="12"/>
      <c r="AT19" s="463" t="s">
        <v>47</v>
      </c>
    </row>
    <row r="20" spans="2:46" ht="18" customHeight="1" x14ac:dyDescent="0.3">
      <c r="B20" s="667"/>
      <c r="C20" s="669"/>
      <c r="D20" s="7"/>
      <c r="E20" s="8"/>
      <c r="F20" s="459"/>
      <c r="G20" s="460"/>
      <c r="H20" s="459"/>
      <c r="I20" s="460"/>
      <c r="J20" s="459"/>
      <c r="K20" s="460"/>
      <c r="L20" s="459"/>
      <c r="M20" s="460"/>
      <c r="N20" s="459"/>
      <c r="O20" s="460"/>
      <c r="P20" s="459"/>
      <c r="Q20" s="460"/>
      <c r="R20" s="459"/>
      <c r="S20" s="460"/>
      <c r="T20" s="459"/>
      <c r="U20" s="460"/>
      <c r="V20" s="459"/>
      <c r="W20" s="460"/>
      <c r="X20" s="459"/>
      <c r="Y20" s="460"/>
      <c r="Z20" s="459"/>
      <c r="AA20" s="460"/>
      <c r="AB20" s="459"/>
      <c r="AC20" s="460"/>
      <c r="AD20" s="459"/>
      <c r="AE20" s="460"/>
      <c r="AF20" s="459"/>
      <c r="AG20" s="460"/>
      <c r="AH20" s="459"/>
      <c r="AI20" s="460"/>
      <c r="AJ20" s="459"/>
      <c r="AK20" s="460"/>
      <c r="AL20" s="459"/>
      <c r="AM20" s="460"/>
      <c r="AN20" s="459"/>
      <c r="AO20" s="460"/>
      <c r="AP20" s="459"/>
      <c r="AQ20" s="460"/>
      <c r="AR20" s="459"/>
      <c r="AS20" s="460"/>
      <c r="AT20" s="464"/>
    </row>
    <row r="21" spans="2:46" ht="18" customHeight="1" x14ac:dyDescent="0.6">
      <c r="B21" s="667"/>
      <c r="C21" s="669">
        <f>C25+(C19-C25)/2</f>
        <v>132.98727272727274</v>
      </c>
      <c r="D21" s="13"/>
      <c r="E21" s="8"/>
      <c r="F21" s="459"/>
      <c r="G21" s="460"/>
      <c r="H21" s="459"/>
      <c r="I21" s="460"/>
      <c r="J21" s="459"/>
      <c r="K21" s="460"/>
      <c r="L21" s="459"/>
      <c r="M21" s="460"/>
      <c r="N21" s="459"/>
      <c r="O21" s="460"/>
      <c r="P21" s="459"/>
      <c r="Q21" s="460"/>
      <c r="R21" s="459"/>
      <c r="S21" s="460"/>
      <c r="T21" s="459"/>
      <c r="U21" s="460"/>
      <c r="V21" s="459"/>
      <c r="W21" s="460"/>
      <c r="X21" s="459"/>
      <c r="Y21" s="460"/>
      <c r="Z21" s="459"/>
      <c r="AA21" s="460"/>
      <c r="AB21" s="459"/>
      <c r="AC21" s="460"/>
      <c r="AD21" s="459"/>
      <c r="AE21" s="460"/>
      <c r="AF21" s="459"/>
      <c r="AG21" s="460"/>
      <c r="AH21" s="459"/>
      <c r="AI21" s="460"/>
      <c r="AJ21" s="459"/>
      <c r="AK21" s="460"/>
      <c r="AL21" s="459"/>
      <c r="AM21" s="460"/>
      <c r="AN21" s="459"/>
      <c r="AO21" s="460"/>
      <c r="AP21" s="459"/>
      <c r="AQ21" s="460"/>
      <c r="AR21" s="459"/>
      <c r="AS21" s="460"/>
      <c r="AT21" s="94"/>
    </row>
    <row r="22" spans="2:46" ht="18" customHeight="1" x14ac:dyDescent="0.6">
      <c r="B22" s="667"/>
      <c r="C22" s="669"/>
      <c r="D22" s="3"/>
      <c r="E22" s="8"/>
      <c r="F22" s="459"/>
      <c r="G22" s="460"/>
      <c r="H22" s="459"/>
      <c r="I22" s="460"/>
      <c r="J22" s="459"/>
      <c r="K22" s="460"/>
      <c r="L22" s="459"/>
      <c r="M22" s="460"/>
      <c r="N22" s="459"/>
      <c r="O22" s="460"/>
      <c r="P22" s="459"/>
      <c r="Q22" s="460"/>
      <c r="R22" s="459"/>
      <c r="S22" s="460"/>
      <c r="T22" s="459"/>
      <c r="U22" s="460"/>
      <c r="V22" s="459"/>
      <c r="W22" s="460"/>
      <c r="X22" s="459"/>
      <c r="Y22" s="460"/>
      <c r="Z22" s="459"/>
      <c r="AA22" s="460"/>
      <c r="AB22" s="459"/>
      <c r="AC22" s="460"/>
      <c r="AD22" s="459"/>
      <c r="AE22" s="460"/>
      <c r="AF22" s="459"/>
      <c r="AG22" s="460"/>
      <c r="AH22" s="459"/>
      <c r="AI22" s="460"/>
      <c r="AJ22" s="459"/>
      <c r="AK22" s="460"/>
      <c r="AL22" s="459"/>
      <c r="AM22" s="460"/>
      <c r="AN22" s="459"/>
      <c r="AO22" s="460"/>
      <c r="AP22" s="459"/>
      <c r="AQ22" s="460"/>
      <c r="AR22" s="459"/>
      <c r="AS22" s="460"/>
      <c r="AT22" s="94"/>
    </row>
    <row r="23" spans="2:46" ht="18" customHeight="1" x14ac:dyDescent="0.6">
      <c r="B23" s="667"/>
      <c r="C23" s="669"/>
      <c r="D23" s="3"/>
      <c r="E23" s="8"/>
      <c r="F23" s="459"/>
      <c r="G23" s="460"/>
      <c r="H23" s="459"/>
      <c r="I23" s="460"/>
      <c r="J23" s="459"/>
      <c r="K23" s="460"/>
      <c r="L23" s="459"/>
      <c r="M23" s="460"/>
      <c r="N23" s="459"/>
      <c r="O23" s="460"/>
      <c r="P23" s="459"/>
      <c r="Q23" s="460"/>
      <c r="R23" s="459"/>
      <c r="S23" s="460"/>
      <c r="T23" s="459"/>
      <c r="U23" s="460"/>
      <c r="V23" s="459"/>
      <c r="W23" s="460"/>
      <c r="X23" s="459"/>
      <c r="Y23" s="460"/>
      <c r="Z23" s="459"/>
      <c r="AA23" s="460"/>
      <c r="AB23" s="459"/>
      <c r="AC23" s="460"/>
      <c r="AD23" s="459"/>
      <c r="AE23" s="460"/>
      <c r="AF23" s="459"/>
      <c r="AG23" s="460"/>
      <c r="AH23" s="459"/>
      <c r="AI23" s="460"/>
      <c r="AJ23" s="459"/>
      <c r="AK23" s="460"/>
      <c r="AL23" s="459"/>
      <c r="AM23" s="460"/>
      <c r="AN23" s="459"/>
      <c r="AO23" s="460"/>
      <c r="AP23" s="459"/>
      <c r="AQ23" s="460"/>
      <c r="AR23" s="459"/>
      <c r="AS23" s="460"/>
      <c r="AT23" s="94"/>
    </row>
    <row r="24" spans="2:46" ht="18" customHeight="1" x14ac:dyDescent="0.6">
      <c r="B24" s="667"/>
      <c r="C24" s="669"/>
      <c r="D24" s="7"/>
      <c r="E24" s="8"/>
      <c r="F24" s="459"/>
      <c r="G24" s="460"/>
      <c r="H24" s="459"/>
      <c r="I24" s="460"/>
      <c r="J24" s="459"/>
      <c r="K24" s="460"/>
      <c r="L24" s="459"/>
      <c r="M24" s="460"/>
      <c r="N24" s="459"/>
      <c r="O24" s="460"/>
      <c r="P24" s="459"/>
      <c r="Q24" s="460"/>
      <c r="R24" s="459"/>
      <c r="S24" s="460"/>
      <c r="T24" s="459"/>
      <c r="U24" s="460"/>
      <c r="V24" s="459"/>
      <c r="W24" s="460"/>
      <c r="X24" s="459"/>
      <c r="Y24" s="460"/>
      <c r="Z24" s="459"/>
      <c r="AA24" s="460"/>
      <c r="AB24" s="459"/>
      <c r="AC24" s="460"/>
      <c r="AD24" s="459"/>
      <c r="AE24" s="460"/>
      <c r="AF24" s="459"/>
      <c r="AG24" s="460"/>
      <c r="AH24" s="459"/>
      <c r="AI24" s="460"/>
      <c r="AJ24" s="459"/>
      <c r="AK24" s="460"/>
      <c r="AL24" s="459"/>
      <c r="AM24" s="460"/>
      <c r="AN24" s="459"/>
      <c r="AO24" s="460"/>
      <c r="AP24" s="459"/>
      <c r="AQ24" s="460"/>
      <c r="AR24" s="459"/>
      <c r="AS24" s="460"/>
      <c r="AT24" s="94"/>
    </row>
    <row r="25" spans="2:46" ht="18" customHeight="1" x14ac:dyDescent="0.6">
      <c r="B25" s="667"/>
      <c r="C25" s="669">
        <f>'Plot Data'!J63</f>
        <v>130.23727272727274</v>
      </c>
      <c r="D25" s="13"/>
      <c r="E25" s="8"/>
      <c r="F25" s="459"/>
      <c r="G25" s="460"/>
      <c r="H25" s="459"/>
      <c r="I25" s="460"/>
      <c r="J25" s="459"/>
      <c r="K25" s="460"/>
      <c r="L25" s="459"/>
      <c r="M25" s="460"/>
      <c r="N25" s="459"/>
      <c r="O25" s="460"/>
      <c r="P25" s="459"/>
      <c r="Q25" s="460"/>
      <c r="R25" s="459"/>
      <c r="S25" s="460"/>
      <c r="T25" s="459"/>
      <c r="U25" s="460"/>
      <c r="V25" s="459"/>
      <c r="W25" s="460"/>
      <c r="X25" s="459"/>
      <c r="Y25" s="460"/>
      <c r="Z25" s="459"/>
      <c r="AA25" s="460"/>
      <c r="AB25" s="459"/>
      <c r="AC25" s="460"/>
      <c r="AD25" s="459"/>
      <c r="AE25" s="460"/>
      <c r="AF25" s="459"/>
      <c r="AG25" s="460"/>
      <c r="AH25" s="459"/>
      <c r="AI25" s="460"/>
      <c r="AJ25" s="459"/>
      <c r="AK25" s="460"/>
      <c r="AL25" s="459"/>
      <c r="AM25" s="460"/>
      <c r="AN25" s="459"/>
      <c r="AO25" s="460"/>
      <c r="AP25" s="459"/>
      <c r="AQ25" s="460"/>
      <c r="AR25" s="459"/>
      <c r="AS25" s="460"/>
      <c r="AT25" s="94"/>
    </row>
    <row r="26" spans="2:46" ht="18" customHeight="1" x14ac:dyDescent="0.6">
      <c r="B26" s="667"/>
      <c r="C26" s="669"/>
      <c r="D26" s="7"/>
      <c r="E26" s="8"/>
      <c r="F26" s="459"/>
      <c r="G26" s="460"/>
      <c r="H26" s="459"/>
      <c r="I26" s="460"/>
      <c r="J26" s="459"/>
      <c r="K26" s="460"/>
      <c r="L26" s="459"/>
      <c r="M26" s="460"/>
      <c r="N26" s="459"/>
      <c r="O26" s="460"/>
      <c r="P26" s="459"/>
      <c r="Q26" s="460"/>
      <c r="R26" s="459"/>
      <c r="S26" s="460"/>
      <c r="T26" s="459"/>
      <c r="U26" s="460"/>
      <c r="V26" s="459"/>
      <c r="W26" s="460"/>
      <c r="X26" s="459"/>
      <c r="Y26" s="460"/>
      <c r="Z26" s="459"/>
      <c r="AA26" s="460"/>
      <c r="AB26" s="459"/>
      <c r="AC26" s="460"/>
      <c r="AD26" s="459"/>
      <c r="AE26" s="460"/>
      <c r="AF26" s="459"/>
      <c r="AG26" s="460"/>
      <c r="AH26" s="459"/>
      <c r="AI26" s="460"/>
      <c r="AJ26" s="459"/>
      <c r="AK26" s="460"/>
      <c r="AL26" s="459"/>
      <c r="AM26" s="460"/>
      <c r="AN26" s="459"/>
      <c r="AO26" s="460"/>
      <c r="AP26" s="459"/>
      <c r="AQ26" s="460"/>
      <c r="AR26" s="459"/>
      <c r="AS26" s="460"/>
      <c r="AT26" s="94"/>
    </row>
    <row r="27" spans="2:46" ht="18" customHeight="1" x14ac:dyDescent="0.6">
      <c r="B27" s="667"/>
      <c r="C27" s="669">
        <f>C31+(C25-C31)/2</f>
        <v>127.48727272727274</v>
      </c>
      <c r="D27" s="13"/>
      <c r="E27" s="8"/>
      <c r="F27" s="459"/>
      <c r="G27" s="460"/>
      <c r="H27" s="459"/>
      <c r="I27" s="460"/>
      <c r="J27" s="459"/>
      <c r="K27" s="460"/>
      <c r="L27" s="459"/>
      <c r="M27" s="460"/>
      <c r="N27" s="459"/>
      <c r="O27" s="460"/>
      <c r="P27" s="459"/>
      <c r="Q27" s="460"/>
      <c r="R27" s="459"/>
      <c r="S27" s="460"/>
      <c r="T27" s="459"/>
      <c r="U27" s="460"/>
      <c r="V27" s="459"/>
      <c r="W27" s="460"/>
      <c r="X27" s="459"/>
      <c r="Y27" s="460"/>
      <c r="Z27" s="459"/>
      <c r="AA27" s="460"/>
      <c r="AB27" s="459"/>
      <c r="AC27" s="460"/>
      <c r="AD27" s="459"/>
      <c r="AE27" s="460"/>
      <c r="AF27" s="459"/>
      <c r="AG27" s="460"/>
      <c r="AH27" s="459"/>
      <c r="AI27" s="460"/>
      <c r="AJ27" s="459"/>
      <c r="AK27" s="460"/>
      <c r="AL27" s="459"/>
      <c r="AM27" s="460"/>
      <c r="AN27" s="459"/>
      <c r="AO27" s="460"/>
      <c r="AP27" s="459"/>
      <c r="AQ27" s="460"/>
      <c r="AR27" s="459"/>
      <c r="AS27" s="460"/>
      <c r="AT27" s="94"/>
    </row>
    <row r="28" spans="2:46" ht="18" customHeight="1" x14ac:dyDescent="0.6">
      <c r="B28" s="667"/>
      <c r="C28" s="669"/>
      <c r="D28" s="3"/>
      <c r="E28" s="8"/>
      <c r="F28" s="459"/>
      <c r="G28" s="460"/>
      <c r="H28" s="459"/>
      <c r="I28" s="460"/>
      <c r="J28" s="459"/>
      <c r="K28" s="460"/>
      <c r="L28" s="459"/>
      <c r="M28" s="460"/>
      <c r="N28" s="459"/>
      <c r="O28" s="460"/>
      <c r="P28" s="459"/>
      <c r="Q28" s="460"/>
      <c r="R28" s="459"/>
      <c r="S28" s="460"/>
      <c r="T28" s="459"/>
      <c r="U28" s="460"/>
      <c r="V28" s="459"/>
      <c r="W28" s="460"/>
      <c r="X28" s="459"/>
      <c r="Y28" s="460"/>
      <c r="Z28" s="459"/>
      <c r="AA28" s="460"/>
      <c r="AB28" s="459"/>
      <c r="AC28" s="460"/>
      <c r="AD28" s="459"/>
      <c r="AE28" s="460"/>
      <c r="AF28" s="459"/>
      <c r="AG28" s="460"/>
      <c r="AH28" s="459"/>
      <c r="AI28" s="460"/>
      <c r="AJ28" s="459"/>
      <c r="AK28" s="460"/>
      <c r="AL28" s="459"/>
      <c r="AM28" s="460"/>
      <c r="AN28" s="459"/>
      <c r="AO28" s="460"/>
      <c r="AP28" s="459"/>
      <c r="AQ28" s="460"/>
      <c r="AR28" s="459"/>
      <c r="AS28" s="460"/>
      <c r="AT28" s="94"/>
    </row>
    <row r="29" spans="2:46" ht="18" customHeight="1" x14ac:dyDescent="0.6">
      <c r="B29" s="667"/>
      <c r="C29" s="669"/>
      <c r="D29" s="3"/>
      <c r="E29" s="8"/>
      <c r="F29" s="459"/>
      <c r="G29" s="460"/>
      <c r="H29" s="459"/>
      <c r="I29" s="460"/>
      <c r="J29" s="459"/>
      <c r="K29" s="460"/>
      <c r="L29" s="459"/>
      <c r="M29" s="460"/>
      <c r="N29" s="459"/>
      <c r="O29" s="460"/>
      <c r="P29" s="459"/>
      <c r="Q29" s="460"/>
      <c r="R29" s="459"/>
      <c r="S29" s="460"/>
      <c r="T29" s="459"/>
      <c r="U29" s="460"/>
      <c r="V29" s="459"/>
      <c r="W29" s="460"/>
      <c r="X29" s="459"/>
      <c r="Y29" s="460"/>
      <c r="Z29" s="459"/>
      <c r="AA29" s="460"/>
      <c r="AB29" s="459"/>
      <c r="AC29" s="460"/>
      <c r="AD29" s="459"/>
      <c r="AE29" s="460"/>
      <c r="AF29" s="459"/>
      <c r="AG29" s="460"/>
      <c r="AH29" s="459"/>
      <c r="AI29" s="460"/>
      <c r="AJ29" s="459"/>
      <c r="AK29" s="460"/>
      <c r="AL29" s="459"/>
      <c r="AM29" s="460"/>
      <c r="AN29" s="459"/>
      <c r="AO29" s="460"/>
      <c r="AP29" s="459"/>
      <c r="AQ29" s="460"/>
      <c r="AR29" s="459"/>
      <c r="AS29" s="460"/>
      <c r="AT29" s="94"/>
    </row>
    <row r="30" spans="2:46" ht="18" customHeight="1" x14ac:dyDescent="0.6">
      <c r="B30" s="667"/>
      <c r="C30" s="669"/>
      <c r="D30" s="7"/>
      <c r="E30" s="8"/>
      <c r="F30" s="459"/>
      <c r="G30" s="460"/>
      <c r="H30" s="459"/>
      <c r="I30" s="460"/>
      <c r="J30" s="459"/>
      <c r="K30" s="460"/>
      <c r="L30" s="459"/>
      <c r="M30" s="460"/>
      <c r="N30" s="459"/>
      <c r="O30" s="460"/>
      <c r="P30" s="459"/>
      <c r="Q30" s="460"/>
      <c r="R30" s="459"/>
      <c r="S30" s="460"/>
      <c r="T30" s="459"/>
      <c r="U30" s="460"/>
      <c r="V30" s="459"/>
      <c r="W30" s="460"/>
      <c r="X30" s="459"/>
      <c r="Y30" s="460"/>
      <c r="Z30" s="459"/>
      <c r="AA30" s="460"/>
      <c r="AB30" s="459"/>
      <c r="AC30" s="460"/>
      <c r="AD30" s="459"/>
      <c r="AE30" s="460"/>
      <c r="AF30" s="459"/>
      <c r="AG30" s="460"/>
      <c r="AH30" s="459"/>
      <c r="AI30" s="460"/>
      <c r="AJ30" s="459"/>
      <c r="AK30" s="460"/>
      <c r="AL30" s="459"/>
      <c r="AM30" s="460"/>
      <c r="AN30" s="459"/>
      <c r="AO30" s="460"/>
      <c r="AP30" s="459"/>
      <c r="AQ30" s="460"/>
      <c r="AR30" s="459"/>
      <c r="AS30" s="460"/>
      <c r="AT30" s="94"/>
    </row>
    <row r="31" spans="2:46" ht="18" customHeight="1" thickBot="1" x14ac:dyDescent="0.35">
      <c r="B31" s="667"/>
      <c r="C31" s="669">
        <f>'Plot Data'!J58</f>
        <v>124.73727272727274</v>
      </c>
      <c r="D31" s="14"/>
      <c r="E31" s="15"/>
      <c r="F31" s="465"/>
      <c r="G31" s="466"/>
      <c r="H31" s="465"/>
      <c r="I31" s="466"/>
      <c r="J31" s="465"/>
      <c r="K31" s="466"/>
      <c r="L31" s="465"/>
      <c r="M31" s="466"/>
      <c r="N31" s="465"/>
      <c r="O31" s="466"/>
      <c r="P31" s="465"/>
      <c r="Q31" s="466"/>
      <c r="R31" s="465"/>
      <c r="S31" s="466"/>
      <c r="T31" s="465"/>
      <c r="U31" s="466"/>
      <c r="V31" s="465"/>
      <c r="W31" s="466"/>
      <c r="X31" s="465"/>
      <c r="Y31" s="466"/>
      <c r="Z31" s="465"/>
      <c r="AA31" s="466"/>
      <c r="AB31" s="465"/>
      <c r="AC31" s="466"/>
      <c r="AD31" s="465"/>
      <c r="AE31" s="466"/>
      <c r="AF31" s="465"/>
      <c r="AG31" s="466"/>
      <c r="AH31" s="465"/>
      <c r="AI31" s="466"/>
      <c r="AJ31" s="465"/>
      <c r="AK31" s="466"/>
      <c r="AL31" s="465"/>
      <c r="AM31" s="466"/>
      <c r="AN31" s="465"/>
      <c r="AO31" s="466"/>
      <c r="AP31" s="465"/>
      <c r="AQ31" s="466"/>
      <c r="AR31" s="465"/>
      <c r="AS31" s="466"/>
      <c r="AT31" s="469" t="s">
        <v>90</v>
      </c>
    </row>
    <row r="32" spans="2:46" ht="18" customHeight="1" x14ac:dyDescent="0.3">
      <c r="B32" s="667"/>
      <c r="C32" s="669"/>
      <c r="D32" s="16"/>
      <c r="E32" s="17"/>
      <c r="F32" s="467"/>
      <c r="G32" s="468"/>
      <c r="H32" s="467"/>
      <c r="I32" s="468"/>
      <c r="J32" s="467"/>
      <c r="K32" s="468"/>
      <c r="L32" s="467"/>
      <c r="M32" s="468"/>
      <c r="N32" s="467"/>
      <c r="O32" s="468"/>
      <c r="P32" s="467"/>
      <c r="Q32" s="468"/>
      <c r="R32" s="467"/>
      <c r="S32" s="468"/>
      <c r="T32" s="467"/>
      <c r="U32" s="468"/>
      <c r="V32" s="467"/>
      <c r="W32" s="468"/>
      <c r="X32" s="467"/>
      <c r="Y32" s="468"/>
      <c r="Z32" s="467"/>
      <c r="AA32" s="468"/>
      <c r="AB32" s="467"/>
      <c r="AC32" s="468"/>
      <c r="AD32" s="467"/>
      <c r="AE32" s="468"/>
      <c r="AF32" s="467"/>
      <c r="AG32" s="468"/>
      <c r="AH32" s="467"/>
      <c r="AI32" s="468"/>
      <c r="AJ32" s="467"/>
      <c r="AK32" s="468"/>
      <c r="AL32" s="467"/>
      <c r="AM32" s="468"/>
      <c r="AN32" s="467"/>
      <c r="AO32" s="468"/>
      <c r="AP32" s="467"/>
      <c r="AQ32" s="468"/>
      <c r="AR32" s="467"/>
      <c r="AS32" s="468"/>
      <c r="AT32" s="464"/>
    </row>
    <row r="33" spans="2:46" ht="18" customHeight="1" x14ac:dyDescent="0.6">
      <c r="B33" s="667"/>
      <c r="C33" s="669">
        <f>C37+(C31-C37)/2</f>
        <v>121.98727272727274</v>
      </c>
      <c r="D33" s="13"/>
      <c r="E33" s="8"/>
      <c r="F33" s="459"/>
      <c r="G33" s="460"/>
      <c r="H33" s="459"/>
      <c r="I33" s="460"/>
      <c r="J33" s="459"/>
      <c r="K33" s="460"/>
      <c r="L33" s="459"/>
      <c r="M33" s="460"/>
      <c r="N33" s="459"/>
      <c r="O33" s="460"/>
      <c r="P33" s="459"/>
      <c r="Q33" s="460"/>
      <c r="R33" s="459"/>
      <c r="S33" s="460"/>
      <c r="T33" s="459"/>
      <c r="U33" s="460"/>
      <c r="V33" s="459"/>
      <c r="W33" s="460"/>
      <c r="X33" s="459"/>
      <c r="Y33" s="460"/>
      <c r="Z33" s="459"/>
      <c r="AA33" s="460"/>
      <c r="AB33" s="459"/>
      <c r="AC33" s="460"/>
      <c r="AD33" s="459"/>
      <c r="AE33" s="460"/>
      <c r="AF33" s="459"/>
      <c r="AG33" s="460"/>
      <c r="AH33" s="459"/>
      <c r="AI33" s="460"/>
      <c r="AJ33" s="459"/>
      <c r="AK33" s="460"/>
      <c r="AL33" s="459"/>
      <c r="AM33" s="460"/>
      <c r="AN33" s="459"/>
      <c r="AO33" s="460"/>
      <c r="AP33" s="459"/>
      <c r="AQ33" s="460"/>
      <c r="AR33" s="459"/>
      <c r="AS33" s="460"/>
      <c r="AT33" s="94"/>
    </row>
    <row r="34" spans="2:46" ht="18" customHeight="1" x14ac:dyDescent="0.6">
      <c r="B34" s="667"/>
      <c r="C34" s="669"/>
      <c r="D34" s="13"/>
      <c r="E34" s="8"/>
      <c r="F34" s="459"/>
      <c r="G34" s="460"/>
      <c r="H34" s="459"/>
      <c r="I34" s="460"/>
      <c r="J34" s="459"/>
      <c r="K34" s="460"/>
      <c r="L34" s="459"/>
      <c r="M34" s="460"/>
      <c r="N34" s="459"/>
      <c r="O34" s="460"/>
      <c r="P34" s="459"/>
      <c r="Q34" s="460"/>
      <c r="R34" s="459"/>
      <c r="S34" s="460"/>
      <c r="T34" s="459"/>
      <c r="U34" s="460"/>
      <c r="V34" s="459"/>
      <c r="W34" s="460"/>
      <c r="X34" s="459"/>
      <c r="Y34" s="460"/>
      <c r="Z34" s="459"/>
      <c r="AA34" s="460"/>
      <c r="AB34" s="459"/>
      <c r="AC34" s="460"/>
      <c r="AD34" s="459"/>
      <c r="AE34" s="460"/>
      <c r="AF34" s="459"/>
      <c r="AG34" s="460"/>
      <c r="AH34" s="459"/>
      <c r="AI34" s="460"/>
      <c r="AJ34" s="459"/>
      <c r="AK34" s="460"/>
      <c r="AL34" s="459"/>
      <c r="AM34" s="460"/>
      <c r="AN34" s="459"/>
      <c r="AO34" s="460"/>
      <c r="AP34" s="459"/>
      <c r="AQ34" s="460"/>
      <c r="AR34" s="459"/>
      <c r="AS34" s="460"/>
      <c r="AT34" s="94"/>
    </row>
    <row r="35" spans="2:46" ht="18" customHeight="1" x14ac:dyDescent="0.6">
      <c r="B35" s="667"/>
      <c r="C35" s="669"/>
      <c r="D35" s="13"/>
      <c r="E35" s="8"/>
      <c r="F35" s="459"/>
      <c r="G35" s="460"/>
      <c r="H35" s="459"/>
      <c r="I35" s="460"/>
      <c r="J35" s="459"/>
      <c r="K35" s="460"/>
      <c r="L35" s="459"/>
      <c r="M35" s="460"/>
      <c r="N35" s="459"/>
      <c r="O35" s="460"/>
      <c r="P35" s="459"/>
      <c r="Q35" s="460"/>
      <c r="R35" s="459"/>
      <c r="S35" s="460"/>
      <c r="T35" s="459"/>
      <c r="U35" s="460"/>
      <c r="V35" s="459"/>
      <c r="W35" s="460"/>
      <c r="X35" s="459"/>
      <c r="Y35" s="460"/>
      <c r="Z35" s="459"/>
      <c r="AA35" s="460"/>
      <c r="AB35" s="459"/>
      <c r="AC35" s="460"/>
      <c r="AD35" s="459"/>
      <c r="AE35" s="460"/>
      <c r="AF35" s="459"/>
      <c r="AG35" s="460"/>
      <c r="AH35" s="459"/>
      <c r="AI35" s="460"/>
      <c r="AJ35" s="459"/>
      <c r="AK35" s="460"/>
      <c r="AL35" s="459"/>
      <c r="AM35" s="460"/>
      <c r="AN35" s="459"/>
      <c r="AO35" s="460"/>
      <c r="AP35" s="459"/>
      <c r="AQ35" s="460"/>
      <c r="AR35" s="459"/>
      <c r="AS35" s="460"/>
      <c r="AT35" s="94"/>
    </row>
    <row r="36" spans="2:46" ht="18" customHeight="1" x14ac:dyDescent="0.6">
      <c r="B36" s="667"/>
      <c r="C36" s="669"/>
      <c r="D36" s="92"/>
      <c r="E36" s="8"/>
      <c r="F36" s="459"/>
      <c r="G36" s="460"/>
      <c r="H36" s="459"/>
      <c r="I36" s="460"/>
      <c r="J36" s="459"/>
      <c r="K36" s="460"/>
      <c r="L36" s="459"/>
      <c r="M36" s="460"/>
      <c r="N36" s="459"/>
      <c r="O36" s="460"/>
      <c r="P36" s="459"/>
      <c r="Q36" s="460"/>
      <c r="R36" s="459"/>
      <c r="S36" s="460"/>
      <c r="T36" s="459"/>
      <c r="U36" s="460"/>
      <c r="V36" s="459"/>
      <c r="W36" s="460"/>
      <c r="X36" s="459"/>
      <c r="Y36" s="460"/>
      <c r="Z36" s="459"/>
      <c r="AA36" s="460"/>
      <c r="AB36" s="459"/>
      <c r="AC36" s="460"/>
      <c r="AD36" s="459"/>
      <c r="AE36" s="460"/>
      <c r="AF36" s="459"/>
      <c r="AG36" s="460"/>
      <c r="AH36" s="459"/>
      <c r="AI36" s="460"/>
      <c r="AJ36" s="459"/>
      <c r="AK36" s="460"/>
      <c r="AL36" s="459"/>
      <c r="AM36" s="460"/>
      <c r="AN36" s="459"/>
      <c r="AO36" s="460"/>
      <c r="AP36" s="459"/>
      <c r="AQ36" s="460"/>
      <c r="AR36" s="459"/>
      <c r="AS36" s="460"/>
      <c r="AT36" s="94"/>
    </row>
    <row r="37" spans="2:46" ht="18" customHeight="1" x14ac:dyDescent="0.6">
      <c r="B37" s="667"/>
      <c r="C37" s="669">
        <f>'Plot Data'!J66</f>
        <v>119.23727272727274</v>
      </c>
      <c r="D37" s="13"/>
      <c r="E37" s="8"/>
      <c r="F37" s="470"/>
      <c r="G37" s="471"/>
      <c r="H37" s="459"/>
      <c r="I37" s="460"/>
      <c r="J37" s="459"/>
      <c r="K37" s="460"/>
      <c r="L37" s="459"/>
      <c r="M37" s="460"/>
      <c r="N37" s="459"/>
      <c r="O37" s="460"/>
      <c r="P37" s="459"/>
      <c r="Q37" s="460"/>
      <c r="R37" s="459"/>
      <c r="S37" s="460"/>
      <c r="T37" s="459"/>
      <c r="U37" s="460"/>
      <c r="V37" s="459"/>
      <c r="W37" s="460"/>
      <c r="X37" s="459"/>
      <c r="Y37" s="460"/>
      <c r="Z37" s="459"/>
      <c r="AA37" s="460"/>
      <c r="AB37" s="459"/>
      <c r="AC37" s="460"/>
      <c r="AD37" s="459"/>
      <c r="AE37" s="460"/>
      <c r="AF37" s="459"/>
      <c r="AG37" s="460"/>
      <c r="AH37" s="459"/>
      <c r="AI37" s="460"/>
      <c r="AJ37" s="459"/>
      <c r="AK37" s="460"/>
      <c r="AL37" s="459"/>
      <c r="AM37" s="460"/>
      <c r="AN37" s="459"/>
      <c r="AO37" s="460"/>
      <c r="AP37" s="459"/>
      <c r="AQ37" s="460"/>
      <c r="AR37" s="459"/>
      <c r="AS37" s="460"/>
      <c r="AT37" s="94"/>
    </row>
    <row r="38" spans="2:46" ht="18" customHeight="1" x14ac:dyDescent="0.6">
      <c r="B38" s="667"/>
      <c r="C38" s="669"/>
      <c r="D38" s="7"/>
      <c r="E38" s="8"/>
      <c r="F38" s="459"/>
      <c r="G38" s="460"/>
      <c r="H38" s="459"/>
      <c r="I38" s="460"/>
      <c r="J38" s="459"/>
      <c r="K38" s="460"/>
      <c r="L38" s="459"/>
      <c r="M38" s="460"/>
      <c r="N38" s="459"/>
      <c r="O38" s="460"/>
      <c r="P38" s="459"/>
      <c r="Q38" s="460"/>
      <c r="R38" s="459"/>
      <c r="S38" s="460"/>
      <c r="T38" s="459"/>
      <c r="U38" s="460"/>
      <c r="V38" s="459"/>
      <c r="W38" s="460"/>
      <c r="X38" s="459"/>
      <c r="Y38" s="460"/>
      <c r="Z38" s="459"/>
      <c r="AA38" s="460"/>
      <c r="AB38" s="459"/>
      <c r="AC38" s="460"/>
      <c r="AD38" s="459"/>
      <c r="AE38" s="460"/>
      <c r="AF38" s="459"/>
      <c r="AG38" s="460"/>
      <c r="AH38" s="459"/>
      <c r="AI38" s="460"/>
      <c r="AJ38" s="459"/>
      <c r="AK38" s="460"/>
      <c r="AL38" s="459"/>
      <c r="AM38" s="460"/>
      <c r="AN38" s="459"/>
      <c r="AO38" s="460"/>
      <c r="AP38" s="459"/>
      <c r="AQ38" s="460"/>
      <c r="AR38" s="459"/>
      <c r="AS38" s="460"/>
      <c r="AT38" s="94"/>
    </row>
    <row r="39" spans="2:46" ht="18" customHeight="1" x14ac:dyDescent="0.6">
      <c r="B39" s="667"/>
      <c r="C39" s="669">
        <f>C43+(C37-C43)/2</f>
        <v>116.48727272727274</v>
      </c>
      <c r="D39" s="13"/>
      <c r="E39" s="8"/>
      <c r="F39" s="459"/>
      <c r="G39" s="460"/>
      <c r="H39" s="459"/>
      <c r="I39" s="460"/>
      <c r="J39" s="459"/>
      <c r="K39" s="460"/>
      <c r="L39" s="459"/>
      <c r="M39" s="460"/>
      <c r="N39" s="459"/>
      <c r="O39" s="460"/>
      <c r="P39" s="459"/>
      <c r="Q39" s="460"/>
      <c r="R39" s="459"/>
      <c r="S39" s="460"/>
      <c r="T39" s="459"/>
      <c r="U39" s="460"/>
      <c r="V39" s="459"/>
      <c r="W39" s="460"/>
      <c r="X39" s="459"/>
      <c r="Y39" s="460"/>
      <c r="Z39" s="459"/>
      <c r="AA39" s="460"/>
      <c r="AB39" s="459"/>
      <c r="AC39" s="460"/>
      <c r="AD39" s="459"/>
      <c r="AE39" s="460"/>
      <c r="AF39" s="459"/>
      <c r="AG39" s="460"/>
      <c r="AH39" s="459"/>
      <c r="AI39" s="460"/>
      <c r="AJ39" s="459"/>
      <c r="AK39" s="460"/>
      <c r="AL39" s="459"/>
      <c r="AM39" s="460"/>
      <c r="AN39" s="459"/>
      <c r="AO39" s="460"/>
      <c r="AP39" s="459"/>
      <c r="AQ39" s="460"/>
      <c r="AR39" s="459"/>
      <c r="AS39" s="460"/>
      <c r="AT39" s="94"/>
    </row>
    <row r="40" spans="2:46" ht="18" customHeight="1" x14ac:dyDescent="0.6">
      <c r="B40" s="667"/>
      <c r="C40" s="669"/>
      <c r="D40" s="3"/>
      <c r="E40" s="8"/>
      <c r="F40" s="459"/>
      <c r="G40" s="460"/>
      <c r="H40" s="459"/>
      <c r="I40" s="460"/>
      <c r="J40" s="459"/>
      <c r="K40" s="460"/>
      <c r="L40" s="459"/>
      <c r="M40" s="460"/>
      <c r="N40" s="459"/>
      <c r="O40" s="460"/>
      <c r="P40" s="459"/>
      <c r="Q40" s="460"/>
      <c r="R40" s="459"/>
      <c r="S40" s="460"/>
      <c r="T40" s="459"/>
      <c r="U40" s="460"/>
      <c r="V40" s="459"/>
      <c r="W40" s="460"/>
      <c r="X40" s="459"/>
      <c r="Y40" s="460"/>
      <c r="Z40" s="459"/>
      <c r="AA40" s="460"/>
      <c r="AB40" s="459"/>
      <c r="AC40" s="460"/>
      <c r="AD40" s="459"/>
      <c r="AE40" s="460"/>
      <c r="AF40" s="459"/>
      <c r="AG40" s="460"/>
      <c r="AH40" s="459"/>
      <c r="AI40" s="460"/>
      <c r="AJ40" s="459"/>
      <c r="AK40" s="460"/>
      <c r="AL40" s="459"/>
      <c r="AM40" s="460"/>
      <c r="AN40" s="459"/>
      <c r="AO40" s="460"/>
      <c r="AP40" s="459"/>
      <c r="AQ40" s="460"/>
      <c r="AR40" s="459"/>
      <c r="AS40" s="460"/>
      <c r="AT40" s="94"/>
    </row>
    <row r="41" spans="2:46" ht="18" customHeight="1" x14ac:dyDescent="0.6">
      <c r="B41" s="667"/>
      <c r="C41" s="669"/>
      <c r="D41" s="3"/>
      <c r="E41" s="8"/>
      <c r="F41" s="459"/>
      <c r="G41" s="460"/>
      <c r="H41" s="459"/>
      <c r="I41" s="460"/>
      <c r="J41" s="459"/>
      <c r="K41" s="460"/>
      <c r="L41" s="459"/>
      <c r="M41" s="460"/>
      <c r="N41" s="459"/>
      <c r="O41" s="460"/>
      <c r="P41" s="459"/>
      <c r="Q41" s="460"/>
      <c r="R41" s="459"/>
      <c r="S41" s="460"/>
      <c r="T41" s="459"/>
      <c r="U41" s="460"/>
      <c r="V41" s="459"/>
      <c r="W41" s="460"/>
      <c r="X41" s="459"/>
      <c r="Y41" s="460"/>
      <c r="Z41" s="459"/>
      <c r="AA41" s="460"/>
      <c r="AB41" s="459"/>
      <c r="AC41" s="460"/>
      <c r="AD41" s="459"/>
      <c r="AE41" s="460"/>
      <c r="AF41" s="459"/>
      <c r="AG41" s="460"/>
      <c r="AH41" s="459"/>
      <c r="AI41" s="460"/>
      <c r="AJ41" s="459"/>
      <c r="AK41" s="460"/>
      <c r="AL41" s="459"/>
      <c r="AM41" s="460"/>
      <c r="AN41" s="459"/>
      <c r="AO41" s="460"/>
      <c r="AP41" s="459"/>
      <c r="AQ41" s="460"/>
      <c r="AR41" s="459"/>
      <c r="AS41" s="460"/>
      <c r="AT41" s="94"/>
    </row>
    <row r="42" spans="2:46" ht="18" customHeight="1" x14ac:dyDescent="0.6">
      <c r="B42" s="667"/>
      <c r="C42" s="669"/>
      <c r="D42" s="7"/>
      <c r="E42" s="8"/>
      <c r="F42" s="459"/>
      <c r="G42" s="460"/>
      <c r="H42" s="459"/>
      <c r="I42" s="460"/>
      <c r="J42" s="459"/>
      <c r="K42" s="460"/>
      <c r="L42" s="459"/>
      <c r="M42" s="460"/>
      <c r="N42" s="459"/>
      <c r="O42" s="460"/>
      <c r="P42" s="459"/>
      <c r="Q42" s="460"/>
      <c r="R42" s="459"/>
      <c r="S42" s="460"/>
      <c r="T42" s="459"/>
      <c r="U42" s="460"/>
      <c r="V42" s="459"/>
      <c r="W42" s="460"/>
      <c r="X42" s="459"/>
      <c r="Y42" s="460"/>
      <c r="Z42" s="459"/>
      <c r="AA42" s="460"/>
      <c r="AB42" s="459"/>
      <c r="AC42" s="460"/>
      <c r="AD42" s="459"/>
      <c r="AE42" s="460"/>
      <c r="AF42" s="459"/>
      <c r="AG42" s="460"/>
      <c r="AH42" s="459"/>
      <c r="AI42" s="460"/>
      <c r="AJ42" s="459"/>
      <c r="AK42" s="460"/>
      <c r="AL42" s="459"/>
      <c r="AM42" s="460"/>
      <c r="AN42" s="459"/>
      <c r="AO42" s="460"/>
      <c r="AP42" s="459"/>
      <c r="AQ42" s="460"/>
      <c r="AR42" s="459"/>
      <c r="AS42" s="460"/>
      <c r="AT42" s="94"/>
    </row>
    <row r="43" spans="2:46" ht="18" customHeight="1" thickBot="1" x14ac:dyDescent="0.35">
      <c r="B43" s="667"/>
      <c r="C43" s="669">
        <f>'Plot Data'!J65</f>
        <v>113.73727272727274</v>
      </c>
      <c r="D43" s="9"/>
      <c r="E43" s="10"/>
      <c r="F43" s="11"/>
      <c r="G43" s="12"/>
      <c r="H43" s="11"/>
      <c r="I43" s="12"/>
      <c r="J43" s="11"/>
      <c r="K43" s="12"/>
      <c r="L43" s="11"/>
      <c r="M43" s="12"/>
      <c r="N43" s="11"/>
      <c r="O43" s="12"/>
      <c r="P43" s="11"/>
      <c r="Q43" s="12"/>
      <c r="R43" s="11"/>
      <c r="S43" s="12"/>
      <c r="T43" s="11"/>
      <c r="U43" s="12"/>
      <c r="V43" s="11"/>
      <c r="W43" s="12"/>
      <c r="X43" s="11"/>
      <c r="Y43" s="12"/>
      <c r="Z43" s="11"/>
      <c r="AA43" s="12"/>
      <c r="AB43" s="11"/>
      <c r="AC43" s="12"/>
      <c r="AD43" s="11"/>
      <c r="AE43" s="12"/>
      <c r="AF43" s="11"/>
      <c r="AG43" s="12"/>
      <c r="AH43" s="11"/>
      <c r="AI43" s="12"/>
      <c r="AJ43" s="11"/>
      <c r="AK43" s="12"/>
      <c r="AL43" s="11"/>
      <c r="AM43" s="12"/>
      <c r="AN43" s="11"/>
      <c r="AO43" s="12"/>
      <c r="AP43" s="11"/>
      <c r="AQ43" s="12"/>
      <c r="AR43" s="11"/>
      <c r="AS43" s="12"/>
      <c r="AT43" s="463" t="s">
        <v>46</v>
      </c>
    </row>
    <row r="44" spans="2:46" ht="18" customHeight="1" x14ac:dyDescent="0.3">
      <c r="B44" s="667"/>
      <c r="C44" s="669"/>
      <c r="D44" s="7"/>
      <c r="E44" s="8"/>
      <c r="F44" s="459"/>
      <c r="G44" s="460"/>
      <c r="H44" s="459"/>
      <c r="I44" s="460"/>
      <c r="J44" s="459"/>
      <c r="K44" s="460"/>
      <c r="L44" s="459"/>
      <c r="M44" s="460"/>
      <c r="N44" s="459"/>
      <c r="O44" s="460"/>
      <c r="P44" s="459"/>
      <c r="Q44" s="460"/>
      <c r="R44" s="459"/>
      <c r="S44" s="460"/>
      <c r="T44" s="459"/>
      <c r="U44" s="460"/>
      <c r="V44" s="459"/>
      <c r="W44" s="460"/>
      <c r="X44" s="459"/>
      <c r="Y44" s="460"/>
      <c r="Z44" s="459"/>
      <c r="AA44" s="460"/>
      <c r="AB44" s="459"/>
      <c r="AC44" s="460"/>
      <c r="AD44" s="459"/>
      <c r="AE44" s="460"/>
      <c r="AF44" s="459"/>
      <c r="AG44" s="460"/>
      <c r="AH44" s="459"/>
      <c r="AI44" s="460"/>
      <c r="AJ44" s="459"/>
      <c r="AK44" s="460"/>
      <c r="AL44" s="459"/>
      <c r="AM44" s="460"/>
      <c r="AN44" s="459"/>
      <c r="AO44" s="460"/>
      <c r="AP44" s="459"/>
      <c r="AQ44" s="460"/>
      <c r="AR44" s="459"/>
      <c r="AS44" s="460"/>
      <c r="AT44" s="464"/>
    </row>
    <row r="45" spans="2:46" ht="18" customHeight="1" x14ac:dyDescent="0.6">
      <c r="B45" s="667"/>
      <c r="C45" s="669">
        <f>C49+(C43-C49)/2</f>
        <v>110.98727272727274</v>
      </c>
      <c r="D45" s="13"/>
      <c r="E45" s="8"/>
      <c r="F45" s="459"/>
      <c r="G45" s="460"/>
      <c r="H45" s="459"/>
      <c r="I45" s="460"/>
      <c r="J45" s="459"/>
      <c r="K45" s="460"/>
      <c r="L45" s="459"/>
      <c r="M45" s="460"/>
      <c r="N45" s="459"/>
      <c r="O45" s="460"/>
      <c r="P45" s="459"/>
      <c r="Q45" s="460"/>
      <c r="R45" s="459"/>
      <c r="S45" s="460"/>
      <c r="T45" s="459"/>
      <c r="U45" s="460"/>
      <c r="V45" s="459"/>
      <c r="W45" s="460"/>
      <c r="X45" s="459"/>
      <c r="Y45" s="460"/>
      <c r="Z45" s="459"/>
      <c r="AA45" s="460"/>
      <c r="AB45" s="459"/>
      <c r="AC45" s="460"/>
      <c r="AD45" s="459"/>
      <c r="AE45" s="460"/>
      <c r="AF45" s="459"/>
      <c r="AG45" s="460"/>
      <c r="AH45" s="459"/>
      <c r="AI45" s="460"/>
      <c r="AJ45" s="459"/>
      <c r="AK45" s="460"/>
      <c r="AL45" s="459"/>
      <c r="AM45" s="460"/>
      <c r="AN45" s="459"/>
      <c r="AO45" s="460"/>
      <c r="AP45" s="459"/>
      <c r="AQ45" s="460"/>
      <c r="AR45" s="459"/>
      <c r="AS45" s="460"/>
      <c r="AT45" s="94"/>
    </row>
    <row r="46" spans="2:46" ht="18" customHeight="1" x14ac:dyDescent="0.6">
      <c r="B46" s="667"/>
      <c r="C46" s="669"/>
      <c r="D46" s="3"/>
      <c r="E46" s="8"/>
      <c r="F46" s="459"/>
      <c r="G46" s="460"/>
      <c r="H46" s="459"/>
      <c r="I46" s="460"/>
      <c r="J46" s="459"/>
      <c r="K46" s="460"/>
      <c r="L46" s="459"/>
      <c r="M46" s="460"/>
      <c r="N46" s="459"/>
      <c r="O46" s="460"/>
      <c r="P46" s="459"/>
      <c r="Q46" s="460"/>
      <c r="R46" s="459"/>
      <c r="S46" s="460"/>
      <c r="T46" s="459"/>
      <c r="U46" s="460"/>
      <c r="V46" s="459"/>
      <c r="W46" s="460"/>
      <c r="X46" s="459"/>
      <c r="Y46" s="460"/>
      <c r="Z46" s="459"/>
      <c r="AA46" s="460"/>
      <c r="AB46" s="459"/>
      <c r="AC46" s="460"/>
      <c r="AD46" s="459"/>
      <c r="AE46" s="460"/>
      <c r="AF46" s="459"/>
      <c r="AG46" s="460"/>
      <c r="AH46" s="459"/>
      <c r="AI46" s="460"/>
      <c r="AJ46" s="459"/>
      <c r="AK46" s="460"/>
      <c r="AL46" s="459"/>
      <c r="AM46" s="460"/>
      <c r="AN46" s="459"/>
      <c r="AO46" s="460"/>
      <c r="AP46" s="459"/>
      <c r="AQ46" s="460"/>
      <c r="AR46" s="459"/>
      <c r="AS46" s="460"/>
      <c r="AT46" s="94"/>
    </row>
    <row r="47" spans="2:46" ht="18" customHeight="1" x14ac:dyDescent="0.6">
      <c r="B47" s="667"/>
      <c r="C47" s="669"/>
      <c r="D47" s="3"/>
      <c r="E47" s="8"/>
      <c r="F47" s="459"/>
      <c r="G47" s="460"/>
      <c r="H47" s="459"/>
      <c r="I47" s="460"/>
      <c r="J47" s="459"/>
      <c r="K47" s="460"/>
      <c r="L47" s="459"/>
      <c r="M47" s="460"/>
      <c r="N47" s="459"/>
      <c r="O47" s="460"/>
      <c r="P47" s="459"/>
      <c r="Q47" s="460"/>
      <c r="R47" s="459"/>
      <c r="S47" s="460"/>
      <c r="T47" s="459"/>
      <c r="U47" s="460"/>
      <c r="V47" s="459"/>
      <c r="W47" s="460"/>
      <c r="X47" s="459"/>
      <c r="Y47" s="460"/>
      <c r="Z47" s="459"/>
      <c r="AA47" s="460"/>
      <c r="AB47" s="459"/>
      <c r="AC47" s="460"/>
      <c r="AD47" s="459"/>
      <c r="AE47" s="460"/>
      <c r="AF47" s="459"/>
      <c r="AG47" s="460"/>
      <c r="AH47" s="459"/>
      <c r="AI47" s="460"/>
      <c r="AJ47" s="459"/>
      <c r="AK47" s="460"/>
      <c r="AL47" s="459"/>
      <c r="AM47" s="460"/>
      <c r="AN47" s="459"/>
      <c r="AO47" s="460"/>
      <c r="AP47" s="459"/>
      <c r="AQ47" s="460"/>
      <c r="AR47" s="459"/>
      <c r="AS47" s="460"/>
      <c r="AT47" s="94"/>
    </row>
    <row r="48" spans="2:46" ht="18" customHeight="1" x14ac:dyDescent="0.6">
      <c r="B48" s="667"/>
      <c r="C48" s="669"/>
      <c r="D48" s="7"/>
      <c r="E48" s="8"/>
      <c r="F48" s="459"/>
      <c r="G48" s="460"/>
      <c r="H48" s="459"/>
      <c r="I48" s="460"/>
      <c r="J48" s="459"/>
      <c r="K48" s="460"/>
      <c r="L48" s="459"/>
      <c r="M48" s="460"/>
      <c r="N48" s="459"/>
      <c r="O48" s="460"/>
      <c r="P48" s="459"/>
      <c r="Q48" s="460"/>
      <c r="R48" s="459"/>
      <c r="S48" s="460"/>
      <c r="T48" s="459"/>
      <c r="U48" s="460"/>
      <c r="V48" s="459"/>
      <c r="W48" s="460"/>
      <c r="X48" s="459"/>
      <c r="Y48" s="460"/>
      <c r="Z48" s="459"/>
      <c r="AA48" s="460"/>
      <c r="AB48" s="459"/>
      <c r="AC48" s="460"/>
      <c r="AD48" s="459"/>
      <c r="AE48" s="460"/>
      <c r="AF48" s="459"/>
      <c r="AG48" s="460"/>
      <c r="AH48" s="459"/>
      <c r="AI48" s="460"/>
      <c r="AJ48" s="459"/>
      <c r="AK48" s="460"/>
      <c r="AL48" s="459"/>
      <c r="AM48" s="460"/>
      <c r="AN48" s="459"/>
      <c r="AO48" s="460"/>
      <c r="AP48" s="459"/>
      <c r="AQ48" s="460"/>
      <c r="AR48" s="459"/>
      <c r="AS48" s="460"/>
      <c r="AT48" s="94"/>
    </row>
    <row r="49" spans="2:46" ht="18" customHeight="1" thickBot="1" x14ac:dyDescent="0.35">
      <c r="B49" s="667"/>
      <c r="C49" s="669">
        <f>'Plot Data'!J67</f>
        <v>108.23727272727274</v>
      </c>
      <c r="D49" s="5"/>
      <c r="E49" s="6"/>
      <c r="F49" s="461"/>
      <c r="G49" s="462"/>
      <c r="H49" s="461"/>
      <c r="I49" s="462"/>
      <c r="J49" s="461"/>
      <c r="K49" s="462"/>
      <c r="L49" s="461"/>
      <c r="M49" s="462"/>
      <c r="N49" s="461"/>
      <c r="O49" s="462"/>
      <c r="P49" s="461"/>
      <c r="Q49" s="462"/>
      <c r="R49" s="461"/>
      <c r="S49" s="462"/>
      <c r="T49" s="461"/>
      <c r="U49" s="462"/>
      <c r="V49" s="461"/>
      <c r="W49" s="462"/>
      <c r="X49" s="461"/>
      <c r="Y49" s="462"/>
      <c r="Z49" s="461"/>
      <c r="AA49" s="462"/>
      <c r="AB49" s="461"/>
      <c r="AC49" s="462"/>
      <c r="AD49" s="461"/>
      <c r="AE49" s="462"/>
      <c r="AF49" s="461"/>
      <c r="AG49" s="462"/>
      <c r="AH49" s="461"/>
      <c r="AI49" s="462"/>
      <c r="AJ49" s="461"/>
      <c r="AK49" s="462"/>
      <c r="AL49" s="461"/>
      <c r="AM49" s="462"/>
      <c r="AN49" s="461"/>
      <c r="AO49" s="462"/>
      <c r="AP49" s="461"/>
      <c r="AQ49" s="462"/>
      <c r="AR49" s="461"/>
      <c r="AS49" s="462"/>
      <c r="AT49" s="463" t="s">
        <v>45</v>
      </c>
    </row>
    <row r="50" spans="2:46" ht="18" customHeight="1" thickTop="1" thickBot="1" x14ac:dyDescent="0.35">
      <c r="B50" s="668"/>
      <c r="C50" s="670"/>
      <c r="D50" s="77"/>
      <c r="E50" s="78"/>
      <c r="F50" s="473"/>
      <c r="G50" s="474"/>
      <c r="H50" s="473"/>
      <c r="I50" s="474"/>
      <c r="J50" s="473"/>
      <c r="K50" s="474"/>
      <c r="L50" s="473"/>
      <c r="M50" s="474"/>
      <c r="N50" s="473"/>
      <c r="O50" s="474"/>
      <c r="P50" s="473"/>
      <c r="Q50" s="474"/>
      <c r="R50" s="473"/>
      <c r="S50" s="474"/>
      <c r="T50" s="473"/>
      <c r="U50" s="474"/>
      <c r="V50" s="473"/>
      <c r="W50" s="474"/>
      <c r="X50" s="473"/>
      <c r="Y50" s="474"/>
      <c r="Z50" s="473"/>
      <c r="AA50" s="474"/>
      <c r="AB50" s="473"/>
      <c r="AC50" s="474"/>
      <c r="AD50" s="473"/>
      <c r="AE50" s="474"/>
      <c r="AF50" s="473"/>
      <c r="AG50" s="474"/>
      <c r="AH50" s="473"/>
      <c r="AI50" s="474"/>
      <c r="AJ50" s="473"/>
      <c r="AK50" s="474"/>
      <c r="AL50" s="473"/>
      <c r="AM50" s="474"/>
      <c r="AN50" s="473"/>
      <c r="AO50" s="474"/>
      <c r="AP50" s="473"/>
      <c r="AQ50" s="474"/>
      <c r="AR50" s="473"/>
      <c r="AS50" s="474"/>
      <c r="AT50" s="477"/>
    </row>
    <row r="51" spans="2:46" ht="30" customHeight="1" thickTop="1" thickBot="1" x14ac:dyDescent="0.35">
      <c r="B51" s="390"/>
      <c r="C51" s="391"/>
      <c r="D51" s="90"/>
      <c r="E51" s="89"/>
      <c r="F51" s="475"/>
      <c r="G51" s="476"/>
      <c r="H51" s="475"/>
      <c r="I51" s="476"/>
      <c r="J51" s="475"/>
      <c r="K51" s="476"/>
      <c r="L51" s="475"/>
      <c r="M51" s="476"/>
      <c r="N51" s="475"/>
      <c r="O51" s="476"/>
      <c r="P51" s="475"/>
      <c r="Q51" s="476"/>
      <c r="R51" s="475"/>
      <c r="S51" s="476"/>
      <c r="T51" s="475"/>
      <c r="U51" s="476"/>
      <c r="V51" s="475"/>
      <c r="W51" s="476"/>
      <c r="X51" s="475"/>
      <c r="Y51" s="476"/>
      <c r="Z51" s="475"/>
      <c r="AA51" s="476"/>
      <c r="AB51" s="475"/>
      <c r="AC51" s="476"/>
      <c r="AD51" s="475"/>
      <c r="AE51" s="476"/>
      <c r="AF51" s="475"/>
      <c r="AG51" s="476"/>
      <c r="AH51" s="475"/>
      <c r="AI51" s="476"/>
      <c r="AJ51" s="475"/>
      <c r="AK51" s="476"/>
      <c r="AL51" s="475"/>
      <c r="AM51" s="476"/>
      <c r="AN51" s="475"/>
      <c r="AO51" s="476"/>
      <c r="AP51" s="475"/>
      <c r="AQ51" s="476"/>
      <c r="AR51" s="475"/>
      <c r="AS51" s="476"/>
      <c r="AT51" s="91"/>
    </row>
    <row r="52" spans="2:46" ht="7.5" customHeight="1" thickTop="1" x14ac:dyDescent="0.3">
      <c r="B52" s="671" t="s">
        <v>7</v>
      </c>
      <c r="C52" s="392"/>
      <c r="D52" s="79"/>
      <c r="E52" s="74"/>
      <c r="F52" s="456"/>
      <c r="G52" s="457"/>
      <c r="H52" s="456"/>
      <c r="I52" s="457"/>
      <c r="J52" s="456"/>
      <c r="K52" s="457"/>
      <c r="L52" s="456"/>
      <c r="M52" s="457"/>
      <c r="N52" s="456"/>
      <c r="O52" s="457"/>
      <c r="P52" s="456"/>
      <c r="Q52" s="457"/>
      <c r="R52" s="456"/>
      <c r="S52" s="457"/>
      <c r="T52" s="456"/>
      <c r="U52" s="457"/>
      <c r="V52" s="456"/>
      <c r="W52" s="457"/>
      <c r="X52" s="456"/>
      <c r="Y52" s="457"/>
      <c r="Z52" s="456"/>
      <c r="AA52" s="457"/>
      <c r="AB52" s="456"/>
      <c r="AC52" s="457"/>
      <c r="AD52" s="456"/>
      <c r="AE52" s="457"/>
      <c r="AF52" s="456"/>
      <c r="AG52" s="457"/>
      <c r="AH52" s="456"/>
      <c r="AI52" s="457"/>
      <c r="AJ52" s="456"/>
      <c r="AK52" s="457"/>
      <c r="AL52" s="456"/>
      <c r="AM52" s="457"/>
      <c r="AN52" s="456"/>
      <c r="AO52" s="457"/>
      <c r="AP52" s="456"/>
      <c r="AQ52" s="457"/>
      <c r="AR52" s="456"/>
      <c r="AS52" s="457"/>
      <c r="AT52" s="75"/>
    </row>
    <row r="53" spans="2:46" ht="9" customHeight="1" x14ac:dyDescent="0.3">
      <c r="B53" s="672"/>
      <c r="C53" s="393"/>
      <c r="D53" s="13"/>
      <c r="E53" s="4"/>
      <c r="F53" s="481"/>
      <c r="G53" s="482"/>
      <c r="H53" s="481"/>
      <c r="I53" s="482"/>
      <c r="J53" s="481"/>
      <c r="K53" s="482"/>
      <c r="L53" s="481"/>
      <c r="M53" s="482"/>
      <c r="N53" s="481"/>
      <c r="O53" s="482"/>
      <c r="P53" s="481"/>
      <c r="Q53" s="482"/>
      <c r="R53" s="481"/>
      <c r="S53" s="482"/>
      <c r="T53" s="481"/>
      <c r="U53" s="482"/>
      <c r="V53" s="481"/>
      <c r="W53" s="482"/>
      <c r="X53" s="481"/>
      <c r="Y53" s="482"/>
      <c r="Z53" s="481"/>
      <c r="AA53" s="482"/>
      <c r="AB53" s="481"/>
      <c r="AC53" s="482"/>
      <c r="AD53" s="481"/>
      <c r="AE53" s="482"/>
      <c r="AF53" s="481"/>
      <c r="AG53" s="482"/>
      <c r="AH53" s="481"/>
      <c r="AI53" s="482"/>
      <c r="AJ53" s="481"/>
      <c r="AK53" s="482"/>
      <c r="AL53" s="481"/>
      <c r="AM53" s="482"/>
      <c r="AN53" s="481"/>
      <c r="AO53" s="482"/>
      <c r="AP53" s="481"/>
      <c r="AQ53" s="482"/>
      <c r="AR53" s="481"/>
      <c r="AS53" s="482"/>
      <c r="AT53" s="80"/>
    </row>
    <row r="54" spans="2:46" ht="9" customHeight="1" x14ac:dyDescent="0.3">
      <c r="B54" s="672"/>
      <c r="C54" s="393"/>
      <c r="D54" s="3"/>
      <c r="E54" s="8"/>
      <c r="F54" s="459"/>
      <c r="G54" s="460"/>
      <c r="H54" s="459"/>
      <c r="I54" s="460"/>
      <c r="J54" s="459"/>
      <c r="K54" s="460"/>
      <c r="L54" s="459"/>
      <c r="M54" s="460"/>
      <c r="N54" s="459"/>
      <c r="O54" s="460"/>
      <c r="P54" s="459"/>
      <c r="Q54" s="460"/>
      <c r="R54" s="459"/>
      <c r="S54" s="460"/>
      <c r="T54" s="459"/>
      <c r="U54" s="460"/>
      <c r="V54" s="459"/>
      <c r="W54" s="460"/>
      <c r="X54" s="459"/>
      <c r="Y54" s="460"/>
      <c r="Z54" s="459"/>
      <c r="AA54" s="460"/>
      <c r="AB54" s="459"/>
      <c r="AC54" s="460"/>
      <c r="AD54" s="459"/>
      <c r="AE54" s="460"/>
      <c r="AF54" s="459"/>
      <c r="AG54" s="460"/>
      <c r="AH54" s="459"/>
      <c r="AI54" s="460"/>
      <c r="AJ54" s="459"/>
      <c r="AK54" s="460"/>
      <c r="AL54" s="459"/>
      <c r="AM54" s="460"/>
      <c r="AN54" s="459"/>
      <c r="AO54" s="460"/>
      <c r="AP54" s="459"/>
      <c r="AQ54" s="460"/>
      <c r="AR54" s="459"/>
      <c r="AS54" s="460"/>
      <c r="AT54" s="76"/>
    </row>
    <row r="55" spans="2:46" ht="9" customHeight="1" thickBot="1" x14ac:dyDescent="0.4">
      <c r="B55" s="672"/>
      <c r="C55" s="674">
        <f>'Plot Data'!J68</f>
        <v>30</v>
      </c>
      <c r="D55" s="70"/>
      <c r="E55" s="71"/>
      <c r="F55" s="483"/>
      <c r="G55" s="484"/>
      <c r="H55" s="483"/>
      <c r="I55" s="484"/>
      <c r="J55" s="483"/>
      <c r="K55" s="484"/>
      <c r="L55" s="483"/>
      <c r="M55" s="484"/>
      <c r="N55" s="483"/>
      <c r="O55" s="484"/>
      <c r="P55" s="483"/>
      <c r="Q55" s="484"/>
      <c r="R55" s="483"/>
      <c r="S55" s="484"/>
      <c r="T55" s="483"/>
      <c r="U55" s="484"/>
      <c r="V55" s="483"/>
      <c r="W55" s="484"/>
      <c r="X55" s="483"/>
      <c r="Y55" s="484"/>
      <c r="Z55" s="483"/>
      <c r="AA55" s="484"/>
      <c r="AB55" s="483"/>
      <c r="AC55" s="484"/>
      <c r="AD55" s="483"/>
      <c r="AE55" s="484"/>
      <c r="AF55" s="483"/>
      <c r="AG55" s="484"/>
      <c r="AH55" s="483"/>
      <c r="AI55" s="484"/>
      <c r="AJ55" s="483"/>
      <c r="AK55" s="484"/>
      <c r="AL55" s="483"/>
      <c r="AM55" s="484"/>
      <c r="AN55" s="483"/>
      <c r="AO55" s="484"/>
      <c r="AP55" s="483"/>
      <c r="AQ55" s="484"/>
      <c r="AR55" s="483"/>
      <c r="AS55" s="484"/>
      <c r="AT55" s="81"/>
    </row>
    <row r="56" spans="2:46" ht="9" customHeight="1" thickTop="1" x14ac:dyDescent="0.3">
      <c r="B56" s="672"/>
      <c r="C56" s="674"/>
      <c r="D56" s="19"/>
      <c r="E56" s="20"/>
      <c r="F56" s="487"/>
      <c r="G56" s="488"/>
      <c r="H56" s="487"/>
      <c r="I56" s="488"/>
      <c r="J56" s="487"/>
      <c r="K56" s="488"/>
      <c r="L56" s="487"/>
      <c r="M56" s="488"/>
      <c r="N56" s="487"/>
      <c r="O56" s="488"/>
      <c r="P56" s="487"/>
      <c r="Q56" s="488"/>
      <c r="R56" s="487"/>
      <c r="S56" s="488"/>
      <c r="T56" s="487"/>
      <c r="U56" s="488"/>
      <c r="V56" s="487"/>
      <c r="W56" s="488"/>
      <c r="X56" s="487"/>
      <c r="Y56" s="488"/>
      <c r="Z56" s="487"/>
      <c r="AA56" s="488"/>
      <c r="AB56" s="487"/>
      <c r="AC56" s="488"/>
      <c r="AD56" s="487"/>
      <c r="AE56" s="488"/>
      <c r="AF56" s="487"/>
      <c r="AG56" s="488"/>
      <c r="AH56" s="487"/>
      <c r="AI56" s="488"/>
      <c r="AJ56" s="487"/>
      <c r="AK56" s="488"/>
      <c r="AL56" s="487"/>
      <c r="AM56" s="488"/>
      <c r="AN56" s="487"/>
      <c r="AO56" s="488"/>
      <c r="AP56" s="487"/>
      <c r="AQ56" s="488"/>
      <c r="AR56" s="487"/>
      <c r="AS56" s="488"/>
      <c r="AT56" s="82"/>
    </row>
    <row r="57" spans="2:46" ht="9" customHeight="1" x14ac:dyDescent="0.3">
      <c r="B57" s="672"/>
      <c r="C57" s="669"/>
      <c r="D57" s="13"/>
      <c r="E57" s="8"/>
      <c r="F57" s="459"/>
      <c r="G57" s="460"/>
      <c r="H57" s="459"/>
      <c r="I57" s="460"/>
      <c r="J57" s="459"/>
      <c r="K57" s="460"/>
      <c r="L57" s="459"/>
      <c r="M57" s="460"/>
      <c r="N57" s="459"/>
      <c r="O57" s="460"/>
      <c r="P57" s="459"/>
      <c r="Q57" s="460"/>
      <c r="R57" s="459"/>
      <c r="S57" s="460"/>
      <c r="T57" s="459"/>
      <c r="U57" s="460"/>
      <c r="V57" s="459"/>
      <c r="W57" s="460"/>
      <c r="X57" s="459"/>
      <c r="Y57" s="460"/>
      <c r="Z57" s="459"/>
      <c r="AA57" s="460"/>
      <c r="AB57" s="459"/>
      <c r="AC57" s="460"/>
      <c r="AD57" s="459"/>
      <c r="AE57" s="460"/>
      <c r="AF57" s="459"/>
      <c r="AG57" s="460"/>
      <c r="AH57" s="459"/>
      <c r="AI57" s="460"/>
      <c r="AJ57" s="459"/>
      <c r="AK57" s="460"/>
      <c r="AL57" s="459"/>
      <c r="AM57" s="460"/>
      <c r="AN57" s="459"/>
      <c r="AO57" s="460"/>
      <c r="AP57" s="459"/>
      <c r="AQ57" s="460"/>
      <c r="AR57" s="459"/>
      <c r="AS57" s="460"/>
      <c r="AT57" s="76"/>
    </row>
    <row r="58" spans="2:46" ht="9" customHeight="1" x14ac:dyDescent="0.3">
      <c r="B58" s="672"/>
      <c r="C58" s="669"/>
      <c r="D58" s="3"/>
      <c r="E58" s="8"/>
      <c r="F58" s="459"/>
      <c r="G58" s="460"/>
      <c r="H58" s="459"/>
      <c r="I58" s="460"/>
      <c r="J58" s="459"/>
      <c r="K58" s="460"/>
      <c r="L58" s="459"/>
      <c r="M58" s="460"/>
      <c r="N58" s="459"/>
      <c r="O58" s="460"/>
      <c r="P58" s="459"/>
      <c r="Q58" s="460"/>
      <c r="R58" s="459"/>
      <c r="S58" s="460"/>
      <c r="T58" s="459"/>
      <c r="U58" s="460"/>
      <c r="V58" s="459"/>
      <c r="W58" s="460"/>
      <c r="X58" s="459"/>
      <c r="Y58" s="460"/>
      <c r="Z58" s="459"/>
      <c r="AA58" s="460"/>
      <c r="AB58" s="459"/>
      <c r="AC58" s="460"/>
      <c r="AD58" s="459"/>
      <c r="AE58" s="460"/>
      <c r="AF58" s="459"/>
      <c r="AG58" s="460"/>
      <c r="AH58" s="459"/>
      <c r="AI58" s="460"/>
      <c r="AJ58" s="459"/>
      <c r="AK58" s="460"/>
      <c r="AL58" s="459"/>
      <c r="AM58" s="460"/>
      <c r="AN58" s="459"/>
      <c r="AO58" s="460"/>
      <c r="AP58" s="459"/>
      <c r="AQ58" s="460"/>
      <c r="AR58" s="459"/>
      <c r="AS58" s="460"/>
      <c r="AT58" s="76"/>
    </row>
    <row r="59" spans="2:46" ht="9" customHeight="1" x14ac:dyDescent="0.3">
      <c r="B59" s="672"/>
      <c r="C59" s="669">
        <f>C63+(C55-C63)/2</f>
        <v>26.25</v>
      </c>
      <c r="D59" s="13"/>
      <c r="E59" s="4"/>
      <c r="F59" s="459"/>
      <c r="G59" s="460"/>
      <c r="H59" s="459"/>
      <c r="I59" s="460"/>
      <c r="J59" s="459"/>
      <c r="K59" s="460"/>
      <c r="L59" s="459"/>
      <c r="M59" s="460"/>
      <c r="N59" s="459"/>
      <c r="O59" s="460"/>
      <c r="P59" s="459"/>
      <c r="Q59" s="460"/>
      <c r="R59" s="459"/>
      <c r="S59" s="460"/>
      <c r="T59" s="459"/>
      <c r="U59" s="460"/>
      <c r="V59" s="459"/>
      <c r="W59" s="460"/>
      <c r="X59" s="459"/>
      <c r="Y59" s="460"/>
      <c r="Z59" s="459"/>
      <c r="AA59" s="460"/>
      <c r="AB59" s="459"/>
      <c r="AC59" s="460"/>
      <c r="AD59" s="459"/>
      <c r="AE59" s="460"/>
      <c r="AF59" s="459"/>
      <c r="AG59" s="460"/>
      <c r="AH59" s="459"/>
      <c r="AI59" s="460"/>
      <c r="AJ59" s="459"/>
      <c r="AK59" s="460"/>
      <c r="AL59" s="459"/>
      <c r="AM59" s="460"/>
      <c r="AN59" s="459"/>
      <c r="AO59" s="460"/>
      <c r="AP59" s="459"/>
      <c r="AQ59" s="460"/>
      <c r="AR59" s="459"/>
      <c r="AS59" s="460"/>
      <c r="AT59" s="80"/>
    </row>
    <row r="60" spans="2:46" ht="9" customHeight="1" x14ac:dyDescent="0.3">
      <c r="B60" s="672"/>
      <c r="C60" s="669"/>
      <c r="D60" s="13"/>
      <c r="E60" s="4"/>
      <c r="F60" s="459"/>
      <c r="G60" s="460"/>
      <c r="H60" s="459"/>
      <c r="I60" s="460"/>
      <c r="J60" s="459"/>
      <c r="K60" s="460"/>
      <c r="L60" s="459"/>
      <c r="M60" s="460"/>
      <c r="N60" s="459"/>
      <c r="O60" s="460"/>
      <c r="P60" s="459"/>
      <c r="Q60" s="460"/>
      <c r="R60" s="459"/>
      <c r="S60" s="460"/>
      <c r="T60" s="459"/>
      <c r="U60" s="460"/>
      <c r="V60" s="459"/>
      <c r="W60" s="460"/>
      <c r="X60" s="459"/>
      <c r="Y60" s="460"/>
      <c r="Z60" s="459"/>
      <c r="AA60" s="460"/>
      <c r="AB60" s="459"/>
      <c r="AC60" s="460"/>
      <c r="AD60" s="459"/>
      <c r="AE60" s="460"/>
      <c r="AF60" s="459"/>
      <c r="AG60" s="460"/>
      <c r="AH60" s="459"/>
      <c r="AI60" s="460"/>
      <c r="AJ60" s="459"/>
      <c r="AK60" s="460"/>
      <c r="AL60" s="459"/>
      <c r="AM60" s="460"/>
      <c r="AN60" s="459"/>
      <c r="AO60" s="460"/>
      <c r="AP60" s="459"/>
      <c r="AQ60" s="460"/>
      <c r="AR60" s="459"/>
      <c r="AS60" s="460"/>
      <c r="AT60" s="80"/>
    </row>
    <row r="61" spans="2:46" ht="9" customHeight="1" x14ac:dyDescent="0.3">
      <c r="B61" s="672"/>
      <c r="C61" s="669"/>
      <c r="D61" s="7"/>
      <c r="E61" s="18"/>
      <c r="F61" s="489"/>
      <c r="G61" s="490"/>
      <c r="H61" s="489"/>
      <c r="I61" s="490"/>
      <c r="J61" s="489"/>
      <c r="K61" s="490"/>
      <c r="L61" s="489"/>
      <c r="M61" s="490"/>
      <c r="N61" s="489"/>
      <c r="O61" s="490"/>
      <c r="P61" s="489"/>
      <c r="Q61" s="490"/>
      <c r="R61" s="489"/>
      <c r="S61" s="490"/>
      <c r="T61" s="489"/>
      <c r="U61" s="490"/>
      <c r="V61" s="489"/>
      <c r="W61" s="490"/>
      <c r="X61" s="489"/>
      <c r="Y61" s="490"/>
      <c r="Z61" s="489"/>
      <c r="AA61" s="490"/>
      <c r="AB61" s="489"/>
      <c r="AC61" s="490"/>
      <c r="AD61" s="489"/>
      <c r="AE61" s="490"/>
      <c r="AF61" s="489"/>
      <c r="AG61" s="490"/>
      <c r="AH61" s="489"/>
      <c r="AI61" s="490"/>
      <c r="AJ61" s="489"/>
      <c r="AK61" s="490"/>
      <c r="AL61" s="489"/>
      <c r="AM61" s="490"/>
      <c r="AN61" s="489"/>
      <c r="AO61" s="490"/>
      <c r="AP61" s="489"/>
      <c r="AQ61" s="490"/>
      <c r="AR61" s="489"/>
      <c r="AS61" s="490"/>
      <c r="AT61" s="83"/>
    </row>
    <row r="62" spans="2:46" ht="9" customHeight="1" x14ac:dyDescent="0.3">
      <c r="B62" s="672"/>
      <c r="C62" s="669"/>
      <c r="D62" s="21"/>
      <c r="E62" s="22"/>
      <c r="F62" s="491"/>
      <c r="G62" s="492"/>
      <c r="H62" s="491"/>
      <c r="I62" s="492"/>
      <c r="J62" s="491"/>
      <c r="K62" s="492"/>
      <c r="L62" s="491"/>
      <c r="M62" s="492"/>
      <c r="N62" s="491"/>
      <c r="O62" s="492"/>
      <c r="P62" s="491"/>
      <c r="Q62" s="492"/>
      <c r="R62" s="491"/>
      <c r="S62" s="492"/>
      <c r="T62" s="491"/>
      <c r="U62" s="492"/>
      <c r="V62" s="491"/>
      <c r="W62" s="492"/>
      <c r="X62" s="491"/>
      <c r="Y62" s="492"/>
      <c r="Z62" s="491"/>
      <c r="AA62" s="492"/>
      <c r="AB62" s="491"/>
      <c r="AC62" s="492"/>
      <c r="AD62" s="491"/>
      <c r="AE62" s="492"/>
      <c r="AF62" s="491"/>
      <c r="AG62" s="492"/>
      <c r="AH62" s="491"/>
      <c r="AI62" s="492"/>
      <c r="AJ62" s="491"/>
      <c r="AK62" s="492"/>
      <c r="AL62" s="491"/>
      <c r="AM62" s="492"/>
      <c r="AN62" s="491"/>
      <c r="AO62" s="492"/>
      <c r="AP62" s="491"/>
      <c r="AQ62" s="492"/>
      <c r="AR62" s="491"/>
      <c r="AS62" s="492"/>
      <c r="AT62" s="84"/>
    </row>
    <row r="63" spans="2:46" ht="9" customHeight="1" x14ac:dyDescent="0.3">
      <c r="B63" s="672"/>
      <c r="C63" s="669">
        <f>C69+(C55-C69)/2</f>
        <v>22.5</v>
      </c>
      <c r="D63" s="13"/>
      <c r="E63" s="4"/>
      <c r="F63" s="459"/>
      <c r="G63" s="460"/>
      <c r="H63" s="459"/>
      <c r="I63" s="460"/>
      <c r="J63" s="459"/>
      <c r="K63" s="460"/>
      <c r="L63" s="459"/>
      <c r="M63" s="460"/>
      <c r="N63" s="459"/>
      <c r="O63" s="460"/>
      <c r="P63" s="459"/>
      <c r="Q63" s="460"/>
      <c r="R63" s="459"/>
      <c r="S63" s="460"/>
      <c r="T63" s="459"/>
      <c r="U63" s="460"/>
      <c r="V63" s="459"/>
      <c r="W63" s="460"/>
      <c r="X63" s="459"/>
      <c r="Y63" s="460"/>
      <c r="Z63" s="459"/>
      <c r="AA63" s="460"/>
      <c r="AB63" s="459"/>
      <c r="AC63" s="460"/>
      <c r="AD63" s="459"/>
      <c r="AE63" s="460"/>
      <c r="AF63" s="459"/>
      <c r="AG63" s="460"/>
      <c r="AH63" s="459"/>
      <c r="AI63" s="460"/>
      <c r="AJ63" s="459"/>
      <c r="AK63" s="460"/>
      <c r="AL63" s="459"/>
      <c r="AM63" s="460"/>
      <c r="AN63" s="459"/>
      <c r="AO63" s="460"/>
      <c r="AP63" s="459"/>
      <c r="AQ63" s="460"/>
      <c r="AR63" s="459"/>
      <c r="AS63" s="460"/>
      <c r="AT63" s="80"/>
    </row>
    <row r="64" spans="2:46" ht="9" customHeight="1" x14ac:dyDescent="0.3">
      <c r="B64" s="672"/>
      <c r="C64" s="669"/>
      <c r="D64" s="13"/>
      <c r="E64" s="4"/>
      <c r="F64" s="459"/>
      <c r="G64" s="460"/>
      <c r="H64" s="459"/>
      <c r="I64" s="460"/>
      <c r="J64" s="459"/>
      <c r="K64" s="460"/>
      <c r="L64" s="459"/>
      <c r="M64" s="460"/>
      <c r="N64" s="459"/>
      <c r="O64" s="460"/>
      <c r="P64" s="459"/>
      <c r="Q64" s="460"/>
      <c r="R64" s="459"/>
      <c r="S64" s="460"/>
      <c r="T64" s="459"/>
      <c r="U64" s="460"/>
      <c r="V64" s="459"/>
      <c r="W64" s="460"/>
      <c r="X64" s="459"/>
      <c r="Y64" s="460"/>
      <c r="Z64" s="459"/>
      <c r="AA64" s="460"/>
      <c r="AB64" s="459"/>
      <c r="AC64" s="460"/>
      <c r="AD64" s="459"/>
      <c r="AE64" s="460"/>
      <c r="AF64" s="459"/>
      <c r="AG64" s="460"/>
      <c r="AH64" s="459"/>
      <c r="AI64" s="460"/>
      <c r="AJ64" s="459"/>
      <c r="AK64" s="460"/>
      <c r="AL64" s="459"/>
      <c r="AM64" s="460"/>
      <c r="AN64" s="459"/>
      <c r="AO64" s="460"/>
      <c r="AP64" s="459"/>
      <c r="AQ64" s="460"/>
      <c r="AR64" s="459"/>
      <c r="AS64" s="460"/>
      <c r="AT64" s="80"/>
    </row>
    <row r="65" spans="2:46" x14ac:dyDescent="0.3">
      <c r="B65" s="672"/>
      <c r="C65" s="669"/>
      <c r="D65" s="13"/>
      <c r="E65" s="4"/>
      <c r="F65" s="459"/>
      <c r="G65" s="460"/>
      <c r="H65" s="459"/>
      <c r="I65" s="460"/>
      <c r="J65" s="459"/>
      <c r="K65" s="460"/>
      <c r="L65" s="459"/>
      <c r="M65" s="460"/>
      <c r="N65" s="459"/>
      <c r="O65" s="460"/>
      <c r="P65" s="459"/>
      <c r="Q65" s="460"/>
      <c r="R65" s="459"/>
      <c r="S65" s="460"/>
      <c r="T65" s="459"/>
      <c r="U65" s="460"/>
      <c r="V65" s="459"/>
      <c r="W65" s="460"/>
      <c r="X65" s="459"/>
      <c r="Y65" s="460"/>
      <c r="Z65" s="459"/>
      <c r="AA65" s="460"/>
      <c r="AB65" s="459"/>
      <c r="AC65" s="460"/>
      <c r="AD65" s="459"/>
      <c r="AE65" s="460"/>
      <c r="AF65" s="459"/>
      <c r="AG65" s="460"/>
      <c r="AH65" s="459"/>
      <c r="AI65" s="460"/>
      <c r="AJ65" s="459"/>
      <c r="AK65" s="460"/>
      <c r="AL65" s="459"/>
      <c r="AM65" s="460"/>
      <c r="AN65" s="459"/>
      <c r="AO65" s="460"/>
      <c r="AP65" s="459"/>
      <c r="AQ65" s="460"/>
      <c r="AR65" s="459"/>
      <c r="AS65" s="460"/>
      <c r="AT65" s="80"/>
    </row>
    <row r="66" spans="2:46" x14ac:dyDescent="0.3">
      <c r="B66" s="672"/>
      <c r="C66" s="669"/>
      <c r="D66" s="13"/>
      <c r="E66" s="4"/>
      <c r="F66" s="459"/>
      <c r="G66" s="460"/>
      <c r="H66" s="459"/>
      <c r="I66" s="460"/>
      <c r="J66" s="459"/>
      <c r="K66" s="460"/>
      <c r="L66" s="459"/>
      <c r="M66" s="460"/>
      <c r="N66" s="459"/>
      <c r="O66" s="460"/>
      <c r="P66" s="459"/>
      <c r="Q66" s="460"/>
      <c r="R66" s="459"/>
      <c r="S66" s="460"/>
      <c r="T66" s="459"/>
      <c r="U66" s="460"/>
      <c r="V66" s="459"/>
      <c r="W66" s="460"/>
      <c r="X66" s="459"/>
      <c r="Y66" s="460"/>
      <c r="Z66" s="459"/>
      <c r="AA66" s="460"/>
      <c r="AB66" s="459"/>
      <c r="AC66" s="460"/>
      <c r="AD66" s="459"/>
      <c r="AE66" s="460"/>
      <c r="AF66" s="459"/>
      <c r="AG66" s="460"/>
      <c r="AH66" s="459"/>
      <c r="AI66" s="460"/>
      <c r="AJ66" s="459"/>
      <c r="AK66" s="460"/>
      <c r="AL66" s="459"/>
      <c r="AM66" s="460"/>
      <c r="AN66" s="459"/>
      <c r="AO66" s="460"/>
      <c r="AP66" s="459"/>
      <c r="AQ66" s="460"/>
      <c r="AR66" s="459"/>
      <c r="AS66" s="460"/>
      <c r="AT66" s="80"/>
    </row>
    <row r="67" spans="2:46" x14ac:dyDescent="0.3">
      <c r="B67" s="672"/>
      <c r="C67" s="669"/>
      <c r="D67" s="13"/>
      <c r="E67" s="4"/>
      <c r="F67" s="459"/>
      <c r="G67" s="460"/>
      <c r="H67" s="459"/>
      <c r="I67" s="460"/>
      <c r="J67" s="459"/>
      <c r="K67" s="460"/>
      <c r="L67" s="459"/>
      <c r="M67" s="460"/>
      <c r="N67" s="459"/>
      <c r="O67" s="460"/>
      <c r="P67" s="459"/>
      <c r="Q67" s="460"/>
      <c r="R67" s="459"/>
      <c r="S67" s="460"/>
      <c r="T67" s="459"/>
      <c r="U67" s="460"/>
      <c r="V67" s="459"/>
      <c r="W67" s="460"/>
      <c r="X67" s="459"/>
      <c r="Y67" s="460"/>
      <c r="Z67" s="459"/>
      <c r="AA67" s="460"/>
      <c r="AB67" s="459"/>
      <c r="AC67" s="460"/>
      <c r="AD67" s="459"/>
      <c r="AE67" s="460"/>
      <c r="AF67" s="459"/>
      <c r="AG67" s="460"/>
      <c r="AH67" s="459"/>
      <c r="AI67" s="460"/>
      <c r="AJ67" s="459"/>
      <c r="AK67" s="460"/>
      <c r="AL67" s="459"/>
      <c r="AM67" s="460"/>
      <c r="AN67" s="459"/>
      <c r="AO67" s="460"/>
      <c r="AP67" s="459"/>
      <c r="AQ67" s="460"/>
      <c r="AR67" s="459"/>
      <c r="AS67" s="460"/>
      <c r="AT67" s="80"/>
    </row>
    <row r="68" spans="2:46" x14ac:dyDescent="0.3">
      <c r="B68" s="672"/>
      <c r="C68" s="669"/>
      <c r="D68" s="13"/>
      <c r="E68" s="4"/>
      <c r="F68" s="459"/>
      <c r="G68" s="460"/>
      <c r="H68" s="459"/>
      <c r="I68" s="460"/>
      <c r="J68" s="459"/>
      <c r="K68" s="460"/>
      <c r="L68" s="459"/>
      <c r="M68" s="460"/>
      <c r="N68" s="459"/>
      <c r="O68" s="460"/>
      <c r="P68" s="459"/>
      <c r="Q68" s="460"/>
      <c r="R68" s="459"/>
      <c r="S68" s="460"/>
      <c r="T68" s="459"/>
      <c r="U68" s="460"/>
      <c r="V68" s="459"/>
      <c r="W68" s="460"/>
      <c r="X68" s="459"/>
      <c r="Y68" s="460"/>
      <c r="Z68" s="459"/>
      <c r="AA68" s="460"/>
      <c r="AB68" s="459"/>
      <c r="AC68" s="460"/>
      <c r="AD68" s="459"/>
      <c r="AE68" s="460"/>
      <c r="AF68" s="459"/>
      <c r="AG68" s="460"/>
      <c r="AH68" s="459"/>
      <c r="AI68" s="460"/>
      <c r="AJ68" s="459"/>
      <c r="AK68" s="460"/>
      <c r="AL68" s="459"/>
      <c r="AM68" s="460"/>
      <c r="AN68" s="459"/>
      <c r="AO68" s="460"/>
      <c r="AP68" s="459"/>
      <c r="AQ68" s="460"/>
      <c r="AR68" s="459"/>
      <c r="AS68" s="460"/>
      <c r="AT68" s="80"/>
    </row>
    <row r="69" spans="2:46" x14ac:dyDescent="0.3">
      <c r="B69" s="672"/>
      <c r="C69" s="669">
        <f>C55/2</f>
        <v>15</v>
      </c>
      <c r="D69" s="13"/>
      <c r="E69" s="4"/>
      <c r="F69" s="459"/>
      <c r="G69" s="460"/>
      <c r="H69" s="459"/>
      <c r="I69" s="460"/>
      <c r="J69" s="459"/>
      <c r="K69" s="460"/>
      <c r="L69" s="459"/>
      <c r="M69" s="460"/>
      <c r="N69" s="459"/>
      <c r="O69" s="460"/>
      <c r="P69" s="459"/>
      <c r="Q69" s="460"/>
      <c r="R69" s="459"/>
      <c r="S69" s="460"/>
      <c r="T69" s="459"/>
      <c r="U69" s="460"/>
      <c r="V69" s="459"/>
      <c r="W69" s="460"/>
      <c r="X69" s="459"/>
      <c r="Y69" s="460"/>
      <c r="Z69" s="459"/>
      <c r="AA69" s="460"/>
      <c r="AB69" s="459"/>
      <c r="AC69" s="460"/>
      <c r="AD69" s="459"/>
      <c r="AE69" s="460"/>
      <c r="AF69" s="459"/>
      <c r="AG69" s="460"/>
      <c r="AH69" s="459"/>
      <c r="AI69" s="460"/>
      <c r="AJ69" s="459"/>
      <c r="AK69" s="460"/>
      <c r="AL69" s="459"/>
      <c r="AM69" s="460"/>
      <c r="AN69" s="459"/>
      <c r="AO69" s="460"/>
      <c r="AP69" s="459"/>
      <c r="AQ69" s="460"/>
      <c r="AR69" s="459"/>
      <c r="AS69" s="460"/>
      <c r="AT69" s="80"/>
    </row>
    <row r="70" spans="2:46" x14ac:dyDescent="0.3">
      <c r="B70" s="672"/>
      <c r="C70" s="669"/>
      <c r="D70" s="13"/>
      <c r="E70" s="4"/>
      <c r="F70" s="459"/>
      <c r="G70" s="460"/>
      <c r="H70" s="459"/>
      <c r="I70" s="460"/>
      <c r="J70" s="459"/>
      <c r="K70" s="460"/>
      <c r="L70" s="459"/>
      <c r="M70" s="460"/>
      <c r="N70" s="459"/>
      <c r="O70" s="460"/>
      <c r="P70" s="459"/>
      <c r="Q70" s="460"/>
      <c r="R70" s="459"/>
      <c r="S70" s="460"/>
      <c r="T70" s="459"/>
      <c r="U70" s="460"/>
      <c r="V70" s="459"/>
      <c r="W70" s="460"/>
      <c r="X70" s="459"/>
      <c r="Y70" s="460"/>
      <c r="Z70" s="459"/>
      <c r="AA70" s="460"/>
      <c r="AB70" s="459"/>
      <c r="AC70" s="460"/>
      <c r="AD70" s="459"/>
      <c r="AE70" s="460"/>
      <c r="AF70" s="459"/>
      <c r="AG70" s="460"/>
      <c r="AH70" s="459"/>
      <c r="AI70" s="460"/>
      <c r="AJ70" s="459"/>
      <c r="AK70" s="460"/>
      <c r="AL70" s="459"/>
      <c r="AM70" s="460"/>
      <c r="AN70" s="459"/>
      <c r="AO70" s="460"/>
      <c r="AP70" s="459"/>
      <c r="AQ70" s="460"/>
      <c r="AR70" s="459"/>
      <c r="AS70" s="460"/>
      <c r="AT70" s="80"/>
    </row>
    <row r="71" spans="2:46" x14ac:dyDescent="0.3">
      <c r="B71" s="672"/>
      <c r="C71" s="669"/>
      <c r="D71" s="13"/>
      <c r="E71" s="4"/>
      <c r="F71" s="459"/>
      <c r="G71" s="460"/>
      <c r="H71" s="459"/>
      <c r="I71" s="460"/>
      <c r="J71" s="459"/>
      <c r="K71" s="460"/>
      <c r="L71" s="459"/>
      <c r="M71" s="460"/>
      <c r="N71" s="459"/>
      <c r="O71" s="460"/>
      <c r="P71" s="459"/>
      <c r="Q71" s="460"/>
      <c r="R71" s="459"/>
      <c r="S71" s="460"/>
      <c r="T71" s="459"/>
      <c r="U71" s="460"/>
      <c r="V71" s="459"/>
      <c r="W71" s="460"/>
      <c r="X71" s="459"/>
      <c r="Y71" s="460"/>
      <c r="Z71" s="459"/>
      <c r="AA71" s="460"/>
      <c r="AB71" s="459"/>
      <c r="AC71" s="460"/>
      <c r="AD71" s="459"/>
      <c r="AE71" s="460"/>
      <c r="AF71" s="459"/>
      <c r="AG71" s="460"/>
      <c r="AH71" s="459"/>
      <c r="AI71" s="460"/>
      <c r="AJ71" s="459"/>
      <c r="AK71" s="460"/>
      <c r="AL71" s="459"/>
      <c r="AM71" s="460"/>
      <c r="AN71" s="459"/>
      <c r="AO71" s="460"/>
      <c r="AP71" s="459"/>
      <c r="AQ71" s="460"/>
      <c r="AR71" s="459"/>
      <c r="AS71" s="460"/>
      <c r="AT71" s="80"/>
    </row>
    <row r="72" spans="2:46" x14ac:dyDescent="0.3">
      <c r="B72" s="672"/>
      <c r="C72" s="669"/>
      <c r="D72" s="13"/>
      <c r="E72" s="4"/>
      <c r="F72" s="459"/>
      <c r="G72" s="460"/>
      <c r="H72" s="459"/>
      <c r="I72" s="460"/>
      <c r="J72" s="459"/>
      <c r="K72" s="460"/>
      <c r="L72" s="459"/>
      <c r="M72" s="460"/>
      <c r="N72" s="459"/>
      <c r="O72" s="460"/>
      <c r="P72" s="459"/>
      <c r="Q72" s="460"/>
      <c r="R72" s="459"/>
      <c r="S72" s="460"/>
      <c r="T72" s="459"/>
      <c r="U72" s="460"/>
      <c r="V72" s="459"/>
      <c r="W72" s="460"/>
      <c r="X72" s="459"/>
      <c r="Y72" s="460"/>
      <c r="Z72" s="459"/>
      <c r="AA72" s="460"/>
      <c r="AB72" s="459"/>
      <c r="AC72" s="460"/>
      <c r="AD72" s="459"/>
      <c r="AE72" s="460"/>
      <c r="AF72" s="459"/>
      <c r="AG72" s="460"/>
      <c r="AH72" s="459"/>
      <c r="AI72" s="460"/>
      <c r="AJ72" s="459"/>
      <c r="AK72" s="460"/>
      <c r="AL72" s="459"/>
      <c r="AM72" s="460"/>
      <c r="AN72" s="459"/>
      <c r="AO72" s="460"/>
      <c r="AP72" s="459"/>
      <c r="AQ72" s="460"/>
      <c r="AR72" s="459"/>
      <c r="AS72" s="460"/>
      <c r="AT72" s="80"/>
    </row>
    <row r="73" spans="2:46" x14ac:dyDescent="0.3">
      <c r="B73" s="672"/>
      <c r="C73" s="669"/>
      <c r="D73" s="13"/>
      <c r="E73" s="4"/>
      <c r="F73" s="459"/>
      <c r="G73" s="460"/>
      <c r="H73" s="459"/>
      <c r="I73" s="460"/>
      <c r="J73" s="459"/>
      <c r="K73" s="460"/>
      <c r="L73" s="459"/>
      <c r="M73" s="460"/>
      <c r="N73" s="459"/>
      <c r="O73" s="460"/>
      <c r="P73" s="459"/>
      <c r="Q73" s="460"/>
      <c r="R73" s="459"/>
      <c r="S73" s="460"/>
      <c r="T73" s="459"/>
      <c r="U73" s="460"/>
      <c r="V73" s="459"/>
      <c r="W73" s="460"/>
      <c r="X73" s="459"/>
      <c r="Y73" s="460"/>
      <c r="Z73" s="459"/>
      <c r="AA73" s="460"/>
      <c r="AB73" s="459"/>
      <c r="AC73" s="460"/>
      <c r="AD73" s="459"/>
      <c r="AE73" s="460"/>
      <c r="AF73" s="459"/>
      <c r="AG73" s="460"/>
      <c r="AH73" s="459"/>
      <c r="AI73" s="460"/>
      <c r="AJ73" s="459"/>
      <c r="AK73" s="460"/>
      <c r="AL73" s="459"/>
      <c r="AM73" s="460"/>
      <c r="AN73" s="459"/>
      <c r="AO73" s="460"/>
      <c r="AP73" s="459"/>
      <c r="AQ73" s="460"/>
      <c r="AR73" s="459"/>
      <c r="AS73" s="460"/>
      <c r="AT73" s="80"/>
    </row>
    <row r="74" spans="2:46" x14ac:dyDescent="0.3">
      <c r="B74" s="672"/>
      <c r="C74" s="669"/>
      <c r="D74" s="13"/>
      <c r="E74" s="4"/>
      <c r="F74" s="459"/>
      <c r="G74" s="460"/>
      <c r="H74" s="459"/>
      <c r="I74" s="460"/>
      <c r="J74" s="459"/>
      <c r="K74" s="460"/>
      <c r="L74" s="459"/>
      <c r="M74" s="460"/>
      <c r="N74" s="459"/>
      <c r="O74" s="460"/>
      <c r="P74" s="459"/>
      <c r="Q74" s="460"/>
      <c r="R74" s="459"/>
      <c r="S74" s="460"/>
      <c r="T74" s="459"/>
      <c r="U74" s="460"/>
      <c r="V74" s="459"/>
      <c r="W74" s="460"/>
      <c r="X74" s="459"/>
      <c r="Y74" s="460"/>
      <c r="Z74" s="459"/>
      <c r="AA74" s="460"/>
      <c r="AB74" s="459"/>
      <c r="AC74" s="460"/>
      <c r="AD74" s="459"/>
      <c r="AE74" s="460"/>
      <c r="AF74" s="459"/>
      <c r="AG74" s="460"/>
      <c r="AH74" s="459"/>
      <c r="AI74" s="460"/>
      <c r="AJ74" s="459"/>
      <c r="AK74" s="460"/>
      <c r="AL74" s="459"/>
      <c r="AM74" s="460"/>
      <c r="AN74" s="459"/>
      <c r="AO74" s="460"/>
      <c r="AP74" s="459"/>
      <c r="AQ74" s="460"/>
      <c r="AR74" s="459"/>
      <c r="AS74" s="460"/>
      <c r="AT74" s="80"/>
    </row>
    <row r="75" spans="2:46" x14ac:dyDescent="0.3">
      <c r="B75" s="672"/>
      <c r="C75" s="669"/>
      <c r="D75" s="13"/>
      <c r="E75" s="4"/>
      <c r="F75" s="459"/>
      <c r="G75" s="460"/>
      <c r="H75" s="459"/>
      <c r="I75" s="460"/>
      <c r="J75" s="459"/>
      <c r="K75" s="460"/>
      <c r="L75" s="459"/>
      <c r="M75" s="460"/>
      <c r="N75" s="459"/>
      <c r="O75" s="460"/>
      <c r="P75" s="459"/>
      <c r="Q75" s="460"/>
      <c r="R75" s="459"/>
      <c r="S75" s="460"/>
      <c r="T75" s="459"/>
      <c r="U75" s="460"/>
      <c r="V75" s="459"/>
      <c r="W75" s="460"/>
      <c r="X75" s="459"/>
      <c r="Y75" s="460"/>
      <c r="Z75" s="459"/>
      <c r="AA75" s="460"/>
      <c r="AB75" s="459"/>
      <c r="AC75" s="460"/>
      <c r="AD75" s="459"/>
      <c r="AE75" s="460"/>
      <c r="AF75" s="459"/>
      <c r="AG75" s="460"/>
      <c r="AH75" s="459"/>
      <c r="AI75" s="460"/>
      <c r="AJ75" s="459"/>
      <c r="AK75" s="460"/>
      <c r="AL75" s="459"/>
      <c r="AM75" s="460"/>
      <c r="AN75" s="459"/>
      <c r="AO75" s="460"/>
      <c r="AP75" s="459"/>
      <c r="AQ75" s="460"/>
      <c r="AR75" s="459"/>
      <c r="AS75" s="460"/>
      <c r="AT75" s="80"/>
    </row>
    <row r="76" spans="2:46" x14ac:dyDescent="0.3">
      <c r="B76" s="672"/>
      <c r="C76" s="669"/>
      <c r="D76" s="13"/>
      <c r="E76" s="4"/>
      <c r="F76" s="459"/>
      <c r="G76" s="460"/>
      <c r="H76" s="459"/>
      <c r="I76" s="460"/>
      <c r="J76" s="459"/>
      <c r="K76" s="460"/>
      <c r="L76" s="459"/>
      <c r="M76" s="460"/>
      <c r="N76" s="459"/>
      <c r="O76" s="460"/>
      <c r="P76" s="459"/>
      <c r="Q76" s="460"/>
      <c r="R76" s="459"/>
      <c r="S76" s="460"/>
      <c r="T76" s="459"/>
      <c r="U76" s="460"/>
      <c r="V76" s="459"/>
      <c r="W76" s="460"/>
      <c r="X76" s="459"/>
      <c r="Y76" s="460"/>
      <c r="Z76" s="459"/>
      <c r="AA76" s="460"/>
      <c r="AB76" s="459"/>
      <c r="AC76" s="460"/>
      <c r="AD76" s="459"/>
      <c r="AE76" s="460"/>
      <c r="AF76" s="459"/>
      <c r="AG76" s="460"/>
      <c r="AH76" s="459"/>
      <c r="AI76" s="460"/>
      <c r="AJ76" s="459"/>
      <c r="AK76" s="460"/>
      <c r="AL76" s="459"/>
      <c r="AM76" s="460"/>
      <c r="AN76" s="459"/>
      <c r="AO76" s="460"/>
      <c r="AP76" s="459"/>
      <c r="AQ76" s="460"/>
      <c r="AR76" s="459"/>
      <c r="AS76" s="460"/>
      <c r="AT76" s="80"/>
    </row>
    <row r="77" spans="2:46" x14ac:dyDescent="0.3">
      <c r="B77" s="672"/>
      <c r="C77" s="669">
        <f>C69/2</f>
        <v>7.5</v>
      </c>
      <c r="D77" s="13"/>
      <c r="E77" s="4"/>
      <c r="F77" s="459"/>
      <c r="G77" s="460"/>
      <c r="H77" s="459"/>
      <c r="I77" s="460"/>
      <c r="J77" s="459"/>
      <c r="K77" s="460"/>
      <c r="L77" s="459"/>
      <c r="M77" s="460"/>
      <c r="N77" s="459"/>
      <c r="O77" s="460"/>
      <c r="P77" s="459"/>
      <c r="Q77" s="460"/>
      <c r="R77" s="459"/>
      <c r="S77" s="460"/>
      <c r="T77" s="459"/>
      <c r="U77" s="460"/>
      <c r="V77" s="459"/>
      <c r="W77" s="460"/>
      <c r="X77" s="459"/>
      <c r="Y77" s="460"/>
      <c r="Z77" s="459"/>
      <c r="AA77" s="460"/>
      <c r="AB77" s="459"/>
      <c r="AC77" s="460"/>
      <c r="AD77" s="459"/>
      <c r="AE77" s="460"/>
      <c r="AF77" s="459"/>
      <c r="AG77" s="460"/>
      <c r="AH77" s="459"/>
      <c r="AI77" s="460"/>
      <c r="AJ77" s="459"/>
      <c r="AK77" s="460"/>
      <c r="AL77" s="459"/>
      <c r="AM77" s="460"/>
      <c r="AN77" s="459"/>
      <c r="AO77" s="460"/>
      <c r="AP77" s="459"/>
      <c r="AQ77" s="460"/>
      <c r="AR77" s="459"/>
      <c r="AS77" s="460"/>
      <c r="AT77" s="80"/>
    </row>
    <row r="78" spans="2:46" x14ac:dyDescent="0.3">
      <c r="B78" s="672"/>
      <c r="C78" s="669"/>
      <c r="D78" s="13"/>
      <c r="E78" s="4"/>
      <c r="F78" s="459"/>
      <c r="G78" s="460"/>
      <c r="H78" s="459"/>
      <c r="I78" s="460"/>
      <c r="J78" s="459"/>
      <c r="K78" s="460"/>
      <c r="L78" s="459"/>
      <c r="M78" s="460"/>
      <c r="N78" s="459"/>
      <c r="O78" s="460"/>
      <c r="P78" s="459"/>
      <c r="Q78" s="460"/>
      <c r="R78" s="459"/>
      <c r="S78" s="460"/>
      <c r="T78" s="459"/>
      <c r="U78" s="460"/>
      <c r="V78" s="459"/>
      <c r="W78" s="460"/>
      <c r="X78" s="459"/>
      <c r="Y78" s="460"/>
      <c r="Z78" s="459"/>
      <c r="AA78" s="460"/>
      <c r="AB78" s="459"/>
      <c r="AC78" s="460"/>
      <c r="AD78" s="459"/>
      <c r="AE78" s="460"/>
      <c r="AF78" s="459"/>
      <c r="AG78" s="460"/>
      <c r="AH78" s="459"/>
      <c r="AI78" s="460"/>
      <c r="AJ78" s="459"/>
      <c r="AK78" s="460"/>
      <c r="AL78" s="459"/>
      <c r="AM78" s="460"/>
      <c r="AN78" s="459"/>
      <c r="AO78" s="460"/>
      <c r="AP78" s="459"/>
      <c r="AQ78" s="460"/>
      <c r="AR78" s="459"/>
      <c r="AS78" s="460"/>
      <c r="AT78" s="80"/>
    </row>
    <row r="79" spans="2:46" x14ac:dyDescent="0.3">
      <c r="B79" s="672"/>
      <c r="C79" s="669"/>
      <c r="D79" s="13"/>
      <c r="E79" s="4"/>
      <c r="F79" s="459"/>
      <c r="G79" s="460"/>
      <c r="H79" s="459"/>
      <c r="I79" s="460"/>
      <c r="J79" s="459"/>
      <c r="K79" s="460"/>
      <c r="L79" s="459"/>
      <c r="M79" s="460"/>
      <c r="N79" s="459"/>
      <c r="O79" s="460"/>
      <c r="P79" s="459"/>
      <c r="Q79" s="460"/>
      <c r="R79" s="459"/>
      <c r="S79" s="460"/>
      <c r="T79" s="459"/>
      <c r="U79" s="460"/>
      <c r="V79" s="459"/>
      <c r="W79" s="460"/>
      <c r="X79" s="459"/>
      <c r="Y79" s="460"/>
      <c r="Z79" s="459"/>
      <c r="AA79" s="460"/>
      <c r="AB79" s="459"/>
      <c r="AC79" s="460"/>
      <c r="AD79" s="459"/>
      <c r="AE79" s="460"/>
      <c r="AF79" s="459"/>
      <c r="AG79" s="460"/>
      <c r="AH79" s="459"/>
      <c r="AI79" s="460"/>
      <c r="AJ79" s="459"/>
      <c r="AK79" s="460"/>
      <c r="AL79" s="459"/>
      <c r="AM79" s="460"/>
      <c r="AN79" s="459"/>
      <c r="AO79" s="460"/>
      <c r="AP79" s="459"/>
      <c r="AQ79" s="460"/>
      <c r="AR79" s="459"/>
      <c r="AS79" s="460"/>
      <c r="AT79" s="80"/>
    </row>
    <row r="80" spans="2:46" x14ac:dyDescent="0.3">
      <c r="B80" s="672"/>
      <c r="C80" s="669"/>
      <c r="D80" s="13"/>
      <c r="E80" s="4"/>
      <c r="F80" s="459"/>
      <c r="G80" s="460"/>
      <c r="H80" s="459"/>
      <c r="I80" s="460"/>
      <c r="J80" s="459"/>
      <c r="K80" s="460"/>
      <c r="L80" s="459"/>
      <c r="M80" s="460"/>
      <c r="N80" s="459"/>
      <c r="O80" s="460"/>
      <c r="P80" s="459"/>
      <c r="Q80" s="460"/>
      <c r="R80" s="459"/>
      <c r="S80" s="460"/>
      <c r="T80" s="459"/>
      <c r="U80" s="460"/>
      <c r="V80" s="459"/>
      <c r="W80" s="460"/>
      <c r="X80" s="459"/>
      <c r="Y80" s="460"/>
      <c r="Z80" s="459"/>
      <c r="AA80" s="460"/>
      <c r="AB80" s="459"/>
      <c r="AC80" s="460"/>
      <c r="AD80" s="459"/>
      <c r="AE80" s="460"/>
      <c r="AF80" s="459"/>
      <c r="AG80" s="460"/>
      <c r="AH80" s="459"/>
      <c r="AI80" s="460"/>
      <c r="AJ80" s="459"/>
      <c r="AK80" s="460"/>
      <c r="AL80" s="459"/>
      <c r="AM80" s="460"/>
      <c r="AN80" s="459"/>
      <c r="AO80" s="460"/>
      <c r="AP80" s="459"/>
      <c r="AQ80" s="460"/>
      <c r="AR80" s="459"/>
      <c r="AS80" s="460"/>
      <c r="AT80" s="80"/>
    </row>
    <row r="81" spans="2:46" x14ac:dyDescent="0.3">
      <c r="B81" s="672"/>
      <c r="C81" s="669">
        <f>C77/2</f>
        <v>3.75</v>
      </c>
      <c r="D81" s="13"/>
      <c r="E81" s="4"/>
      <c r="F81" s="459"/>
      <c r="G81" s="460"/>
      <c r="H81" s="459"/>
      <c r="I81" s="460"/>
      <c r="J81" s="459"/>
      <c r="K81" s="460"/>
      <c r="L81" s="459"/>
      <c r="M81" s="460"/>
      <c r="N81" s="459"/>
      <c r="O81" s="460"/>
      <c r="P81" s="459"/>
      <c r="Q81" s="460"/>
      <c r="R81" s="459"/>
      <c r="S81" s="460"/>
      <c r="T81" s="459"/>
      <c r="U81" s="460"/>
      <c r="V81" s="459"/>
      <c r="W81" s="460"/>
      <c r="X81" s="459"/>
      <c r="Y81" s="460"/>
      <c r="Z81" s="459"/>
      <c r="AA81" s="460"/>
      <c r="AB81" s="459"/>
      <c r="AC81" s="460"/>
      <c r="AD81" s="459"/>
      <c r="AE81" s="460"/>
      <c r="AF81" s="459"/>
      <c r="AG81" s="460"/>
      <c r="AH81" s="459"/>
      <c r="AI81" s="460"/>
      <c r="AJ81" s="459"/>
      <c r="AK81" s="460"/>
      <c r="AL81" s="459"/>
      <c r="AM81" s="460"/>
      <c r="AN81" s="459"/>
      <c r="AO81" s="460"/>
      <c r="AP81" s="459"/>
      <c r="AQ81" s="460"/>
      <c r="AR81" s="459"/>
      <c r="AS81" s="460"/>
      <c r="AT81" s="80"/>
    </row>
    <row r="82" spans="2:46" x14ac:dyDescent="0.3">
      <c r="B82" s="672"/>
      <c r="C82" s="669"/>
      <c r="D82" s="13"/>
      <c r="E82" s="4"/>
      <c r="F82" s="459"/>
      <c r="G82" s="460"/>
      <c r="H82" s="459"/>
      <c r="I82" s="460"/>
      <c r="J82" s="459"/>
      <c r="K82" s="460"/>
      <c r="L82" s="459"/>
      <c r="M82" s="460"/>
      <c r="N82" s="459"/>
      <c r="O82" s="460"/>
      <c r="P82" s="459"/>
      <c r="Q82" s="460"/>
      <c r="R82" s="459"/>
      <c r="S82" s="460"/>
      <c r="T82" s="459"/>
      <c r="U82" s="460"/>
      <c r="V82" s="459"/>
      <c r="W82" s="460"/>
      <c r="X82" s="459"/>
      <c r="Y82" s="460"/>
      <c r="Z82" s="459"/>
      <c r="AA82" s="460"/>
      <c r="AB82" s="459"/>
      <c r="AC82" s="460"/>
      <c r="AD82" s="459"/>
      <c r="AE82" s="460"/>
      <c r="AF82" s="459"/>
      <c r="AG82" s="460"/>
      <c r="AH82" s="459"/>
      <c r="AI82" s="460"/>
      <c r="AJ82" s="459"/>
      <c r="AK82" s="460"/>
      <c r="AL82" s="459"/>
      <c r="AM82" s="460"/>
      <c r="AN82" s="459"/>
      <c r="AO82" s="460"/>
      <c r="AP82" s="459"/>
      <c r="AQ82" s="460"/>
      <c r="AR82" s="459"/>
      <c r="AS82" s="460"/>
      <c r="AT82" s="80"/>
    </row>
    <row r="83" spans="2:46" x14ac:dyDescent="0.3">
      <c r="B83" s="672"/>
      <c r="C83" s="675"/>
      <c r="D83" s="3"/>
      <c r="E83" s="8"/>
      <c r="F83" s="459"/>
      <c r="G83" s="460"/>
      <c r="H83" s="459"/>
      <c r="I83" s="460"/>
      <c r="J83" s="459"/>
      <c r="K83" s="460"/>
      <c r="L83" s="459"/>
      <c r="M83" s="460"/>
      <c r="N83" s="459"/>
      <c r="O83" s="460"/>
      <c r="P83" s="459"/>
      <c r="Q83" s="460"/>
      <c r="R83" s="459"/>
      <c r="S83" s="460"/>
      <c r="T83" s="459"/>
      <c r="U83" s="460"/>
      <c r="V83" s="459"/>
      <c r="W83" s="460"/>
      <c r="X83" s="459"/>
      <c r="Y83" s="460"/>
      <c r="Z83" s="459"/>
      <c r="AA83" s="460"/>
      <c r="AB83" s="459"/>
      <c r="AC83" s="460"/>
      <c r="AD83" s="459"/>
      <c r="AE83" s="460"/>
      <c r="AF83" s="459"/>
      <c r="AG83" s="460"/>
      <c r="AH83" s="459"/>
      <c r="AI83" s="460"/>
      <c r="AJ83" s="459"/>
      <c r="AK83" s="460"/>
      <c r="AL83" s="459"/>
      <c r="AM83" s="460"/>
      <c r="AN83" s="459"/>
      <c r="AO83" s="460"/>
      <c r="AP83" s="459"/>
      <c r="AQ83" s="460"/>
      <c r="AR83" s="459"/>
      <c r="AS83" s="460"/>
      <c r="AT83" s="76"/>
    </row>
    <row r="84" spans="2:46" ht="15" thickBot="1" x14ac:dyDescent="0.35">
      <c r="B84" s="673"/>
      <c r="C84" s="676"/>
      <c r="D84" s="85"/>
      <c r="E84" s="86"/>
      <c r="F84" s="494"/>
      <c r="G84" s="495"/>
      <c r="H84" s="494"/>
      <c r="I84" s="495"/>
      <c r="J84" s="494"/>
      <c r="K84" s="495"/>
      <c r="L84" s="494"/>
      <c r="M84" s="495"/>
      <c r="N84" s="494"/>
      <c r="O84" s="495"/>
      <c r="P84" s="494"/>
      <c r="Q84" s="495"/>
      <c r="R84" s="494"/>
      <c r="S84" s="495"/>
      <c r="T84" s="494"/>
      <c r="U84" s="495"/>
      <c r="V84" s="494"/>
      <c r="W84" s="495"/>
      <c r="X84" s="494"/>
      <c r="Y84" s="495"/>
      <c r="Z84" s="494"/>
      <c r="AA84" s="495"/>
      <c r="AB84" s="494"/>
      <c r="AC84" s="495"/>
      <c r="AD84" s="494"/>
      <c r="AE84" s="495"/>
      <c r="AF84" s="494"/>
      <c r="AG84" s="495"/>
      <c r="AH84" s="494"/>
      <c r="AI84" s="495"/>
      <c r="AJ84" s="494"/>
      <c r="AK84" s="495"/>
      <c r="AL84" s="494"/>
      <c r="AM84" s="495"/>
      <c r="AN84" s="494"/>
      <c r="AO84" s="495"/>
      <c r="AP84" s="494"/>
      <c r="AQ84" s="495"/>
      <c r="AR84" s="494"/>
      <c r="AS84" s="495"/>
      <c r="AT84" s="87"/>
    </row>
    <row r="85" spans="2:46" s="48" customFormat="1" ht="26.4" thickTop="1" x14ac:dyDescent="0.5">
      <c r="E85" s="493">
        <v>1</v>
      </c>
      <c r="F85" s="493"/>
      <c r="G85" s="493">
        <v>2</v>
      </c>
      <c r="H85" s="493"/>
      <c r="I85" s="493">
        <v>3</v>
      </c>
      <c r="J85" s="493"/>
      <c r="K85" s="493">
        <v>4</v>
      </c>
      <c r="L85" s="493"/>
      <c r="M85" s="493">
        <v>5</v>
      </c>
      <c r="N85" s="493"/>
      <c r="O85" s="493">
        <v>6</v>
      </c>
      <c r="P85" s="493"/>
      <c r="Q85" s="493">
        <v>7</v>
      </c>
      <c r="R85" s="493"/>
      <c r="S85" s="493">
        <v>8</v>
      </c>
      <c r="T85" s="493"/>
      <c r="U85" s="493">
        <v>9</v>
      </c>
      <c r="V85" s="493"/>
      <c r="W85" s="493">
        <v>10</v>
      </c>
      <c r="X85" s="493"/>
      <c r="Y85" s="493">
        <v>11</v>
      </c>
      <c r="Z85" s="493"/>
      <c r="AA85" s="493">
        <v>12</v>
      </c>
      <c r="AB85" s="493"/>
      <c r="AC85" s="493">
        <v>13</v>
      </c>
      <c r="AD85" s="493"/>
      <c r="AE85" s="493">
        <v>14</v>
      </c>
      <c r="AF85" s="493"/>
      <c r="AG85" s="493">
        <v>15</v>
      </c>
      <c r="AH85" s="493"/>
      <c r="AI85" s="493">
        <v>16</v>
      </c>
      <c r="AJ85" s="493"/>
      <c r="AK85" s="493">
        <v>17</v>
      </c>
      <c r="AL85" s="493"/>
      <c r="AM85" s="493">
        <v>18</v>
      </c>
      <c r="AN85" s="493"/>
      <c r="AO85" s="493">
        <v>19</v>
      </c>
      <c r="AP85" s="493"/>
      <c r="AQ85" s="493">
        <v>20</v>
      </c>
      <c r="AR85" s="493"/>
      <c r="AS85" s="493">
        <v>21</v>
      </c>
      <c r="AT85" s="493"/>
    </row>
    <row r="86" spans="2:46" s="47" customFormat="1" ht="29.4" thickBot="1" x14ac:dyDescent="0.55000000000000004">
      <c r="B86" s="99" t="s">
        <v>91</v>
      </c>
      <c r="C86" s="99"/>
      <c r="D86" s="99"/>
      <c r="E86" s="99"/>
      <c r="F86" s="99"/>
      <c r="G86" s="99"/>
      <c r="H86" s="99" t="s">
        <v>88</v>
      </c>
      <c r="I86" s="99"/>
      <c r="J86" s="99"/>
      <c r="K86" s="99"/>
      <c r="L86" s="99"/>
      <c r="M86" s="99"/>
      <c r="N86" s="99"/>
      <c r="O86" s="99"/>
      <c r="P86" s="99"/>
      <c r="Q86" s="99"/>
      <c r="R86" s="99"/>
      <c r="S86" s="99"/>
      <c r="T86" s="99"/>
      <c r="U86" s="99"/>
      <c r="V86" s="99"/>
      <c r="W86" s="99"/>
      <c r="X86" s="99"/>
      <c r="Y86" s="99"/>
      <c r="Z86" s="99"/>
      <c r="AA86" s="99"/>
      <c r="AB86" s="100" t="s">
        <v>8</v>
      </c>
      <c r="AC86" s="99"/>
      <c r="AD86" s="496" t="s">
        <v>9</v>
      </c>
      <c r="AE86" s="496"/>
      <c r="AF86" s="496"/>
      <c r="AG86" s="496"/>
      <c r="AH86" s="99"/>
      <c r="AI86" s="99"/>
      <c r="AJ86" s="497" t="s">
        <v>10</v>
      </c>
      <c r="AK86" s="497"/>
      <c r="AL86" s="497"/>
      <c r="AM86" s="497"/>
      <c r="AN86" s="99"/>
      <c r="AO86" s="99"/>
      <c r="AP86" s="498" t="s">
        <v>11</v>
      </c>
      <c r="AQ86" s="498"/>
      <c r="AR86" s="498"/>
      <c r="AS86" s="498"/>
    </row>
    <row r="87" spans="2:46" s="48" customFormat="1" ht="25.8" x14ac:dyDescent="0.5"/>
    <row r="88" spans="2:46" s="48" customFormat="1" ht="25.8" x14ac:dyDescent="0.5"/>
    <row r="89" spans="2:46" x14ac:dyDescent="0.3">
      <c r="B89" s="23"/>
    </row>
  </sheetData>
  <mergeCells count="1614">
    <mergeCell ref="C83:C84"/>
    <mergeCell ref="F83:G83"/>
    <mergeCell ref="H83:I83"/>
    <mergeCell ref="J83:K83"/>
    <mergeCell ref="L83:M83"/>
    <mergeCell ref="AL83:AM83"/>
    <mergeCell ref="AN83:AO83"/>
    <mergeCell ref="AP83:AQ83"/>
    <mergeCell ref="AR83:AS83"/>
    <mergeCell ref="AR84:AS84"/>
    <mergeCell ref="AJ84:AK84"/>
    <mergeCell ref="AL84:AM84"/>
    <mergeCell ref="AN84:AO84"/>
    <mergeCell ref="R84:S84"/>
    <mergeCell ref="T84:U84"/>
    <mergeCell ref="V84:W84"/>
    <mergeCell ref="X84:Y84"/>
    <mergeCell ref="Z84:AA84"/>
    <mergeCell ref="AB84:AC84"/>
    <mergeCell ref="F84:G84"/>
    <mergeCell ref="H84:I84"/>
    <mergeCell ref="J84:K84"/>
    <mergeCell ref="L84:M84"/>
    <mergeCell ref="N84:O84"/>
    <mergeCell ref="P84:Q84"/>
    <mergeCell ref="E85:F85"/>
    <mergeCell ref="G85:H85"/>
    <mergeCell ref="I85:J85"/>
    <mergeCell ref="K85:L85"/>
    <mergeCell ref="M85:N85"/>
    <mergeCell ref="O85:P85"/>
    <mergeCell ref="Q85:R85"/>
    <mergeCell ref="S85:T85"/>
    <mergeCell ref="AD84:AE84"/>
    <mergeCell ref="AF84:AG84"/>
    <mergeCell ref="AH84:AI84"/>
    <mergeCell ref="AD86:AG86"/>
    <mergeCell ref="AJ86:AM86"/>
    <mergeCell ref="AP86:AS86"/>
    <mergeCell ref="AG85:AH85"/>
    <mergeCell ref="AI85:AJ85"/>
    <mergeCell ref="AK85:AL85"/>
    <mergeCell ref="AM85:AN85"/>
    <mergeCell ref="AO85:AP85"/>
    <mergeCell ref="AQ85:AR85"/>
    <mergeCell ref="U85:V85"/>
    <mergeCell ref="W85:X85"/>
    <mergeCell ref="Y85:Z85"/>
    <mergeCell ref="AA85:AB85"/>
    <mergeCell ref="AC85:AD85"/>
    <mergeCell ref="AE85:AF85"/>
    <mergeCell ref="AP84:AQ84"/>
    <mergeCell ref="AS85:AT85"/>
    <mergeCell ref="X81:Y81"/>
    <mergeCell ref="Z81:AA81"/>
    <mergeCell ref="AB81:AC81"/>
    <mergeCell ref="AD81:AE81"/>
    <mergeCell ref="Z83:AA83"/>
    <mergeCell ref="AB83:AC83"/>
    <mergeCell ref="AD83:AE83"/>
    <mergeCell ref="AF83:AG83"/>
    <mergeCell ref="AH83:AI83"/>
    <mergeCell ref="AJ83:AK83"/>
    <mergeCell ref="N83:O83"/>
    <mergeCell ref="P83:Q83"/>
    <mergeCell ref="R83:S83"/>
    <mergeCell ref="T83:U83"/>
    <mergeCell ref="V83:W83"/>
    <mergeCell ref="X83:Y83"/>
    <mergeCell ref="X82:Y82"/>
    <mergeCell ref="Z82:AA82"/>
    <mergeCell ref="AB82:AC82"/>
    <mergeCell ref="AD82:AE82"/>
    <mergeCell ref="AF82:AG82"/>
    <mergeCell ref="AH82:AI82"/>
    <mergeCell ref="X80:Y80"/>
    <mergeCell ref="Z80:AA80"/>
    <mergeCell ref="AR82:AS82"/>
    <mergeCell ref="AB80:AC80"/>
    <mergeCell ref="AJ82:AK82"/>
    <mergeCell ref="AL82:AM82"/>
    <mergeCell ref="AN82:AO82"/>
    <mergeCell ref="AP82:AQ82"/>
    <mergeCell ref="F80:G80"/>
    <mergeCell ref="H80:I80"/>
    <mergeCell ref="J80:K80"/>
    <mergeCell ref="L80:M80"/>
    <mergeCell ref="N80:O80"/>
    <mergeCell ref="P80:Q80"/>
    <mergeCell ref="AR81:AS81"/>
    <mergeCell ref="F82:G82"/>
    <mergeCell ref="H82:I82"/>
    <mergeCell ref="J82:K82"/>
    <mergeCell ref="L82:M82"/>
    <mergeCell ref="N82:O82"/>
    <mergeCell ref="P82:Q82"/>
    <mergeCell ref="R82:S82"/>
    <mergeCell ref="T82:U82"/>
    <mergeCell ref="V82:W82"/>
    <mergeCell ref="AF81:AG81"/>
    <mergeCell ref="AH81:AI81"/>
    <mergeCell ref="AJ81:AK81"/>
    <mergeCell ref="AL81:AM81"/>
    <mergeCell ref="AN81:AO81"/>
    <mergeCell ref="AP81:AQ81"/>
    <mergeCell ref="T81:U81"/>
    <mergeCell ref="V81:W81"/>
    <mergeCell ref="AP78:AQ78"/>
    <mergeCell ref="AR77:AS77"/>
    <mergeCell ref="C79:C80"/>
    <mergeCell ref="F79:G79"/>
    <mergeCell ref="H79:I79"/>
    <mergeCell ref="J79:K79"/>
    <mergeCell ref="L79:M79"/>
    <mergeCell ref="X78:Y78"/>
    <mergeCell ref="Z78:AA78"/>
    <mergeCell ref="AB78:AC78"/>
    <mergeCell ref="AD78:AE78"/>
    <mergeCell ref="AF78:AG78"/>
    <mergeCell ref="AH78:AI78"/>
    <mergeCell ref="AP80:AQ80"/>
    <mergeCell ref="AR80:AS80"/>
    <mergeCell ref="C81:C82"/>
    <mergeCell ref="F81:G81"/>
    <mergeCell ref="H81:I81"/>
    <mergeCell ref="J81:K81"/>
    <mergeCell ref="L81:M81"/>
    <mergeCell ref="N81:O81"/>
    <mergeCell ref="P81:Q81"/>
    <mergeCell ref="R81:S81"/>
    <mergeCell ref="AD80:AE80"/>
    <mergeCell ref="AF80:AG80"/>
    <mergeCell ref="AH80:AI80"/>
    <mergeCell ref="AJ80:AK80"/>
    <mergeCell ref="AL80:AM80"/>
    <mergeCell ref="AN80:AO80"/>
    <mergeCell ref="R80:S80"/>
    <mergeCell ref="T80:U80"/>
    <mergeCell ref="V80:W80"/>
    <mergeCell ref="AP77:AQ77"/>
    <mergeCell ref="C77:C78"/>
    <mergeCell ref="F77:G77"/>
    <mergeCell ref="H77:I77"/>
    <mergeCell ref="J77:K77"/>
    <mergeCell ref="L77:M77"/>
    <mergeCell ref="N77:O77"/>
    <mergeCell ref="P77:Q77"/>
    <mergeCell ref="R77:S77"/>
    <mergeCell ref="AL79:AM79"/>
    <mergeCell ref="AN79:AO79"/>
    <mergeCell ref="AP79:AQ79"/>
    <mergeCell ref="AR79:AS79"/>
    <mergeCell ref="T77:U77"/>
    <mergeCell ref="V77:W77"/>
    <mergeCell ref="X77:Y77"/>
    <mergeCell ref="Z77:AA77"/>
    <mergeCell ref="AB77:AC77"/>
    <mergeCell ref="AD77:AE77"/>
    <mergeCell ref="Z79:AA79"/>
    <mergeCell ref="AB79:AC79"/>
    <mergeCell ref="AD79:AE79"/>
    <mergeCell ref="AF79:AG79"/>
    <mergeCell ref="AH79:AI79"/>
    <mergeCell ref="AJ79:AK79"/>
    <mergeCell ref="N79:O79"/>
    <mergeCell ref="P79:Q79"/>
    <mergeCell ref="R79:S79"/>
    <mergeCell ref="T79:U79"/>
    <mergeCell ref="V79:W79"/>
    <mergeCell ref="X79:Y79"/>
    <mergeCell ref="AR78:AS78"/>
    <mergeCell ref="Z76:AA76"/>
    <mergeCell ref="AB76:AC76"/>
    <mergeCell ref="AJ78:AK78"/>
    <mergeCell ref="AL78:AM78"/>
    <mergeCell ref="AN78:AO78"/>
    <mergeCell ref="AL75:AM75"/>
    <mergeCell ref="AN75:AO75"/>
    <mergeCell ref="F78:G78"/>
    <mergeCell ref="H78:I78"/>
    <mergeCell ref="J78:K78"/>
    <mergeCell ref="L78:M78"/>
    <mergeCell ref="N78:O78"/>
    <mergeCell ref="P78:Q78"/>
    <mergeCell ref="R78:S78"/>
    <mergeCell ref="T78:U78"/>
    <mergeCell ref="V78:W78"/>
    <mergeCell ref="AF77:AG77"/>
    <mergeCell ref="AH77:AI77"/>
    <mergeCell ref="AJ77:AK77"/>
    <mergeCell ref="AL77:AM77"/>
    <mergeCell ref="AN77:AO77"/>
    <mergeCell ref="AP75:AQ75"/>
    <mergeCell ref="AR75:AS75"/>
    <mergeCell ref="F76:G76"/>
    <mergeCell ref="H76:I76"/>
    <mergeCell ref="J76:K76"/>
    <mergeCell ref="L76:M76"/>
    <mergeCell ref="N76:O76"/>
    <mergeCell ref="P76:Q76"/>
    <mergeCell ref="Z75:AA75"/>
    <mergeCell ref="AB75:AC75"/>
    <mergeCell ref="AD75:AE75"/>
    <mergeCell ref="AF75:AG75"/>
    <mergeCell ref="AH75:AI75"/>
    <mergeCell ref="AJ75:AK75"/>
    <mergeCell ref="N75:O75"/>
    <mergeCell ref="P75:Q75"/>
    <mergeCell ref="R75:S75"/>
    <mergeCell ref="T75:U75"/>
    <mergeCell ref="V75:W75"/>
    <mergeCell ref="X75:Y75"/>
    <mergeCell ref="AP76:AQ76"/>
    <mergeCell ref="AR76:AS76"/>
    <mergeCell ref="AD76:AE76"/>
    <mergeCell ref="AF76:AG76"/>
    <mergeCell ref="AH76:AI76"/>
    <mergeCell ref="AJ76:AK76"/>
    <mergeCell ref="AL76:AM76"/>
    <mergeCell ref="AN76:AO76"/>
    <mergeCell ref="R76:S76"/>
    <mergeCell ref="T76:U76"/>
    <mergeCell ref="V76:W76"/>
    <mergeCell ref="X76:Y76"/>
    <mergeCell ref="AJ74:AK74"/>
    <mergeCell ref="AL74:AM74"/>
    <mergeCell ref="AN74:AO74"/>
    <mergeCell ref="AP74:AQ74"/>
    <mergeCell ref="AR74:AS74"/>
    <mergeCell ref="C75:C76"/>
    <mergeCell ref="F75:G75"/>
    <mergeCell ref="H75:I75"/>
    <mergeCell ref="J75:K75"/>
    <mergeCell ref="L75:M75"/>
    <mergeCell ref="X74:Y74"/>
    <mergeCell ref="Z74:AA74"/>
    <mergeCell ref="AB74:AC74"/>
    <mergeCell ref="AD74:AE74"/>
    <mergeCell ref="AF74:AG74"/>
    <mergeCell ref="AH74:AI74"/>
    <mergeCell ref="AR73:AS73"/>
    <mergeCell ref="F74:G74"/>
    <mergeCell ref="H74:I74"/>
    <mergeCell ref="J74:K74"/>
    <mergeCell ref="L74:M74"/>
    <mergeCell ref="N74:O74"/>
    <mergeCell ref="P74:Q74"/>
    <mergeCell ref="R74:S74"/>
    <mergeCell ref="T74:U74"/>
    <mergeCell ref="V74:W74"/>
    <mergeCell ref="AF73:AG73"/>
    <mergeCell ref="AH73:AI73"/>
    <mergeCell ref="AJ73:AK73"/>
    <mergeCell ref="AL73:AM73"/>
    <mergeCell ref="AN73:AO73"/>
    <mergeCell ref="AP73:AQ73"/>
    <mergeCell ref="T73:U73"/>
    <mergeCell ref="V73:W73"/>
    <mergeCell ref="X73:Y73"/>
    <mergeCell ref="Z73:AA73"/>
    <mergeCell ref="AB73:AC73"/>
    <mergeCell ref="AD73:AE73"/>
    <mergeCell ref="AP72:AQ72"/>
    <mergeCell ref="AR72:AS72"/>
    <mergeCell ref="C73:C74"/>
    <mergeCell ref="F73:G73"/>
    <mergeCell ref="H73:I73"/>
    <mergeCell ref="J73:K73"/>
    <mergeCell ref="L73:M73"/>
    <mergeCell ref="N73:O73"/>
    <mergeCell ref="P73:Q73"/>
    <mergeCell ref="R73:S73"/>
    <mergeCell ref="AD72:AE72"/>
    <mergeCell ref="AF72:AG72"/>
    <mergeCell ref="AH72:AI72"/>
    <mergeCell ref="AJ72:AK72"/>
    <mergeCell ref="AL72:AM72"/>
    <mergeCell ref="AN72:AO72"/>
    <mergeCell ref="R72:S72"/>
    <mergeCell ref="T72:U72"/>
    <mergeCell ref="V72:W72"/>
    <mergeCell ref="X72:Y72"/>
    <mergeCell ref="Z72:AA72"/>
    <mergeCell ref="AB72:AC72"/>
    <mergeCell ref="F72:G72"/>
    <mergeCell ref="H72:I72"/>
    <mergeCell ref="J72:K72"/>
    <mergeCell ref="L72:M72"/>
    <mergeCell ref="N72:O72"/>
    <mergeCell ref="P72:Q72"/>
    <mergeCell ref="AH71:AI71"/>
    <mergeCell ref="AJ71:AK71"/>
    <mergeCell ref="AL71:AM71"/>
    <mergeCell ref="AN71:AO71"/>
    <mergeCell ref="AP71:AQ71"/>
    <mergeCell ref="AR71:AS71"/>
    <mergeCell ref="V71:W71"/>
    <mergeCell ref="X71:Y71"/>
    <mergeCell ref="Z71:AA71"/>
    <mergeCell ref="AB71:AC71"/>
    <mergeCell ref="AD71:AE71"/>
    <mergeCell ref="AF71:AG71"/>
    <mergeCell ref="AP70:AQ70"/>
    <mergeCell ref="AR70:AS70"/>
    <mergeCell ref="F71:G71"/>
    <mergeCell ref="H71:I71"/>
    <mergeCell ref="J71:K71"/>
    <mergeCell ref="L71:M71"/>
    <mergeCell ref="N71:O71"/>
    <mergeCell ref="P71:Q71"/>
    <mergeCell ref="R71:S71"/>
    <mergeCell ref="T71:U71"/>
    <mergeCell ref="AD70:AE70"/>
    <mergeCell ref="AF70:AG70"/>
    <mergeCell ref="AH70:AI70"/>
    <mergeCell ref="AJ70:AK70"/>
    <mergeCell ref="AL70:AM70"/>
    <mergeCell ref="AN70:AO70"/>
    <mergeCell ref="R70:S70"/>
    <mergeCell ref="T70:U70"/>
    <mergeCell ref="AL69:AM69"/>
    <mergeCell ref="AN69:AO69"/>
    <mergeCell ref="AP69:AQ69"/>
    <mergeCell ref="AR69:AS69"/>
    <mergeCell ref="F70:G70"/>
    <mergeCell ref="H70:I70"/>
    <mergeCell ref="J70:K70"/>
    <mergeCell ref="L70:M70"/>
    <mergeCell ref="N70:O70"/>
    <mergeCell ref="P70:Q70"/>
    <mergeCell ref="Z69:AA69"/>
    <mergeCell ref="AB69:AC69"/>
    <mergeCell ref="AD69:AE69"/>
    <mergeCell ref="AF69:AG69"/>
    <mergeCell ref="AH69:AI69"/>
    <mergeCell ref="AJ69:AK69"/>
    <mergeCell ref="N69:O69"/>
    <mergeCell ref="P69:Q69"/>
    <mergeCell ref="R69:S69"/>
    <mergeCell ref="T69:U69"/>
    <mergeCell ref="V69:W69"/>
    <mergeCell ref="X69:Y69"/>
    <mergeCell ref="AR68:AS68"/>
    <mergeCell ref="C69:C72"/>
    <mergeCell ref="F69:G69"/>
    <mergeCell ref="H69:I69"/>
    <mergeCell ref="J69:K69"/>
    <mergeCell ref="L69:M69"/>
    <mergeCell ref="X68:Y68"/>
    <mergeCell ref="Z68:AA68"/>
    <mergeCell ref="AB68:AC68"/>
    <mergeCell ref="AD68:AE68"/>
    <mergeCell ref="AF68:AG68"/>
    <mergeCell ref="AH68:AI68"/>
    <mergeCell ref="AR67:AS67"/>
    <mergeCell ref="F68:G68"/>
    <mergeCell ref="H68:I68"/>
    <mergeCell ref="J68:K68"/>
    <mergeCell ref="L68:M68"/>
    <mergeCell ref="N68:O68"/>
    <mergeCell ref="P68:Q68"/>
    <mergeCell ref="R68:S68"/>
    <mergeCell ref="T68:U68"/>
    <mergeCell ref="V68:W68"/>
    <mergeCell ref="AF67:AG67"/>
    <mergeCell ref="AH67:AI67"/>
    <mergeCell ref="AJ67:AK67"/>
    <mergeCell ref="AL67:AM67"/>
    <mergeCell ref="AN67:AO67"/>
    <mergeCell ref="AP67:AQ67"/>
    <mergeCell ref="V70:W70"/>
    <mergeCell ref="X70:Y70"/>
    <mergeCell ref="Z70:AA70"/>
    <mergeCell ref="AB70:AC70"/>
    <mergeCell ref="T67:U67"/>
    <mergeCell ref="V67:W67"/>
    <mergeCell ref="X67:Y67"/>
    <mergeCell ref="Z67:AA67"/>
    <mergeCell ref="AB67:AC67"/>
    <mergeCell ref="AD67:AE67"/>
    <mergeCell ref="AP66:AQ66"/>
    <mergeCell ref="AR66:AS66"/>
    <mergeCell ref="C67:C68"/>
    <mergeCell ref="F67:G67"/>
    <mergeCell ref="H67:I67"/>
    <mergeCell ref="J67:K67"/>
    <mergeCell ref="L67:M67"/>
    <mergeCell ref="N67:O67"/>
    <mergeCell ref="P67:Q67"/>
    <mergeCell ref="R67:S67"/>
    <mergeCell ref="AD66:AE66"/>
    <mergeCell ref="AF66:AG66"/>
    <mergeCell ref="AH66:AI66"/>
    <mergeCell ref="AJ66:AK66"/>
    <mergeCell ref="AL66:AM66"/>
    <mergeCell ref="AN66:AO66"/>
    <mergeCell ref="R66:S66"/>
    <mergeCell ref="T66:U66"/>
    <mergeCell ref="V66:W66"/>
    <mergeCell ref="X66:Y66"/>
    <mergeCell ref="Z66:AA66"/>
    <mergeCell ref="AB66:AC66"/>
    <mergeCell ref="AJ68:AK68"/>
    <mergeCell ref="AL68:AM68"/>
    <mergeCell ref="AN68:AO68"/>
    <mergeCell ref="AP68:AQ68"/>
    <mergeCell ref="F66:G66"/>
    <mergeCell ref="H66:I66"/>
    <mergeCell ref="J66:K66"/>
    <mergeCell ref="L66:M66"/>
    <mergeCell ref="N66:O66"/>
    <mergeCell ref="P66:Q66"/>
    <mergeCell ref="Z65:AA65"/>
    <mergeCell ref="AB65:AC65"/>
    <mergeCell ref="AD65:AE65"/>
    <mergeCell ref="AF65:AG65"/>
    <mergeCell ref="AH65:AI65"/>
    <mergeCell ref="AJ65:AK65"/>
    <mergeCell ref="N65:O65"/>
    <mergeCell ref="P65:Q65"/>
    <mergeCell ref="R65:S65"/>
    <mergeCell ref="T65:U65"/>
    <mergeCell ref="V65:W65"/>
    <mergeCell ref="X65:Y65"/>
    <mergeCell ref="AR64:AS64"/>
    <mergeCell ref="C65:C66"/>
    <mergeCell ref="F65:G65"/>
    <mergeCell ref="H65:I65"/>
    <mergeCell ref="J65:K65"/>
    <mergeCell ref="L65:M65"/>
    <mergeCell ref="X64:Y64"/>
    <mergeCell ref="Z64:AA64"/>
    <mergeCell ref="AB64:AC64"/>
    <mergeCell ref="AD64:AE64"/>
    <mergeCell ref="AF64:AG64"/>
    <mergeCell ref="AH64:AI64"/>
    <mergeCell ref="AR63:AS63"/>
    <mergeCell ref="F64:G64"/>
    <mergeCell ref="H64:I64"/>
    <mergeCell ref="J64:K64"/>
    <mergeCell ref="L64:M64"/>
    <mergeCell ref="N64:O64"/>
    <mergeCell ref="P64:Q64"/>
    <mergeCell ref="R64:S64"/>
    <mergeCell ref="T64:U64"/>
    <mergeCell ref="V64:W64"/>
    <mergeCell ref="AF63:AG63"/>
    <mergeCell ref="AH63:AI63"/>
    <mergeCell ref="AJ63:AK63"/>
    <mergeCell ref="AL63:AM63"/>
    <mergeCell ref="AN63:AO63"/>
    <mergeCell ref="AP63:AQ63"/>
    <mergeCell ref="AL65:AM65"/>
    <mergeCell ref="AN65:AO65"/>
    <mergeCell ref="AP65:AQ65"/>
    <mergeCell ref="AR65:AS65"/>
    <mergeCell ref="T63:U63"/>
    <mergeCell ref="V63:W63"/>
    <mergeCell ref="X63:Y63"/>
    <mergeCell ref="Z63:AA63"/>
    <mergeCell ref="AB63:AC63"/>
    <mergeCell ref="AD63:AE63"/>
    <mergeCell ref="AP62:AQ62"/>
    <mergeCell ref="AR62:AS62"/>
    <mergeCell ref="C63:C64"/>
    <mergeCell ref="F63:G63"/>
    <mergeCell ref="H63:I63"/>
    <mergeCell ref="J63:K63"/>
    <mergeCell ref="L63:M63"/>
    <mergeCell ref="N63:O63"/>
    <mergeCell ref="P63:Q63"/>
    <mergeCell ref="R63:S63"/>
    <mergeCell ref="AD62:AE62"/>
    <mergeCell ref="AF62:AG62"/>
    <mergeCell ref="AH62:AI62"/>
    <mergeCell ref="AJ62:AK62"/>
    <mergeCell ref="AL62:AM62"/>
    <mergeCell ref="AN62:AO62"/>
    <mergeCell ref="R62:S62"/>
    <mergeCell ref="T62:U62"/>
    <mergeCell ref="V62:W62"/>
    <mergeCell ref="X62:Y62"/>
    <mergeCell ref="Z62:AA62"/>
    <mergeCell ref="AB62:AC62"/>
    <mergeCell ref="AJ64:AK64"/>
    <mergeCell ref="AL64:AM64"/>
    <mergeCell ref="AN64:AO64"/>
    <mergeCell ref="AP64:AQ64"/>
    <mergeCell ref="F62:G62"/>
    <mergeCell ref="H62:I62"/>
    <mergeCell ref="J62:K62"/>
    <mergeCell ref="L62:M62"/>
    <mergeCell ref="N62:O62"/>
    <mergeCell ref="P62:Q62"/>
    <mergeCell ref="Z61:AA61"/>
    <mergeCell ref="AB61:AC61"/>
    <mergeCell ref="AD61:AE61"/>
    <mergeCell ref="AF61:AG61"/>
    <mergeCell ref="AH61:AI61"/>
    <mergeCell ref="AJ61:AK61"/>
    <mergeCell ref="N61:O61"/>
    <mergeCell ref="P61:Q61"/>
    <mergeCell ref="R61:S61"/>
    <mergeCell ref="T61:U61"/>
    <mergeCell ref="V61:W61"/>
    <mergeCell ref="X61:Y61"/>
    <mergeCell ref="AR60:AS60"/>
    <mergeCell ref="C61:C62"/>
    <mergeCell ref="F61:G61"/>
    <mergeCell ref="H61:I61"/>
    <mergeCell ref="J61:K61"/>
    <mergeCell ref="L61:M61"/>
    <mergeCell ref="X60:Y60"/>
    <mergeCell ref="Z60:AA60"/>
    <mergeCell ref="AB60:AC60"/>
    <mergeCell ref="AD60:AE60"/>
    <mergeCell ref="AF60:AG60"/>
    <mergeCell ref="AH60:AI60"/>
    <mergeCell ref="AR59:AS59"/>
    <mergeCell ref="F60:G60"/>
    <mergeCell ref="H60:I60"/>
    <mergeCell ref="J60:K60"/>
    <mergeCell ref="L60:M60"/>
    <mergeCell ref="N60:O60"/>
    <mergeCell ref="P60:Q60"/>
    <mergeCell ref="R60:S60"/>
    <mergeCell ref="T60:U60"/>
    <mergeCell ref="V60:W60"/>
    <mergeCell ref="AF59:AG59"/>
    <mergeCell ref="AH59:AI59"/>
    <mergeCell ref="AJ59:AK59"/>
    <mergeCell ref="AL59:AM59"/>
    <mergeCell ref="AN59:AO59"/>
    <mergeCell ref="AP59:AQ59"/>
    <mergeCell ref="AL61:AM61"/>
    <mergeCell ref="AN61:AO61"/>
    <mergeCell ref="AP61:AQ61"/>
    <mergeCell ref="AR61:AS61"/>
    <mergeCell ref="T59:U59"/>
    <mergeCell ref="V59:W59"/>
    <mergeCell ref="X59:Y59"/>
    <mergeCell ref="Z59:AA59"/>
    <mergeCell ref="AB59:AC59"/>
    <mergeCell ref="AD59:AE59"/>
    <mergeCell ref="AP58:AQ58"/>
    <mergeCell ref="AR58:AS58"/>
    <mergeCell ref="C59:C60"/>
    <mergeCell ref="F59:G59"/>
    <mergeCell ref="H59:I59"/>
    <mergeCell ref="J59:K59"/>
    <mergeCell ref="L59:M59"/>
    <mergeCell ref="N59:O59"/>
    <mergeCell ref="P59:Q59"/>
    <mergeCell ref="R59:S59"/>
    <mergeCell ref="AD58:AE58"/>
    <mergeCell ref="AF58:AG58"/>
    <mergeCell ref="AH58:AI58"/>
    <mergeCell ref="AJ58:AK58"/>
    <mergeCell ref="AL58:AM58"/>
    <mergeCell ref="AN58:AO58"/>
    <mergeCell ref="R58:S58"/>
    <mergeCell ref="T58:U58"/>
    <mergeCell ref="V58:W58"/>
    <mergeCell ref="X58:Y58"/>
    <mergeCell ref="Z58:AA58"/>
    <mergeCell ref="AB58:AC58"/>
    <mergeCell ref="AJ60:AK60"/>
    <mergeCell ref="AL60:AM60"/>
    <mergeCell ref="AN60:AO60"/>
    <mergeCell ref="AP60:AQ60"/>
    <mergeCell ref="AL57:AM57"/>
    <mergeCell ref="AN57:AO57"/>
    <mergeCell ref="AP57:AQ57"/>
    <mergeCell ref="AR57:AS57"/>
    <mergeCell ref="F58:G58"/>
    <mergeCell ref="H58:I58"/>
    <mergeCell ref="J58:K58"/>
    <mergeCell ref="L58:M58"/>
    <mergeCell ref="N58:O58"/>
    <mergeCell ref="P58:Q58"/>
    <mergeCell ref="Z57:AA57"/>
    <mergeCell ref="AB57:AC57"/>
    <mergeCell ref="AD57:AE57"/>
    <mergeCell ref="AF57:AG57"/>
    <mergeCell ref="AH57:AI57"/>
    <mergeCell ref="AJ57:AK57"/>
    <mergeCell ref="N57:O57"/>
    <mergeCell ref="P57:Q57"/>
    <mergeCell ref="R57:S57"/>
    <mergeCell ref="T57:U57"/>
    <mergeCell ref="V57:W57"/>
    <mergeCell ref="X57:Y57"/>
    <mergeCell ref="AJ56:AK56"/>
    <mergeCell ref="AL56:AM56"/>
    <mergeCell ref="AN56:AO56"/>
    <mergeCell ref="AP56:AQ56"/>
    <mergeCell ref="AR56:AS56"/>
    <mergeCell ref="C57:C58"/>
    <mergeCell ref="F57:G57"/>
    <mergeCell ref="H57:I57"/>
    <mergeCell ref="J57:K57"/>
    <mergeCell ref="L57:M57"/>
    <mergeCell ref="X56:Y56"/>
    <mergeCell ref="Z56:AA56"/>
    <mergeCell ref="AB56:AC56"/>
    <mergeCell ref="AD56:AE56"/>
    <mergeCell ref="AF56:AG56"/>
    <mergeCell ref="AH56:AI56"/>
    <mergeCell ref="AR55:AS55"/>
    <mergeCell ref="F56:G56"/>
    <mergeCell ref="H56:I56"/>
    <mergeCell ref="J56:K56"/>
    <mergeCell ref="L56:M56"/>
    <mergeCell ref="N56:O56"/>
    <mergeCell ref="P56:Q56"/>
    <mergeCell ref="R56:S56"/>
    <mergeCell ref="T56:U56"/>
    <mergeCell ref="V56:W56"/>
    <mergeCell ref="AF55:AG55"/>
    <mergeCell ref="AH55:AI55"/>
    <mergeCell ref="AJ55:AK55"/>
    <mergeCell ref="AL55:AM55"/>
    <mergeCell ref="AN55:AO55"/>
    <mergeCell ref="AP55:AQ55"/>
    <mergeCell ref="T55:U55"/>
    <mergeCell ref="V55:W55"/>
    <mergeCell ref="X55:Y55"/>
    <mergeCell ref="Z55:AA55"/>
    <mergeCell ref="AB55:AC55"/>
    <mergeCell ref="AD55:AE55"/>
    <mergeCell ref="AP54:AQ54"/>
    <mergeCell ref="AR54:AS54"/>
    <mergeCell ref="C55:C56"/>
    <mergeCell ref="F55:G55"/>
    <mergeCell ref="H55:I55"/>
    <mergeCell ref="J55:K55"/>
    <mergeCell ref="L55:M55"/>
    <mergeCell ref="N55:O55"/>
    <mergeCell ref="P55:Q55"/>
    <mergeCell ref="R55:S55"/>
    <mergeCell ref="AD54:AE54"/>
    <mergeCell ref="AF54:AG54"/>
    <mergeCell ref="AH54:AI54"/>
    <mergeCell ref="AJ54:AK54"/>
    <mergeCell ref="AL54:AM54"/>
    <mergeCell ref="AN54:AO54"/>
    <mergeCell ref="R54:S54"/>
    <mergeCell ref="T54:U54"/>
    <mergeCell ref="V54:W54"/>
    <mergeCell ref="X54:Y54"/>
    <mergeCell ref="Z54:AA54"/>
    <mergeCell ref="AB54:AC54"/>
    <mergeCell ref="F54:G54"/>
    <mergeCell ref="H54:I54"/>
    <mergeCell ref="J54:K54"/>
    <mergeCell ref="L54:M54"/>
    <mergeCell ref="Z53:AA53"/>
    <mergeCell ref="AB53:AC53"/>
    <mergeCell ref="AD53:AE53"/>
    <mergeCell ref="AF53:AG53"/>
    <mergeCell ref="AP52:AQ52"/>
    <mergeCell ref="AR52:AS52"/>
    <mergeCell ref="F53:G53"/>
    <mergeCell ref="H53:I53"/>
    <mergeCell ref="J53:K53"/>
    <mergeCell ref="L53:M53"/>
    <mergeCell ref="N53:O53"/>
    <mergeCell ref="P53:Q53"/>
    <mergeCell ref="R53:S53"/>
    <mergeCell ref="T53:U53"/>
    <mergeCell ref="AD52:AE52"/>
    <mergeCell ref="AF52:AG52"/>
    <mergeCell ref="AH52:AI52"/>
    <mergeCell ref="AJ52:AK52"/>
    <mergeCell ref="AL52:AM52"/>
    <mergeCell ref="AN52:AO52"/>
    <mergeCell ref="R52:S52"/>
    <mergeCell ref="T52:U52"/>
    <mergeCell ref="V52:W52"/>
    <mergeCell ref="X52:Y52"/>
    <mergeCell ref="Z52:AA52"/>
    <mergeCell ref="AB52:AC52"/>
    <mergeCell ref="AN51:AO51"/>
    <mergeCell ref="AP51:AQ51"/>
    <mergeCell ref="AR51:AS51"/>
    <mergeCell ref="B52:B84"/>
    <mergeCell ref="F52:G52"/>
    <mergeCell ref="H52:I52"/>
    <mergeCell ref="J52:K52"/>
    <mergeCell ref="L52:M52"/>
    <mergeCell ref="N52:O52"/>
    <mergeCell ref="P52:Q52"/>
    <mergeCell ref="AB51:AC51"/>
    <mergeCell ref="AD51:AE51"/>
    <mergeCell ref="AF51:AG51"/>
    <mergeCell ref="AH51:AI51"/>
    <mergeCell ref="AJ51:AK51"/>
    <mergeCell ref="AL51:AM51"/>
    <mergeCell ref="P51:Q51"/>
    <mergeCell ref="R51:S51"/>
    <mergeCell ref="T51:U51"/>
    <mergeCell ref="V51:W51"/>
    <mergeCell ref="X51:Y51"/>
    <mergeCell ref="Z51:AA51"/>
    <mergeCell ref="N54:O54"/>
    <mergeCell ref="P54:Q54"/>
    <mergeCell ref="AH53:AI53"/>
    <mergeCell ref="AJ53:AK53"/>
    <mergeCell ref="AL53:AM53"/>
    <mergeCell ref="AN53:AO53"/>
    <mergeCell ref="AP53:AQ53"/>
    <mergeCell ref="AR53:AS53"/>
    <mergeCell ref="V53:W53"/>
    <mergeCell ref="X53:Y53"/>
    <mergeCell ref="AR50:AS50"/>
    <mergeCell ref="F51:G51"/>
    <mergeCell ref="H51:I51"/>
    <mergeCell ref="J51:K51"/>
    <mergeCell ref="L51:M51"/>
    <mergeCell ref="N51:O51"/>
    <mergeCell ref="X50:Y50"/>
    <mergeCell ref="Z50:AA50"/>
    <mergeCell ref="AB50:AC50"/>
    <mergeCell ref="AD50:AE50"/>
    <mergeCell ref="AF50:AG50"/>
    <mergeCell ref="AH50:AI50"/>
    <mergeCell ref="AT49:AT50"/>
    <mergeCell ref="F50:G50"/>
    <mergeCell ref="H50:I50"/>
    <mergeCell ref="J50:K50"/>
    <mergeCell ref="L50:M50"/>
    <mergeCell ref="N50:O50"/>
    <mergeCell ref="P50:Q50"/>
    <mergeCell ref="R50:S50"/>
    <mergeCell ref="T50:U50"/>
    <mergeCell ref="V50:W50"/>
    <mergeCell ref="AH49:AI49"/>
    <mergeCell ref="AJ49:AK49"/>
    <mergeCell ref="AL49:AM49"/>
    <mergeCell ref="AN49:AO49"/>
    <mergeCell ref="AP49:AQ49"/>
    <mergeCell ref="AR49:AS49"/>
    <mergeCell ref="V49:W49"/>
    <mergeCell ref="X49:Y49"/>
    <mergeCell ref="Z49:AA49"/>
    <mergeCell ref="AB49:AC49"/>
    <mergeCell ref="AD49:AE49"/>
    <mergeCell ref="AF49:AG49"/>
    <mergeCell ref="AR48:AS48"/>
    <mergeCell ref="C49:C50"/>
    <mergeCell ref="F49:G49"/>
    <mergeCell ref="H49:I49"/>
    <mergeCell ref="J49:K49"/>
    <mergeCell ref="L49:M49"/>
    <mergeCell ref="N49:O49"/>
    <mergeCell ref="P49:Q49"/>
    <mergeCell ref="R49:S49"/>
    <mergeCell ref="T49:U49"/>
    <mergeCell ref="AF48:AG48"/>
    <mergeCell ref="AH48:AI48"/>
    <mergeCell ref="AJ48:AK48"/>
    <mergeCell ref="AL48:AM48"/>
    <mergeCell ref="AN48:AO48"/>
    <mergeCell ref="AP48:AQ48"/>
    <mergeCell ref="T48:U48"/>
    <mergeCell ref="V48:W48"/>
    <mergeCell ref="X48:Y48"/>
    <mergeCell ref="Z48:AA48"/>
    <mergeCell ref="AB48:AC48"/>
    <mergeCell ref="AD48:AE48"/>
    <mergeCell ref="AJ50:AK50"/>
    <mergeCell ref="AL50:AM50"/>
    <mergeCell ref="AN50:AO50"/>
    <mergeCell ref="AP50:AQ50"/>
    <mergeCell ref="F48:G48"/>
    <mergeCell ref="H48:I48"/>
    <mergeCell ref="J48:K48"/>
    <mergeCell ref="L48:M48"/>
    <mergeCell ref="N48:O48"/>
    <mergeCell ref="P48:Q48"/>
    <mergeCell ref="R48:S48"/>
    <mergeCell ref="AB47:AC47"/>
    <mergeCell ref="AD47:AE47"/>
    <mergeCell ref="AF47:AG47"/>
    <mergeCell ref="AH47:AI47"/>
    <mergeCell ref="AJ47:AK47"/>
    <mergeCell ref="AL47:AM47"/>
    <mergeCell ref="P47:Q47"/>
    <mergeCell ref="R47:S47"/>
    <mergeCell ref="T47:U47"/>
    <mergeCell ref="V47:W47"/>
    <mergeCell ref="X47:Y47"/>
    <mergeCell ref="Z47:AA47"/>
    <mergeCell ref="AR46:AS46"/>
    <mergeCell ref="N47:O47"/>
    <mergeCell ref="X46:Y46"/>
    <mergeCell ref="Z46:AA46"/>
    <mergeCell ref="AB46:AC46"/>
    <mergeCell ref="AD46:AE46"/>
    <mergeCell ref="AF46:AG46"/>
    <mergeCell ref="AH46:AI46"/>
    <mergeCell ref="AP46:AQ46"/>
    <mergeCell ref="AR45:AS45"/>
    <mergeCell ref="F46:G46"/>
    <mergeCell ref="H46:I46"/>
    <mergeCell ref="J46:K46"/>
    <mergeCell ref="L46:M46"/>
    <mergeCell ref="N46:O46"/>
    <mergeCell ref="P46:Q46"/>
    <mergeCell ref="R46:S46"/>
    <mergeCell ref="T46:U46"/>
    <mergeCell ref="V46:W46"/>
    <mergeCell ref="AF45:AG45"/>
    <mergeCell ref="AH45:AI45"/>
    <mergeCell ref="AJ45:AK45"/>
    <mergeCell ref="AL45:AM45"/>
    <mergeCell ref="AN45:AO45"/>
    <mergeCell ref="AP45:AQ45"/>
    <mergeCell ref="C45:C48"/>
    <mergeCell ref="F45:G45"/>
    <mergeCell ref="H45:I45"/>
    <mergeCell ref="J45:K45"/>
    <mergeCell ref="L45:M45"/>
    <mergeCell ref="N45:O45"/>
    <mergeCell ref="P45:Q45"/>
    <mergeCell ref="R45:S45"/>
    <mergeCell ref="AP47:AQ47"/>
    <mergeCell ref="AR47:AS47"/>
    <mergeCell ref="T45:U45"/>
    <mergeCell ref="V45:W45"/>
    <mergeCell ref="X45:Y45"/>
    <mergeCell ref="Z45:AA45"/>
    <mergeCell ref="AB45:AC45"/>
    <mergeCell ref="AD45:AE45"/>
    <mergeCell ref="AH44:AI44"/>
    <mergeCell ref="AJ44:AK44"/>
    <mergeCell ref="AL44:AM44"/>
    <mergeCell ref="AN44:AO44"/>
    <mergeCell ref="R44:S44"/>
    <mergeCell ref="T44:U44"/>
    <mergeCell ref="V44:W44"/>
    <mergeCell ref="X44:Y44"/>
    <mergeCell ref="Z44:AA44"/>
    <mergeCell ref="AB44:AC44"/>
    <mergeCell ref="AJ46:AK46"/>
    <mergeCell ref="AL46:AM46"/>
    <mergeCell ref="AN46:AO46"/>
    <mergeCell ref="AN47:AO47"/>
    <mergeCell ref="F47:G47"/>
    <mergeCell ref="H47:I47"/>
    <mergeCell ref="J47:K47"/>
    <mergeCell ref="L47:M47"/>
    <mergeCell ref="AP42:AQ42"/>
    <mergeCell ref="AR42:AS42"/>
    <mergeCell ref="C43:C44"/>
    <mergeCell ref="AT43:AT44"/>
    <mergeCell ref="F44:G44"/>
    <mergeCell ref="H44:I44"/>
    <mergeCell ref="J44:K44"/>
    <mergeCell ref="L44:M44"/>
    <mergeCell ref="N44:O44"/>
    <mergeCell ref="P44:Q44"/>
    <mergeCell ref="AD42:AE42"/>
    <mergeCell ref="AF42:AG42"/>
    <mergeCell ref="AH42:AI42"/>
    <mergeCell ref="AJ42:AK42"/>
    <mergeCell ref="AL42:AM42"/>
    <mergeCell ref="AN42:AO42"/>
    <mergeCell ref="R42:S42"/>
    <mergeCell ref="T42:U42"/>
    <mergeCell ref="V42:W42"/>
    <mergeCell ref="X42:Y42"/>
    <mergeCell ref="Z42:AA42"/>
    <mergeCell ref="AB42:AC42"/>
    <mergeCell ref="F42:G42"/>
    <mergeCell ref="H42:I42"/>
    <mergeCell ref="J42:K42"/>
    <mergeCell ref="L42:M42"/>
    <mergeCell ref="N42:O42"/>
    <mergeCell ref="P42:Q42"/>
    <mergeCell ref="AP44:AQ44"/>
    <mergeCell ref="AR44:AS44"/>
    <mergeCell ref="AD44:AE44"/>
    <mergeCell ref="AF44:AG44"/>
    <mergeCell ref="AH41:AI41"/>
    <mergeCell ref="AJ41:AK41"/>
    <mergeCell ref="AL41:AM41"/>
    <mergeCell ref="AN41:AO41"/>
    <mergeCell ref="AP41:AQ41"/>
    <mergeCell ref="AR41:AS41"/>
    <mergeCell ref="V41:W41"/>
    <mergeCell ref="X41:Y41"/>
    <mergeCell ref="Z41:AA41"/>
    <mergeCell ref="AB41:AC41"/>
    <mergeCell ref="AD41:AE41"/>
    <mergeCell ref="AF41:AG41"/>
    <mergeCell ref="AP40:AQ40"/>
    <mergeCell ref="AR40:AS40"/>
    <mergeCell ref="F41:G41"/>
    <mergeCell ref="H41:I41"/>
    <mergeCell ref="J41:K41"/>
    <mergeCell ref="L41:M41"/>
    <mergeCell ref="N41:O41"/>
    <mergeCell ref="P41:Q41"/>
    <mergeCell ref="R41:S41"/>
    <mergeCell ref="T41:U41"/>
    <mergeCell ref="AD40:AE40"/>
    <mergeCell ref="AF40:AG40"/>
    <mergeCell ref="AH40:AI40"/>
    <mergeCell ref="AJ40:AK40"/>
    <mergeCell ref="AL40:AM40"/>
    <mergeCell ref="AN40:AO40"/>
    <mergeCell ref="R40:S40"/>
    <mergeCell ref="T40:U40"/>
    <mergeCell ref="V40:W40"/>
    <mergeCell ref="X40:Y40"/>
    <mergeCell ref="Z40:AA40"/>
    <mergeCell ref="AB40:AC40"/>
    <mergeCell ref="AL39:AM39"/>
    <mergeCell ref="AN39:AO39"/>
    <mergeCell ref="AP39:AQ39"/>
    <mergeCell ref="AR39:AS39"/>
    <mergeCell ref="F40:G40"/>
    <mergeCell ref="H40:I40"/>
    <mergeCell ref="J40:K40"/>
    <mergeCell ref="L40:M40"/>
    <mergeCell ref="N40:O40"/>
    <mergeCell ref="P40:Q40"/>
    <mergeCell ref="Z39:AA39"/>
    <mergeCell ref="AB39:AC39"/>
    <mergeCell ref="AD39:AE39"/>
    <mergeCell ref="AF39:AG39"/>
    <mergeCell ref="AH39:AI39"/>
    <mergeCell ref="AJ39:AK39"/>
    <mergeCell ref="N39:O39"/>
    <mergeCell ref="P39:Q39"/>
    <mergeCell ref="R39:S39"/>
    <mergeCell ref="T39:U39"/>
    <mergeCell ref="V39:W39"/>
    <mergeCell ref="X39:Y39"/>
    <mergeCell ref="AJ38:AK38"/>
    <mergeCell ref="AL38:AM38"/>
    <mergeCell ref="AN38:AO38"/>
    <mergeCell ref="AP38:AQ38"/>
    <mergeCell ref="AR38:AS38"/>
    <mergeCell ref="C39:C42"/>
    <mergeCell ref="F39:G39"/>
    <mergeCell ref="H39:I39"/>
    <mergeCell ref="J39:K39"/>
    <mergeCell ref="L39:M39"/>
    <mergeCell ref="X38:Y38"/>
    <mergeCell ref="Z38:AA38"/>
    <mergeCell ref="AB38:AC38"/>
    <mergeCell ref="AD38:AE38"/>
    <mergeCell ref="AF38:AG38"/>
    <mergeCell ref="AH38:AI38"/>
    <mergeCell ref="AR37:AS37"/>
    <mergeCell ref="F38:G38"/>
    <mergeCell ref="H38:I38"/>
    <mergeCell ref="J38:K38"/>
    <mergeCell ref="L38:M38"/>
    <mergeCell ref="N38:O38"/>
    <mergeCell ref="P38:Q38"/>
    <mergeCell ref="R38:S38"/>
    <mergeCell ref="T38:U38"/>
    <mergeCell ref="V38:W38"/>
    <mergeCell ref="AF37:AG37"/>
    <mergeCell ref="AH37:AI37"/>
    <mergeCell ref="AJ37:AK37"/>
    <mergeCell ref="AL37:AM37"/>
    <mergeCell ref="AN37:AO37"/>
    <mergeCell ref="AP37:AQ37"/>
    <mergeCell ref="T37:U37"/>
    <mergeCell ref="V37:W37"/>
    <mergeCell ref="X37:Y37"/>
    <mergeCell ref="Z37:AA37"/>
    <mergeCell ref="AB37:AC37"/>
    <mergeCell ref="AD37:AE37"/>
    <mergeCell ref="AP36:AQ36"/>
    <mergeCell ref="AR36:AS36"/>
    <mergeCell ref="C37:C38"/>
    <mergeCell ref="F37:G37"/>
    <mergeCell ref="H37:I37"/>
    <mergeCell ref="J37:K37"/>
    <mergeCell ref="L37:M37"/>
    <mergeCell ref="N37:O37"/>
    <mergeCell ref="P37:Q37"/>
    <mergeCell ref="R37:S37"/>
    <mergeCell ref="AD36:AE36"/>
    <mergeCell ref="AF36:AG36"/>
    <mergeCell ref="AH36:AI36"/>
    <mergeCell ref="AJ36:AK36"/>
    <mergeCell ref="AL36:AM36"/>
    <mergeCell ref="AN36:AO36"/>
    <mergeCell ref="R36:S36"/>
    <mergeCell ref="T36:U36"/>
    <mergeCell ref="V36:W36"/>
    <mergeCell ref="X36:Y36"/>
    <mergeCell ref="Z36:AA36"/>
    <mergeCell ref="AB36:AC36"/>
    <mergeCell ref="F36:G36"/>
    <mergeCell ref="H36:I36"/>
    <mergeCell ref="J36:K36"/>
    <mergeCell ref="L36:M36"/>
    <mergeCell ref="N36:O36"/>
    <mergeCell ref="P36:Q36"/>
    <mergeCell ref="AH35:AI35"/>
    <mergeCell ref="AJ35:AK35"/>
    <mergeCell ref="AL35:AM35"/>
    <mergeCell ref="AN35:AO35"/>
    <mergeCell ref="AP35:AQ35"/>
    <mergeCell ref="AR35:AS35"/>
    <mergeCell ref="V35:W35"/>
    <mergeCell ref="X35:Y35"/>
    <mergeCell ref="Z35:AA35"/>
    <mergeCell ref="AB35:AC35"/>
    <mergeCell ref="AD35:AE35"/>
    <mergeCell ref="AF35:AG35"/>
    <mergeCell ref="AP34:AQ34"/>
    <mergeCell ref="AR34:AS34"/>
    <mergeCell ref="F35:G35"/>
    <mergeCell ref="H35:I35"/>
    <mergeCell ref="J35:K35"/>
    <mergeCell ref="L35:M35"/>
    <mergeCell ref="N35:O35"/>
    <mergeCell ref="P35:Q35"/>
    <mergeCell ref="R35:S35"/>
    <mergeCell ref="T35:U35"/>
    <mergeCell ref="AD34:AE34"/>
    <mergeCell ref="AF34:AG34"/>
    <mergeCell ref="AH34:AI34"/>
    <mergeCell ref="AJ34:AK34"/>
    <mergeCell ref="AL34:AM34"/>
    <mergeCell ref="AN34:AO34"/>
    <mergeCell ref="R34:S34"/>
    <mergeCell ref="T34:U34"/>
    <mergeCell ref="AL33:AM33"/>
    <mergeCell ref="AN33:AO33"/>
    <mergeCell ref="AP33:AQ33"/>
    <mergeCell ref="AR33:AS33"/>
    <mergeCell ref="F34:G34"/>
    <mergeCell ref="H34:I34"/>
    <mergeCell ref="J34:K34"/>
    <mergeCell ref="L34:M34"/>
    <mergeCell ref="N34:O34"/>
    <mergeCell ref="P34:Q34"/>
    <mergeCell ref="Z33:AA33"/>
    <mergeCell ref="AB33:AC33"/>
    <mergeCell ref="AD33:AE33"/>
    <mergeCell ref="AF33:AG33"/>
    <mergeCell ref="AH33:AI33"/>
    <mergeCell ref="AJ33:AK33"/>
    <mergeCell ref="N33:O33"/>
    <mergeCell ref="P33:Q33"/>
    <mergeCell ref="R33:S33"/>
    <mergeCell ref="T33:U33"/>
    <mergeCell ref="V33:W33"/>
    <mergeCell ref="X33:Y33"/>
    <mergeCell ref="AR32:AS32"/>
    <mergeCell ref="C33:C36"/>
    <mergeCell ref="F33:G33"/>
    <mergeCell ref="H33:I33"/>
    <mergeCell ref="J33:K33"/>
    <mergeCell ref="L33:M33"/>
    <mergeCell ref="X32:Y32"/>
    <mergeCell ref="Z32:AA32"/>
    <mergeCell ref="AB32:AC32"/>
    <mergeCell ref="AD32:AE32"/>
    <mergeCell ref="AF32:AG32"/>
    <mergeCell ref="AH32:AI32"/>
    <mergeCell ref="AT31:AT32"/>
    <mergeCell ref="F32:G32"/>
    <mergeCell ref="H32:I32"/>
    <mergeCell ref="J32:K32"/>
    <mergeCell ref="L32:M32"/>
    <mergeCell ref="N32:O32"/>
    <mergeCell ref="P32:Q32"/>
    <mergeCell ref="R32:S32"/>
    <mergeCell ref="T32:U32"/>
    <mergeCell ref="V32:W32"/>
    <mergeCell ref="AH31:AI31"/>
    <mergeCell ref="AJ31:AK31"/>
    <mergeCell ref="AL31:AM31"/>
    <mergeCell ref="AN31:AO31"/>
    <mergeCell ref="AP31:AQ31"/>
    <mergeCell ref="AR31:AS31"/>
    <mergeCell ref="V34:W34"/>
    <mergeCell ref="X34:Y34"/>
    <mergeCell ref="Z34:AA34"/>
    <mergeCell ref="AB34:AC34"/>
    <mergeCell ref="V31:W31"/>
    <mergeCell ref="X31:Y31"/>
    <mergeCell ref="Z31:AA31"/>
    <mergeCell ref="AB31:AC31"/>
    <mergeCell ref="AD31:AE31"/>
    <mergeCell ref="AF31:AG31"/>
    <mergeCell ref="AR30:AS30"/>
    <mergeCell ref="C31:C32"/>
    <mergeCell ref="F31:G31"/>
    <mergeCell ref="H31:I31"/>
    <mergeCell ref="J31:K31"/>
    <mergeCell ref="L31:M31"/>
    <mergeCell ref="N31:O31"/>
    <mergeCell ref="P31:Q31"/>
    <mergeCell ref="R31:S31"/>
    <mergeCell ref="T31:U31"/>
    <mergeCell ref="AF30:AG30"/>
    <mergeCell ref="AH30:AI30"/>
    <mergeCell ref="AJ30:AK30"/>
    <mergeCell ref="AL30:AM30"/>
    <mergeCell ref="AN30:AO30"/>
    <mergeCell ref="AP30:AQ30"/>
    <mergeCell ref="T30:U30"/>
    <mergeCell ref="V30:W30"/>
    <mergeCell ref="X30:Y30"/>
    <mergeCell ref="Z30:AA30"/>
    <mergeCell ref="AB30:AC30"/>
    <mergeCell ref="AD30:AE30"/>
    <mergeCell ref="AJ32:AK32"/>
    <mergeCell ref="AL32:AM32"/>
    <mergeCell ref="AN32:AO32"/>
    <mergeCell ref="AP32:AQ32"/>
    <mergeCell ref="AN29:AO29"/>
    <mergeCell ref="AP29:AQ29"/>
    <mergeCell ref="AR29:AS29"/>
    <mergeCell ref="F30:G30"/>
    <mergeCell ref="H30:I30"/>
    <mergeCell ref="J30:K30"/>
    <mergeCell ref="L30:M30"/>
    <mergeCell ref="N30:O30"/>
    <mergeCell ref="P30:Q30"/>
    <mergeCell ref="R30:S30"/>
    <mergeCell ref="AB29:AC29"/>
    <mergeCell ref="AD29:AE29"/>
    <mergeCell ref="AF29:AG29"/>
    <mergeCell ref="AH29:AI29"/>
    <mergeCell ref="AJ29:AK29"/>
    <mergeCell ref="AL29:AM29"/>
    <mergeCell ref="P29:Q29"/>
    <mergeCell ref="R29:S29"/>
    <mergeCell ref="T29:U29"/>
    <mergeCell ref="V29:W29"/>
    <mergeCell ref="X29:Y29"/>
    <mergeCell ref="Z29:AA29"/>
    <mergeCell ref="AJ28:AK28"/>
    <mergeCell ref="AL28:AM28"/>
    <mergeCell ref="AN28:AO28"/>
    <mergeCell ref="AP28:AQ28"/>
    <mergeCell ref="AR28:AS28"/>
    <mergeCell ref="F29:G29"/>
    <mergeCell ref="H29:I29"/>
    <mergeCell ref="J29:K29"/>
    <mergeCell ref="L29:M29"/>
    <mergeCell ref="N29:O29"/>
    <mergeCell ref="X28:Y28"/>
    <mergeCell ref="Z28:AA28"/>
    <mergeCell ref="AB28:AC28"/>
    <mergeCell ref="AD28:AE28"/>
    <mergeCell ref="AF28:AG28"/>
    <mergeCell ref="AH28:AI28"/>
    <mergeCell ref="AR27:AS27"/>
    <mergeCell ref="F28:G28"/>
    <mergeCell ref="H28:I28"/>
    <mergeCell ref="J28:K28"/>
    <mergeCell ref="L28:M28"/>
    <mergeCell ref="N28:O28"/>
    <mergeCell ref="P28:Q28"/>
    <mergeCell ref="R28:S28"/>
    <mergeCell ref="T28:U28"/>
    <mergeCell ref="V28:W28"/>
    <mergeCell ref="AF27:AG27"/>
    <mergeCell ref="AH27:AI27"/>
    <mergeCell ref="AJ27:AK27"/>
    <mergeCell ref="AL27:AM27"/>
    <mergeCell ref="AN27:AO27"/>
    <mergeCell ref="AP27:AQ27"/>
    <mergeCell ref="T27:U27"/>
    <mergeCell ref="V27:W27"/>
    <mergeCell ref="X27:Y27"/>
    <mergeCell ref="Z27:AA27"/>
    <mergeCell ref="AB27:AC27"/>
    <mergeCell ref="AD27:AE27"/>
    <mergeCell ref="AP26:AQ26"/>
    <mergeCell ref="AR26:AS26"/>
    <mergeCell ref="C27:C30"/>
    <mergeCell ref="F27:G27"/>
    <mergeCell ref="H27:I27"/>
    <mergeCell ref="J27:K27"/>
    <mergeCell ref="L27:M27"/>
    <mergeCell ref="N27:O27"/>
    <mergeCell ref="P27:Q27"/>
    <mergeCell ref="R27:S27"/>
    <mergeCell ref="AD26:AE26"/>
    <mergeCell ref="AF26:AG26"/>
    <mergeCell ref="AH26:AI26"/>
    <mergeCell ref="AJ26:AK26"/>
    <mergeCell ref="AL26:AM26"/>
    <mergeCell ref="AN26:AO26"/>
    <mergeCell ref="R26:S26"/>
    <mergeCell ref="T26:U26"/>
    <mergeCell ref="V26:W26"/>
    <mergeCell ref="X26:Y26"/>
    <mergeCell ref="Z26:AA26"/>
    <mergeCell ref="AB26:AC26"/>
    <mergeCell ref="F26:G26"/>
    <mergeCell ref="H26:I26"/>
    <mergeCell ref="J26:K26"/>
    <mergeCell ref="L26:M26"/>
    <mergeCell ref="N26:O26"/>
    <mergeCell ref="P26:Q26"/>
    <mergeCell ref="AH25:AI25"/>
    <mergeCell ref="AJ25:AK25"/>
    <mergeCell ref="AL25:AM25"/>
    <mergeCell ref="AN25:AO25"/>
    <mergeCell ref="AP25:AQ25"/>
    <mergeCell ref="AR25:AS25"/>
    <mergeCell ref="V25:W25"/>
    <mergeCell ref="X25:Y25"/>
    <mergeCell ref="Z25:AA25"/>
    <mergeCell ref="AB25:AC25"/>
    <mergeCell ref="AD25:AE25"/>
    <mergeCell ref="AF25:AG25"/>
    <mergeCell ref="AR24:AS24"/>
    <mergeCell ref="C25:C26"/>
    <mergeCell ref="F25:G25"/>
    <mergeCell ref="H25:I25"/>
    <mergeCell ref="J25:K25"/>
    <mergeCell ref="L25:M25"/>
    <mergeCell ref="N25:O25"/>
    <mergeCell ref="P25:Q25"/>
    <mergeCell ref="R25:S25"/>
    <mergeCell ref="T25:U25"/>
    <mergeCell ref="AF24:AG24"/>
    <mergeCell ref="AH24:AI24"/>
    <mergeCell ref="AJ24:AK24"/>
    <mergeCell ref="AL24:AM24"/>
    <mergeCell ref="AN24:AO24"/>
    <mergeCell ref="AP24:AQ24"/>
    <mergeCell ref="T24:U24"/>
    <mergeCell ref="V24:W24"/>
    <mergeCell ref="AP23:AQ23"/>
    <mergeCell ref="AR23:AS23"/>
    <mergeCell ref="F24:G24"/>
    <mergeCell ref="H24:I24"/>
    <mergeCell ref="J24:K24"/>
    <mergeCell ref="L24:M24"/>
    <mergeCell ref="N24:O24"/>
    <mergeCell ref="P24:Q24"/>
    <mergeCell ref="R24:S24"/>
    <mergeCell ref="AB23:AC23"/>
    <mergeCell ref="AD23:AE23"/>
    <mergeCell ref="AF23:AG23"/>
    <mergeCell ref="AH23:AI23"/>
    <mergeCell ref="AJ23:AK23"/>
    <mergeCell ref="AL23:AM23"/>
    <mergeCell ref="P23:Q23"/>
    <mergeCell ref="R23:S23"/>
    <mergeCell ref="T23:U23"/>
    <mergeCell ref="V23:W23"/>
    <mergeCell ref="X23:Y23"/>
    <mergeCell ref="Z23:AA23"/>
    <mergeCell ref="L23:M23"/>
    <mergeCell ref="N23:O23"/>
    <mergeCell ref="AP22:AQ22"/>
    <mergeCell ref="AR22:AS22"/>
    <mergeCell ref="F23:G23"/>
    <mergeCell ref="H23:I23"/>
    <mergeCell ref="J23:K23"/>
    <mergeCell ref="X22:Y22"/>
    <mergeCell ref="Z22:AA22"/>
    <mergeCell ref="AB22:AC22"/>
    <mergeCell ref="AD22:AE22"/>
    <mergeCell ref="AF22:AG22"/>
    <mergeCell ref="AH22:AI22"/>
    <mergeCell ref="AR21:AS21"/>
    <mergeCell ref="F22:G22"/>
    <mergeCell ref="H22:I22"/>
    <mergeCell ref="J22:K22"/>
    <mergeCell ref="L22:M22"/>
    <mergeCell ref="N22:O22"/>
    <mergeCell ref="P22:Q22"/>
    <mergeCell ref="R22:S22"/>
    <mergeCell ref="T22:U22"/>
    <mergeCell ref="V22:W22"/>
    <mergeCell ref="AF21:AG21"/>
    <mergeCell ref="AH21:AI21"/>
    <mergeCell ref="AJ21:AK21"/>
    <mergeCell ref="AL21:AM21"/>
    <mergeCell ref="AN21:AO21"/>
    <mergeCell ref="AP21:AQ21"/>
    <mergeCell ref="T21:U21"/>
    <mergeCell ref="V21:W21"/>
    <mergeCell ref="X21:Y21"/>
    <mergeCell ref="Z21:AA21"/>
    <mergeCell ref="AB21:AC21"/>
    <mergeCell ref="C21:C24"/>
    <mergeCell ref="F21:G21"/>
    <mergeCell ref="H21:I21"/>
    <mergeCell ref="J21:K21"/>
    <mergeCell ref="L21:M21"/>
    <mergeCell ref="N21:O21"/>
    <mergeCell ref="P21:Q21"/>
    <mergeCell ref="R21:S21"/>
    <mergeCell ref="AD20:AE20"/>
    <mergeCell ref="AF20:AG20"/>
    <mergeCell ref="AH20:AI20"/>
    <mergeCell ref="AJ20:AK20"/>
    <mergeCell ref="AL20:AM20"/>
    <mergeCell ref="AN20:AO20"/>
    <mergeCell ref="R20:S20"/>
    <mergeCell ref="T20:U20"/>
    <mergeCell ref="V20:W20"/>
    <mergeCell ref="X20:Y20"/>
    <mergeCell ref="Z20:AA20"/>
    <mergeCell ref="AB20:AC20"/>
    <mergeCell ref="AJ22:AK22"/>
    <mergeCell ref="AL22:AM22"/>
    <mergeCell ref="AN22:AO22"/>
    <mergeCell ref="AD21:AE21"/>
    <mergeCell ref="X24:Y24"/>
    <mergeCell ref="Z24:AA24"/>
    <mergeCell ref="AB24:AC24"/>
    <mergeCell ref="AD24:AE24"/>
    <mergeCell ref="AN23:AO23"/>
    <mergeCell ref="AP18:AQ18"/>
    <mergeCell ref="AR18:AS18"/>
    <mergeCell ref="C19:C20"/>
    <mergeCell ref="AT19:AT20"/>
    <mergeCell ref="F20:G20"/>
    <mergeCell ref="H20:I20"/>
    <mergeCell ref="J20:K20"/>
    <mergeCell ref="L20:M20"/>
    <mergeCell ref="N20:O20"/>
    <mergeCell ref="P20:Q20"/>
    <mergeCell ref="AD18:AE18"/>
    <mergeCell ref="AF18:AG18"/>
    <mergeCell ref="AH18:AI18"/>
    <mergeCell ref="AJ18:AK18"/>
    <mergeCell ref="AL18:AM18"/>
    <mergeCell ref="AN18:AO18"/>
    <mergeCell ref="R18:S18"/>
    <mergeCell ref="T18:U18"/>
    <mergeCell ref="V18:W18"/>
    <mergeCell ref="X18:Y18"/>
    <mergeCell ref="Z18:AA18"/>
    <mergeCell ref="AB18:AC18"/>
    <mergeCell ref="F18:G18"/>
    <mergeCell ref="H18:I18"/>
    <mergeCell ref="J18:K18"/>
    <mergeCell ref="L18:M18"/>
    <mergeCell ref="N18:O18"/>
    <mergeCell ref="P18:Q18"/>
    <mergeCell ref="AP20:AQ20"/>
    <mergeCell ref="AR20:AS20"/>
    <mergeCell ref="F17:G17"/>
    <mergeCell ref="H17:I17"/>
    <mergeCell ref="J17:K17"/>
    <mergeCell ref="L17:M17"/>
    <mergeCell ref="N17:O17"/>
    <mergeCell ref="P17:Q17"/>
    <mergeCell ref="R17:S17"/>
    <mergeCell ref="T17:U17"/>
    <mergeCell ref="AD16:AE16"/>
    <mergeCell ref="AF16:AG16"/>
    <mergeCell ref="AH16:AI16"/>
    <mergeCell ref="AJ16:AK16"/>
    <mergeCell ref="AL16:AM16"/>
    <mergeCell ref="AN16:AO16"/>
    <mergeCell ref="R16:S16"/>
    <mergeCell ref="T16:U16"/>
    <mergeCell ref="V16:W16"/>
    <mergeCell ref="X16:Y16"/>
    <mergeCell ref="L16:M16"/>
    <mergeCell ref="N16:O16"/>
    <mergeCell ref="P16:Q16"/>
    <mergeCell ref="AH15:AI15"/>
    <mergeCell ref="AJ15:AK15"/>
    <mergeCell ref="AL15:AM15"/>
    <mergeCell ref="AN15:AO15"/>
    <mergeCell ref="AP15:AQ15"/>
    <mergeCell ref="AR15:AS15"/>
    <mergeCell ref="V15:W15"/>
    <mergeCell ref="X15:Y15"/>
    <mergeCell ref="Z15:AA15"/>
    <mergeCell ref="AB15:AC15"/>
    <mergeCell ref="AD15:AE15"/>
    <mergeCell ref="AF15:AG15"/>
    <mergeCell ref="AH17:AI17"/>
    <mergeCell ref="AJ17:AK17"/>
    <mergeCell ref="AL17:AM17"/>
    <mergeCell ref="AN17:AO17"/>
    <mergeCell ref="AP17:AQ17"/>
    <mergeCell ref="AR17:AS17"/>
    <mergeCell ref="V17:W17"/>
    <mergeCell ref="X17:Y17"/>
    <mergeCell ref="Z17:AA17"/>
    <mergeCell ref="AB17:AC17"/>
    <mergeCell ref="AD17:AE17"/>
    <mergeCell ref="AF17:AG17"/>
    <mergeCell ref="AP16:AQ16"/>
    <mergeCell ref="AR16:AS16"/>
    <mergeCell ref="AT13:AT14"/>
    <mergeCell ref="F14:G14"/>
    <mergeCell ref="H14:I14"/>
    <mergeCell ref="J14:K14"/>
    <mergeCell ref="L14:M14"/>
    <mergeCell ref="N14:O14"/>
    <mergeCell ref="P14:Q14"/>
    <mergeCell ref="R14:S14"/>
    <mergeCell ref="AD13:AE13"/>
    <mergeCell ref="AF13:AG13"/>
    <mergeCell ref="AH13:AI13"/>
    <mergeCell ref="AJ13:AK13"/>
    <mergeCell ref="AL13:AM13"/>
    <mergeCell ref="AN13:AO13"/>
    <mergeCell ref="R13:S13"/>
    <mergeCell ref="T13:U13"/>
    <mergeCell ref="V13:W13"/>
    <mergeCell ref="X13:Y13"/>
    <mergeCell ref="Z13:AA13"/>
    <mergeCell ref="AB13:AC13"/>
    <mergeCell ref="AR14:AS14"/>
    <mergeCell ref="AF14:AG14"/>
    <mergeCell ref="AH14:AI14"/>
    <mergeCell ref="AJ14:AK14"/>
    <mergeCell ref="AL14:AM14"/>
    <mergeCell ref="AN14:AO14"/>
    <mergeCell ref="AP14:AQ14"/>
    <mergeCell ref="T14:U14"/>
    <mergeCell ref="V14:W14"/>
    <mergeCell ref="X14:Y14"/>
    <mergeCell ref="Z14:AA14"/>
    <mergeCell ref="AB14:AC14"/>
    <mergeCell ref="AN12:AO12"/>
    <mergeCell ref="AP12:AQ12"/>
    <mergeCell ref="AR12:AS12"/>
    <mergeCell ref="C13:C14"/>
    <mergeCell ref="F13:G13"/>
    <mergeCell ref="H13:I13"/>
    <mergeCell ref="J13:K13"/>
    <mergeCell ref="L13:M13"/>
    <mergeCell ref="N13:O13"/>
    <mergeCell ref="P13:Q13"/>
    <mergeCell ref="AB12:AC12"/>
    <mergeCell ref="AD12:AE12"/>
    <mergeCell ref="AF12:AG12"/>
    <mergeCell ref="AH12:AI12"/>
    <mergeCell ref="AJ12:AK12"/>
    <mergeCell ref="AL12:AM12"/>
    <mergeCell ref="P12:Q12"/>
    <mergeCell ref="R12:S12"/>
    <mergeCell ref="T12:U12"/>
    <mergeCell ref="V12:W12"/>
    <mergeCell ref="X12:Y12"/>
    <mergeCell ref="Z12:AA12"/>
    <mergeCell ref="AP13:AQ13"/>
    <mergeCell ref="AR13:AS13"/>
    <mergeCell ref="AD14:AE14"/>
    <mergeCell ref="B12:B50"/>
    <mergeCell ref="F12:G12"/>
    <mergeCell ref="H12:I12"/>
    <mergeCell ref="J12:K12"/>
    <mergeCell ref="L12:M12"/>
    <mergeCell ref="N12:O12"/>
    <mergeCell ref="AA11:AB11"/>
    <mergeCell ref="AC11:AD11"/>
    <mergeCell ref="AE11:AF11"/>
    <mergeCell ref="AG11:AH11"/>
    <mergeCell ref="AI11:AJ11"/>
    <mergeCell ref="AK11:AL11"/>
    <mergeCell ref="O11:P11"/>
    <mergeCell ref="Q11:R11"/>
    <mergeCell ref="S11:T11"/>
    <mergeCell ref="U11:V11"/>
    <mergeCell ref="W11:X11"/>
    <mergeCell ref="Y11:Z11"/>
    <mergeCell ref="C15:C18"/>
    <mergeCell ref="F15:G15"/>
    <mergeCell ref="H15:I15"/>
    <mergeCell ref="J15:K15"/>
    <mergeCell ref="L15:M15"/>
    <mergeCell ref="N15:O15"/>
    <mergeCell ref="P15:Q15"/>
    <mergeCell ref="R15:S15"/>
    <mergeCell ref="T15:U15"/>
    <mergeCell ref="Z16:AA16"/>
    <mergeCell ref="AB16:AC16"/>
    <mergeCell ref="F16:G16"/>
    <mergeCell ref="H16:I16"/>
    <mergeCell ref="J16:K16"/>
    <mergeCell ref="AK10:AL10"/>
    <mergeCell ref="AM10:AN10"/>
    <mergeCell ref="AO10:AP10"/>
    <mergeCell ref="AQ10:AR10"/>
    <mergeCell ref="AS10:AT10"/>
    <mergeCell ref="B9:D9"/>
    <mergeCell ref="E9:F9"/>
    <mergeCell ref="G9:H9"/>
    <mergeCell ref="I9:J9"/>
    <mergeCell ref="K9:L9"/>
    <mergeCell ref="B11:D11"/>
    <mergeCell ref="E11:F11"/>
    <mergeCell ref="G11:H11"/>
    <mergeCell ref="I11:J11"/>
    <mergeCell ref="M11:N11"/>
    <mergeCell ref="Y10:Z10"/>
    <mergeCell ref="AA10:AB10"/>
    <mergeCell ref="AC10:AD10"/>
    <mergeCell ref="AE10:AF10"/>
    <mergeCell ref="AG10:AH10"/>
    <mergeCell ref="AI10:AJ10"/>
    <mergeCell ref="M10:N10"/>
    <mergeCell ref="O10:P10"/>
    <mergeCell ref="Q10:R10"/>
    <mergeCell ref="S10:T10"/>
    <mergeCell ref="U10:V10"/>
    <mergeCell ref="W10:X10"/>
    <mergeCell ref="AM11:AN11"/>
    <mergeCell ref="AO11:AP11"/>
    <mergeCell ref="AQ11:AR11"/>
    <mergeCell ref="AS11:AT11"/>
    <mergeCell ref="AK7:AL7"/>
    <mergeCell ref="AM7:AN7"/>
    <mergeCell ref="AO7:AP7"/>
    <mergeCell ref="AQ7:AR7"/>
    <mergeCell ref="AS7:AT7"/>
    <mergeCell ref="AK8:AL8"/>
    <mergeCell ref="AM8:AN8"/>
    <mergeCell ref="AO8:AP8"/>
    <mergeCell ref="AQ8:AR8"/>
    <mergeCell ref="AS8:AT8"/>
    <mergeCell ref="AK9:AL9"/>
    <mergeCell ref="AM9:AN9"/>
    <mergeCell ref="AO9:AP9"/>
    <mergeCell ref="AQ9:AR9"/>
    <mergeCell ref="AS9:AT9"/>
    <mergeCell ref="B10:D10"/>
    <mergeCell ref="E10:F10"/>
    <mergeCell ref="G10:H10"/>
    <mergeCell ref="I10:J10"/>
    <mergeCell ref="K10:L10"/>
    <mergeCell ref="Y9:Z9"/>
    <mergeCell ref="AA9:AB9"/>
    <mergeCell ref="AC9:AD9"/>
    <mergeCell ref="AE9:AF9"/>
    <mergeCell ref="AG9:AH9"/>
    <mergeCell ref="AI9:AJ9"/>
    <mergeCell ref="M9:N9"/>
    <mergeCell ref="O9:P9"/>
    <mergeCell ref="Q9:R9"/>
    <mergeCell ref="S9:T9"/>
    <mergeCell ref="U9:V9"/>
    <mergeCell ref="W9:X9"/>
    <mergeCell ref="B8:D8"/>
    <mergeCell ref="E8:F8"/>
    <mergeCell ref="G8:H8"/>
    <mergeCell ref="I8:J8"/>
    <mergeCell ref="K8:L8"/>
    <mergeCell ref="Y7:Z7"/>
    <mergeCell ref="AA7:AB7"/>
    <mergeCell ref="AC7:AD7"/>
    <mergeCell ref="AE7:AF7"/>
    <mergeCell ref="AG7:AH7"/>
    <mergeCell ref="AI7:AJ7"/>
    <mergeCell ref="M7:N7"/>
    <mergeCell ref="O7:P7"/>
    <mergeCell ref="Q7:R7"/>
    <mergeCell ref="S7:T7"/>
    <mergeCell ref="U7:V7"/>
    <mergeCell ref="W7:X7"/>
    <mergeCell ref="Y8:Z8"/>
    <mergeCell ref="AA8:AB8"/>
    <mergeCell ref="AC8:AD8"/>
    <mergeCell ref="AE8:AF8"/>
    <mergeCell ref="AG8:AH8"/>
    <mergeCell ref="AI8:AJ8"/>
    <mergeCell ref="M8:N8"/>
    <mergeCell ref="O8:P8"/>
    <mergeCell ref="Q8:R8"/>
    <mergeCell ref="S8:T8"/>
    <mergeCell ref="U8:V8"/>
    <mergeCell ref="W8:X8"/>
    <mergeCell ref="L2:W2"/>
    <mergeCell ref="AC2:AJ2"/>
    <mergeCell ref="AK2:AT2"/>
    <mergeCell ref="L4:AC4"/>
    <mergeCell ref="AK4:AT4"/>
    <mergeCell ref="B6:D6"/>
    <mergeCell ref="E6:F6"/>
    <mergeCell ref="G6:H6"/>
    <mergeCell ref="I6:J6"/>
    <mergeCell ref="K6:L6"/>
    <mergeCell ref="AK6:AL6"/>
    <mergeCell ref="AM6:AN6"/>
    <mergeCell ref="AO6:AP6"/>
    <mergeCell ref="AQ6:AR6"/>
    <mergeCell ref="AS6:AT6"/>
    <mergeCell ref="B7:D7"/>
    <mergeCell ref="E7:F7"/>
    <mergeCell ref="G7:H7"/>
    <mergeCell ref="I7:J7"/>
    <mergeCell ref="K7:L7"/>
    <mergeCell ref="Y6:Z6"/>
    <mergeCell ref="AA6:AB6"/>
    <mergeCell ref="AC6:AD6"/>
    <mergeCell ref="AE6:AF6"/>
    <mergeCell ref="AG6:AH6"/>
    <mergeCell ref="AI6:AJ6"/>
    <mergeCell ref="M6:N6"/>
    <mergeCell ref="O6:P6"/>
    <mergeCell ref="Q6:R6"/>
    <mergeCell ref="S6:T6"/>
    <mergeCell ref="U6:V6"/>
    <mergeCell ref="W6:X6"/>
  </mergeCells>
  <pageMargins left="0.7" right="0.7" top="0.75" bottom="0.75" header="0.3" footer="0.3"/>
  <pageSetup paperSize="9" scale="3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pageSetUpPr fitToPage="1"/>
  </sheetPr>
  <dimension ref="B1:AT89"/>
  <sheetViews>
    <sheetView zoomScale="40" zoomScaleNormal="40" workbookViewId="0">
      <selection activeCell="B36" sqref="B1:G36"/>
    </sheetView>
  </sheetViews>
  <sheetFormatPr defaultColWidth="9.21875" defaultRowHeight="14.4" x14ac:dyDescent="0.3"/>
  <cols>
    <col min="1" max="1" width="0.21875" customWidth="1"/>
    <col min="2" max="2" width="10.77734375" customWidth="1"/>
    <col min="3" max="4" width="13.77734375" customWidth="1"/>
    <col min="5" max="46" width="8.77734375" customWidth="1"/>
    <col min="47" max="49" width="3" customWidth="1"/>
  </cols>
  <sheetData>
    <row r="1" spans="2:46" x14ac:dyDescent="0.3">
      <c r="B1" s="1"/>
      <c r="AQ1" s="1"/>
    </row>
    <row r="2" spans="2:46" ht="50.1" customHeight="1" thickBot="1" x14ac:dyDescent="0.8">
      <c r="B2" s="65" t="s">
        <v>85</v>
      </c>
      <c r="C2" s="62"/>
      <c r="D2" s="63"/>
      <c r="E2" s="63"/>
      <c r="F2" s="64"/>
      <c r="G2" s="63"/>
      <c r="H2" s="64"/>
      <c r="I2" s="64"/>
      <c r="J2" s="64"/>
      <c r="K2" s="64"/>
      <c r="L2" s="423" t="str">
        <f>'Plot Data'!K7</f>
        <v>AFT Ni (˚C)</v>
      </c>
      <c r="M2" s="423"/>
      <c r="N2" s="423"/>
      <c r="O2" s="423"/>
      <c r="P2" s="423"/>
      <c r="Q2" s="423"/>
      <c r="R2" s="423"/>
      <c r="S2" s="423"/>
      <c r="T2" s="423"/>
      <c r="U2" s="423"/>
      <c r="V2" s="423"/>
      <c r="W2" s="423"/>
      <c r="X2" s="63"/>
      <c r="Y2" s="63"/>
      <c r="Z2" s="63"/>
      <c r="AA2" s="63"/>
      <c r="AB2" s="65"/>
      <c r="AC2" s="424" t="s">
        <v>92</v>
      </c>
      <c r="AD2" s="424"/>
      <c r="AE2" s="424"/>
      <c r="AF2" s="424"/>
      <c r="AG2" s="424"/>
      <c r="AH2" s="424"/>
      <c r="AI2" s="424"/>
      <c r="AJ2" s="424"/>
      <c r="AK2" s="425" t="s">
        <v>299</v>
      </c>
      <c r="AL2" s="425"/>
      <c r="AM2" s="425"/>
      <c r="AN2" s="425"/>
      <c r="AO2" s="425"/>
      <c r="AP2" s="425"/>
      <c r="AQ2" s="425"/>
      <c r="AR2" s="425"/>
      <c r="AS2" s="425"/>
      <c r="AT2" s="425"/>
    </row>
    <row r="3" spans="2:46" ht="22.05" customHeight="1" x14ac:dyDescent="0.85">
      <c r="B3" s="61"/>
      <c r="C3" s="66"/>
      <c r="D3" s="66"/>
      <c r="E3" s="66"/>
      <c r="F3" s="67"/>
      <c r="G3" s="66"/>
      <c r="H3" s="67"/>
      <c r="I3" s="67"/>
      <c r="J3" s="66"/>
      <c r="K3" s="66"/>
      <c r="L3" s="66"/>
      <c r="M3" s="66"/>
      <c r="N3" s="66"/>
      <c r="O3" s="66"/>
      <c r="P3" s="66"/>
      <c r="Q3" s="66"/>
      <c r="R3" s="66"/>
      <c r="S3" s="66"/>
      <c r="T3" s="66"/>
      <c r="U3" s="66"/>
      <c r="V3" s="66"/>
      <c r="W3" s="66"/>
      <c r="X3" s="66"/>
      <c r="Y3" s="66"/>
      <c r="Z3" s="66"/>
      <c r="AA3" s="66"/>
      <c r="AB3" s="66"/>
      <c r="AC3" s="66"/>
      <c r="AD3" s="66"/>
      <c r="AE3" s="66"/>
      <c r="AF3" s="66"/>
      <c r="AG3" s="66"/>
      <c r="AH3" s="68"/>
      <c r="AI3" s="66"/>
      <c r="AJ3" s="68"/>
      <c r="AK3" s="66"/>
      <c r="AL3" s="66"/>
      <c r="AM3" s="66"/>
      <c r="AN3" s="66"/>
      <c r="AO3" s="67"/>
      <c r="AP3" s="66"/>
      <c r="AQ3" s="67"/>
      <c r="AR3" s="66"/>
      <c r="AS3" s="66"/>
    </row>
    <row r="4" spans="2:46" ht="50.1" customHeight="1" x14ac:dyDescent="0.85">
      <c r="B4" s="60"/>
      <c r="C4" s="66"/>
      <c r="D4" s="66"/>
      <c r="E4" s="66"/>
      <c r="F4" s="66"/>
      <c r="G4" s="66"/>
      <c r="H4" s="66"/>
      <c r="I4" s="66"/>
      <c r="J4" s="66"/>
      <c r="K4" s="66"/>
      <c r="L4" s="426" t="s">
        <v>87</v>
      </c>
      <c r="M4" s="426"/>
      <c r="N4" s="426"/>
      <c r="O4" s="426"/>
      <c r="P4" s="426"/>
      <c r="Q4" s="426"/>
      <c r="R4" s="426"/>
      <c r="S4" s="426"/>
      <c r="T4" s="426"/>
      <c r="U4" s="426"/>
      <c r="V4" s="426"/>
      <c r="W4" s="426"/>
      <c r="X4" s="426"/>
      <c r="Y4" s="426"/>
      <c r="Z4" s="426"/>
      <c r="AA4" s="426"/>
      <c r="AB4" s="426"/>
      <c r="AC4" s="426"/>
      <c r="AD4" s="69" t="s">
        <v>93</v>
      </c>
      <c r="AE4" s="66"/>
      <c r="AF4" s="66"/>
      <c r="AG4" s="66"/>
      <c r="AH4" s="66"/>
      <c r="AI4" s="66"/>
      <c r="AJ4" s="66"/>
      <c r="AK4" s="427" t="s">
        <v>89</v>
      </c>
      <c r="AL4" s="427"/>
      <c r="AM4" s="427"/>
      <c r="AN4" s="427"/>
      <c r="AO4" s="427"/>
      <c r="AP4" s="427"/>
      <c r="AQ4" s="427"/>
      <c r="AR4" s="427"/>
      <c r="AS4" s="427"/>
      <c r="AT4" s="427"/>
    </row>
    <row r="5" spans="2:46" ht="22.05" customHeight="1" thickBot="1" x14ac:dyDescent="0.35">
      <c r="K5" s="2"/>
    </row>
    <row r="6" spans="2:46" ht="50.1" customHeight="1" x14ac:dyDescent="0.3">
      <c r="B6" s="428" t="s">
        <v>0</v>
      </c>
      <c r="C6" s="429"/>
      <c r="D6" s="430"/>
      <c r="E6" s="431"/>
      <c r="F6" s="432"/>
      <c r="G6" s="431"/>
      <c r="H6" s="432"/>
      <c r="I6" s="431"/>
      <c r="J6" s="432"/>
      <c r="K6" s="431"/>
      <c r="L6" s="432"/>
      <c r="M6" s="431"/>
      <c r="N6" s="432"/>
      <c r="O6" s="431"/>
      <c r="P6" s="432"/>
      <c r="Q6" s="431"/>
      <c r="R6" s="432"/>
      <c r="S6" s="431"/>
      <c r="T6" s="432"/>
      <c r="U6" s="431"/>
      <c r="V6" s="432"/>
      <c r="W6" s="431"/>
      <c r="X6" s="432"/>
      <c r="Y6" s="431"/>
      <c r="Z6" s="432"/>
      <c r="AA6" s="431"/>
      <c r="AB6" s="432"/>
      <c r="AC6" s="431"/>
      <c r="AD6" s="432"/>
      <c r="AE6" s="431"/>
      <c r="AF6" s="432"/>
      <c r="AG6" s="431"/>
      <c r="AH6" s="432"/>
      <c r="AI6" s="431"/>
      <c r="AJ6" s="432"/>
      <c r="AK6" s="431"/>
      <c r="AL6" s="432"/>
      <c r="AM6" s="431"/>
      <c r="AN6" s="432"/>
      <c r="AO6" s="431"/>
      <c r="AP6" s="432"/>
      <c r="AQ6" s="431"/>
      <c r="AR6" s="432"/>
      <c r="AS6" s="431"/>
      <c r="AT6" s="432"/>
    </row>
    <row r="7" spans="2:46" ht="50.1" customHeight="1" thickBot="1" x14ac:dyDescent="0.35">
      <c r="B7" s="433" t="s">
        <v>1</v>
      </c>
      <c r="C7" s="434"/>
      <c r="D7" s="435"/>
      <c r="E7" s="436"/>
      <c r="F7" s="437"/>
      <c r="G7" s="436"/>
      <c r="H7" s="437"/>
      <c r="I7" s="436"/>
      <c r="J7" s="437"/>
      <c r="K7" s="436"/>
      <c r="L7" s="437"/>
      <c r="M7" s="436"/>
      <c r="N7" s="437"/>
      <c r="O7" s="436"/>
      <c r="P7" s="437"/>
      <c r="Q7" s="436"/>
      <c r="R7" s="437"/>
      <c r="S7" s="436"/>
      <c r="T7" s="437"/>
      <c r="U7" s="436"/>
      <c r="V7" s="437"/>
      <c r="W7" s="436"/>
      <c r="X7" s="437"/>
      <c r="Y7" s="436"/>
      <c r="Z7" s="437"/>
      <c r="AA7" s="436"/>
      <c r="AB7" s="437"/>
      <c r="AC7" s="436"/>
      <c r="AD7" s="437"/>
      <c r="AE7" s="436"/>
      <c r="AF7" s="437"/>
      <c r="AG7" s="436"/>
      <c r="AH7" s="437"/>
      <c r="AI7" s="436"/>
      <c r="AJ7" s="437"/>
      <c r="AK7" s="436"/>
      <c r="AL7" s="437"/>
      <c r="AM7" s="436"/>
      <c r="AN7" s="437"/>
      <c r="AO7" s="436"/>
      <c r="AP7" s="437"/>
      <c r="AQ7" s="436"/>
      <c r="AR7" s="437"/>
      <c r="AS7" s="436"/>
      <c r="AT7" s="437"/>
    </row>
    <row r="8" spans="2:46" ht="50.1" customHeight="1" thickBot="1" x14ac:dyDescent="0.35">
      <c r="B8" s="438" t="s">
        <v>2</v>
      </c>
      <c r="C8" s="439"/>
      <c r="D8" s="440"/>
      <c r="E8" s="441"/>
      <c r="F8" s="442"/>
      <c r="G8" s="441"/>
      <c r="H8" s="442"/>
      <c r="I8" s="441"/>
      <c r="J8" s="442"/>
      <c r="K8" s="441"/>
      <c r="L8" s="442"/>
      <c r="M8" s="441"/>
      <c r="N8" s="442"/>
      <c r="O8" s="441"/>
      <c r="P8" s="442"/>
      <c r="Q8" s="441"/>
      <c r="R8" s="442"/>
      <c r="S8" s="441"/>
      <c r="T8" s="442"/>
      <c r="U8" s="441"/>
      <c r="V8" s="442"/>
      <c r="W8" s="441"/>
      <c r="X8" s="442"/>
      <c r="Y8" s="441"/>
      <c r="Z8" s="442"/>
      <c r="AA8" s="441"/>
      <c r="AB8" s="442"/>
      <c r="AC8" s="441"/>
      <c r="AD8" s="442"/>
      <c r="AE8" s="441"/>
      <c r="AF8" s="442"/>
      <c r="AG8" s="441"/>
      <c r="AH8" s="442"/>
      <c r="AI8" s="441"/>
      <c r="AJ8" s="442"/>
      <c r="AK8" s="441"/>
      <c r="AL8" s="442"/>
      <c r="AM8" s="441"/>
      <c r="AN8" s="442"/>
      <c r="AO8" s="441"/>
      <c r="AP8" s="442"/>
      <c r="AQ8" s="441"/>
      <c r="AR8" s="442"/>
      <c r="AS8" s="441"/>
      <c r="AT8" s="442"/>
    </row>
    <row r="9" spans="2:46" ht="50.1" customHeight="1" thickBot="1" x14ac:dyDescent="0.35">
      <c r="B9" s="447" t="s">
        <v>3</v>
      </c>
      <c r="C9" s="448"/>
      <c r="D9" s="449"/>
      <c r="E9" s="443"/>
      <c r="F9" s="444"/>
      <c r="G9" s="443"/>
      <c r="H9" s="444"/>
      <c r="I9" s="443"/>
      <c r="J9" s="444"/>
      <c r="K9" s="443"/>
      <c r="L9" s="444"/>
      <c r="M9" s="443"/>
      <c r="N9" s="444"/>
      <c r="O9" s="443"/>
      <c r="P9" s="444"/>
      <c r="Q9" s="443"/>
      <c r="R9" s="444"/>
      <c r="S9" s="443"/>
      <c r="T9" s="444"/>
      <c r="U9" s="443"/>
      <c r="V9" s="444"/>
      <c r="W9" s="443"/>
      <c r="X9" s="444"/>
      <c r="Y9" s="443"/>
      <c r="Z9" s="444"/>
      <c r="AA9" s="443"/>
      <c r="AB9" s="444"/>
      <c r="AC9" s="443"/>
      <c r="AD9" s="444"/>
      <c r="AE9" s="443"/>
      <c r="AF9" s="444"/>
      <c r="AG9" s="443"/>
      <c r="AH9" s="444"/>
      <c r="AI9" s="443"/>
      <c r="AJ9" s="444"/>
      <c r="AK9" s="443"/>
      <c r="AL9" s="444"/>
      <c r="AM9" s="443"/>
      <c r="AN9" s="444"/>
      <c r="AO9" s="443"/>
      <c r="AP9" s="444"/>
      <c r="AQ9" s="443"/>
      <c r="AR9" s="444"/>
      <c r="AS9" s="443"/>
      <c r="AT9" s="444"/>
    </row>
    <row r="10" spans="2:46" ht="50.1" customHeight="1" thickBot="1" x14ac:dyDescent="0.35">
      <c r="B10" s="428" t="s">
        <v>4</v>
      </c>
      <c r="C10" s="429"/>
      <c r="D10" s="430"/>
      <c r="E10" s="441"/>
      <c r="F10" s="442"/>
      <c r="G10" s="441"/>
      <c r="H10" s="442"/>
      <c r="I10" s="441"/>
      <c r="J10" s="442"/>
      <c r="K10" s="445"/>
      <c r="L10" s="446"/>
      <c r="M10" s="441"/>
      <c r="N10" s="442"/>
      <c r="O10" s="441"/>
      <c r="P10" s="442"/>
      <c r="Q10" s="441"/>
      <c r="R10" s="442"/>
      <c r="S10" s="441"/>
      <c r="T10" s="442"/>
      <c r="U10" s="441"/>
      <c r="V10" s="442"/>
      <c r="W10" s="441"/>
      <c r="X10" s="442"/>
      <c r="Y10" s="441"/>
      <c r="Z10" s="442"/>
      <c r="AA10" s="441"/>
      <c r="AB10" s="442"/>
      <c r="AC10" s="441"/>
      <c r="AD10" s="442"/>
      <c r="AE10" s="441"/>
      <c r="AF10" s="442"/>
      <c r="AG10" s="441"/>
      <c r="AH10" s="442"/>
      <c r="AI10" s="441"/>
      <c r="AJ10" s="442"/>
      <c r="AK10" s="441"/>
      <c r="AL10" s="442"/>
      <c r="AM10" s="441"/>
      <c r="AN10" s="442"/>
      <c r="AO10" s="441"/>
      <c r="AP10" s="442"/>
      <c r="AQ10" s="441"/>
      <c r="AR10" s="442"/>
      <c r="AS10" s="441"/>
      <c r="AT10" s="442"/>
    </row>
    <row r="11" spans="2:46" ht="50.1" customHeight="1" thickBot="1" x14ac:dyDescent="0.35">
      <c r="B11" s="450" t="s">
        <v>5</v>
      </c>
      <c r="C11" s="451"/>
      <c r="D11" s="452"/>
      <c r="E11" s="441"/>
      <c r="F11" s="442"/>
      <c r="G11" s="441"/>
      <c r="H11" s="442"/>
      <c r="I11" s="441"/>
      <c r="J11" s="442"/>
      <c r="K11" s="72"/>
      <c r="L11" s="72"/>
      <c r="M11" s="441"/>
      <c r="N11" s="442"/>
      <c r="O11" s="441"/>
      <c r="P11" s="442"/>
      <c r="Q11" s="441"/>
      <c r="R11" s="442"/>
      <c r="S11" s="441"/>
      <c r="T11" s="442"/>
      <c r="U11" s="441"/>
      <c r="V11" s="442"/>
      <c r="W11" s="441"/>
      <c r="X11" s="442"/>
      <c r="Y11" s="441"/>
      <c r="Z11" s="442"/>
      <c r="AA11" s="441"/>
      <c r="AB11" s="442"/>
      <c r="AC11" s="441"/>
      <c r="AD11" s="442"/>
      <c r="AE11" s="441"/>
      <c r="AF11" s="442"/>
      <c r="AG11" s="441"/>
      <c r="AH11" s="442"/>
      <c r="AI11" s="441"/>
      <c r="AJ11" s="442"/>
      <c r="AK11" s="441"/>
      <c r="AL11" s="442"/>
      <c r="AM11" s="441"/>
      <c r="AN11" s="442"/>
      <c r="AO11" s="441"/>
      <c r="AP11" s="442"/>
      <c r="AQ11" s="441"/>
      <c r="AR11" s="442"/>
      <c r="AS11" s="441"/>
      <c r="AT11" s="442"/>
    </row>
    <row r="12" spans="2:46" ht="18" customHeight="1" thickTop="1" x14ac:dyDescent="0.6">
      <c r="B12" s="666" t="s">
        <v>6</v>
      </c>
      <c r="C12" s="389"/>
      <c r="D12" s="73"/>
      <c r="E12" s="74"/>
      <c r="F12" s="456"/>
      <c r="G12" s="457"/>
      <c r="H12" s="456"/>
      <c r="I12" s="457"/>
      <c r="J12" s="456"/>
      <c r="K12" s="457"/>
      <c r="L12" s="456"/>
      <c r="M12" s="457"/>
      <c r="N12" s="456"/>
      <c r="O12" s="457"/>
      <c r="P12" s="456"/>
      <c r="Q12" s="457"/>
      <c r="R12" s="456"/>
      <c r="S12" s="457"/>
      <c r="T12" s="456"/>
      <c r="U12" s="457"/>
      <c r="V12" s="456"/>
      <c r="W12" s="457"/>
      <c r="X12" s="456"/>
      <c r="Y12" s="457"/>
      <c r="Z12" s="456"/>
      <c r="AA12" s="457"/>
      <c r="AB12" s="456"/>
      <c r="AC12" s="457"/>
      <c r="AD12" s="456"/>
      <c r="AE12" s="457"/>
      <c r="AF12" s="456"/>
      <c r="AG12" s="457"/>
      <c r="AH12" s="456"/>
      <c r="AI12" s="457"/>
      <c r="AJ12" s="456"/>
      <c r="AK12" s="457"/>
      <c r="AL12" s="456"/>
      <c r="AM12" s="457"/>
      <c r="AN12" s="456"/>
      <c r="AO12" s="457"/>
      <c r="AP12" s="456"/>
      <c r="AQ12" s="457"/>
      <c r="AR12" s="456"/>
      <c r="AS12" s="457"/>
      <c r="AT12" s="93"/>
    </row>
    <row r="13" spans="2:46" ht="18" customHeight="1" thickBot="1" x14ac:dyDescent="0.35">
      <c r="B13" s="667"/>
      <c r="C13" s="669">
        <f>'Plot Data'!K64</f>
        <v>1469.2923009479862</v>
      </c>
      <c r="D13" s="5"/>
      <c r="E13" s="6"/>
      <c r="F13" s="461"/>
      <c r="G13" s="462"/>
      <c r="H13" s="461"/>
      <c r="I13" s="462"/>
      <c r="J13" s="461"/>
      <c r="K13" s="462"/>
      <c r="L13" s="461"/>
      <c r="M13" s="462"/>
      <c r="N13" s="461"/>
      <c r="O13" s="462"/>
      <c r="P13" s="461"/>
      <c r="Q13" s="462"/>
      <c r="R13" s="461"/>
      <c r="S13" s="462"/>
      <c r="T13" s="461"/>
      <c r="U13" s="462"/>
      <c r="V13" s="461"/>
      <c r="W13" s="462"/>
      <c r="X13" s="461"/>
      <c r="Y13" s="462"/>
      <c r="Z13" s="461"/>
      <c r="AA13" s="462"/>
      <c r="AB13" s="461"/>
      <c r="AC13" s="462"/>
      <c r="AD13" s="461"/>
      <c r="AE13" s="462"/>
      <c r="AF13" s="461"/>
      <c r="AG13" s="462"/>
      <c r="AH13" s="461"/>
      <c r="AI13" s="462"/>
      <c r="AJ13" s="461"/>
      <c r="AK13" s="462"/>
      <c r="AL13" s="461"/>
      <c r="AM13" s="462"/>
      <c r="AN13" s="461"/>
      <c r="AO13" s="462"/>
      <c r="AP13" s="461"/>
      <c r="AQ13" s="462"/>
      <c r="AR13" s="461"/>
      <c r="AS13" s="462"/>
      <c r="AT13" s="463" t="s">
        <v>48</v>
      </c>
    </row>
    <row r="14" spans="2:46" ht="18" customHeight="1" thickTop="1" x14ac:dyDescent="0.3">
      <c r="B14" s="667"/>
      <c r="C14" s="669"/>
      <c r="D14" s="7"/>
      <c r="E14" s="8"/>
      <c r="F14" s="459"/>
      <c r="G14" s="460"/>
      <c r="H14" s="459"/>
      <c r="I14" s="460"/>
      <c r="J14" s="459"/>
      <c r="K14" s="460"/>
      <c r="L14" s="459"/>
      <c r="M14" s="460"/>
      <c r="N14" s="459"/>
      <c r="O14" s="460"/>
      <c r="P14" s="459"/>
      <c r="Q14" s="460"/>
      <c r="R14" s="459"/>
      <c r="S14" s="460"/>
      <c r="T14" s="459"/>
      <c r="U14" s="460"/>
      <c r="V14" s="459"/>
      <c r="W14" s="460"/>
      <c r="X14" s="459"/>
      <c r="Y14" s="460"/>
      <c r="Z14" s="459"/>
      <c r="AA14" s="460"/>
      <c r="AB14" s="459"/>
      <c r="AC14" s="460"/>
      <c r="AD14" s="459"/>
      <c r="AE14" s="460"/>
      <c r="AF14" s="459"/>
      <c r="AG14" s="460"/>
      <c r="AH14" s="459"/>
      <c r="AI14" s="460"/>
      <c r="AJ14" s="459"/>
      <c r="AK14" s="460"/>
      <c r="AL14" s="459"/>
      <c r="AM14" s="460"/>
      <c r="AN14" s="459"/>
      <c r="AO14" s="460"/>
      <c r="AP14" s="459"/>
      <c r="AQ14" s="460"/>
      <c r="AR14" s="459"/>
      <c r="AS14" s="460"/>
      <c r="AT14" s="464"/>
    </row>
    <row r="15" spans="2:46" ht="18" customHeight="1" x14ac:dyDescent="0.6">
      <c r="B15" s="667"/>
      <c r="C15" s="669">
        <f>C19+(C13-C19)/2</f>
        <v>1466.6852507899885</v>
      </c>
      <c r="D15" s="13"/>
      <c r="E15" s="8"/>
      <c r="F15" s="459"/>
      <c r="G15" s="460"/>
      <c r="H15" s="459"/>
      <c r="I15" s="460"/>
      <c r="J15" s="459"/>
      <c r="K15" s="460"/>
      <c r="L15" s="459"/>
      <c r="M15" s="460"/>
      <c r="N15" s="459"/>
      <c r="O15" s="460"/>
      <c r="P15" s="459"/>
      <c r="Q15" s="460"/>
      <c r="R15" s="459"/>
      <c r="S15" s="460"/>
      <c r="T15" s="459"/>
      <c r="U15" s="460"/>
      <c r="V15" s="459"/>
      <c r="W15" s="460"/>
      <c r="X15" s="459"/>
      <c r="Y15" s="460"/>
      <c r="Z15" s="459"/>
      <c r="AA15" s="460"/>
      <c r="AB15" s="459"/>
      <c r="AC15" s="460"/>
      <c r="AD15" s="459"/>
      <c r="AE15" s="460"/>
      <c r="AF15" s="459"/>
      <c r="AG15" s="460"/>
      <c r="AH15" s="459"/>
      <c r="AI15" s="460"/>
      <c r="AJ15" s="459"/>
      <c r="AK15" s="460"/>
      <c r="AL15" s="459"/>
      <c r="AM15" s="460"/>
      <c r="AN15" s="459"/>
      <c r="AO15" s="460"/>
      <c r="AP15" s="459"/>
      <c r="AQ15" s="460"/>
      <c r="AR15" s="459"/>
      <c r="AS15" s="460"/>
      <c r="AT15" s="94"/>
    </row>
    <row r="16" spans="2:46" ht="18" customHeight="1" x14ac:dyDescent="0.6">
      <c r="B16" s="667"/>
      <c r="C16" s="669"/>
      <c r="D16" s="3"/>
      <c r="E16" s="8"/>
      <c r="F16" s="459"/>
      <c r="G16" s="460"/>
      <c r="H16" s="459"/>
      <c r="I16" s="460"/>
      <c r="J16" s="459"/>
      <c r="K16" s="460"/>
      <c r="L16" s="459"/>
      <c r="M16" s="460"/>
      <c r="N16" s="459"/>
      <c r="O16" s="460"/>
      <c r="P16" s="459"/>
      <c r="Q16" s="460"/>
      <c r="R16" s="459"/>
      <c r="S16" s="460"/>
      <c r="T16" s="459"/>
      <c r="U16" s="460"/>
      <c r="V16" s="459"/>
      <c r="W16" s="460"/>
      <c r="X16" s="459"/>
      <c r="Y16" s="460"/>
      <c r="Z16" s="459"/>
      <c r="AA16" s="460"/>
      <c r="AB16" s="459"/>
      <c r="AC16" s="460"/>
      <c r="AD16" s="459"/>
      <c r="AE16" s="460"/>
      <c r="AF16" s="459"/>
      <c r="AG16" s="460"/>
      <c r="AH16" s="459"/>
      <c r="AI16" s="460"/>
      <c r="AJ16" s="459"/>
      <c r="AK16" s="460"/>
      <c r="AL16" s="459"/>
      <c r="AM16" s="460"/>
      <c r="AN16" s="459"/>
      <c r="AO16" s="460"/>
      <c r="AP16" s="459"/>
      <c r="AQ16" s="460"/>
      <c r="AR16" s="459"/>
      <c r="AS16" s="460"/>
      <c r="AT16" s="94"/>
    </row>
    <row r="17" spans="2:46" ht="18" customHeight="1" x14ac:dyDescent="0.6">
      <c r="B17" s="667"/>
      <c r="C17" s="669"/>
      <c r="D17" s="3"/>
      <c r="E17" s="8"/>
      <c r="F17" s="459"/>
      <c r="G17" s="460"/>
      <c r="H17" s="459"/>
      <c r="I17" s="460"/>
      <c r="J17" s="459"/>
      <c r="K17" s="460"/>
      <c r="L17" s="459"/>
      <c r="M17" s="460"/>
      <c r="N17" s="459"/>
      <c r="O17" s="460"/>
      <c r="P17" s="459"/>
      <c r="Q17" s="460"/>
      <c r="R17" s="459"/>
      <c r="S17" s="460"/>
      <c r="T17" s="459"/>
      <c r="U17" s="460"/>
      <c r="V17" s="459"/>
      <c r="W17" s="460"/>
      <c r="X17" s="459"/>
      <c r="Y17" s="460"/>
      <c r="Z17" s="459"/>
      <c r="AA17" s="460"/>
      <c r="AB17" s="459"/>
      <c r="AC17" s="460"/>
      <c r="AD17" s="459"/>
      <c r="AE17" s="460"/>
      <c r="AF17" s="459"/>
      <c r="AG17" s="460"/>
      <c r="AH17" s="459"/>
      <c r="AI17" s="460"/>
      <c r="AJ17" s="459"/>
      <c r="AK17" s="460"/>
      <c r="AL17" s="459"/>
      <c r="AM17" s="460"/>
      <c r="AN17" s="459"/>
      <c r="AO17" s="460"/>
      <c r="AP17" s="459"/>
      <c r="AQ17" s="460"/>
      <c r="AR17" s="459"/>
      <c r="AS17" s="460"/>
      <c r="AT17" s="94"/>
    </row>
    <row r="18" spans="2:46" ht="18" customHeight="1" x14ac:dyDescent="0.6">
      <c r="B18" s="667"/>
      <c r="C18" s="669"/>
      <c r="D18" s="7"/>
      <c r="E18" s="8"/>
      <c r="F18" s="459"/>
      <c r="G18" s="460"/>
      <c r="H18" s="459"/>
      <c r="I18" s="460"/>
      <c r="J18" s="459"/>
      <c r="K18" s="460"/>
      <c r="L18" s="459"/>
      <c r="M18" s="460"/>
      <c r="N18" s="459"/>
      <c r="O18" s="460"/>
      <c r="P18" s="459"/>
      <c r="Q18" s="460"/>
      <c r="R18" s="459"/>
      <c r="S18" s="460"/>
      <c r="T18" s="459"/>
      <c r="U18" s="460"/>
      <c r="V18" s="459"/>
      <c r="W18" s="460"/>
      <c r="X18" s="459"/>
      <c r="Y18" s="460"/>
      <c r="Z18" s="459"/>
      <c r="AA18" s="460"/>
      <c r="AB18" s="459"/>
      <c r="AC18" s="460"/>
      <c r="AD18" s="459"/>
      <c r="AE18" s="460"/>
      <c r="AF18" s="459"/>
      <c r="AG18" s="460"/>
      <c r="AH18" s="459"/>
      <c r="AI18" s="460"/>
      <c r="AJ18" s="459"/>
      <c r="AK18" s="460"/>
      <c r="AL18" s="459"/>
      <c r="AM18" s="460"/>
      <c r="AN18" s="459"/>
      <c r="AO18" s="460"/>
      <c r="AP18" s="459"/>
      <c r="AQ18" s="460"/>
      <c r="AR18" s="459"/>
      <c r="AS18" s="460"/>
      <c r="AT18" s="94"/>
    </row>
    <row r="19" spans="2:46" ht="18" customHeight="1" thickBot="1" x14ac:dyDescent="0.35">
      <c r="B19" s="667"/>
      <c r="C19" s="669">
        <f>'Plot Data'!K62</f>
        <v>1464.078200631991</v>
      </c>
      <c r="D19" s="9"/>
      <c r="E19" s="10"/>
      <c r="F19" s="11"/>
      <c r="G19" s="12"/>
      <c r="H19" s="11"/>
      <c r="I19" s="12"/>
      <c r="J19" s="11"/>
      <c r="K19" s="12"/>
      <c r="L19" s="11"/>
      <c r="M19" s="12"/>
      <c r="N19" s="11"/>
      <c r="O19" s="12"/>
      <c r="P19" s="11"/>
      <c r="Q19" s="12"/>
      <c r="R19" s="11"/>
      <c r="S19" s="12"/>
      <c r="T19" s="11"/>
      <c r="U19" s="12"/>
      <c r="V19" s="11"/>
      <c r="W19" s="12"/>
      <c r="X19" s="11"/>
      <c r="Y19" s="12"/>
      <c r="Z19" s="11"/>
      <c r="AA19" s="12"/>
      <c r="AB19" s="11"/>
      <c r="AC19" s="12"/>
      <c r="AD19" s="11"/>
      <c r="AE19" s="12"/>
      <c r="AF19" s="11"/>
      <c r="AG19" s="12"/>
      <c r="AH19" s="11"/>
      <c r="AI19" s="12"/>
      <c r="AJ19" s="11"/>
      <c r="AK19" s="12"/>
      <c r="AL19" s="11"/>
      <c r="AM19" s="12"/>
      <c r="AN19" s="11"/>
      <c r="AO19" s="12"/>
      <c r="AP19" s="11"/>
      <c r="AQ19" s="12"/>
      <c r="AR19" s="11"/>
      <c r="AS19" s="12"/>
      <c r="AT19" s="463" t="s">
        <v>47</v>
      </c>
    </row>
    <row r="20" spans="2:46" ht="18" customHeight="1" x14ac:dyDescent="0.3">
      <c r="B20" s="667"/>
      <c r="C20" s="669"/>
      <c r="D20" s="7"/>
      <c r="E20" s="8"/>
      <c r="F20" s="459"/>
      <c r="G20" s="460"/>
      <c r="H20" s="459"/>
      <c r="I20" s="460"/>
      <c r="J20" s="459"/>
      <c r="K20" s="460"/>
      <c r="L20" s="459"/>
      <c r="M20" s="460"/>
      <c r="N20" s="459"/>
      <c r="O20" s="460"/>
      <c r="P20" s="459"/>
      <c r="Q20" s="460"/>
      <c r="R20" s="459"/>
      <c r="S20" s="460"/>
      <c r="T20" s="459"/>
      <c r="U20" s="460"/>
      <c r="V20" s="459"/>
      <c r="W20" s="460"/>
      <c r="X20" s="459"/>
      <c r="Y20" s="460"/>
      <c r="Z20" s="459"/>
      <c r="AA20" s="460"/>
      <c r="AB20" s="459"/>
      <c r="AC20" s="460"/>
      <c r="AD20" s="459"/>
      <c r="AE20" s="460"/>
      <c r="AF20" s="459"/>
      <c r="AG20" s="460"/>
      <c r="AH20" s="459"/>
      <c r="AI20" s="460"/>
      <c r="AJ20" s="459"/>
      <c r="AK20" s="460"/>
      <c r="AL20" s="459"/>
      <c r="AM20" s="460"/>
      <c r="AN20" s="459"/>
      <c r="AO20" s="460"/>
      <c r="AP20" s="459"/>
      <c r="AQ20" s="460"/>
      <c r="AR20" s="459"/>
      <c r="AS20" s="460"/>
      <c r="AT20" s="464"/>
    </row>
    <row r="21" spans="2:46" ht="18" customHeight="1" x14ac:dyDescent="0.6">
      <c r="B21" s="667"/>
      <c r="C21" s="669">
        <f>C25+(C19-C25)/2</f>
        <v>1461.4711504739932</v>
      </c>
      <c r="D21" s="13"/>
      <c r="E21" s="8"/>
      <c r="F21" s="459"/>
      <c r="G21" s="460"/>
      <c r="H21" s="459"/>
      <c r="I21" s="460"/>
      <c r="J21" s="459"/>
      <c r="K21" s="460"/>
      <c r="L21" s="459"/>
      <c r="M21" s="460"/>
      <c r="N21" s="459"/>
      <c r="O21" s="460"/>
      <c r="P21" s="459"/>
      <c r="Q21" s="460"/>
      <c r="R21" s="459"/>
      <c r="S21" s="460"/>
      <c r="T21" s="459"/>
      <c r="U21" s="460"/>
      <c r="V21" s="459"/>
      <c r="W21" s="460"/>
      <c r="X21" s="459"/>
      <c r="Y21" s="460"/>
      <c r="Z21" s="459"/>
      <c r="AA21" s="460"/>
      <c r="AB21" s="459"/>
      <c r="AC21" s="460"/>
      <c r="AD21" s="459"/>
      <c r="AE21" s="460"/>
      <c r="AF21" s="459"/>
      <c r="AG21" s="460"/>
      <c r="AH21" s="459"/>
      <c r="AI21" s="460"/>
      <c r="AJ21" s="459"/>
      <c r="AK21" s="460"/>
      <c r="AL21" s="459"/>
      <c r="AM21" s="460"/>
      <c r="AN21" s="459"/>
      <c r="AO21" s="460"/>
      <c r="AP21" s="459"/>
      <c r="AQ21" s="460"/>
      <c r="AR21" s="459"/>
      <c r="AS21" s="460"/>
      <c r="AT21" s="94"/>
    </row>
    <row r="22" spans="2:46" ht="18" customHeight="1" x14ac:dyDescent="0.6">
      <c r="B22" s="667"/>
      <c r="C22" s="669"/>
      <c r="D22" s="3"/>
      <c r="E22" s="8"/>
      <c r="F22" s="459"/>
      <c r="G22" s="460"/>
      <c r="H22" s="459"/>
      <c r="I22" s="460"/>
      <c r="J22" s="459"/>
      <c r="K22" s="460"/>
      <c r="L22" s="459"/>
      <c r="M22" s="460"/>
      <c r="N22" s="459"/>
      <c r="O22" s="460"/>
      <c r="P22" s="459"/>
      <c r="Q22" s="460"/>
      <c r="R22" s="459"/>
      <c r="S22" s="460"/>
      <c r="T22" s="459"/>
      <c r="U22" s="460"/>
      <c r="V22" s="459"/>
      <c r="W22" s="460"/>
      <c r="X22" s="459"/>
      <c r="Y22" s="460"/>
      <c r="Z22" s="459"/>
      <c r="AA22" s="460"/>
      <c r="AB22" s="459"/>
      <c r="AC22" s="460"/>
      <c r="AD22" s="459"/>
      <c r="AE22" s="460"/>
      <c r="AF22" s="459"/>
      <c r="AG22" s="460"/>
      <c r="AH22" s="459"/>
      <c r="AI22" s="460"/>
      <c r="AJ22" s="459"/>
      <c r="AK22" s="460"/>
      <c r="AL22" s="459"/>
      <c r="AM22" s="460"/>
      <c r="AN22" s="459"/>
      <c r="AO22" s="460"/>
      <c r="AP22" s="459"/>
      <c r="AQ22" s="460"/>
      <c r="AR22" s="459"/>
      <c r="AS22" s="460"/>
      <c r="AT22" s="94"/>
    </row>
    <row r="23" spans="2:46" ht="18" customHeight="1" x14ac:dyDescent="0.6">
      <c r="B23" s="667"/>
      <c r="C23" s="669"/>
      <c r="D23" s="3"/>
      <c r="E23" s="8"/>
      <c r="F23" s="459"/>
      <c r="G23" s="460"/>
      <c r="H23" s="459"/>
      <c r="I23" s="460"/>
      <c r="J23" s="459"/>
      <c r="K23" s="460"/>
      <c r="L23" s="459"/>
      <c r="M23" s="460"/>
      <c r="N23" s="459"/>
      <c r="O23" s="460"/>
      <c r="P23" s="459"/>
      <c r="Q23" s="460"/>
      <c r="R23" s="459"/>
      <c r="S23" s="460"/>
      <c r="T23" s="459"/>
      <c r="U23" s="460"/>
      <c r="V23" s="459"/>
      <c r="W23" s="460"/>
      <c r="X23" s="459"/>
      <c r="Y23" s="460"/>
      <c r="Z23" s="459"/>
      <c r="AA23" s="460"/>
      <c r="AB23" s="459"/>
      <c r="AC23" s="460"/>
      <c r="AD23" s="459"/>
      <c r="AE23" s="460"/>
      <c r="AF23" s="459"/>
      <c r="AG23" s="460"/>
      <c r="AH23" s="459"/>
      <c r="AI23" s="460"/>
      <c r="AJ23" s="459"/>
      <c r="AK23" s="460"/>
      <c r="AL23" s="459"/>
      <c r="AM23" s="460"/>
      <c r="AN23" s="459"/>
      <c r="AO23" s="460"/>
      <c r="AP23" s="459"/>
      <c r="AQ23" s="460"/>
      <c r="AR23" s="459"/>
      <c r="AS23" s="460"/>
      <c r="AT23" s="94"/>
    </row>
    <row r="24" spans="2:46" ht="18" customHeight="1" x14ac:dyDescent="0.6">
      <c r="B24" s="667"/>
      <c r="C24" s="669"/>
      <c r="D24" s="7"/>
      <c r="E24" s="8"/>
      <c r="F24" s="459"/>
      <c r="G24" s="460"/>
      <c r="H24" s="459"/>
      <c r="I24" s="460"/>
      <c r="J24" s="459"/>
      <c r="K24" s="460"/>
      <c r="L24" s="459"/>
      <c r="M24" s="460"/>
      <c r="N24" s="459"/>
      <c r="O24" s="460"/>
      <c r="P24" s="459"/>
      <c r="Q24" s="460"/>
      <c r="R24" s="459"/>
      <c r="S24" s="460"/>
      <c r="T24" s="459"/>
      <c r="U24" s="460"/>
      <c r="V24" s="459"/>
      <c r="W24" s="460"/>
      <c r="X24" s="459"/>
      <c r="Y24" s="460"/>
      <c r="Z24" s="459"/>
      <c r="AA24" s="460"/>
      <c r="AB24" s="459"/>
      <c r="AC24" s="460"/>
      <c r="AD24" s="459"/>
      <c r="AE24" s="460"/>
      <c r="AF24" s="459"/>
      <c r="AG24" s="460"/>
      <c r="AH24" s="459"/>
      <c r="AI24" s="460"/>
      <c r="AJ24" s="459"/>
      <c r="AK24" s="460"/>
      <c r="AL24" s="459"/>
      <c r="AM24" s="460"/>
      <c r="AN24" s="459"/>
      <c r="AO24" s="460"/>
      <c r="AP24" s="459"/>
      <c r="AQ24" s="460"/>
      <c r="AR24" s="459"/>
      <c r="AS24" s="460"/>
      <c r="AT24" s="94"/>
    </row>
    <row r="25" spans="2:46" ht="18" customHeight="1" x14ac:dyDescent="0.6">
      <c r="B25" s="667"/>
      <c r="C25" s="669">
        <f>'Plot Data'!K63</f>
        <v>1458.8641003159955</v>
      </c>
      <c r="D25" s="13"/>
      <c r="E25" s="8"/>
      <c r="F25" s="459"/>
      <c r="G25" s="460"/>
      <c r="H25" s="459"/>
      <c r="I25" s="460"/>
      <c r="J25" s="459"/>
      <c r="K25" s="460"/>
      <c r="L25" s="459"/>
      <c r="M25" s="460"/>
      <c r="N25" s="459"/>
      <c r="O25" s="460"/>
      <c r="P25" s="459"/>
      <c r="Q25" s="460"/>
      <c r="R25" s="459"/>
      <c r="S25" s="460"/>
      <c r="T25" s="459"/>
      <c r="U25" s="460"/>
      <c r="V25" s="459"/>
      <c r="W25" s="460"/>
      <c r="X25" s="459"/>
      <c r="Y25" s="460"/>
      <c r="Z25" s="459"/>
      <c r="AA25" s="460"/>
      <c r="AB25" s="459"/>
      <c r="AC25" s="460"/>
      <c r="AD25" s="459"/>
      <c r="AE25" s="460"/>
      <c r="AF25" s="459"/>
      <c r="AG25" s="460"/>
      <c r="AH25" s="459"/>
      <c r="AI25" s="460"/>
      <c r="AJ25" s="459"/>
      <c r="AK25" s="460"/>
      <c r="AL25" s="459"/>
      <c r="AM25" s="460"/>
      <c r="AN25" s="459"/>
      <c r="AO25" s="460"/>
      <c r="AP25" s="459"/>
      <c r="AQ25" s="460"/>
      <c r="AR25" s="459"/>
      <c r="AS25" s="460"/>
      <c r="AT25" s="94"/>
    </row>
    <row r="26" spans="2:46" ht="18" customHeight="1" x14ac:dyDescent="0.6">
      <c r="B26" s="667"/>
      <c r="C26" s="669"/>
      <c r="D26" s="7"/>
      <c r="E26" s="8"/>
      <c r="F26" s="459"/>
      <c r="G26" s="460"/>
      <c r="H26" s="459"/>
      <c r="I26" s="460"/>
      <c r="J26" s="459"/>
      <c r="K26" s="460"/>
      <c r="L26" s="459"/>
      <c r="M26" s="460"/>
      <c r="N26" s="459"/>
      <c r="O26" s="460"/>
      <c r="P26" s="459"/>
      <c r="Q26" s="460"/>
      <c r="R26" s="459"/>
      <c r="S26" s="460"/>
      <c r="T26" s="459"/>
      <c r="U26" s="460"/>
      <c r="V26" s="459"/>
      <c r="W26" s="460"/>
      <c r="X26" s="459"/>
      <c r="Y26" s="460"/>
      <c r="Z26" s="459"/>
      <c r="AA26" s="460"/>
      <c r="AB26" s="459"/>
      <c r="AC26" s="460"/>
      <c r="AD26" s="459"/>
      <c r="AE26" s="460"/>
      <c r="AF26" s="459"/>
      <c r="AG26" s="460"/>
      <c r="AH26" s="459"/>
      <c r="AI26" s="460"/>
      <c r="AJ26" s="459"/>
      <c r="AK26" s="460"/>
      <c r="AL26" s="459"/>
      <c r="AM26" s="460"/>
      <c r="AN26" s="459"/>
      <c r="AO26" s="460"/>
      <c r="AP26" s="459"/>
      <c r="AQ26" s="460"/>
      <c r="AR26" s="459"/>
      <c r="AS26" s="460"/>
      <c r="AT26" s="94"/>
    </row>
    <row r="27" spans="2:46" ht="18" customHeight="1" x14ac:dyDescent="0.6">
      <c r="B27" s="667"/>
      <c r="C27" s="669">
        <f>C31+(C25-C31)/2</f>
        <v>1456.2570501579978</v>
      </c>
      <c r="D27" s="13"/>
      <c r="E27" s="8"/>
      <c r="F27" s="459"/>
      <c r="G27" s="460"/>
      <c r="H27" s="459"/>
      <c r="I27" s="460"/>
      <c r="J27" s="459"/>
      <c r="K27" s="460"/>
      <c r="L27" s="459"/>
      <c r="M27" s="460"/>
      <c r="N27" s="459"/>
      <c r="O27" s="460"/>
      <c r="P27" s="459"/>
      <c r="Q27" s="460"/>
      <c r="R27" s="459"/>
      <c r="S27" s="460"/>
      <c r="T27" s="459"/>
      <c r="U27" s="460"/>
      <c r="V27" s="459"/>
      <c r="W27" s="460"/>
      <c r="X27" s="459"/>
      <c r="Y27" s="460"/>
      <c r="Z27" s="459"/>
      <c r="AA27" s="460"/>
      <c r="AB27" s="459"/>
      <c r="AC27" s="460"/>
      <c r="AD27" s="459"/>
      <c r="AE27" s="460"/>
      <c r="AF27" s="459"/>
      <c r="AG27" s="460"/>
      <c r="AH27" s="459"/>
      <c r="AI27" s="460"/>
      <c r="AJ27" s="459"/>
      <c r="AK27" s="460"/>
      <c r="AL27" s="459"/>
      <c r="AM27" s="460"/>
      <c r="AN27" s="459"/>
      <c r="AO27" s="460"/>
      <c r="AP27" s="459"/>
      <c r="AQ27" s="460"/>
      <c r="AR27" s="459"/>
      <c r="AS27" s="460"/>
      <c r="AT27" s="94"/>
    </row>
    <row r="28" spans="2:46" ht="18" customHeight="1" x14ac:dyDescent="0.6">
      <c r="B28" s="667"/>
      <c r="C28" s="669"/>
      <c r="D28" s="3"/>
      <c r="E28" s="8"/>
      <c r="F28" s="459"/>
      <c r="G28" s="460"/>
      <c r="H28" s="459"/>
      <c r="I28" s="460"/>
      <c r="J28" s="459"/>
      <c r="K28" s="460"/>
      <c r="L28" s="459"/>
      <c r="M28" s="460"/>
      <c r="N28" s="459"/>
      <c r="O28" s="460"/>
      <c r="P28" s="459"/>
      <c r="Q28" s="460"/>
      <c r="R28" s="459"/>
      <c r="S28" s="460"/>
      <c r="T28" s="459"/>
      <c r="U28" s="460"/>
      <c r="V28" s="459"/>
      <c r="W28" s="460"/>
      <c r="X28" s="459"/>
      <c r="Y28" s="460"/>
      <c r="Z28" s="459"/>
      <c r="AA28" s="460"/>
      <c r="AB28" s="459"/>
      <c r="AC28" s="460"/>
      <c r="AD28" s="459"/>
      <c r="AE28" s="460"/>
      <c r="AF28" s="459"/>
      <c r="AG28" s="460"/>
      <c r="AH28" s="459"/>
      <c r="AI28" s="460"/>
      <c r="AJ28" s="459"/>
      <c r="AK28" s="460"/>
      <c r="AL28" s="459"/>
      <c r="AM28" s="460"/>
      <c r="AN28" s="459"/>
      <c r="AO28" s="460"/>
      <c r="AP28" s="459"/>
      <c r="AQ28" s="460"/>
      <c r="AR28" s="459"/>
      <c r="AS28" s="460"/>
      <c r="AT28" s="94"/>
    </row>
    <row r="29" spans="2:46" ht="18" customHeight="1" x14ac:dyDescent="0.6">
      <c r="B29" s="667"/>
      <c r="C29" s="669"/>
      <c r="D29" s="3"/>
      <c r="E29" s="8"/>
      <c r="F29" s="459"/>
      <c r="G29" s="460"/>
      <c r="H29" s="459"/>
      <c r="I29" s="460"/>
      <c r="J29" s="459"/>
      <c r="K29" s="460"/>
      <c r="L29" s="459"/>
      <c r="M29" s="460"/>
      <c r="N29" s="459"/>
      <c r="O29" s="460"/>
      <c r="P29" s="459"/>
      <c r="Q29" s="460"/>
      <c r="R29" s="459"/>
      <c r="S29" s="460"/>
      <c r="T29" s="459"/>
      <c r="U29" s="460"/>
      <c r="V29" s="459"/>
      <c r="W29" s="460"/>
      <c r="X29" s="459"/>
      <c r="Y29" s="460"/>
      <c r="Z29" s="459"/>
      <c r="AA29" s="460"/>
      <c r="AB29" s="459"/>
      <c r="AC29" s="460"/>
      <c r="AD29" s="459"/>
      <c r="AE29" s="460"/>
      <c r="AF29" s="459"/>
      <c r="AG29" s="460"/>
      <c r="AH29" s="459"/>
      <c r="AI29" s="460"/>
      <c r="AJ29" s="459"/>
      <c r="AK29" s="460"/>
      <c r="AL29" s="459"/>
      <c r="AM29" s="460"/>
      <c r="AN29" s="459"/>
      <c r="AO29" s="460"/>
      <c r="AP29" s="459"/>
      <c r="AQ29" s="460"/>
      <c r="AR29" s="459"/>
      <c r="AS29" s="460"/>
      <c r="AT29" s="94"/>
    </row>
    <row r="30" spans="2:46" ht="18" customHeight="1" x14ac:dyDescent="0.6">
      <c r="B30" s="667"/>
      <c r="C30" s="669"/>
      <c r="D30" s="7"/>
      <c r="E30" s="8"/>
      <c r="F30" s="459"/>
      <c r="G30" s="460"/>
      <c r="H30" s="459"/>
      <c r="I30" s="460"/>
      <c r="J30" s="459"/>
      <c r="K30" s="460"/>
      <c r="L30" s="459"/>
      <c r="M30" s="460"/>
      <c r="N30" s="459"/>
      <c r="O30" s="460"/>
      <c r="P30" s="459"/>
      <c r="Q30" s="460"/>
      <c r="R30" s="459"/>
      <c r="S30" s="460"/>
      <c r="T30" s="459"/>
      <c r="U30" s="460"/>
      <c r="V30" s="459"/>
      <c r="W30" s="460"/>
      <c r="X30" s="459"/>
      <c r="Y30" s="460"/>
      <c r="Z30" s="459"/>
      <c r="AA30" s="460"/>
      <c r="AB30" s="459"/>
      <c r="AC30" s="460"/>
      <c r="AD30" s="459"/>
      <c r="AE30" s="460"/>
      <c r="AF30" s="459"/>
      <c r="AG30" s="460"/>
      <c r="AH30" s="459"/>
      <c r="AI30" s="460"/>
      <c r="AJ30" s="459"/>
      <c r="AK30" s="460"/>
      <c r="AL30" s="459"/>
      <c r="AM30" s="460"/>
      <c r="AN30" s="459"/>
      <c r="AO30" s="460"/>
      <c r="AP30" s="459"/>
      <c r="AQ30" s="460"/>
      <c r="AR30" s="459"/>
      <c r="AS30" s="460"/>
      <c r="AT30" s="94"/>
    </row>
    <row r="31" spans="2:46" ht="18" customHeight="1" thickBot="1" x14ac:dyDescent="0.35">
      <c r="B31" s="667"/>
      <c r="C31" s="669">
        <f>'Plot Data'!K58</f>
        <v>1453.65</v>
      </c>
      <c r="D31" s="14"/>
      <c r="E31" s="15"/>
      <c r="F31" s="465"/>
      <c r="G31" s="466"/>
      <c r="H31" s="465"/>
      <c r="I31" s="466"/>
      <c r="J31" s="465"/>
      <c r="K31" s="466"/>
      <c r="L31" s="465"/>
      <c r="M31" s="466"/>
      <c r="N31" s="465"/>
      <c r="O31" s="466"/>
      <c r="P31" s="465"/>
      <c r="Q31" s="466"/>
      <c r="R31" s="465"/>
      <c r="S31" s="466"/>
      <c r="T31" s="465"/>
      <c r="U31" s="466"/>
      <c r="V31" s="465"/>
      <c r="W31" s="466"/>
      <c r="X31" s="465"/>
      <c r="Y31" s="466"/>
      <c r="Z31" s="465"/>
      <c r="AA31" s="466"/>
      <c r="AB31" s="465"/>
      <c r="AC31" s="466"/>
      <c r="AD31" s="465"/>
      <c r="AE31" s="466"/>
      <c r="AF31" s="465"/>
      <c r="AG31" s="466"/>
      <c r="AH31" s="465"/>
      <c r="AI31" s="466"/>
      <c r="AJ31" s="465"/>
      <c r="AK31" s="466"/>
      <c r="AL31" s="465"/>
      <c r="AM31" s="466"/>
      <c r="AN31" s="465"/>
      <c r="AO31" s="466"/>
      <c r="AP31" s="465"/>
      <c r="AQ31" s="466"/>
      <c r="AR31" s="465"/>
      <c r="AS31" s="466"/>
      <c r="AT31" s="469" t="s">
        <v>90</v>
      </c>
    </row>
    <row r="32" spans="2:46" ht="18" customHeight="1" x14ac:dyDescent="0.3">
      <c r="B32" s="667"/>
      <c r="C32" s="669"/>
      <c r="D32" s="16"/>
      <c r="E32" s="17"/>
      <c r="F32" s="467"/>
      <c r="G32" s="468"/>
      <c r="H32" s="467"/>
      <c r="I32" s="468"/>
      <c r="J32" s="467"/>
      <c r="K32" s="468"/>
      <c r="L32" s="467"/>
      <c r="M32" s="468"/>
      <c r="N32" s="467"/>
      <c r="O32" s="468"/>
      <c r="P32" s="467"/>
      <c r="Q32" s="468"/>
      <c r="R32" s="467"/>
      <c r="S32" s="468"/>
      <c r="T32" s="467"/>
      <c r="U32" s="468"/>
      <c r="V32" s="467"/>
      <c r="W32" s="468"/>
      <c r="X32" s="467"/>
      <c r="Y32" s="468"/>
      <c r="Z32" s="467"/>
      <c r="AA32" s="468"/>
      <c r="AB32" s="467"/>
      <c r="AC32" s="468"/>
      <c r="AD32" s="467"/>
      <c r="AE32" s="468"/>
      <c r="AF32" s="467"/>
      <c r="AG32" s="468"/>
      <c r="AH32" s="467"/>
      <c r="AI32" s="468"/>
      <c r="AJ32" s="467"/>
      <c r="AK32" s="468"/>
      <c r="AL32" s="467"/>
      <c r="AM32" s="468"/>
      <c r="AN32" s="467"/>
      <c r="AO32" s="468"/>
      <c r="AP32" s="467"/>
      <c r="AQ32" s="468"/>
      <c r="AR32" s="467"/>
      <c r="AS32" s="468"/>
      <c r="AT32" s="464"/>
    </row>
    <row r="33" spans="2:46" ht="18" customHeight="1" x14ac:dyDescent="0.6">
      <c r="B33" s="667"/>
      <c r="C33" s="669">
        <f>C37+(C31-C37)/2</f>
        <v>1451.0429498420024</v>
      </c>
      <c r="D33" s="13"/>
      <c r="E33" s="8"/>
      <c r="F33" s="459"/>
      <c r="G33" s="460"/>
      <c r="H33" s="459"/>
      <c r="I33" s="460"/>
      <c r="J33" s="459"/>
      <c r="K33" s="460"/>
      <c r="L33" s="459"/>
      <c r="M33" s="460"/>
      <c r="N33" s="459"/>
      <c r="O33" s="460"/>
      <c r="P33" s="459"/>
      <c r="Q33" s="460"/>
      <c r="R33" s="459"/>
      <c r="S33" s="460"/>
      <c r="T33" s="459"/>
      <c r="U33" s="460"/>
      <c r="V33" s="459"/>
      <c r="W33" s="460"/>
      <c r="X33" s="459"/>
      <c r="Y33" s="460"/>
      <c r="Z33" s="459"/>
      <c r="AA33" s="460"/>
      <c r="AB33" s="459"/>
      <c r="AC33" s="460"/>
      <c r="AD33" s="459"/>
      <c r="AE33" s="460"/>
      <c r="AF33" s="459"/>
      <c r="AG33" s="460"/>
      <c r="AH33" s="459"/>
      <c r="AI33" s="460"/>
      <c r="AJ33" s="459"/>
      <c r="AK33" s="460"/>
      <c r="AL33" s="459"/>
      <c r="AM33" s="460"/>
      <c r="AN33" s="459"/>
      <c r="AO33" s="460"/>
      <c r="AP33" s="459"/>
      <c r="AQ33" s="460"/>
      <c r="AR33" s="459"/>
      <c r="AS33" s="460"/>
      <c r="AT33" s="94"/>
    </row>
    <row r="34" spans="2:46" ht="18" customHeight="1" x14ac:dyDescent="0.6">
      <c r="B34" s="667"/>
      <c r="C34" s="669"/>
      <c r="D34" s="13"/>
      <c r="E34" s="8"/>
      <c r="F34" s="459"/>
      <c r="G34" s="460"/>
      <c r="H34" s="459"/>
      <c r="I34" s="460"/>
      <c r="J34" s="459"/>
      <c r="K34" s="460"/>
      <c r="L34" s="459"/>
      <c r="M34" s="460"/>
      <c r="N34" s="459"/>
      <c r="O34" s="460"/>
      <c r="P34" s="459"/>
      <c r="Q34" s="460"/>
      <c r="R34" s="459"/>
      <c r="S34" s="460"/>
      <c r="T34" s="459"/>
      <c r="U34" s="460"/>
      <c r="V34" s="459"/>
      <c r="W34" s="460"/>
      <c r="X34" s="459"/>
      <c r="Y34" s="460"/>
      <c r="Z34" s="459"/>
      <c r="AA34" s="460"/>
      <c r="AB34" s="459"/>
      <c r="AC34" s="460"/>
      <c r="AD34" s="459"/>
      <c r="AE34" s="460"/>
      <c r="AF34" s="459"/>
      <c r="AG34" s="460"/>
      <c r="AH34" s="459"/>
      <c r="AI34" s="460"/>
      <c r="AJ34" s="459"/>
      <c r="AK34" s="460"/>
      <c r="AL34" s="459"/>
      <c r="AM34" s="460"/>
      <c r="AN34" s="459"/>
      <c r="AO34" s="460"/>
      <c r="AP34" s="459"/>
      <c r="AQ34" s="460"/>
      <c r="AR34" s="459"/>
      <c r="AS34" s="460"/>
      <c r="AT34" s="94"/>
    </row>
    <row r="35" spans="2:46" ht="18" customHeight="1" x14ac:dyDescent="0.6">
      <c r="B35" s="667"/>
      <c r="C35" s="669"/>
      <c r="D35" s="13"/>
      <c r="E35" s="8"/>
      <c r="F35" s="459"/>
      <c r="G35" s="460"/>
      <c r="H35" s="459"/>
      <c r="I35" s="460"/>
      <c r="J35" s="459"/>
      <c r="K35" s="460"/>
      <c r="L35" s="459"/>
      <c r="M35" s="460"/>
      <c r="N35" s="459"/>
      <c r="O35" s="460"/>
      <c r="P35" s="459"/>
      <c r="Q35" s="460"/>
      <c r="R35" s="459"/>
      <c r="S35" s="460"/>
      <c r="T35" s="459"/>
      <c r="U35" s="460"/>
      <c r="V35" s="459"/>
      <c r="W35" s="460"/>
      <c r="X35" s="459"/>
      <c r="Y35" s="460"/>
      <c r="Z35" s="459"/>
      <c r="AA35" s="460"/>
      <c r="AB35" s="459"/>
      <c r="AC35" s="460"/>
      <c r="AD35" s="459"/>
      <c r="AE35" s="460"/>
      <c r="AF35" s="459"/>
      <c r="AG35" s="460"/>
      <c r="AH35" s="459"/>
      <c r="AI35" s="460"/>
      <c r="AJ35" s="459"/>
      <c r="AK35" s="460"/>
      <c r="AL35" s="459"/>
      <c r="AM35" s="460"/>
      <c r="AN35" s="459"/>
      <c r="AO35" s="460"/>
      <c r="AP35" s="459"/>
      <c r="AQ35" s="460"/>
      <c r="AR35" s="459"/>
      <c r="AS35" s="460"/>
      <c r="AT35" s="94"/>
    </row>
    <row r="36" spans="2:46" ht="18" customHeight="1" x14ac:dyDescent="0.6">
      <c r="B36" s="667"/>
      <c r="C36" s="669"/>
      <c r="D36" s="92"/>
      <c r="E36" s="8"/>
      <c r="F36" s="459"/>
      <c r="G36" s="460"/>
      <c r="H36" s="459"/>
      <c r="I36" s="460"/>
      <c r="J36" s="459"/>
      <c r="K36" s="460"/>
      <c r="L36" s="459"/>
      <c r="M36" s="460"/>
      <c r="N36" s="459"/>
      <c r="O36" s="460"/>
      <c r="P36" s="459"/>
      <c r="Q36" s="460"/>
      <c r="R36" s="459"/>
      <c r="S36" s="460"/>
      <c r="T36" s="459"/>
      <c r="U36" s="460"/>
      <c r="V36" s="459"/>
      <c r="W36" s="460"/>
      <c r="X36" s="459"/>
      <c r="Y36" s="460"/>
      <c r="Z36" s="459"/>
      <c r="AA36" s="460"/>
      <c r="AB36" s="459"/>
      <c r="AC36" s="460"/>
      <c r="AD36" s="459"/>
      <c r="AE36" s="460"/>
      <c r="AF36" s="459"/>
      <c r="AG36" s="460"/>
      <c r="AH36" s="459"/>
      <c r="AI36" s="460"/>
      <c r="AJ36" s="459"/>
      <c r="AK36" s="460"/>
      <c r="AL36" s="459"/>
      <c r="AM36" s="460"/>
      <c r="AN36" s="459"/>
      <c r="AO36" s="460"/>
      <c r="AP36" s="459"/>
      <c r="AQ36" s="460"/>
      <c r="AR36" s="459"/>
      <c r="AS36" s="460"/>
      <c r="AT36" s="94"/>
    </row>
    <row r="37" spans="2:46" ht="18" customHeight="1" x14ac:dyDescent="0.6">
      <c r="B37" s="667"/>
      <c r="C37" s="669">
        <f>'Plot Data'!K66</f>
        <v>1448.4358996840047</v>
      </c>
      <c r="D37" s="13"/>
      <c r="E37" s="8"/>
      <c r="F37" s="470"/>
      <c r="G37" s="471"/>
      <c r="H37" s="459"/>
      <c r="I37" s="460"/>
      <c r="J37" s="459"/>
      <c r="K37" s="460"/>
      <c r="L37" s="459"/>
      <c r="M37" s="460"/>
      <c r="N37" s="459"/>
      <c r="O37" s="460"/>
      <c r="P37" s="459"/>
      <c r="Q37" s="460"/>
      <c r="R37" s="459"/>
      <c r="S37" s="460"/>
      <c r="T37" s="459"/>
      <c r="U37" s="460"/>
      <c r="V37" s="459"/>
      <c r="W37" s="460"/>
      <c r="X37" s="459"/>
      <c r="Y37" s="460"/>
      <c r="Z37" s="459"/>
      <c r="AA37" s="460"/>
      <c r="AB37" s="459"/>
      <c r="AC37" s="460"/>
      <c r="AD37" s="459"/>
      <c r="AE37" s="460"/>
      <c r="AF37" s="459"/>
      <c r="AG37" s="460"/>
      <c r="AH37" s="459"/>
      <c r="AI37" s="460"/>
      <c r="AJ37" s="459"/>
      <c r="AK37" s="460"/>
      <c r="AL37" s="459"/>
      <c r="AM37" s="460"/>
      <c r="AN37" s="459"/>
      <c r="AO37" s="460"/>
      <c r="AP37" s="459"/>
      <c r="AQ37" s="460"/>
      <c r="AR37" s="459"/>
      <c r="AS37" s="460"/>
      <c r="AT37" s="94"/>
    </row>
    <row r="38" spans="2:46" ht="18" customHeight="1" x14ac:dyDescent="0.6">
      <c r="B38" s="667"/>
      <c r="C38" s="669"/>
      <c r="D38" s="7"/>
      <c r="E38" s="8"/>
      <c r="F38" s="459"/>
      <c r="G38" s="460"/>
      <c r="H38" s="459"/>
      <c r="I38" s="460"/>
      <c r="J38" s="459"/>
      <c r="K38" s="460"/>
      <c r="L38" s="459"/>
      <c r="M38" s="460"/>
      <c r="N38" s="459"/>
      <c r="O38" s="460"/>
      <c r="P38" s="459"/>
      <c r="Q38" s="460"/>
      <c r="R38" s="459"/>
      <c r="S38" s="460"/>
      <c r="T38" s="459"/>
      <c r="U38" s="460"/>
      <c r="V38" s="459"/>
      <c r="W38" s="460"/>
      <c r="X38" s="459"/>
      <c r="Y38" s="460"/>
      <c r="Z38" s="459"/>
      <c r="AA38" s="460"/>
      <c r="AB38" s="459"/>
      <c r="AC38" s="460"/>
      <c r="AD38" s="459"/>
      <c r="AE38" s="460"/>
      <c r="AF38" s="459"/>
      <c r="AG38" s="460"/>
      <c r="AH38" s="459"/>
      <c r="AI38" s="460"/>
      <c r="AJ38" s="459"/>
      <c r="AK38" s="460"/>
      <c r="AL38" s="459"/>
      <c r="AM38" s="460"/>
      <c r="AN38" s="459"/>
      <c r="AO38" s="460"/>
      <c r="AP38" s="459"/>
      <c r="AQ38" s="460"/>
      <c r="AR38" s="459"/>
      <c r="AS38" s="460"/>
      <c r="AT38" s="94"/>
    </row>
    <row r="39" spans="2:46" ht="18" customHeight="1" x14ac:dyDescent="0.6">
      <c r="B39" s="667"/>
      <c r="C39" s="669">
        <f>C43+(C37-C43)/2</f>
        <v>1445.8288495260069</v>
      </c>
      <c r="D39" s="13"/>
      <c r="E39" s="8"/>
      <c r="F39" s="459"/>
      <c r="G39" s="460"/>
      <c r="H39" s="459"/>
      <c r="I39" s="460"/>
      <c r="J39" s="459"/>
      <c r="K39" s="460"/>
      <c r="L39" s="459"/>
      <c r="M39" s="460"/>
      <c r="N39" s="459"/>
      <c r="O39" s="460"/>
      <c r="P39" s="459"/>
      <c r="Q39" s="460"/>
      <c r="R39" s="459"/>
      <c r="S39" s="460"/>
      <c r="T39" s="459"/>
      <c r="U39" s="460"/>
      <c r="V39" s="459"/>
      <c r="W39" s="460"/>
      <c r="X39" s="459"/>
      <c r="Y39" s="460"/>
      <c r="Z39" s="459"/>
      <c r="AA39" s="460"/>
      <c r="AB39" s="459"/>
      <c r="AC39" s="460"/>
      <c r="AD39" s="459"/>
      <c r="AE39" s="460"/>
      <c r="AF39" s="459"/>
      <c r="AG39" s="460"/>
      <c r="AH39" s="459"/>
      <c r="AI39" s="460"/>
      <c r="AJ39" s="459"/>
      <c r="AK39" s="460"/>
      <c r="AL39" s="459"/>
      <c r="AM39" s="460"/>
      <c r="AN39" s="459"/>
      <c r="AO39" s="460"/>
      <c r="AP39" s="459"/>
      <c r="AQ39" s="460"/>
      <c r="AR39" s="459"/>
      <c r="AS39" s="460"/>
      <c r="AT39" s="94"/>
    </row>
    <row r="40" spans="2:46" ht="18" customHeight="1" x14ac:dyDescent="0.6">
      <c r="B40" s="667"/>
      <c r="C40" s="669"/>
      <c r="D40" s="3"/>
      <c r="E40" s="8"/>
      <c r="F40" s="459"/>
      <c r="G40" s="460"/>
      <c r="H40" s="459"/>
      <c r="I40" s="460"/>
      <c r="J40" s="459"/>
      <c r="K40" s="460"/>
      <c r="L40" s="459"/>
      <c r="M40" s="460"/>
      <c r="N40" s="459"/>
      <c r="O40" s="460"/>
      <c r="P40" s="459"/>
      <c r="Q40" s="460"/>
      <c r="R40" s="459"/>
      <c r="S40" s="460"/>
      <c r="T40" s="459"/>
      <c r="U40" s="460"/>
      <c r="V40" s="459"/>
      <c r="W40" s="460"/>
      <c r="X40" s="459"/>
      <c r="Y40" s="460"/>
      <c r="Z40" s="459"/>
      <c r="AA40" s="460"/>
      <c r="AB40" s="459"/>
      <c r="AC40" s="460"/>
      <c r="AD40" s="459"/>
      <c r="AE40" s="460"/>
      <c r="AF40" s="459"/>
      <c r="AG40" s="460"/>
      <c r="AH40" s="459"/>
      <c r="AI40" s="460"/>
      <c r="AJ40" s="459"/>
      <c r="AK40" s="460"/>
      <c r="AL40" s="459"/>
      <c r="AM40" s="460"/>
      <c r="AN40" s="459"/>
      <c r="AO40" s="460"/>
      <c r="AP40" s="459"/>
      <c r="AQ40" s="460"/>
      <c r="AR40" s="459"/>
      <c r="AS40" s="460"/>
      <c r="AT40" s="94"/>
    </row>
    <row r="41" spans="2:46" ht="18" customHeight="1" x14ac:dyDescent="0.6">
      <c r="B41" s="667"/>
      <c r="C41" s="669"/>
      <c r="D41" s="3"/>
      <c r="E41" s="8"/>
      <c r="F41" s="459"/>
      <c r="G41" s="460"/>
      <c r="H41" s="459"/>
      <c r="I41" s="460"/>
      <c r="J41" s="459"/>
      <c r="K41" s="460"/>
      <c r="L41" s="459"/>
      <c r="M41" s="460"/>
      <c r="N41" s="459"/>
      <c r="O41" s="460"/>
      <c r="P41" s="459"/>
      <c r="Q41" s="460"/>
      <c r="R41" s="459"/>
      <c r="S41" s="460"/>
      <c r="T41" s="459"/>
      <c r="U41" s="460"/>
      <c r="V41" s="459"/>
      <c r="W41" s="460"/>
      <c r="X41" s="459"/>
      <c r="Y41" s="460"/>
      <c r="Z41" s="459"/>
      <c r="AA41" s="460"/>
      <c r="AB41" s="459"/>
      <c r="AC41" s="460"/>
      <c r="AD41" s="459"/>
      <c r="AE41" s="460"/>
      <c r="AF41" s="459"/>
      <c r="AG41" s="460"/>
      <c r="AH41" s="459"/>
      <c r="AI41" s="460"/>
      <c r="AJ41" s="459"/>
      <c r="AK41" s="460"/>
      <c r="AL41" s="459"/>
      <c r="AM41" s="460"/>
      <c r="AN41" s="459"/>
      <c r="AO41" s="460"/>
      <c r="AP41" s="459"/>
      <c r="AQ41" s="460"/>
      <c r="AR41" s="459"/>
      <c r="AS41" s="460"/>
      <c r="AT41" s="94"/>
    </row>
    <row r="42" spans="2:46" ht="18" customHeight="1" x14ac:dyDescent="0.6">
      <c r="B42" s="667"/>
      <c r="C42" s="669"/>
      <c r="D42" s="7"/>
      <c r="E42" s="8"/>
      <c r="F42" s="459"/>
      <c r="G42" s="460"/>
      <c r="H42" s="459"/>
      <c r="I42" s="460"/>
      <c r="J42" s="459"/>
      <c r="K42" s="460"/>
      <c r="L42" s="459"/>
      <c r="M42" s="460"/>
      <c r="N42" s="459"/>
      <c r="O42" s="460"/>
      <c r="P42" s="459"/>
      <c r="Q42" s="460"/>
      <c r="R42" s="459"/>
      <c r="S42" s="460"/>
      <c r="T42" s="459"/>
      <c r="U42" s="460"/>
      <c r="V42" s="459"/>
      <c r="W42" s="460"/>
      <c r="X42" s="459"/>
      <c r="Y42" s="460"/>
      <c r="Z42" s="459"/>
      <c r="AA42" s="460"/>
      <c r="AB42" s="459"/>
      <c r="AC42" s="460"/>
      <c r="AD42" s="459"/>
      <c r="AE42" s="460"/>
      <c r="AF42" s="459"/>
      <c r="AG42" s="460"/>
      <c r="AH42" s="459"/>
      <c r="AI42" s="460"/>
      <c r="AJ42" s="459"/>
      <c r="AK42" s="460"/>
      <c r="AL42" s="459"/>
      <c r="AM42" s="460"/>
      <c r="AN42" s="459"/>
      <c r="AO42" s="460"/>
      <c r="AP42" s="459"/>
      <c r="AQ42" s="460"/>
      <c r="AR42" s="459"/>
      <c r="AS42" s="460"/>
      <c r="AT42" s="94"/>
    </row>
    <row r="43" spans="2:46" ht="18" customHeight="1" thickBot="1" x14ac:dyDescent="0.35">
      <c r="B43" s="667"/>
      <c r="C43" s="669">
        <f>'Plot Data'!K65</f>
        <v>1443.2217993680092</v>
      </c>
      <c r="D43" s="9"/>
      <c r="E43" s="10"/>
      <c r="F43" s="11"/>
      <c r="G43" s="12"/>
      <c r="H43" s="11"/>
      <c r="I43" s="12"/>
      <c r="J43" s="11"/>
      <c r="K43" s="12"/>
      <c r="L43" s="11"/>
      <c r="M43" s="12"/>
      <c r="N43" s="11"/>
      <c r="O43" s="12"/>
      <c r="P43" s="11"/>
      <c r="Q43" s="12"/>
      <c r="R43" s="11"/>
      <c r="S43" s="12"/>
      <c r="T43" s="11"/>
      <c r="U43" s="12"/>
      <c r="V43" s="11"/>
      <c r="W43" s="12"/>
      <c r="X43" s="11"/>
      <c r="Y43" s="12"/>
      <c r="Z43" s="11"/>
      <c r="AA43" s="12"/>
      <c r="AB43" s="11"/>
      <c r="AC43" s="12"/>
      <c r="AD43" s="11"/>
      <c r="AE43" s="12"/>
      <c r="AF43" s="11"/>
      <c r="AG43" s="12"/>
      <c r="AH43" s="11"/>
      <c r="AI43" s="12"/>
      <c r="AJ43" s="11"/>
      <c r="AK43" s="12"/>
      <c r="AL43" s="11"/>
      <c r="AM43" s="12"/>
      <c r="AN43" s="11"/>
      <c r="AO43" s="12"/>
      <c r="AP43" s="11"/>
      <c r="AQ43" s="12"/>
      <c r="AR43" s="11"/>
      <c r="AS43" s="12"/>
      <c r="AT43" s="463" t="s">
        <v>46</v>
      </c>
    </row>
    <row r="44" spans="2:46" ht="18" customHeight="1" x14ac:dyDescent="0.3">
      <c r="B44" s="667"/>
      <c r="C44" s="669"/>
      <c r="D44" s="7"/>
      <c r="E44" s="8"/>
      <c r="F44" s="459"/>
      <c r="G44" s="460"/>
      <c r="H44" s="459"/>
      <c r="I44" s="460"/>
      <c r="J44" s="459"/>
      <c r="K44" s="460"/>
      <c r="L44" s="459"/>
      <c r="M44" s="460"/>
      <c r="N44" s="459"/>
      <c r="O44" s="460"/>
      <c r="P44" s="459"/>
      <c r="Q44" s="460"/>
      <c r="R44" s="459"/>
      <c r="S44" s="460"/>
      <c r="T44" s="459"/>
      <c r="U44" s="460"/>
      <c r="V44" s="459"/>
      <c r="W44" s="460"/>
      <c r="X44" s="459"/>
      <c r="Y44" s="460"/>
      <c r="Z44" s="459"/>
      <c r="AA44" s="460"/>
      <c r="AB44" s="459"/>
      <c r="AC44" s="460"/>
      <c r="AD44" s="459"/>
      <c r="AE44" s="460"/>
      <c r="AF44" s="459"/>
      <c r="AG44" s="460"/>
      <c r="AH44" s="459"/>
      <c r="AI44" s="460"/>
      <c r="AJ44" s="459"/>
      <c r="AK44" s="460"/>
      <c r="AL44" s="459"/>
      <c r="AM44" s="460"/>
      <c r="AN44" s="459"/>
      <c r="AO44" s="460"/>
      <c r="AP44" s="459"/>
      <c r="AQ44" s="460"/>
      <c r="AR44" s="459"/>
      <c r="AS44" s="460"/>
      <c r="AT44" s="464"/>
    </row>
    <row r="45" spans="2:46" ht="18" customHeight="1" x14ac:dyDescent="0.6">
      <c r="B45" s="667"/>
      <c r="C45" s="669">
        <f>C49+(C43-C49)/2</f>
        <v>1440.6147492100117</v>
      </c>
      <c r="D45" s="13"/>
      <c r="E45" s="8"/>
      <c r="F45" s="459"/>
      <c r="G45" s="460"/>
      <c r="H45" s="459"/>
      <c r="I45" s="460"/>
      <c r="J45" s="459"/>
      <c r="K45" s="460"/>
      <c r="L45" s="459"/>
      <c r="M45" s="460"/>
      <c r="N45" s="459"/>
      <c r="O45" s="460"/>
      <c r="P45" s="459"/>
      <c r="Q45" s="460"/>
      <c r="R45" s="459"/>
      <c r="S45" s="460"/>
      <c r="T45" s="459"/>
      <c r="U45" s="460"/>
      <c r="V45" s="459"/>
      <c r="W45" s="460"/>
      <c r="X45" s="459"/>
      <c r="Y45" s="460"/>
      <c r="Z45" s="459"/>
      <c r="AA45" s="460"/>
      <c r="AB45" s="459"/>
      <c r="AC45" s="460"/>
      <c r="AD45" s="459"/>
      <c r="AE45" s="460"/>
      <c r="AF45" s="459"/>
      <c r="AG45" s="460"/>
      <c r="AH45" s="459"/>
      <c r="AI45" s="460"/>
      <c r="AJ45" s="459"/>
      <c r="AK45" s="460"/>
      <c r="AL45" s="459"/>
      <c r="AM45" s="460"/>
      <c r="AN45" s="459"/>
      <c r="AO45" s="460"/>
      <c r="AP45" s="459"/>
      <c r="AQ45" s="460"/>
      <c r="AR45" s="459"/>
      <c r="AS45" s="460"/>
      <c r="AT45" s="94"/>
    </row>
    <row r="46" spans="2:46" ht="18" customHeight="1" x14ac:dyDescent="0.6">
      <c r="B46" s="667"/>
      <c r="C46" s="669"/>
      <c r="D46" s="3"/>
      <c r="E46" s="8"/>
      <c r="F46" s="459"/>
      <c r="G46" s="460"/>
      <c r="H46" s="459"/>
      <c r="I46" s="460"/>
      <c r="J46" s="459"/>
      <c r="K46" s="460"/>
      <c r="L46" s="459"/>
      <c r="M46" s="460"/>
      <c r="N46" s="459"/>
      <c r="O46" s="460"/>
      <c r="P46" s="459"/>
      <c r="Q46" s="460"/>
      <c r="R46" s="459"/>
      <c r="S46" s="460"/>
      <c r="T46" s="459"/>
      <c r="U46" s="460"/>
      <c r="V46" s="459"/>
      <c r="W46" s="460"/>
      <c r="X46" s="459"/>
      <c r="Y46" s="460"/>
      <c r="Z46" s="459"/>
      <c r="AA46" s="460"/>
      <c r="AB46" s="459"/>
      <c r="AC46" s="460"/>
      <c r="AD46" s="459"/>
      <c r="AE46" s="460"/>
      <c r="AF46" s="459"/>
      <c r="AG46" s="460"/>
      <c r="AH46" s="459"/>
      <c r="AI46" s="460"/>
      <c r="AJ46" s="459"/>
      <c r="AK46" s="460"/>
      <c r="AL46" s="459"/>
      <c r="AM46" s="460"/>
      <c r="AN46" s="459"/>
      <c r="AO46" s="460"/>
      <c r="AP46" s="459"/>
      <c r="AQ46" s="460"/>
      <c r="AR46" s="459"/>
      <c r="AS46" s="460"/>
      <c r="AT46" s="94"/>
    </row>
    <row r="47" spans="2:46" ht="18" customHeight="1" x14ac:dyDescent="0.6">
      <c r="B47" s="667"/>
      <c r="C47" s="669"/>
      <c r="D47" s="3"/>
      <c r="E47" s="8"/>
      <c r="F47" s="459"/>
      <c r="G47" s="460"/>
      <c r="H47" s="459"/>
      <c r="I47" s="460"/>
      <c r="J47" s="459"/>
      <c r="K47" s="460"/>
      <c r="L47" s="459"/>
      <c r="M47" s="460"/>
      <c r="N47" s="459"/>
      <c r="O47" s="460"/>
      <c r="P47" s="459"/>
      <c r="Q47" s="460"/>
      <c r="R47" s="459"/>
      <c r="S47" s="460"/>
      <c r="T47" s="459"/>
      <c r="U47" s="460"/>
      <c r="V47" s="459"/>
      <c r="W47" s="460"/>
      <c r="X47" s="459"/>
      <c r="Y47" s="460"/>
      <c r="Z47" s="459"/>
      <c r="AA47" s="460"/>
      <c r="AB47" s="459"/>
      <c r="AC47" s="460"/>
      <c r="AD47" s="459"/>
      <c r="AE47" s="460"/>
      <c r="AF47" s="459"/>
      <c r="AG47" s="460"/>
      <c r="AH47" s="459"/>
      <c r="AI47" s="460"/>
      <c r="AJ47" s="459"/>
      <c r="AK47" s="460"/>
      <c r="AL47" s="459"/>
      <c r="AM47" s="460"/>
      <c r="AN47" s="459"/>
      <c r="AO47" s="460"/>
      <c r="AP47" s="459"/>
      <c r="AQ47" s="460"/>
      <c r="AR47" s="459"/>
      <c r="AS47" s="460"/>
      <c r="AT47" s="94"/>
    </row>
    <row r="48" spans="2:46" ht="18" customHeight="1" x14ac:dyDescent="0.6">
      <c r="B48" s="667"/>
      <c r="C48" s="669"/>
      <c r="D48" s="7"/>
      <c r="E48" s="8"/>
      <c r="F48" s="459"/>
      <c r="G48" s="460"/>
      <c r="H48" s="459"/>
      <c r="I48" s="460"/>
      <c r="J48" s="459"/>
      <c r="K48" s="460"/>
      <c r="L48" s="459"/>
      <c r="M48" s="460"/>
      <c r="N48" s="459"/>
      <c r="O48" s="460"/>
      <c r="P48" s="459"/>
      <c r="Q48" s="460"/>
      <c r="R48" s="459"/>
      <c r="S48" s="460"/>
      <c r="T48" s="459"/>
      <c r="U48" s="460"/>
      <c r="V48" s="459"/>
      <c r="W48" s="460"/>
      <c r="X48" s="459"/>
      <c r="Y48" s="460"/>
      <c r="Z48" s="459"/>
      <c r="AA48" s="460"/>
      <c r="AB48" s="459"/>
      <c r="AC48" s="460"/>
      <c r="AD48" s="459"/>
      <c r="AE48" s="460"/>
      <c r="AF48" s="459"/>
      <c r="AG48" s="460"/>
      <c r="AH48" s="459"/>
      <c r="AI48" s="460"/>
      <c r="AJ48" s="459"/>
      <c r="AK48" s="460"/>
      <c r="AL48" s="459"/>
      <c r="AM48" s="460"/>
      <c r="AN48" s="459"/>
      <c r="AO48" s="460"/>
      <c r="AP48" s="459"/>
      <c r="AQ48" s="460"/>
      <c r="AR48" s="459"/>
      <c r="AS48" s="460"/>
      <c r="AT48" s="94"/>
    </row>
    <row r="49" spans="2:46" ht="18" customHeight="1" thickBot="1" x14ac:dyDescent="0.35">
      <c r="B49" s="667"/>
      <c r="C49" s="669">
        <f>'Plot Data'!K67</f>
        <v>1438.007699052014</v>
      </c>
      <c r="D49" s="5"/>
      <c r="E49" s="6"/>
      <c r="F49" s="461"/>
      <c r="G49" s="462"/>
      <c r="H49" s="461"/>
      <c r="I49" s="462"/>
      <c r="J49" s="461"/>
      <c r="K49" s="462"/>
      <c r="L49" s="461"/>
      <c r="M49" s="462"/>
      <c r="N49" s="461"/>
      <c r="O49" s="462"/>
      <c r="P49" s="461"/>
      <c r="Q49" s="462"/>
      <c r="R49" s="461"/>
      <c r="S49" s="462"/>
      <c r="T49" s="461"/>
      <c r="U49" s="462"/>
      <c r="V49" s="461"/>
      <c r="W49" s="462"/>
      <c r="X49" s="461"/>
      <c r="Y49" s="462"/>
      <c r="Z49" s="461"/>
      <c r="AA49" s="462"/>
      <c r="AB49" s="461"/>
      <c r="AC49" s="462"/>
      <c r="AD49" s="461"/>
      <c r="AE49" s="462"/>
      <c r="AF49" s="461"/>
      <c r="AG49" s="462"/>
      <c r="AH49" s="461"/>
      <c r="AI49" s="462"/>
      <c r="AJ49" s="461"/>
      <c r="AK49" s="462"/>
      <c r="AL49" s="461"/>
      <c r="AM49" s="462"/>
      <c r="AN49" s="461"/>
      <c r="AO49" s="462"/>
      <c r="AP49" s="461"/>
      <c r="AQ49" s="462"/>
      <c r="AR49" s="461"/>
      <c r="AS49" s="462"/>
      <c r="AT49" s="463" t="s">
        <v>45</v>
      </c>
    </row>
    <row r="50" spans="2:46" ht="18" customHeight="1" thickTop="1" thickBot="1" x14ac:dyDescent="0.35">
      <c r="B50" s="668"/>
      <c r="C50" s="670"/>
      <c r="D50" s="77"/>
      <c r="E50" s="78"/>
      <c r="F50" s="473"/>
      <c r="G50" s="474"/>
      <c r="H50" s="473"/>
      <c r="I50" s="474"/>
      <c r="J50" s="473"/>
      <c r="K50" s="474"/>
      <c r="L50" s="473"/>
      <c r="M50" s="474"/>
      <c r="N50" s="473"/>
      <c r="O50" s="474"/>
      <c r="P50" s="473"/>
      <c r="Q50" s="474"/>
      <c r="R50" s="473"/>
      <c r="S50" s="474"/>
      <c r="T50" s="473"/>
      <c r="U50" s="474"/>
      <c r="V50" s="473"/>
      <c r="W50" s="474"/>
      <c r="X50" s="473"/>
      <c r="Y50" s="474"/>
      <c r="Z50" s="473"/>
      <c r="AA50" s="474"/>
      <c r="AB50" s="473"/>
      <c r="AC50" s="474"/>
      <c r="AD50" s="473"/>
      <c r="AE50" s="474"/>
      <c r="AF50" s="473"/>
      <c r="AG50" s="474"/>
      <c r="AH50" s="473"/>
      <c r="AI50" s="474"/>
      <c r="AJ50" s="473"/>
      <c r="AK50" s="474"/>
      <c r="AL50" s="473"/>
      <c r="AM50" s="474"/>
      <c r="AN50" s="473"/>
      <c r="AO50" s="474"/>
      <c r="AP50" s="473"/>
      <c r="AQ50" s="474"/>
      <c r="AR50" s="473"/>
      <c r="AS50" s="474"/>
      <c r="AT50" s="477"/>
    </row>
    <row r="51" spans="2:46" ht="30" customHeight="1" thickTop="1" thickBot="1" x14ac:dyDescent="0.35">
      <c r="B51" s="390"/>
      <c r="C51" s="391"/>
      <c r="D51" s="90"/>
      <c r="E51" s="89"/>
      <c r="F51" s="475"/>
      <c r="G51" s="476"/>
      <c r="H51" s="475"/>
      <c r="I51" s="476"/>
      <c r="J51" s="475"/>
      <c r="K51" s="476"/>
      <c r="L51" s="475"/>
      <c r="M51" s="476"/>
      <c r="N51" s="475"/>
      <c r="O51" s="476"/>
      <c r="P51" s="475"/>
      <c r="Q51" s="476"/>
      <c r="R51" s="475"/>
      <c r="S51" s="476"/>
      <c r="T51" s="475"/>
      <c r="U51" s="476"/>
      <c r="V51" s="475"/>
      <c r="W51" s="476"/>
      <c r="X51" s="475"/>
      <c r="Y51" s="476"/>
      <c r="Z51" s="475"/>
      <c r="AA51" s="476"/>
      <c r="AB51" s="475"/>
      <c r="AC51" s="476"/>
      <c r="AD51" s="475"/>
      <c r="AE51" s="476"/>
      <c r="AF51" s="475"/>
      <c r="AG51" s="476"/>
      <c r="AH51" s="475"/>
      <c r="AI51" s="476"/>
      <c r="AJ51" s="475"/>
      <c r="AK51" s="476"/>
      <c r="AL51" s="475"/>
      <c r="AM51" s="476"/>
      <c r="AN51" s="475"/>
      <c r="AO51" s="476"/>
      <c r="AP51" s="475"/>
      <c r="AQ51" s="476"/>
      <c r="AR51" s="475"/>
      <c r="AS51" s="476"/>
      <c r="AT51" s="91"/>
    </row>
    <row r="52" spans="2:46" ht="7.5" customHeight="1" thickTop="1" x14ac:dyDescent="0.3">
      <c r="B52" s="671" t="s">
        <v>7</v>
      </c>
      <c r="C52" s="392"/>
      <c r="D52" s="79"/>
      <c r="E52" s="74"/>
      <c r="F52" s="456"/>
      <c r="G52" s="457"/>
      <c r="H52" s="456"/>
      <c r="I52" s="457"/>
      <c r="J52" s="456"/>
      <c r="K52" s="457"/>
      <c r="L52" s="456"/>
      <c r="M52" s="457"/>
      <c r="N52" s="456"/>
      <c r="O52" s="457"/>
      <c r="P52" s="456"/>
      <c r="Q52" s="457"/>
      <c r="R52" s="456"/>
      <c r="S52" s="457"/>
      <c r="T52" s="456"/>
      <c r="U52" s="457"/>
      <c r="V52" s="456"/>
      <c r="W52" s="457"/>
      <c r="X52" s="456"/>
      <c r="Y52" s="457"/>
      <c r="Z52" s="456"/>
      <c r="AA52" s="457"/>
      <c r="AB52" s="456"/>
      <c r="AC52" s="457"/>
      <c r="AD52" s="456"/>
      <c r="AE52" s="457"/>
      <c r="AF52" s="456"/>
      <c r="AG52" s="457"/>
      <c r="AH52" s="456"/>
      <c r="AI52" s="457"/>
      <c r="AJ52" s="456"/>
      <c r="AK52" s="457"/>
      <c r="AL52" s="456"/>
      <c r="AM52" s="457"/>
      <c r="AN52" s="456"/>
      <c r="AO52" s="457"/>
      <c r="AP52" s="456"/>
      <c r="AQ52" s="457"/>
      <c r="AR52" s="456"/>
      <c r="AS52" s="457"/>
      <c r="AT52" s="75"/>
    </row>
    <row r="53" spans="2:46" ht="9" customHeight="1" x14ac:dyDescent="0.3">
      <c r="B53" s="672"/>
      <c r="C53" s="393"/>
      <c r="D53" s="13"/>
      <c r="E53" s="4"/>
      <c r="F53" s="481"/>
      <c r="G53" s="482"/>
      <c r="H53" s="481"/>
      <c r="I53" s="482"/>
      <c r="J53" s="481"/>
      <c r="K53" s="482"/>
      <c r="L53" s="481"/>
      <c r="M53" s="482"/>
      <c r="N53" s="481"/>
      <c r="O53" s="482"/>
      <c r="P53" s="481"/>
      <c r="Q53" s="482"/>
      <c r="R53" s="481"/>
      <c r="S53" s="482"/>
      <c r="T53" s="481"/>
      <c r="U53" s="482"/>
      <c r="V53" s="481"/>
      <c r="W53" s="482"/>
      <c r="X53" s="481"/>
      <c r="Y53" s="482"/>
      <c r="Z53" s="481"/>
      <c r="AA53" s="482"/>
      <c r="AB53" s="481"/>
      <c r="AC53" s="482"/>
      <c r="AD53" s="481"/>
      <c r="AE53" s="482"/>
      <c r="AF53" s="481"/>
      <c r="AG53" s="482"/>
      <c r="AH53" s="481"/>
      <c r="AI53" s="482"/>
      <c r="AJ53" s="481"/>
      <c r="AK53" s="482"/>
      <c r="AL53" s="481"/>
      <c r="AM53" s="482"/>
      <c r="AN53" s="481"/>
      <c r="AO53" s="482"/>
      <c r="AP53" s="481"/>
      <c r="AQ53" s="482"/>
      <c r="AR53" s="481"/>
      <c r="AS53" s="482"/>
      <c r="AT53" s="80"/>
    </row>
    <row r="54" spans="2:46" ht="9" customHeight="1" x14ac:dyDescent="0.3">
      <c r="B54" s="672"/>
      <c r="C54" s="393"/>
      <c r="D54" s="3"/>
      <c r="E54" s="8"/>
      <c r="F54" s="459"/>
      <c r="G54" s="460"/>
      <c r="H54" s="459"/>
      <c r="I54" s="460"/>
      <c r="J54" s="459"/>
      <c r="K54" s="460"/>
      <c r="L54" s="459"/>
      <c r="M54" s="460"/>
      <c r="N54" s="459"/>
      <c r="O54" s="460"/>
      <c r="P54" s="459"/>
      <c r="Q54" s="460"/>
      <c r="R54" s="459"/>
      <c r="S54" s="460"/>
      <c r="T54" s="459"/>
      <c r="U54" s="460"/>
      <c r="V54" s="459"/>
      <c r="W54" s="460"/>
      <c r="X54" s="459"/>
      <c r="Y54" s="460"/>
      <c r="Z54" s="459"/>
      <c r="AA54" s="460"/>
      <c r="AB54" s="459"/>
      <c r="AC54" s="460"/>
      <c r="AD54" s="459"/>
      <c r="AE54" s="460"/>
      <c r="AF54" s="459"/>
      <c r="AG54" s="460"/>
      <c r="AH54" s="459"/>
      <c r="AI54" s="460"/>
      <c r="AJ54" s="459"/>
      <c r="AK54" s="460"/>
      <c r="AL54" s="459"/>
      <c r="AM54" s="460"/>
      <c r="AN54" s="459"/>
      <c r="AO54" s="460"/>
      <c r="AP54" s="459"/>
      <c r="AQ54" s="460"/>
      <c r="AR54" s="459"/>
      <c r="AS54" s="460"/>
      <c r="AT54" s="76"/>
    </row>
    <row r="55" spans="2:46" ht="9" customHeight="1" thickBot="1" x14ac:dyDescent="0.4">
      <c r="B55" s="672"/>
      <c r="C55" s="674">
        <f>'Plot Data'!K68</f>
        <v>30</v>
      </c>
      <c r="D55" s="70"/>
      <c r="E55" s="71"/>
      <c r="F55" s="483"/>
      <c r="G55" s="484"/>
      <c r="H55" s="483"/>
      <c r="I55" s="484"/>
      <c r="J55" s="483"/>
      <c r="K55" s="484"/>
      <c r="L55" s="483"/>
      <c r="M55" s="484"/>
      <c r="N55" s="483"/>
      <c r="O55" s="484"/>
      <c r="P55" s="483"/>
      <c r="Q55" s="484"/>
      <c r="R55" s="483"/>
      <c r="S55" s="484"/>
      <c r="T55" s="483"/>
      <c r="U55" s="484"/>
      <c r="V55" s="483"/>
      <c r="W55" s="484"/>
      <c r="X55" s="483"/>
      <c r="Y55" s="484"/>
      <c r="Z55" s="483"/>
      <c r="AA55" s="484"/>
      <c r="AB55" s="483"/>
      <c r="AC55" s="484"/>
      <c r="AD55" s="483"/>
      <c r="AE55" s="484"/>
      <c r="AF55" s="483"/>
      <c r="AG55" s="484"/>
      <c r="AH55" s="483"/>
      <c r="AI55" s="484"/>
      <c r="AJ55" s="483"/>
      <c r="AK55" s="484"/>
      <c r="AL55" s="483"/>
      <c r="AM55" s="484"/>
      <c r="AN55" s="483"/>
      <c r="AO55" s="484"/>
      <c r="AP55" s="483"/>
      <c r="AQ55" s="484"/>
      <c r="AR55" s="483"/>
      <c r="AS55" s="484"/>
      <c r="AT55" s="81"/>
    </row>
    <row r="56" spans="2:46" ht="9" customHeight="1" thickTop="1" x14ac:dyDescent="0.3">
      <c r="B56" s="672"/>
      <c r="C56" s="674"/>
      <c r="D56" s="19"/>
      <c r="E56" s="20"/>
      <c r="F56" s="487"/>
      <c r="G56" s="488"/>
      <c r="H56" s="487"/>
      <c r="I56" s="488"/>
      <c r="J56" s="487"/>
      <c r="K56" s="488"/>
      <c r="L56" s="487"/>
      <c r="M56" s="488"/>
      <c r="N56" s="487"/>
      <c r="O56" s="488"/>
      <c r="P56" s="487"/>
      <c r="Q56" s="488"/>
      <c r="R56" s="487"/>
      <c r="S56" s="488"/>
      <c r="T56" s="487"/>
      <c r="U56" s="488"/>
      <c r="V56" s="487"/>
      <c r="W56" s="488"/>
      <c r="X56" s="487"/>
      <c r="Y56" s="488"/>
      <c r="Z56" s="487"/>
      <c r="AA56" s="488"/>
      <c r="AB56" s="487"/>
      <c r="AC56" s="488"/>
      <c r="AD56" s="487"/>
      <c r="AE56" s="488"/>
      <c r="AF56" s="487"/>
      <c r="AG56" s="488"/>
      <c r="AH56" s="487"/>
      <c r="AI56" s="488"/>
      <c r="AJ56" s="487"/>
      <c r="AK56" s="488"/>
      <c r="AL56" s="487"/>
      <c r="AM56" s="488"/>
      <c r="AN56" s="487"/>
      <c r="AO56" s="488"/>
      <c r="AP56" s="487"/>
      <c r="AQ56" s="488"/>
      <c r="AR56" s="487"/>
      <c r="AS56" s="488"/>
      <c r="AT56" s="82"/>
    </row>
    <row r="57" spans="2:46" ht="9" customHeight="1" x14ac:dyDescent="0.3">
      <c r="B57" s="672"/>
      <c r="C57" s="669"/>
      <c r="D57" s="13"/>
      <c r="E57" s="8"/>
      <c r="F57" s="459"/>
      <c r="G57" s="460"/>
      <c r="H57" s="459"/>
      <c r="I57" s="460"/>
      <c r="J57" s="459"/>
      <c r="K57" s="460"/>
      <c r="L57" s="459"/>
      <c r="M57" s="460"/>
      <c r="N57" s="459"/>
      <c r="O57" s="460"/>
      <c r="P57" s="459"/>
      <c r="Q57" s="460"/>
      <c r="R57" s="459"/>
      <c r="S57" s="460"/>
      <c r="T57" s="459"/>
      <c r="U57" s="460"/>
      <c r="V57" s="459"/>
      <c r="W57" s="460"/>
      <c r="X57" s="459"/>
      <c r="Y57" s="460"/>
      <c r="Z57" s="459"/>
      <c r="AA57" s="460"/>
      <c r="AB57" s="459"/>
      <c r="AC57" s="460"/>
      <c r="AD57" s="459"/>
      <c r="AE57" s="460"/>
      <c r="AF57" s="459"/>
      <c r="AG57" s="460"/>
      <c r="AH57" s="459"/>
      <c r="AI57" s="460"/>
      <c r="AJ57" s="459"/>
      <c r="AK57" s="460"/>
      <c r="AL57" s="459"/>
      <c r="AM57" s="460"/>
      <c r="AN57" s="459"/>
      <c r="AO57" s="460"/>
      <c r="AP57" s="459"/>
      <c r="AQ57" s="460"/>
      <c r="AR57" s="459"/>
      <c r="AS57" s="460"/>
      <c r="AT57" s="76"/>
    </row>
    <row r="58" spans="2:46" ht="9" customHeight="1" x14ac:dyDescent="0.3">
      <c r="B58" s="672"/>
      <c r="C58" s="669"/>
      <c r="D58" s="3"/>
      <c r="E58" s="8"/>
      <c r="F58" s="459"/>
      <c r="G58" s="460"/>
      <c r="H58" s="459"/>
      <c r="I58" s="460"/>
      <c r="J58" s="459"/>
      <c r="K58" s="460"/>
      <c r="L58" s="459"/>
      <c r="M58" s="460"/>
      <c r="N58" s="459"/>
      <c r="O58" s="460"/>
      <c r="P58" s="459"/>
      <c r="Q58" s="460"/>
      <c r="R58" s="459"/>
      <c r="S58" s="460"/>
      <c r="T58" s="459"/>
      <c r="U58" s="460"/>
      <c r="V58" s="459"/>
      <c r="W58" s="460"/>
      <c r="X58" s="459"/>
      <c r="Y58" s="460"/>
      <c r="Z58" s="459"/>
      <c r="AA58" s="460"/>
      <c r="AB58" s="459"/>
      <c r="AC58" s="460"/>
      <c r="AD58" s="459"/>
      <c r="AE58" s="460"/>
      <c r="AF58" s="459"/>
      <c r="AG58" s="460"/>
      <c r="AH58" s="459"/>
      <c r="AI58" s="460"/>
      <c r="AJ58" s="459"/>
      <c r="AK58" s="460"/>
      <c r="AL58" s="459"/>
      <c r="AM58" s="460"/>
      <c r="AN58" s="459"/>
      <c r="AO58" s="460"/>
      <c r="AP58" s="459"/>
      <c r="AQ58" s="460"/>
      <c r="AR58" s="459"/>
      <c r="AS58" s="460"/>
      <c r="AT58" s="76"/>
    </row>
    <row r="59" spans="2:46" ht="9" customHeight="1" x14ac:dyDescent="0.3">
      <c r="B59" s="672"/>
      <c r="C59" s="669">
        <f>C63+(C55-C63)/2</f>
        <v>26.25</v>
      </c>
      <c r="D59" s="13"/>
      <c r="E59" s="4"/>
      <c r="F59" s="459"/>
      <c r="G59" s="460"/>
      <c r="H59" s="459"/>
      <c r="I59" s="460"/>
      <c r="J59" s="459"/>
      <c r="K59" s="460"/>
      <c r="L59" s="459"/>
      <c r="M59" s="460"/>
      <c r="N59" s="459"/>
      <c r="O59" s="460"/>
      <c r="P59" s="459"/>
      <c r="Q59" s="460"/>
      <c r="R59" s="459"/>
      <c r="S59" s="460"/>
      <c r="T59" s="459"/>
      <c r="U59" s="460"/>
      <c r="V59" s="459"/>
      <c r="W59" s="460"/>
      <c r="X59" s="459"/>
      <c r="Y59" s="460"/>
      <c r="Z59" s="459"/>
      <c r="AA59" s="460"/>
      <c r="AB59" s="459"/>
      <c r="AC59" s="460"/>
      <c r="AD59" s="459"/>
      <c r="AE59" s="460"/>
      <c r="AF59" s="459"/>
      <c r="AG59" s="460"/>
      <c r="AH59" s="459"/>
      <c r="AI59" s="460"/>
      <c r="AJ59" s="459"/>
      <c r="AK59" s="460"/>
      <c r="AL59" s="459"/>
      <c r="AM59" s="460"/>
      <c r="AN59" s="459"/>
      <c r="AO59" s="460"/>
      <c r="AP59" s="459"/>
      <c r="AQ59" s="460"/>
      <c r="AR59" s="459"/>
      <c r="AS59" s="460"/>
      <c r="AT59" s="80"/>
    </row>
    <row r="60" spans="2:46" ht="9" customHeight="1" x14ac:dyDescent="0.3">
      <c r="B60" s="672"/>
      <c r="C60" s="669"/>
      <c r="D60" s="13"/>
      <c r="E60" s="4"/>
      <c r="F60" s="459"/>
      <c r="G60" s="460"/>
      <c r="H60" s="459"/>
      <c r="I60" s="460"/>
      <c r="J60" s="459"/>
      <c r="K60" s="460"/>
      <c r="L60" s="459"/>
      <c r="M60" s="460"/>
      <c r="N60" s="459"/>
      <c r="O60" s="460"/>
      <c r="P60" s="459"/>
      <c r="Q60" s="460"/>
      <c r="R60" s="459"/>
      <c r="S60" s="460"/>
      <c r="T60" s="459"/>
      <c r="U60" s="460"/>
      <c r="V60" s="459"/>
      <c r="W60" s="460"/>
      <c r="X60" s="459"/>
      <c r="Y60" s="460"/>
      <c r="Z60" s="459"/>
      <c r="AA60" s="460"/>
      <c r="AB60" s="459"/>
      <c r="AC60" s="460"/>
      <c r="AD60" s="459"/>
      <c r="AE60" s="460"/>
      <c r="AF60" s="459"/>
      <c r="AG60" s="460"/>
      <c r="AH60" s="459"/>
      <c r="AI60" s="460"/>
      <c r="AJ60" s="459"/>
      <c r="AK60" s="460"/>
      <c r="AL60" s="459"/>
      <c r="AM60" s="460"/>
      <c r="AN60" s="459"/>
      <c r="AO60" s="460"/>
      <c r="AP60" s="459"/>
      <c r="AQ60" s="460"/>
      <c r="AR60" s="459"/>
      <c r="AS60" s="460"/>
      <c r="AT60" s="80"/>
    </row>
    <row r="61" spans="2:46" ht="9" customHeight="1" x14ac:dyDescent="0.3">
      <c r="B61" s="672"/>
      <c r="C61" s="669"/>
      <c r="D61" s="7"/>
      <c r="E61" s="18"/>
      <c r="F61" s="489"/>
      <c r="G61" s="490"/>
      <c r="H61" s="489"/>
      <c r="I61" s="490"/>
      <c r="J61" s="489"/>
      <c r="K61" s="490"/>
      <c r="L61" s="489"/>
      <c r="M61" s="490"/>
      <c r="N61" s="489"/>
      <c r="O61" s="490"/>
      <c r="P61" s="489"/>
      <c r="Q61" s="490"/>
      <c r="R61" s="489"/>
      <c r="S61" s="490"/>
      <c r="T61" s="489"/>
      <c r="U61" s="490"/>
      <c r="V61" s="489"/>
      <c r="W61" s="490"/>
      <c r="X61" s="489"/>
      <c r="Y61" s="490"/>
      <c r="Z61" s="489"/>
      <c r="AA61" s="490"/>
      <c r="AB61" s="489"/>
      <c r="AC61" s="490"/>
      <c r="AD61" s="489"/>
      <c r="AE61" s="490"/>
      <c r="AF61" s="489"/>
      <c r="AG61" s="490"/>
      <c r="AH61" s="489"/>
      <c r="AI61" s="490"/>
      <c r="AJ61" s="489"/>
      <c r="AK61" s="490"/>
      <c r="AL61" s="489"/>
      <c r="AM61" s="490"/>
      <c r="AN61" s="489"/>
      <c r="AO61" s="490"/>
      <c r="AP61" s="489"/>
      <c r="AQ61" s="490"/>
      <c r="AR61" s="489"/>
      <c r="AS61" s="490"/>
      <c r="AT61" s="83"/>
    </row>
    <row r="62" spans="2:46" ht="9" customHeight="1" x14ac:dyDescent="0.3">
      <c r="B62" s="672"/>
      <c r="C62" s="669"/>
      <c r="D62" s="21"/>
      <c r="E62" s="22"/>
      <c r="F62" s="491"/>
      <c r="G62" s="492"/>
      <c r="H62" s="491"/>
      <c r="I62" s="492"/>
      <c r="J62" s="491"/>
      <c r="K62" s="492"/>
      <c r="L62" s="491"/>
      <c r="M62" s="492"/>
      <c r="N62" s="491"/>
      <c r="O62" s="492"/>
      <c r="P62" s="491"/>
      <c r="Q62" s="492"/>
      <c r="R62" s="491"/>
      <c r="S62" s="492"/>
      <c r="T62" s="491"/>
      <c r="U62" s="492"/>
      <c r="V62" s="491"/>
      <c r="W62" s="492"/>
      <c r="X62" s="491"/>
      <c r="Y62" s="492"/>
      <c r="Z62" s="491"/>
      <c r="AA62" s="492"/>
      <c r="AB62" s="491"/>
      <c r="AC62" s="492"/>
      <c r="AD62" s="491"/>
      <c r="AE62" s="492"/>
      <c r="AF62" s="491"/>
      <c r="AG62" s="492"/>
      <c r="AH62" s="491"/>
      <c r="AI62" s="492"/>
      <c r="AJ62" s="491"/>
      <c r="AK62" s="492"/>
      <c r="AL62" s="491"/>
      <c r="AM62" s="492"/>
      <c r="AN62" s="491"/>
      <c r="AO62" s="492"/>
      <c r="AP62" s="491"/>
      <c r="AQ62" s="492"/>
      <c r="AR62" s="491"/>
      <c r="AS62" s="492"/>
      <c r="AT62" s="84"/>
    </row>
    <row r="63" spans="2:46" ht="9" customHeight="1" x14ac:dyDescent="0.3">
      <c r="B63" s="672"/>
      <c r="C63" s="669">
        <f>C69+(C55-C69)/2</f>
        <v>22.5</v>
      </c>
      <c r="D63" s="13"/>
      <c r="E63" s="4"/>
      <c r="F63" s="459"/>
      <c r="G63" s="460"/>
      <c r="H63" s="459"/>
      <c r="I63" s="460"/>
      <c r="J63" s="459"/>
      <c r="K63" s="460"/>
      <c r="L63" s="459"/>
      <c r="M63" s="460"/>
      <c r="N63" s="459"/>
      <c r="O63" s="460"/>
      <c r="P63" s="459"/>
      <c r="Q63" s="460"/>
      <c r="R63" s="459"/>
      <c r="S63" s="460"/>
      <c r="T63" s="459"/>
      <c r="U63" s="460"/>
      <c r="V63" s="459"/>
      <c r="W63" s="460"/>
      <c r="X63" s="459"/>
      <c r="Y63" s="460"/>
      <c r="Z63" s="459"/>
      <c r="AA63" s="460"/>
      <c r="AB63" s="459"/>
      <c r="AC63" s="460"/>
      <c r="AD63" s="459"/>
      <c r="AE63" s="460"/>
      <c r="AF63" s="459"/>
      <c r="AG63" s="460"/>
      <c r="AH63" s="459"/>
      <c r="AI63" s="460"/>
      <c r="AJ63" s="459"/>
      <c r="AK63" s="460"/>
      <c r="AL63" s="459"/>
      <c r="AM63" s="460"/>
      <c r="AN63" s="459"/>
      <c r="AO63" s="460"/>
      <c r="AP63" s="459"/>
      <c r="AQ63" s="460"/>
      <c r="AR63" s="459"/>
      <c r="AS63" s="460"/>
      <c r="AT63" s="80"/>
    </row>
    <row r="64" spans="2:46" ht="9" customHeight="1" x14ac:dyDescent="0.3">
      <c r="B64" s="672"/>
      <c r="C64" s="669"/>
      <c r="D64" s="13"/>
      <c r="E64" s="4"/>
      <c r="F64" s="459"/>
      <c r="G64" s="460"/>
      <c r="H64" s="459"/>
      <c r="I64" s="460"/>
      <c r="J64" s="459"/>
      <c r="K64" s="460"/>
      <c r="L64" s="459"/>
      <c r="M64" s="460"/>
      <c r="N64" s="459"/>
      <c r="O64" s="460"/>
      <c r="P64" s="459"/>
      <c r="Q64" s="460"/>
      <c r="R64" s="459"/>
      <c r="S64" s="460"/>
      <c r="T64" s="459"/>
      <c r="U64" s="460"/>
      <c r="V64" s="459"/>
      <c r="W64" s="460"/>
      <c r="X64" s="459"/>
      <c r="Y64" s="460"/>
      <c r="Z64" s="459"/>
      <c r="AA64" s="460"/>
      <c r="AB64" s="459"/>
      <c r="AC64" s="460"/>
      <c r="AD64" s="459"/>
      <c r="AE64" s="460"/>
      <c r="AF64" s="459"/>
      <c r="AG64" s="460"/>
      <c r="AH64" s="459"/>
      <c r="AI64" s="460"/>
      <c r="AJ64" s="459"/>
      <c r="AK64" s="460"/>
      <c r="AL64" s="459"/>
      <c r="AM64" s="460"/>
      <c r="AN64" s="459"/>
      <c r="AO64" s="460"/>
      <c r="AP64" s="459"/>
      <c r="AQ64" s="460"/>
      <c r="AR64" s="459"/>
      <c r="AS64" s="460"/>
      <c r="AT64" s="80"/>
    </row>
    <row r="65" spans="2:46" x14ac:dyDescent="0.3">
      <c r="B65" s="672"/>
      <c r="C65" s="669"/>
      <c r="D65" s="13"/>
      <c r="E65" s="4"/>
      <c r="F65" s="459"/>
      <c r="G65" s="460"/>
      <c r="H65" s="459"/>
      <c r="I65" s="460"/>
      <c r="J65" s="459"/>
      <c r="K65" s="460"/>
      <c r="L65" s="459"/>
      <c r="M65" s="460"/>
      <c r="N65" s="459"/>
      <c r="O65" s="460"/>
      <c r="P65" s="459"/>
      <c r="Q65" s="460"/>
      <c r="R65" s="459"/>
      <c r="S65" s="460"/>
      <c r="T65" s="459"/>
      <c r="U65" s="460"/>
      <c r="V65" s="459"/>
      <c r="W65" s="460"/>
      <c r="X65" s="459"/>
      <c r="Y65" s="460"/>
      <c r="Z65" s="459"/>
      <c r="AA65" s="460"/>
      <c r="AB65" s="459"/>
      <c r="AC65" s="460"/>
      <c r="AD65" s="459"/>
      <c r="AE65" s="460"/>
      <c r="AF65" s="459"/>
      <c r="AG65" s="460"/>
      <c r="AH65" s="459"/>
      <c r="AI65" s="460"/>
      <c r="AJ65" s="459"/>
      <c r="AK65" s="460"/>
      <c r="AL65" s="459"/>
      <c r="AM65" s="460"/>
      <c r="AN65" s="459"/>
      <c r="AO65" s="460"/>
      <c r="AP65" s="459"/>
      <c r="AQ65" s="460"/>
      <c r="AR65" s="459"/>
      <c r="AS65" s="460"/>
      <c r="AT65" s="80"/>
    </row>
    <row r="66" spans="2:46" x14ac:dyDescent="0.3">
      <c r="B66" s="672"/>
      <c r="C66" s="669"/>
      <c r="D66" s="13"/>
      <c r="E66" s="4"/>
      <c r="F66" s="459"/>
      <c r="G66" s="460"/>
      <c r="H66" s="459"/>
      <c r="I66" s="460"/>
      <c r="J66" s="459"/>
      <c r="K66" s="460"/>
      <c r="L66" s="459"/>
      <c r="M66" s="460"/>
      <c r="N66" s="459"/>
      <c r="O66" s="460"/>
      <c r="P66" s="459"/>
      <c r="Q66" s="460"/>
      <c r="R66" s="459"/>
      <c r="S66" s="460"/>
      <c r="T66" s="459"/>
      <c r="U66" s="460"/>
      <c r="V66" s="459"/>
      <c r="W66" s="460"/>
      <c r="X66" s="459"/>
      <c r="Y66" s="460"/>
      <c r="Z66" s="459"/>
      <c r="AA66" s="460"/>
      <c r="AB66" s="459"/>
      <c r="AC66" s="460"/>
      <c r="AD66" s="459"/>
      <c r="AE66" s="460"/>
      <c r="AF66" s="459"/>
      <c r="AG66" s="460"/>
      <c r="AH66" s="459"/>
      <c r="AI66" s="460"/>
      <c r="AJ66" s="459"/>
      <c r="AK66" s="460"/>
      <c r="AL66" s="459"/>
      <c r="AM66" s="460"/>
      <c r="AN66" s="459"/>
      <c r="AO66" s="460"/>
      <c r="AP66" s="459"/>
      <c r="AQ66" s="460"/>
      <c r="AR66" s="459"/>
      <c r="AS66" s="460"/>
      <c r="AT66" s="80"/>
    </row>
    <row r="67" spans="2:46" x14ac:dyDescent="0.3">
      <c r="B67" s="672"/>
      <c r="C67" s="669"/>
      <c r="D67" s="13"/>
      <c r="E67" s="4"/>
      <c r="F67" s="459"/>
      <c r="G67" s="460"/>
      <c r="H67" s="459"/>
      <c r="I67" s="460"/>
      <c r="J67" s="459"/>
      <c r="K67" s="460"/>
      <c r="L67" s="459"/>
      <c r="M67" s="460"/>
      <c r="N67" s="459"/>
      <c r="O67" s="460"/>
      <c r="P67" s="459"/>
      <c r="Q67" s="460"/>
      <c r="R67" s="459"/>
      <c r="S67" s="460"/>
      <c r="T67" s="459"/>
      <c r="U67" s="460"/>
      <c r="V67" s="459"/>
      <c r="W67" s="460"/>
      <c r="X67" s="459"/>
      <c r="Y67" s="460"/>
      <c r="Z67" s="459"/>
      <c r="AA67" s="460"/>
      <c r="AB67" s="459"/>
      <c r="AC67" s="460"/>
      <c r="AD67" s="459"/>
      <c r="AE67" s="460"/>
      <c r="AF67" s="459"/>
      <c r="AG67" s="460"/>
      <c r="AH67" s="459"/>
      <c r="AI67" s="460"/>
      <c r="AJ67" s="459"/>
      <c r="AK67" s="460"/>
      <c r="AL67" s="459"/>
      <c r="AM67" s="460"/>
      <c r="AN67" s="459"/>
      <c r="AO67" s="460"/>
      <c r="AP67" s="459"/>
      <c r="AQ67" s="460"/>
      <c r="AR67" s="459"/>
      <c r="AS67" s="460"/>
      <c r="AT67" s="80"/>
    </row>
    <row r="68" spans="2:46" x14ac:dyDescent="0.3">
      <c r="B68" s="672"/>
      <c r="C68" s="669"/>
      <c r="D68" s="13"/>
      <c r="E68" s="4"/>
      <c r="F68" s="459"/>
      <c r="G68" s="460"/>
      <c r="H68" s="459"/>
      <c r="I68" s="460"/>
      <c r="J68" s="459"/>
      <c r="K68" s="460"/>
      <c r="L68" s="459"/>
      <c r="M68" s="460"/>
      <c r="N68" s="459"/>
      <c r="O68" s="460"/>
      <c r="P68" s="459"/>
      <c r="Q68" s="460"/>
      <c r="R68" s="459"/>
      <c r="S68" s="460"/>
      <c r="T68" s="459"/>
      <c r="U68" s="460"/>
      <c r="V68" s="459"/>
      <c r="W68" s="460"/>
      <c r="X68" s="459"/>
      <c r="Y68" s="460"/>
      <c r="Z68" s="459"/>
      <c r="AA68" s="460"/>
      <c r="AB68" s="459"/>
      <c r="AC68" s="460"/>
      <c r="AD68" s="459"/>
      <c r="AE68" s="460"/>
      <c r="AF68" s="459"/>
      <c r="AG68" s="460"/>
      <c r="AH68" s="459"/>
      <c r="AI68" s="460"/>
      <c r="AJ68" s="459"/>
      <c r="AK68" s="460"/>
      <c r="AL68" s="459"/>
      <c r="AM68" s="460"/>
      <c r="AN68" s="459"/>
      <c r="AO68" s="460"/>
      <c r="AP68" s="459"/>
      <c r="AQ68" s="460"/>
      <c r="AR68" s="459"/>
      <c r="AS68" s="460"/>
      <c r="AT68" s="80"/>
    </row>
    <row r="69" spans="2:46" x14ac:dyDescent="0.3">
      <c r="B69" s="672"/>
      <c r="C69" s="669">
        <f>C55/2</f>
        <v>15</v>
      </c>
      <c r="D69" s="13"/>
      <c r="E69" s="4"/>
      <c r="F69" s="459"/>
      <c r="G69" s="460"/>
      <c r="H69" s="459"/>
      <c r="I69" s="460"/>
      <c r="J69" s="459"/>
      <c r="K69" s="460"/>
      <c r="L69" s="459"/>
      <c r="M69" s="460"/>
      <c r="N69" s="459"/>
      <c r="O69" s="460"/>
      <c r="P69" s="459"/>
      <c r="Q69" s="460"/>
      <c r="R69" s="459"/>
      <c r="S69" s="460"/>
      <c r="T69" s="459"/>
      <c r="U69" s="460"/>
      <c r="V69" s="459"/>
      <c r="W69" s="460"/>
      <c r="X69" s="459"/>
      <c r="Y69" s="460"/>
      <c r="Z69" s="459"/>
      <c r="AA69" s="460"/>
      <c r="AB69" s="459"/>
      <c r="AC69" s="460"/>
      <c r="AD69" s="459"/>
      <c r="AE69" s="460"/>
      <c r="AF69" s="459"/>
      <c r="AG69" s="460"/>
      <c r="AH69" s="459"/>
      <c r="AI69" s="460"/>
      <c r="AJ69" s="459"/>
      <c r="AK69" s="460"/>
      <c r="AL69" s="459"/>
      <c r="AM69" s="460"/>
      <c r="AN69" s="459"/>
      <c r="AO69" s="460"/>
      <c r="AP69" s="459"/>
      <c r="AQ69" s="460"/>
      <c r="AR69" s="459"/>
      <c r="AS69" s="460"/>
      <c r="AT69" s="80"/>
    </row>
    <row r="70" spans="2:46" x14ac:dyDescent="0.3">
      <c r="B70" s="672"/>
      <c r="C70" s="669"/>
      <c r="D70" s="13"/>
      <c r="E70" s="4"/>
      <c r="F70" s="459"/>
      <c r="G70" s="460"/>
      <c r="H70" s="459"/>
      <c r="I70" s="460"/>
      <c r="J70" s="459"/>
      <c r="K70" s="460"/>
      <c r="L70" s="459"/>
      <c r="M70" s="460"/>
      <c r="N70" s="459"/>
      <c r="O70" s="460"/>
      <c r="P70" s="459"/>
      <c r="Q70" s="460"/>
      <c r="R70" s="459"/>
      <c r="S70" s="460"/>
      <c r="T70" s="459"/>
      <c r="U70" s="460"/>
      <c r="V70" s="459"/>
      <c r="W70" s="460"/>
      <c r="X70" s="459"/>
      <c r="Y70" s="460"/>
      <c r="Z70" s="459"/>
      <c r="AA70" s="460"/>
      <c r="AB70" s="459"/>
      <c r="AC70" s="460"/>
      <c r="AD70" s="459"/>
      <c r="AE70" s="460"/>
      <c r="AF70" s="459"/>
      <c r="AG70" s="460"/>
      <c r="AH70" s="459"/>
      <c r="AI70" s="460"/>
      <c r="AJ70" s="459"/>
      <c r="AK70" s="460"/>
      <c r="AL70" s="459"/>
      <c r="AM70" s="460"/>
      <c r="AN70" s="459"/>
      <c r="AO70" s="460"/>
      <c r="AP70" s="459"/>
      <c r="AQ70" s="460"/>
      <c r="AR70" s="459"/>
      <c r="AS70" s="460"/>
      <c r="AT70" s="80"/>
    </row>
    <row r="71" spans="2:46" x14ac:dyDescent="0.3">
      <c r="B71" s="672"/>
      <c r="C71" s="669"/>
      <c r="D71" s="13"/>
      <c r="E71" s="4"/>
      <c r="F71" s="459"/>
      <c r="G71" s="460"/>
      <c r="H71" s="459"/>
      <c r="I71" s="460"/>
      <c r="J71" s="459"/>
      <c r="K71" s="460"/>
      <c r="L71" s="459"/>
      <c r="M71" s="460"/>
      <c r="N71" s="459"/>
      <c r="O71" s="460"/>
      <c r="P71" s="459"/>
      <c r="Q71" s="460"/>
      <c r="R71" s="459"/>
      <c r="S71" s="460"/>
      <c r="T71" s="459"/>
      <c r="U71" s="460"/>
      <c r="V71" s="459"/>
      <c r="W71" s="460"/>
      <c r="X71" s="459"/>
      <c r="Y71" s="460"/>
      <c r="Z71" s="459"/>
      <c r="AA71" s="460"/>
      <c r="AB71" s="459"/>
      <c r="AC71" s="460"/>
      <c r="AD71" s="459"/>
      <c r="AE71" s="460"/>
      <c r="AF71" s="459"/>
      <c r="AG71" s="460"/>
      <c r="AH71" s="459"/>
      <c r="AI71" s="460"/>
      <c r="AJ71" s="459"/>
      <c r="AK71" s="460"/>
      <c r="AL71" s="459"/>
      <c r="AM71" s="460"/>
      <c r="AN71" s="459"/>
      <c r="AO71" s="460"/>
      <c r="AP71" s="459"/>
      <c r="AQ71" s="460"/>
      <c r="AR71" s="459"/>
      <c r="AS71" s="460"/>
      <c r="AT71" s="80"/>
    </row>
    <row r="72" spans="2:46" x14ac:dyDescent="0.3">
      <c r="B72" s="672"/>
      <c r="C72" s="669"/>
      <c r="D72" s="13"/>
      <c r="E72" s="4"/>
      <c r="F72" s="459"/>
      <c r="G72" s="460"/>
      <c r="H72" s="459"/>
      <c r="I72" s="460"/>
      <c r="J72" s="459"/>
      <c r="K72" s="460"/>
      <c r="L72" s="459"/>
      <c r="M72" s="460"/>
      <c r="N72" s="459"/>
      <c r="O72" s="460"/>
      <c r="P72" s="459"/>
      <c r="Q72" s="460"/>
      <c r="R72" s="459"/>
      <c r="S72" s="460"/>
      <c r="T72" s="459"/>
      <c r="U72" s="460"/>
      <c r="V72" s="459"/>
      <c r="W72" s="460"/>
      <c r="X72" s="459"/>
      <c r="Y72" s="460"/>
      <c r="Z72" s="459"/>
      <c r="AA72" s="460"/>
      <c r="AB72" s="459"/>
      <c r="AC72" s="460"/>
      <c r="AD72" s="459"/>
      <c r="AE72" s="460"/>
      <c r="AF72" s="459"/>
      <c r="AG72" s="460"/>
      <c r="AH72" s="459"/>
      <c r="AI72" s="460"/>
      <c r="AJ72" s="459"/>
      <c r="AK72" s="460"/>
      <c r="AL72" s="459"/>
      <c r="AM72" s="460"/>
      <c r="AN72" s="459"/>
      <c r="AO72" s="460"/>
      <c r="AP72" s="459"/>
      <c r="AQ72" s="460"/>
      <c r="AR72" s="459"/>
      <c r="AS72" s="460"/>
      <c r="AT72" s="80"/>
    </row>
    <row r="73" spans="2:46" x14ac:dyDescent="0.3">
      <c r="B73" s="672"/>
      <c r="C73" s="669"/>
      <c r="D73" s="13"/>
      <c r="E73" s="4"/>
      <c r="F73" s="459"/>
      <c r="G73" s="460"/>
      <c r="H73" s="459"/>
      <c r="I73" s="460"/>
      <c r="J73" s="459"/>
      <c r="K73" s="460"/>
      <c r="L73" s="459"/>
      <c r="M73" s="460"/>
      <c r="N73" s="459"/>
      <c r="O73" s="460"/>
      <c r="P73" s="459"/>
      <c r="Q73" s="460"/>
      <c r="R73" s="459"/>
      <c r="S73" s="460"/>
      <c r="T73" s="459"/>
      <c r="U73" s="460"/>
      <c r="V73" s="459"/>
      <c r="W73" s="460"/>
      <c r="X73" s="459"/>
      <c r="Y73" s="460"/>
      <c r="Z73" s="459"/>
      <c r="AA73" s="460"/>
      <c r="AB73" s="459"/>
      <c r="AC73" s="460"/>
      <c r="AD73" s="459"/>
      <c r="AE73" s="460"/>
      <c r="AF73" s="459"/>
      <c r="AG73" s="460"/>
      <c r="AH73" s="459"/>
      <c r="AI73" s="460"/>
      <c r="AJ73" s="459"/>
      <c r="AK73" s="460"/>
      <c r="AL73" s="459"/>
      <c r="AM73" s="460"/>
      <c r="AN73" s="459"/>
      <c r="AO73" s="460"/>
      <c r="AP73" s="459"/>
      <c r="AQ73" s="460"/>
      <c r="AR73" s="459"/>
      <c r="AS73" s="460"/>
      <c r="AT73" s="80"/>
    </row>
    <row r="74" spans="2:46" x14ac:dyDescent="0.3">
      <c r="B74" s="672"/>
      <c r="C74" s="669"/>
      <c r="D74" s="13"/>
      <c r="E74" s="4"/>
      <c r="F74" s="459"/>
      <c r="G74" s="460"/>
      <c r="H74" s="459"/>
      <c r="I74" s="460"/>
      <c r="J74" s="459"/>
      <c r="K74" s="460"/>
      <c r="L74" s="459"/>
      <c r="M74" s="460"/>
      <c r="N74" s="459"/>
      <c r="O74" s="460"/>
      <c r="P74" s="459"/>
      <c r="Q74" s="460"/>
      <c r="R74" s="459"/>
      <c r="S74" s="460"/>
      <c r="T74" s="459"/>
      <c r="U74" s="460"/>
      <c r="V74" s="459"/>
      <c r="W74" s="460"/>
      <c r="X74" s="459"/>
      <c r="Y74" s="460"/>
      <c r="Z74" s="459"/>
      <c r="AA74" s="460"/>
      <c r="AB74" s="459"/>
      <c r="AC74" s="460"/>
      <c r="AD74" s="459"/>
      <c r="AE74" s="460"/>
      <c r="AF74" s="459"/>
      <c r="AG74" s="460"/>
      <c r="AH74" s="459"/>
      <c r="AI74" s="460"/>
      <c r="AJ74" s="459"/>
      <c r="AK74" s="460"/>
      <c r="AL74" s="459"/>
      <c r="AM74" s="460"/>
      <c r="AN74" s="459"/>
      <c r="AO74" s="460"/>
      <c r="AP74" s="459"/>
      <c r="AQ74" s="460"/>
      <c r="AR74" s="459"/>
      <c r="AS74" s="460"/>
      <c r="AT74" s="80"/>
    </row>
    <row r="75" spans="2:46" x14ac:dyDescent="0.3">
      <c r="B75" s="672"/>
      <c r="C75" s="669"/>
      <c r="D75" s="13"/>
      <c r="E75" s="4"/>
      <c r="F75" s="459"/>
      <c r="G75" s="460"/>
      <c r="H75" s="459"/>
      <c r="I75" s="460"/>
      <c r="J75" s="459"/>
      <c r="K75" s="460"/>
      <c r="L75" s="459"/>
      <c r="M75" s="460"/>
      <c r="N75" s="459"/>
      <c r="O75" s="460"/>
      <c r="P75" s="459"/>
      <c r="Q75" s="460"/>
      <c r="R75" s="459"/>
      <c r="S75" s="460"/>
      <c r="T75" s="459"/>
      <c r="U75" s="460"/>
      <c r="V75" s="459"/>
      <c r="W75" s="460"/>
      <c r="X75" s="459"/>
      <c r="Y75" s="460"/>
      <c r="Z75" s="459"/>
      <c r="AA75" s="460"/>
      <c r="AB75" s="459"/>
      <c r="AC75" s="460"/>
      <c r="AD75" s="459"/>
      <c r="AE75" s="460"/>
      <c r="AF75" s="459"/>
      <c r="AG75" s="460"/>
      <c r="AH75" s="459"/>
      <c r="AI75" s="460"/>
      <c r="AJ75" s="459"/>
      <c r="AK75" s="460"/>
      <c r="AL75" s="459"/>
      <c r="AM75" s="460"/>
      <c r="AN75" s="459"/>
      <c r="AO75" s="460"/>
      <c r="AP75" s="459"/>
      <c r="AQ75" s="460"/>
      <c r="AR75" s="459"/>
      <c r="AS75" s="460"/>
      <c r="AT75" s="80"/>
    </row>
    <row r="76" spans="2:46" x14ac:dyDescent="0.3">
      <c r="B76" s="672"/>
      <c r="C76" s="669"/>
      <c r="D76" s="13"/>
      <c r="E76" s="4"/>
      <c r="F76" s="459"/>
      <c r="G76" s="460"/>
      <c r="H76" s="459"/>
      <c r="I76" s="460"/>
      <c r="J76" s="459"/>
      <c r="K76" s="460"/>
      <c r="L76" s="459"/>
      <c r="M76" s="460"/>
      <c r="N76" s="459"/>
      <c r="O76" s="460"/>
      <c r="P76" s="459"/>
      <c r="Q76" s="460"/>
      <c r="R76" s="459"/>
      <c r="S76" s="460"/>
      <c r="T76" s="459"/>
      <c r="U76" s="460"/>
      <c r="V76" s="459"/>
      <c r="W76" s="460"/>
      <c r="X76" s="459"/>
      <c r="Y76" s="460"/>
      <c r="Z76" s="459"/>
      <c r="AA76" s="460"/>
      <c r="AB76" s="459"/>
      <c r="AC76" s="460"/>
      <c r="AD76" s="459"/>
      <c r="AE76" s="460"/>
      <c r="AF76" s="459"/>
      <c r="AG76" s="460"/>
      <c r="AH76" s="459"/>
      <c r="AI76" s="460"/>
      <c r="AJ76" s="459"/>
      <c r="AK76" s="460"/>
      <c r="AL76" s="459"/>
      <c r="AM76" s="460"/>
      <c r="AN76" s="459"/>
      <c r="AO76" s="460"/>
      <c r="AP76" s="459"/>
      <c r="AQ76" s="460"/>
      <c r="AR76" s="459"/>
      <c r="AS76" s="460"/>
      <c r="AT76" s="80"/>
    </row>
    <row r="77" spans="2:46" x14ac:dyDescent="0.3">
      <c r="B77" s="672"/>
      <c r="C77" s="669">
        <f>C69/2</f>
        <v>7.5</v>
      </c>
      <c r="D77" s="13"/>
      <c r="E77" s="4"/>
      <c r="F77" s="459"/>
      <c r="G77" s="460"/>
      <c r="H77" s="459"/>
      <c r="I77" s="460"/>
      <c r="J77" s="459"/>
      <c r="K77" s="460"/>
      <c r="L77" s="459"/>
      <c r="M77" s="460"/>
      <c r="N77" s="459"/>
      <c r="O77" s="460"/>
      <c r="P77" s="459"/>
      <c r="Q77" s="460"/>
      <c r="R77" s="459"/>
      <c r="S77" s="460"/>
      <c r="T77" s="459"/>
      <c r="U77" s="460"/>
      <c r="V77" s="459"/>
      <c r="W77" s="460"/>
      <c r="X77" s="459"/>
      <c r="Y77" s="460"/>
      <c r="Z77" s="459"/>
      <c r="AA77" s="460"/>
      <c r="AB77" s="459"/>
      <c r="AC77" s="460"/>
      <c r="AD77" s="459"/>
      <c r="AE77" s="460"/>
      <c r="AF77" s="459"/>
      <c r="AG77" s="460"/>
      <c r="AH77" s="459"/>
      <c r="AI77" s="460"/>
      <c r="AJ77" s="459"/>
      <c r="AK77" s="460"/>
      <c r="AL77" s="459"/>
      <c r="AM77" s="460"/>
      <c r="AN77" s="459"/>
      <c r="AO77" s="460"/>
      <c r="AP77" s="459"/>
      <c r="AQ77" s="460"/>
      <c r="AR77" s="459"/>
      <c r="AS77" s="460"/>
      <c r="AT77" s="80"/>
    </row>
    <row r="78" spans="2:46" x14ac:dyDescent="0.3">
      <c r="B78" s="672"/>
      <c r="C78" s="669"/>
      <c r="D78" s="13"/>
      <c r="E78" s="4"/>
      <c r="F78" s="459"/>
      <c r="G78" s="460"/>
      <c r="H78" s="459"/>
      <c r="I78" s="460"/>
      <c r="J78" s="459"/>
      <c r="K78" s="460"/>
      <c r="L78" s="459"/>
      <c r="M78" s="460"/>
      <c r="N78" s="459"/>
      <c r="O78" s="460"/>
      <c r="P78" s="459"/>
      <c r="Q78" s="460"/>
      <c r="R78" s="459"/>
      <c r="S78" s="460"/>
      <c r="T78" s="459"/>
      <c r="U78" s="460"/>
      <c r="V78" s="459"/>
      <c r="W78" s="460"/>
      <c r="X78" s="459"/>
      <c r="Y78" s="460"/>
      <c r="Z78" s="459"/>
      <c r="AA78" s="460"/>
      <c r="AB78" s="459"/>
      <c r="AC78" s="460"/>
      <c r="AD78" s="459"/>
      <c r="AE78" s="460"/>
      <c r="AF78" s="459"/>
      <c r="AG78" s="460"/>
      <c r="AH78" s="459"/>
      <c r="AI78" s="460"/>
      <c r="AJ78" s="459"/>
      <c r="AK78" s="460"/>
      <c r="AL78" s="459"/>
      <c r="AM78" s="460"/>
      <c r="AN78" s="459"/>
      <c r="AO78" s="460"/>
      <c r="AP78" s="459"/>
      <c r="AQ78" s="460"/>
      <c r="AR78" s="459"/>
      <c r="AS78" s="460"/>
      <c r="AT78" s="80"/>
    </row>
    <row r="79" spans="2:46" x14ac:dyDescent="0.3">
      <c r="B79" s="672"/>
      <c r="C79" s="669"/>
      <c r="D79" s="13"/>
      <c r="E79" s="4"/>
      <c r="F79" s="459"/>
      <c r="G79" s="460"/>
      <c r="H79" s="459"/>
      <c r="I79" s="460"/>
      <c r="J79" s="459"/>
      <c r="K79" s="460"/>
      <c r="L79" s="459"/>
      <c r="M79" s="460"/>
      <c r="N79" s="459"/>
      <c r="O79" s="460"/>
      <c r="P79" s="459"/>
      <c r="Q79" s="460"/>
      <c r="R79" s="459"/>
      <c r="S79" s="460"/>
      <c r="T79" s="459"/>
      <c r="U79" s="460"/>
      <c r="V79" s="459"/>
      <c r="W79" s="460"/>
      <c r="X79" s="459"/>
      <c r="Y79" s="460"/>
      <c r="Z79" s="459"/>
      <c r="AA79" s="460"/>
      <c r="AB79" s="459"/>
      <c r="AC79" s="460"/>
      <c r="AD79" s="459"/>
      <c r="AE79" s="460"/>
      <c r="AF79" s="459"/>
      <c r="AG79" s="460"/>
      <c r="AH79" s="459"/>
      <c r="AI79" s="460"/>
      <c r="AJ79" s="459"/>
      <c r="AK79" s="460"/>
      <c r="AL79" s="459"/>
      <c r="AM79" s="460"/>
      <c r="AN79" s="459"/>
      <c r="AO79" s="460"/>
      <c r="AP79" s="459"/>
      <c r="AQ79" s="460"/>
      <c r="AR79" s="459"/>
      <c r="AS79" s="460"/>
      <c r="AT79" s="80"/>
    </row>
    <row r="80" spans="2:46" x14ac:dyDescent="0.3">
      <c r="B80" s="672"/>
      <c r="C80" s="669"/>
      <c r="D80" s="13"/>
      <c r="E80" s="4"/>
      <c r="F80" s="459"/>
      <c r="G80" s="460"/>
      <c r="H80" s="459"/>
      <c r="I80" s="460"/>
      <c r="J80" s="459"/>
      <c r="K80" s="460"/>
      <c r="L80" s="459"/>
      <c r="M80" s="460"/>
      <c r="N80" s="459"/>
      <c r="O80" s="460"/>
      <c r="P80" s="459"/>
      <c r="Q80" s="460"/>
      <c r="R80" s="459"/>
      <c r="S80" s="460"/>
      <c r="T80" s="459"/>
      <c r="U80" s="460"/>
      <c r="V80" s="459"/>
      <c r="W80" s="460"/>
      <c r="X80" s="459"/>
      <c r="Y80" s="460"/>
      <c r="Z80" s="459"/>
      <c r="AA80" s="460"/>
      <c r="AB80" s="459"/>
      <c r="AC80" s="460"/>
      <c r="AD80" s="459"/>
      <c r="AE80" s="460"/>
      <c r="AF80" s="459"/>
      <c r="AG80" s="460"/>
      <c r="AH80" s="459"/>
      <c r="AI80" s="460"/>
      <c r="AJ80" s="459"/>
      <c r="AK80" s="460"/>
      <c r="AL80" s="459"/>
      <c r="AM80" s="460"/>
      <c r="AN80" s="459"/>
      <c r="AO80" s="460"/>
      <c r="AP80" s="459"/>
      <c r="AQ80" s="460"/>
      <c r="AR80" s="459"/>
      <c r="AS80" s="460"/>
      <c r="AT80" s="80"/>
    </row>
    <row r="81" spans="2:46" x14ac:dyDescent="0.3">
      <c r="B81" s="672"/>
      <c r="C81" s="669">
        <f>C77/2</f>
        <v>3.75</v>
      </c>
      <c r="D81" s="13"/>
      <c r="E81" s="4"/>
      <c r="F81" s="459"/>
      <c r="G81" s="460"/>
      <c r="H81" s="459"/>
      <c r="I81" s="460"/>
      <c r="J81" s="459"/>
      <c r="K81" s="460"/>
      <c r="L81" s="459"/>
      <c r="M81" s="460"/>
      <c r="N81" s="459"/>
      <c r="O81" s="460"/>
      <c r="P81" s="459"/>
      <c r="Q81" s="460"/>
      <c r="R81" s="459"/>
      <c r="S81" s="460"/>
      <c r="T81" s="459"/>
      <c r="U81" s="460"/>
      <c r="V81" s="459"/>
      <c r="W81" s="460"/>
      <c r="X81" s="459"/>
      <c r="Y81" s="460"/>
      <c r="Z81" s="459"/>
      <c r="AA81" s="460"/>
      <c r="AB81" s="459"/>
      <c r="AC81" s="460"/>
      <c r="AD81" s="459"/>
      <c r="AE81" s="460"/>
      <c r="AF81" s="459"/>
      <c r="AG81" s="460"/>
      <c r="AH81" s="459"/>
      <c r="AI81" s="460"/>
      <c r="AJ81" s="459"/>
      <c r="AK81" s="460"/>
      <c r="AL81" s="459"/>
      <c r="AM81" s="460"/>
      <c r="AN81" s="459"/>
      <c r="AO81" s="460"/>
      <c r="AP81" s="459"/>
      <c r="AQ81" s="460"/>
      <c r="AR81" s="459"/>
      <c r="AS81" s="460"/>
      <c r="AT81" s="80"/>
    </row>
    <row r="82" spans="2:46" x14ac:dyDescent="0.3">
      <c r="B82" s="672"/>
      <c r="C82" s="669"/>
      <c r="D82" s="13"/>
      <c r="E82" s="4"/>
      <c r="F82" s="459"/>
      <c r="G82" s="460"/>
      <c r="H82" s="459"/>
      <c r="I82" s="460"/>
      <c r="J82" s="459"/>
      <c r="K82" s="460"/>
      <c r="L82" s="459"/>
      <c r="M82" s="460"/>
      <c r="N82" s="459"/>
      <c r="O82" s="460"/>
      <c r="P82" s="459"/>
      <c r="Q82" s="460"/>
      <c r="R82" s="459"/>
      <c r="S82" s="460"/>
      <c r="T82" s="459"/>
      <c r="U82" s="460"/>
      <c r="V82" s="459"/>
      <c r="W82" s="460"/>
      <c r="X82" s="459"/>
      <c r="Y82" s="460"/>
      <c r="Z82" s="459"/>
      <c r="AA82" s="460"/>
      <c r="AB82" s="459"/>
      <c r="AC82" s="460"/>
      <c r="AD82" s="459"/>
      <c r="AE82" s="460"/>
      <c r="AF82" s="459"/>
      <c r="AG82" s="460"/>
      <c r="AH82" s="459"/>
      <c r="AI82" s="460"/>
      <c r="AJ82" s="459"/>
      <c r="AK82" s="460"/>
      <c r="AL82" s="459"/>
      <c r="AM82" s="460"/>
      <c r="AN82" s="459"/>
      <c r="AO82" s="460"/>
      <c r="AP82" s="459"/>
      <c r="AQ82" s="460"/>
      <c r="AR82" s="459"/>
      <c r="AS82" s="460"/>
      <c r="AT82" s="80"/>
    </row>
    <row r="83" spans="2:46" x14ac:dyDescent="0.3">
      <c r="B83" s="672"/>
      <c r="C83" s="675"/>
      <c r="D83" s="3"/>
      <c r="E83" s="8"/>
      <c r="F83" s="459"/>
      <c r="G83" s="460"/>
      <c r="H83" s="459"/>
      <c r="I83" s="460"/>
      <c r="J83" s="459"/>
      <c r="K83" s="460"/>
      <c r="L83" s="459"/>
      <c r="M83" s="460"/>
      <c r="N83" s="459"/>
      <c r="O83" s="460"/>
      <c r="P83" s="459"/>
      <c r="Q83" s="460"/>
      <c r="R83" s="459"/>
      <c r="S83" s="460"/>
      <c r="T83" s="459"/>
      <c r="U83" s="460"/>
      <c r="V83" s="459"/>
      <c r="W83" s="460"/>
      <c r="X83" s="459"/>
      <c r="Y83" s="460"/>
      <c r="Z83" s="459"/>
      <c r="AA83" s="460"/>
      <c r="AB83" s="459"/>
      <c r="AC83" s="460"/>
      <c r="AD83" s="459"/>
      <c r="AE83" s="460"/>
      <c r="AF83" s="459"/>
      <c r="AG83" s="460"/>
      <c r="AH83" s="459"/>
      <c r="AI83" s="460"/>
      <c r="AJ83" s="459"/>
      <c r="AK83" s="460"/>
      <c r="AL83" s="459"/>
      <c r="AM83" s="460"/>
      <c r="AN83" s="459"/>
      <c r="AO83" s="460"/>
      <c r="AP83" s="459"/>
      <c r="AQ83" s="460"/>
      <c r="AR83" s="459"/>
      <c r="AS83" s="460"/>
      <c r="AT83" s="76"/>
    </row>
    <row r="84" spans="2:46" ht="15" thickBot="1" x14ac:dyDescent="0.35">
      <c r="B84" s="673"/>
      <c r="C84" s="676"/>
      <c r="D84" s="85"/>
      <c r="E84" s="86"/>
      <c r="F84" s="494"/>
      <c r="G84" s="495"/>
      <c r="H84" s="494"/>
      <c r="I84" s="495"/>
      <c r="J84" s="494"/>
      <c r="K84" s="495"/>
      <c r="L84" s="494"/>
      <c r="M84" s="495"/>
      <c r="N84" s="494"/>
      <c r="O84" s="495"/>
      <c r="P84" s="494"/>
      <c r="Q84" s="495"/>
      <c r="R84" s="494"/>
      <c r="S84" s="495"/>
      <c r="T84" s="494"/>
      <c r="U84" s="495"/>
      <c r="V84" s="494"/>
      <c r="W84" s="495"/>
      <c r="X84" s="494"/>
      <c r="Y84" s="495"/>
      <c r="Z84" s="494"/>
      <c r="AA84" s="495"/>
      <c r="AB84" s="494"/>
      <c r="AC84" s="495"/>
      <c r="AD84" s="494"/>
      <c r="AE84" s="495"/>
      <c r="AF84" s="494"/>
      <c r="AG84" s="495"/>
      <c r="AH84" s="494"/>
      <c r="AI84" s="495"/>
      <c r="AJ84" s="494"/>
      <c r="AK84" s="495"/>
      <c r="AL84" s="494"/>
      <c r="AM84" s="495"/>
      <c r="AN84" s="494"/>
      <c r="AO84" s="495"/>
      <c r="AP84" s="494"/>
      <c r="AQ84" s="495"/>
      <c r="AR84" s="494"/>
      <c r="AS84" s="495"/>
      <c r="AT84" s="87"/>
    </row>
    <row r="85" spans="2:46" s="48" customFormat="1" ht="26.4" thickTop="1" x14ac:dyDescent="0.5">
      <c r="E85" s="493">
        <v>1</v>
      </c>
      <c r="F85" s="493"/>
      <c r="G85" s="493">
        <v>2</v>
      </c>
      <c r="H85" s="493"/>
      <c r="I85" s="493">
        <v>3</v>
      </c>
      <c r="J85" s="493"/>
      <c r="K85" s="493">
        <v>4</v>
      </c>
      <c r="L85" s="493"/>
      <c r="M85" s="493">
        <v>5</v>
      </c>
      <c r="N85" s="493"/>
      <c r="O85" s="493">
        <v>6</v>
      </c>
      <c r="P85" s="493"/>
      <c r="Q85" s="493">
        <v>7</v>
      </c>
      <c r="R85" s="493"/>
      <c r="S85" s="493">
        <v>8</v>
      </c>
      <c r="T85" s="493"/>
      <c r="U85" s="493">
        <v>9</v>
      </c>
      <c r="V85" s="493"/>
      <c r="W85" s="493">
        <v>10</v>
      </c>
      <c r="X85" s="493"/>
      <c r="Y85" s="493">
        <v>11</v>
      </c>
      <c r="Z85" s="493"/>
      <c r="AA85" s="493">
        <v>12</v>
      </c>
      <c r="AB85" s="493"/>
      <c r="AC85" s="493">
        <v>13</v>
      </c>
      <c r="AD85" s="493"/>
      <c r="AE85" s="493">
        <v>14</v>
      </c>
      <c r="AF85" s="493"/>
      <c r="AG85" s="493">
        <v>15</v>
      </c>
      <c r="AH85" s="493"/>
      <c r="AI85" s="493">
        <v>16</v>
      </c>
      <c r="AJ85" s="493"/>
      <c r="AK85" s="493">
        <v>17</v>
      </c>
      <c r="AL85" s="493"/>
      <c r="AM85" s="493">
        <v>18</v>
      </c>
      <c r="AN85" s="493"/>
      <c r="AO85" s="493">
        <v>19</v>
      </c>
      <c r="AP85" s="493"/>
      <c r="AQ85" s="493">
        <v>20</v>
      </c>
      <c r="AR85" s="493"/>
      <c r="AS85" s="493">
        <v>21</v>
      </c>
      <c r="AT85" s="493"/>
    </row>
    <row r="86" spans="2:46" s="47" customFormat="1" ht="29.4" thickBot="1" x14ac:dyDescent="0.55000000000000004">
      <c r="B86" s="99" t="s">
        <v>91</v>
      </c>
      <c r="C86" s="99"/>
      <c r="D86" s="99"/>
      <c r="E86" s="99"/>
      <c r="F86" s="99"/>
      <c r="G86" s="99"/>
      <c r="H86" s="99" t="s">
        <v>88</v>
      </c>
      <c r="I86" s="99"/>
      <c r="J86" s="99"/>
      <c r="K86" s="99"/>
      <c r="L86" s="99"/>
      <c r="M86" s="99"/>
      <c r="N86" s="99"/>
      <c r="O86" s="99"/>
      <c r="P86" s="99"/>
      <c r="Q86" s="99"/>
      <c r="R86" s="99"/>
      <c r="S86" s="99"/>
      <c r="T86" s="99"/>
      <c r="U86" s="99"/>
      <c r="V86" s="99"/>
      <c r="W86" s="99"/>
      <c r="X86" s="99"/>
      <c r="Y86" s="99"/>
      <c r="Z86" s="99"/>
      <c r="AA86" s="99"/>
      <c r="AB86" s="100" t="s">
        <v>8</v>
      </c>
      <c r="AC86" s="99"/>
      <c r="AD86" s="496" t="s">
        <v>9</v>
      </c>
      <c r="AE86" s="496"/>
      <c r="AF86" s="496"/>
      <c r="AG86" s="496"/>
      <c r="AH86" s="99"/>
      <c r="AI86" s="99"/>
      <c r="AJ86" s="497" t="s">
        <v>10</v>
      </c>
      <c r="AK86" s="497"/>
      <c r="AL86" s="497"/>
      <c r="AM86" s="497"/>
      <c r="AN86" s="99"/>
      <c r="AO86" s="99"/>
      <c r="AP86" s="498" t="s">
        <v>11</v>
      </c>
      <c r="AQ86" s="498"/>
      <c r="AR86" s="498"/>
      <c r="AS86" s="498"/>
    </row>
    <row r="87" spans="2:46" s="48" customFormat="1" ht="25.8" x14ac:dyDescent="0.5"/>
    <row r="88" spans="2:46" s="48" customFormat="1" ht="25.8" x14ac:dyDescent="0.5"/>
    <row r="89" spans="2:46" x14ac:dyDescent="0.3">
      <c r="B89" s="23"/>
    </row>
  </sheetData>
  <mergeCells count="1614">
    <mergeCell ref="C83:C84"/>
    <mergeCell ref="F83:G83"/>
    <mergeCell ref="H83:I83"/>
    <mergeCell ref="J83:K83"/>
    <mergeCell ref="L83:M83"/>
    <mergeCell ref="AL83:AM83"/>
    <mergeCell ref="AN83:AO83"/>
    <mergeCell ref="AP83:AQ83"/>
    <mergeCell ref="AR83:AS83"/>
    <mergeCell ref="AR84:AS84"/>
    <mergeCell ref="AJ84:AK84"/>
    <mergeCell ref="AL84:AM84"/>
    <mergeCell ref="AN84:AO84"/>
    <mergeCell ref="R84:S84"/>
    <mergeCell ref="T84:U84"/>
    <mergeCell ref="V84:W84"/>
    <mergeCell ref="X84:Y84"/>
    <mergeCell ref="Z84:AA84"/>
    <mergeCell ref="AB84:AC84"/>
    <mergeCell ref="F84:G84"/>
    <mergeCell ref="H84:I84"/>
    <mergeCell ref="J84:K84"/>
    <mergeCell ref="L84:M84"/>
    <mergeCell ref="N84:O84"/>
    <mergeCell ref="P84:Q84"/>
    <mergeCell ref="E85:F85"/>
    <mergeCell ref="G85:H85"/>
    <mergeCell ref="I85:J85"/>
    <mergeCell ref="K85:L85"/>
    <mergeCell ref="M85:N85"/>
    <mergeCell ref="O85:P85"/>
    <mergeCell ref="Q85:R85"/>
    <mergeCell ref="S85:T85"/>
    <mergeCell ref="AD84:AE84"/>
    <mergeCell ref="AF84:AG84"/>
    <mergeCell ref="AH84:AI84"/>
    <mergeCell ref="AD86:AG86"/>
    <mergeCell ref="AJ86:AM86"/>
    <mergeCell ref="AP86:AS86"/>
    <mergeCell ref="AG85:AH85"/>
    <mergeCell ref="AI85:AJ85"/>
    <mergeCell ref="AK85:AL85"/>
    <mergeCell ref="AM85:AN85"/>
    <mergeCell ref="AO85:AP85"/>
    <mergeCell ref="AQ85:AR85"/>
    <mergeCell ref="U85:V85"/>
    <mergeCell ref="W85:X85"/>
    <mergeCell ref="Y85:Z85"/>
    <mergeCell ref="AA85:AB85"/>
    <mergeCell ref="AC85:AD85"/>
    <mergeCell ref="AE85:AF85"/>
    <mergeCell ref="AP84:AQ84"/>
    <mergeCell ref="AS85:AT85"/>
    <mergeCell ref="X81:Y81"/>
    <mergeCell ref="Z81:AA81"/>
    <mergeCell ref="AB81:AC81"/>
    <mergeCell ref="AD81:AE81"/>
    <mergeCell ref="Z83:AA83"/>
    <mergeCell ref="AB83:AC83"/>
    <mergeCell ref="AD83:AE83"/>
    <mergeCell ref="AF83:AG83"/>
    <mergeCell ref="AH83:AI83"/>
    <mergeCell ref="AJ83:AK83"/>
    <mergeCell ref="N83:O83"/>
    <mergeCell ref="P83:Q83"/>
    <mergeCell ref="R83:S83"/>
    <mergeCell ref="T83:U83"/>
    <mergeCell ref="V83:W83"/>
    <mergeCell ref="X83:Y83"/>
    <mergeCell ref="X82:Y82"/>
    <mergeCell ref="Z82:AA82"/>
    <mergeCell ref="AB82:AC82"/>
    <mergeCell ref="AD82:AE82"/>
    <mergeCell ref="AF82:AG82"/>
    <mergeCell ref="AH82:AI82"/>
    <mergeCell ref="X80:Y80"/>
    <mergeCell ref="Z80:AA80"/>
    <mergeCell ref="AR82:AS82"/>
    <mergeCell ref="AB80:AC80"/>
    <mergeCell ref="AJ82:AK82"/>
    <mergeCell ref="AL82:AM82"/>
    <mergeCell ref="AN82:AO82"/>
    <mergeCell ref="AP82:AQ82"/>
    <mergeCell ref="F80:G80"/>
    <mergeCell ref="H80:I80"/>
    <mergeCell ref="J80:K80"/>
    <mergeCell ref="L80:M80"/>
    <mergeCell ref="N80:O80"/>
    <mergeCell ref="P80:Q80"/>
    <mergeCell ref="AR81:AS81"/>
    <mergeCell ref="F82:G82"/>
    <mergeCell ref="H82:I82"/>
    <mergeCell ref="J82:K82"/>
    <mergeCell ref="L82:M82"/>
    <mergeCell ref="N82:O82"/>
    <mergeCell ref="P82:Q82"/>
    <mergeCell ref="R82:S82"/>
    <mergeCell ref="T82:U82"/>
    <mergeCell ref="V82:W82"/>
    <mergeCell ref="AF81:AG81"/>
    <mergeCell ref="AH81:AI81"/>
    <mergeCell ref="AJ81:AK81"/>
    <mergeCell ref="AL81:AM81"/>
    <mergeCell ref="AN81:AO81"/>
    <mergeCell ref="AP81:AQ81"/>
    <mergeCell ref="T81:U81"/>
    <mergeCell ref="V81:W81"/>
    <mergeCell ref="AP78:AQ78"/>
    <mergeCell ref="AR77:AS77"/>
    <mergeCell ref="C79:C80"/>
    <mergeCell ref="F79:G79"/>
    <mergeCell ref="H79:I79"/>
    <mergeCell ref="J79:K79"/>
    <mergeCell ref="L79:M79"/>
    <mergeCell ref="X78:Y78"/>
    <mergeCell ref="Z78:AA78"/>
    <mergeCell ref="AB78:AC78"/>
    <mergeCell ref="AD78:AE78"/>
    <mergeCell ref="AF78:AG78"/>
    <mergeCell ref="AH78:AI78"/>
    <mergeCell ref="AP80:AQ80"/>
    <mergeCell ref="AR80:AS80"/>
    <mergeCell ref="C81:C82"/>
    <mergeCell ref="F81:G81"/>
    <mergeCell ref="H81:I81"/>
    <mergeCell ref="J81:K81"/>
    <mergeCell ref="L81:M81"/>
    <mergeCell ref="N81:O81"/>
    <mergeCell ref="P81:Q81"/>
    <mergeCell ref="R81:S81"/>
    <mergeCell ref="AD80:AE80"/>
    <mergeCell ref="AF80:AG80"/>
    <mergeCell ref="AH80:AI80"/>
    <mergeCell ref="AJ80:AK80"/>
    <mergeCell ref="AL80:AM80"/>
    <mergeCell ref="AN80:AO80"/>
    <mergeCell ref="R80:S80"/>
    <mergeCell ref="T80:U80"/>
    <mergeCell ref="V80:W80"/>
    <mergeCell ref="AP77:AQ77"/>
    <mergeCell ref="C77:C78"/>
    <mergeCell ref="F77:G77"/>
    <mergeCell ref="H77:I77"/>
    <mergeCell ref="J77:K77"/>
    <mergeCell ref="L77:M77"/>
    <mergeCell ref="N77:O77"/>
    <mergeCell ref="P77:Q77"/>
    <mergeCell ref="R77:S77"/>
    <mergeCell ref="AL79:AM79"/>
    <mergeCell ref="AN79:AO79"/>
    <mergeCell ref="AP79:AQ79"/>
    <mergeCell ref="AR79:AS79"/>
    <mergeCell ref="T77:U77"/>
    <mergeCell ref="V77:W77"/>
    <mergeCell ref="X77:Y77"/>
    <mergeCell ref="Z77:AA77"/>
    <mergeCell ref="AB77:AC77"/>
    <mergeCell ref="AD77:AE77"/>
    <mergeCell ref="Z79:AA79"/>
    <mergeCell ref="AB79:AC79"/>
    <mergeCell ref="AD79:AE79"/>
    <mergeCell ref="AF79:AG79"/>
    <mergeCell ref="AH79:AI79"/>
    <mergeCell ref="AJ79:AK79"/>
    <mergeCell ref="N79:O79"/>
    <mergeCell ref="P79:Q79"/>
    <mergeCell ref="R79:S79"/>
    <mergeCell ref="T79:U79"/>
    <mergeCell ref="V79:W79"/>
    <mergeCell ref="X79:Y79"/>
    <mergeCell ref="AR78:AS78"/>
    <mergeCell ref="Z76:AA76"/>
    <mergeCell ref="AB76:AC76"/>
    <mergeCell ref="AJ78:AK78"/>
    <mergeCell ref="AL78:AM78"/>
    <mergeCell ref="AN78:AO78"/>
    <mergeCell ref="AL75:AM75"/>
    <mergeCell ref="AN75:AO75"/>
    <mergeCell ref="F78:G78"/>
    <mergeCell ref="H78:I78"/>
    <mergeCell ref="J78:K78"/>
    <mergeCell ref="L78:M78"/>
    <mergeCell ref="N78:O78"/>
    <mergeCell ref="P78:Q78"/>
    <mergeCell ref="R78:S78"/>
    <mergeCell ref="T78:U78"/>
    <mergeCell ref="V78:W78"/>
    <mergeCell ref="AF77:AG77"/>
    <mergeCell ref="AH77:AI77"/>
    <mergeCell ref="AJ77:AK77"/>
    <mergeCell ref="AL77:AM77"/>
    <mergeCell ref="AN77:AO77"/>
    <mergeCell ref="AP75:AQ75"/>
    <mergeCell ref="AR75:AS75"/>
    <mergeCell ref="F76:G76"/>
    <mergeCell ref="H76:I76"/>
    <mergeCell ref="J76:K76"/>
    <mergeCell ref="L76:M76"/>
    <mergeCell ref="N76:O76"/>
    <mergeCell ref="P76:Q76"/>
    <mergeCell ref="Z75:AA75"/>
    <mergeCell ref="AB75:AC75"/>
    <mergeCell ref="AD75:AE75"/>
    <mergeCell ref="AF75:AG75"/>
    <mergeCell ref="AH75:AI75"/>
    <mergeCell ref="AJ75:AK75"/>
    <mergeCell ref="N75:O75"/>
    <mergeCell ref="P75:Q75"/>
    <mergeCell ref="R75:S75"/>
    <mergeCell ref="T75:U75"/>
    <mergeCell ref="V75:W75"/>
    <mergeCell ref="X75:Y75"/>
    <mergeCell ref="AP76:AQ76"/>
    <mergeCell ref="AR76:AS76"/>
    <mergeCell ref="AD76:AE76"/>
    <mergeCell ref="AF76:AG76"/>
    <mergeCell ref="AH76:AI76"/>
    <mergeCell ref="AJ76:AK76"/>
    <mergeCell ref="AL76:AM76"/>
    <mergeCell ref="AN76:AO76"/>
    <mergeCell ref="R76:S76"/>
    <mergeCell ref="T76:U76"/>
    <mergeCell ref="V76:W76"/>
    <mergeCell ref="X76:Y76"/>
    <mergeCell ref="AJ74:AK74"/>
    <mergeCell ref="AL74:AM74"/>
    <mergeCell ref="AN74:AO74"/>
    <mergeCell ref="AP74:AQ74"/>
    <mergeCell ref="AR74:AS74"/>
    <mergeCell ref="C75:C76"/>
    <mergeCell ref="F75:G75"/>
    <mergeCell ref="H75:I75"/>
    <mergeCell ref="J75:K75"/>
    <mergeCell ref="L75:M75"/>
    <mergeCell ref="X74:Y74"/>
    <mergeCell ref="Z74:AA74"/>
    <mergeCell ref="AB74:AC74"/>
    <mergeCell ref="AD74:AE74"/>
    <mergeCell ref="AF74:AG74"/>
    <mergeCell ref="AH74:AI74"/>
    <mergeCell ref="AR73:AS73"/>
    <mergeCell ref="F74:G74"/>
    <mergeCell ref="H74:I74"/>
    <mergeCell ref="J74:K74"/>
    <mergeCell ref="L74:M74"/>
    <mergeCell ref="N74:O74"/>
    <mergeCell ref="P74:Q74"/>
    <mergeCell ref="R74:S74"/>
    <mergeCell ref="T74:U74"/>
    <mergeCell ref="V74:W74"/>
    <mergeCell ref="AF73:AG73"/>
    <mergeCell ref="AH73:AI73"/>
    <mergeCell ref="AJ73:AK73"/>
    <mergeCell ref="AL73:AM73"/>
    <mergeCell ref="AN73:AO73"/>
    <mergeCell ref="AP73:AQ73"/>
    <mergeCell ref="T73:U73"/>
    <mergeCell ref="V73:W73"/>
    <mergeCell ref="X73:Y73"/>
    <mergeCell ref="Z73:AA73"/>
    <mergeCell ref="AB73:AC73"/>
    <mergeCell ref="AD73:AE73"/>
    <mergeCell ref="AP72:AQ72"/>
    <mergeCell ref="AR72:AS72"/>
    <mergeCell ref="C73:C74"/>
    <mergeCell ref="F73:G73"/>
    <mergeCell ref="H73:I73"/>
    <mergeCell ref="J73:K73"/>
    <mergeCell ref="L73:M73"/>
    <mergeCell ref="N73:O73"/>
    <mergeCell ref="P73:Q73"/>
    <mergeCell ref="R73:S73"/>
    <mergeCell ref="AD72:AE72"/>
    <mergeCell ref="AF72:AG72"/>
    <mergeCell ref="AH72:AI72"/>
    <mergeCell ref="AJ72:AK72"/>
    <mergeCell ref="AL72:AM72"/>
    <mergeCell ref="AN72:AO72"/>
    <mergeCell ref="R72:S72"/>
    <mergeCell ref="T72:U72"/>
    <mergeCell ref="V72:W72"/>
    <mergeCell ref="X72:Y72"/>
    <mergeCell ref="Z72:AA72"/>
    <mergeCell ref="AB72:AC72"/>
    <mergeCell ref="F72:G72"/>
    <mergeCell ref="H72:I72"/>
    <mergeCell ref="J72:K72"/>
    <mergeCell ref="L72:M72"/>
    <mergeCell ref="N72:O72"/>
    <mergeCell ref="P72:Q72"/>
    <mergeCell ref="AH71:AI71"/>
    <mergeCell ref="AJ71:AK71"/>
    <mergeCell ref="AL71:AM71"/>
    <mergeCell ref="AN71:AO71"/>
    <mergeCell ref="AP71:AQ71"/>
    <mergeCell ref="AR71:AS71"/>
    <mergeCell ref="V71:W71"/>
    <mergeCell ref="X71:Y71"/>
    <mergeCell ref="Z71:AA71"/>
    <mergeCell ref="AB71:AC71"/>
    <mergeCell ref="AD71:AE71"/>
    <mergeCell ref="AF71:AG71"/>
    <mergeCell ref="AP70:AQ70"/>
    <mergeCell ref="AR70:AS70"/>
    <mergeCell ref="F71:G71"/>
    <mergeCell ref="H71:I71"/>
    <mergeCell ref="J71:K71"/>
    <mergeCell ref="L71:M71"/>
    <mergeCell ref="N71:O71"/>
    <mergeCell ref="P71:Q71"/>
    <mergeCell ref="R71:S71"/>
    <mergeCell ref="T71:U71"/>
    <mergeCell ref="AD70:AE70"/>
    <mergeCell ref="AF70:AG70"/>
    <mergeCell ref="AH70:AI70"/>
    <mergeCell ref="AJ70:AK70"/>
    <mergeCell ref="AL70:AM70"/>
    <mergeCell ref="AN70:AO70"/>
    <mergeCell ref="R70:S70"/>
    <mergeCell ref="T70:U70"/>
    <mergeCell ref="AL69:AM69"/>
    <mergeCell ref="AN69:AO69"/>
    <mergeCell ref="AP69:AQ69"/>
    <mergeCell ref="AR69:AS69"/>
    <mergeCell ref="F70:G70"/>
    <mergeCell ref="H70:I70"/>
    <mergeCell ref="J70:K70"/>
    <mergeCell ref="L70:M70"/>
    <mergeCell ref="N70:O70"/>
    <mergeCell ref="P70:Q70"/>
    <mergeCell ref="Z69:AA69"/>
    <mergeCell ref="AB69:AC69"/>
    <mergeCell ref="AD69:AE69"/>
    <mergeCell ref="AF69:AG69"/>
    <mergeCell ref="AH69:AI69"/>
    <mergeCell ref="AJ69:AK69"/>
    <mergeCell ref="N69:O69"/>
    <mergeCell ref="P69:Q69"/>
    <mergeCell ref="R69:S69"/>
    <mergeCell ref="T69:U69"/>
    <mergeCell ref="V69:W69"/>
    <mergeCell ref="X69:Y69"/>
    <mergeCell ref="AR68:AS68"/>
    <mergeCell ref="C69:C72"/>
    <mergeCell ref="F69:G69"/>
    <mergeCell ref="H69:I69"/>
    <mergeCell ref="J69:K69"/>
    <mergeCell ref="L69:M69"/>
    <mergeCell ref="X68:Y68"/>
    <mergeCell ref="Z68:AA68"/>
    <mergeCell ref="AB68:AC68"/>
    <mergeCell ref="AD68:AE68"/>
    <mergeCell ref="AF68:AG68"/>
    <mergeCell ref="AH68:AI68"/>
    <mergeCell ref="AR67:AS67"/>
    <mergeCell ref="F68:G68"/>
    <mergeCell ref="H68:I68"/>
    <mergeCell ref="J68:K68"/>
    <mergeCell ref="L68:M68"/>
    <mergeCell ref="N68:O68"/>
    <mergeCell ref="P68:Q68"/>
    <mergeCell ref="R68:S68"/>
    <mergeCell ref="T68:U68"/>
    <mergeCell ref="V68:W68"/>
    <mergeCell ref="AF67:AG67"/>
    <mergeCell ref="AH67:AI67"/>
    <mergeCell ref="AJ67:AK67"/>
    <mergeCell ref="AL67:AM67"/>
    <mergeCell ref="AN67:AO67"/>
    <mergeCell ref="AP67:AQ67"/>
    <mergeCell ref="V70:W70"/>
    <mergeCell ref="X70:Y70"/>
    <mergeCell ref="Z70:AA70"/>
    <mergeCell ref="AB70:AC70"/>
    <mergeCell ref="T67:U67"/>
    <mergeCell ref="V67:W67"/>
    <mergeCell ref="X67:Y67"/>
    <mergeCell ref="Z67:AA67"/>
    <mergeCell ref="AB67:AC67"/>
    <mergeCell ref="AD67:AE67"/>
    <mergeCell ref="AP66:AQ66"/>
    <mergeCell ref="AR66:AS66"/>
    <mergeCell ref="C67:C68"/>
    <mergeCell ref="F67:G67"/>
    <mergeCell ref="H67:I67"/>
    <mergeCell ref="J67:K67"/>
    <mergeCell ref="L67:M67"/>
    <mergeCell ref="N67:O67"/>
    <mergeCell ref="P67:Q67"/>
    <mergeCell ref="R67:S67"/>
    <mergeCell ref="AD66:AE66"/>
    <mergeCell ref="AF66:AG66"/>
    <mergeCell ref="AH66:AI66"/>
    <mergeCell ref="AJ66:AK66"/>
    <mergeCell ref="AL66:AM66"/>
    <mergeCell ref="AN66:AO66"/>
    <mergeCell ref="R66:S66"/>
    <mergeCell ref="T66:U66"/>
    <mergeCell ref="V66:W66"/>
    <mergeCell ref="X66:Y66"/>
    <mergeCell ref="Z66:AA66"/>
    <mergeCell ref="AB66:AC66"/>
    <mergeCell ref="AJ68:AK68"/>
    <mergeCell ref="AL68:AM68"/>
    <mergeCell ref="AN68:AO68"/>
    <mergeCell ref="AP68:AQ68"/>
    <mergeCell ref="F66:G66"/>
    <mergeCell ref="H66:I66"/>
    <mergeCell ref="J66:K66"/>
    <mergeCell ref="L66:M66"/>
    <mergeCell ref="N66:O66"/>
    <mergeCell ref="P66:Q66"/>
    <mergeCell ref="Z65:AA65"/>
    <mergeCell ref="AB65:AC65"/>
    <mergeCell ref="AD65:AE65"/>
    <mergeCell ref="AF65:AG65"/>
    <mergeCell ref="AH65:AI65"/>
    <mergeCell ref="AJ65:AK65"/>
    <mergeCell ref="N65:O65"/>
    <mergeCell ref="P65:Q65"/>
    <mergeCell ref="R65:S65"/>
    <mergeCell ref="T65:U65"/>
    <mergeCell ref="V65:W65"/>
    <mergeCell ref="X65:Y65"/>
    <mergeCell ref="AR64:AS64"/>
    <mergeCell ref="C65:C66"/>
    <mergeCell ref="F65:G65"/>
    <mergeCell ref="H65:I65"/>
    <mergeCell ref="J65:K65"/>
    <mergeCell ref="L65:M65"/>
    <mergeCell ref="X64:Y64"/>
    <mergeCell ref="Z64:AA64"/>
    <mergeCell ref="AB64:AC64"/>
    <mergeCell ref="AD64:AE64"/>
    <mergeCell ref="AF64:AG64"/>
    <mergeCell ref="AH64:AI64"/>
    <mergeCell ref="AR63:AS63"/>
    <mergeCell ref="F64:G64"/>
    <mergeCell ref="H64:I64"/>
    <mergeCell ref="J64:K64"/>
    <mergeCell ref="L64:M64"/>
    <mergeCell ref="N64:O64"/>
    <mergeCell ref="P64:Q64"/>
    <mergeCell ref="R64:S64"/>
    <mergeCell ref="T64:U64"/>
    <mergeCell ref="V64:W64"/>
    <mergeCell ref="AF63:AG63"/>
    <mergeCell ref="AH63:AI63"/>
    <mergeCell ref="AJ63:AK63"/>
    <mergeCell ref="AL63:AM63"/>
    <mergeCell ref="AN63:AO63"/>
    <mergeCell ref="AP63:AQ63"/>
    <mergeCell ref="AL65:AM65"/>
    <mergeCell ref="AN65:AO65"/>
    <mergeCell ref="AP65:AQ65"/>
    <mergeCell ref="AR65:AS65"/>
    <mergeCell ref="T63:U63"/>
    <mergeCell ref="V63:W63"/>
    <mergeCell ref="X63:Y63"/>
    <mergeCell ref="Z63:AA63"/>
    <mergeCell ref="AB63:AC63"/>
    <mergeCell ref="AD63:AE63"/>
    <mergeCell ref="AP62:AQ62"/>
    <mergeCell ref="AR62:AS62"/>
    <mergeCell ref="C63:C64"/>
    <mergeCell ref="F63:G63"/>
    <mergeCell ref="H63:I63"/>
    <mergeCell ref="J63:K63"/>
    <mergeCell ref="L63:M63"/>
    <mergeCell ref="N63:O63"/>
    <mergeCell ref="P63:Q63"/>
    <mergeCell ref="R63:S63"/>
    <mergeCell ref="AD62:AE62"/>
    <mergeCell ref="AF62:AG62"/>
    <mergeCell ref="AH62:AI62"/>
    <mergeCell ref="AJ62:AK62"/>
    <mergeCell ref="AL62:AM62"/>
    <mergeCell ref="AN62:AO62"/>
    <mergeCell ref="R62:S62"/>
    <mergeCell ref="T62:U62"/>
    <mergeCell ref="V62:W62"/>
    <mergeCell ref="X62:Y62"/>
    <mergeCell ref="Z62:AA62"/>
    <mergeCell ref="AB62:AC62"/>
    <mergeCell ref="AJ64:AK64"/>
    <mergeCell ref="AL64:AM64"/>
    <mergeCell ref="AN64:AO64"/>
    <mergeCell ref="AP64:AQ64"/>
    <mergeCell ref="F62:G62"/>
    <mergeCell ref="H62:I62"/>
    <mergeCell ref="J62:K62"/>
    <mergeCell ref="L62:M62"/>
    <mergeCell ref="N62:O62"/>
    <mergeCell ref="P62:Q62"/>
    <mergeCell ref="Z61:AA61"/>
    <mergeCell ref="AB61:AC61"/>
    <mergeCell ref="AD61:AE61"/>
    <mergeCell ref="AF61:AG61"/>
    <mergeCell ref="AH61:AI61"/>
    <mergeCell ref="AJ61:AK61"/>
    <mergeCell ref="N61:O61"/>
    <mergeCell ref="P61:Q61"/>
    <mergeCell ref="R61:S61"/>
    <mergeCell ref="T61:U61"/>
    <mergeCell ref="V61:W61"/>
    <mergeCell ref="X61:Y61"/>
    <mergeCell ref="AR60:AS60"/>
    <mergeCell ref="C61:C62"/>
    <mergeCell ref="F61:G61"/>
    <mergeCell ref="H61:I61"/>
    <mergeCell ref="J61:K61"/>
    <mergeCell ref="L61:M61"/>
    <mergeCell ref="X60:Y60"/>
    <mergeCell ref="Z60:AA60"/>
    <mergeCell ref="AB60:AC60"/>
    <mergeCell ref="AD60:AE60"/>
    <mergeCell ref="AF60:AG60"/>
    <mergeCell ref="AH60:AI60"/>
    <mergeCell ref="AR59:AS59"/>
    <mergeCell ref="F60:G60"/>
    <mergeCell ref="H60:I60"/>
    <mergeCell ref="J60:K60"/>
    <mergeCell ref="L60:M60"/>
    <mergeCell ref="N60:O60"/>
    <mergeCell ref="P60:Q60"/>
    <mergeCell ref="R60:S60"/>
    <mergeCell ref="T60:U60"/>
    <mergeCell ref="V60:W60"/>
    <mergeCell ref="AF59:AG59"/>
    <mergeCell ref="AH59:AI59"/>
    <mergeCell ref="AJ59:AK59"/>
    <mergeCell ref="AL59:AM59"/>
    <mergeCell ref="AN59:AO59"/>
    <mergeCell ref="AP59:AQ59"/>
    <mergeCell ref="AL61:AM61"/>
    <mergeCell ref="AN61:AO61"/>
    <mergeCell ref="AP61:AQ61"/>
    <mergeCell ref="AR61:AS61"/>
    <mergeCell ref="T59:U59"/>
    <mergeCell ref="V59:W59"/>
    <mergeCell ref="X59:Y59"/>
    <mergeCell ref="Z59:AA59"/>
    <mergeCell ref="AB59:AC59"/>
    <mergeCell ref="AD59:AE59"/>
    <mergeCell ref="AP58:AQ58"/>
    <mergeCell ref="AR58:AS58"/>
    <mergeCell ref="C59:C60"/>
    <mergeCell ref="F59:G59"/>
    <mergeCell ref="H59:I59"/>
    <mergeCell ref="J59:K59"/>
    <mergeCell ref="L59:M59"/>
    <mergeCell ref="N59:O59"/>
    <mergeCell ref="P59:Q59"/>
    <mergeCell ref="R59:S59"/>
    <mergeCell ref="AD58:AE58"/>
    <mergeCell ref="AF58:AG58"/>
    <mergeCell ref="AH58:AI58"/>
    <mergeCell ref="AJ58:AK58"/>
    <mergeCell ref="AL58:AM58"/>
    <mergeCell ref="AN58:AO58"/>
    <mergeCell ref="R58:S58"/>
    <mergeCell ref="T58:U58"/>
    <mergeCell ref="V58:W58"/>
    <mergeCell ref="X58:Y58"/>
    <mergeCell ref="Z58:AA58"/>
    <mergeCell ref="AB58:AC58"/>
    <mergeCell ref="AJ60:AK60"/>
    <mergeCell ref="AL60:AM60"/>
    <mergeCell ref="AN60:AO60"/>
    <mergeCell ref="AP60:AQ60"/>
    <mergeCell ref="AL57:AM57"/>
    <mergeCell ref="AN57:AO57"/>
    <mergeCell ref="AP57:AQ57"/>
    <mergeCell ref="AR57:AS57"/>
    <mergeCell ref="F58:G58"/>
    <mergeCell ref="H58:I58"/>
    <mergeCell ref="J58:K58"/>
    <mergeCell ref="L58:M58"/>
    <mergeCell ref="N58:O58"/>
    <mergeCell ref="P58:Q58"/>
    <mergeCell ref="Z57:AA57"/>
    <mergeCell ref="AB57:AC57"/>
    <mergeCell ref="AD57:AE57"/>
    <mergeCell ref="AF57:AG57"/>
    <mergeCell ref="AH57:AI57"/>
    <mergeCell ref="AJ57:AK57"/>
    <mergeCell ref="N57:O57"/>
    <mergeCell ref="P57:Q57"/>
    <mergeCell ref="R57:S57"/>
    <mergeCell ref="T57:U57"/>
    <mergeCell ref="V57:W57"/>
    <mergeCell ref="X57:Y57"/>
    <mergeCell ref="AJ56:AK56"/>
    <mergeCell ref="AL56:AM56"/>
    <mergeCell ref="AN56:AO56"/>
    <mergeCell ref="AP56:AQ56"/>
    <mergeCell ref="AR56:AS56"/>
    <mergeCell ref="C57:C58"/>
    <mergeCell ref="F57:G57"/>
    <mergeCell ref="H57:I57"/>
    <mergeCell ref="J57:K57"/>
    <mergeCell ref="L57:M57"/>
    <mergeCell ref="X56:Y56"/>
    <mergeCell ref="Z56:AA56"/>
    <mergeCell ref="AB56:AC56"/>
    <mergeCell ref="AD56:AE56"/>
    <mergeCell ref="AF56:AG56"/>
    <mergeCell ref="AH56:AI56"/>
    <mergeCell ref="AR55:AS55"/>
    <mergeCell ref="F56:G56"/>
    <mergeCell ref="H56:I56"/>
    <mergeCell ref="J56:K56"/>
    <mergeCell ref="L56:M56"/>
    <mergeCell ref="N56:O56"/>
    <mergeCell ref="P56:Q56"/>
    <mergeCell ref="R56:S56"/>
    <mergeCell ref="T56:U56"/>
    <mergeCell ref="V56:W56"/>
    <mergeCell ref="AF55:AG55"/>
    <mergeCell ref="AH55:AI55"/>
    <mergeCell ref="AJ55:AK55"/>
    <mergeCell ref="AL55:AM55"/>
    <mergeCell ref="AN55:AO55"/>
    <mergeCell ref="AP55:AQ55"/>
    <mergeCell ref="T55:U55"/>
    <mergeCell ref="V55:W55"/>
    <mergeCell ref="X55:Y55"/>
    <mergeCell ref="Z55:AA55"/>
    <mergeCell ref="AB55:AC55"/>
    <mergeCell ref="AD55:AE55"/>
    <mergeCell ref="AP54:AQ54"/>
    <mergeCell ref="AR54:AS54"/>
    <mergeCell ref="C55:C56"/>
    <mergeCell ref="F55:G55"/>
    <mergeCell ref="H55:I55"/>
    <mergeCell ref="J55:K55"/>
    <mergeCell ref="L55:M55"/>
    <mergeCell ref="N55:O55"/>
    <mergeCell ref="P55:Q55"/>
    <mergeCell ref="R55:S55"/>
    <mergeCell ref="AD54:AE54"/>
    <mergeCell ref="AF54:AG54"/>
    <mergeCell ref="AH54:AI54"/>
    <mergeCell ref="AJ54:AK54"/>
    <mergeCell ref="AL54:AM54"/>
    <mergeCell ref="AN54:AO54"/>
    <mergeCell ref="R54:S54"/>
    <mergeCell ref="T54:U54"/>
    <mergeCell ref="V54:W54"/>
    <mergeCell ref="X54:Y54"/>
    <mergeCell ref="Z54:AA54"/>
    <mergeCell ref="AB54:AC54"/>
    <mergeCell ref="F54:G54"/>
    <mergeCell ref="H54:I54"/>
    <mergeCell ref="J54:K54"/>
    <mergeCell ref="L54:M54"/>
    <mergeCell ref="Z53:AA53"/>
    <mergeCell ref="AB53:AC53"/>
    <mergeCell ref="AD53:AE53"/>
    <mergeCell ref="AF53:AG53"/>
    <mergeCell ref="AP52:AQ52"/>
    <mergeCell ref="AR52:AS52"/>
    <mergeCell ref="F53:G53"/>
    <mergeCell ref="H53:I53"/>
    <mergeCell ref="J53:K53"/>
    <mergeCell ref="L53:M53"/>
    <mergeCell ref="N53:O53"/>
    <mergeCell ref="P53:Q53"/>
    <mergeCell ref="R53:S53"/>
    <mergeCell ref="T53:U53"/>
    <mergeCell ref="AD52:AE52"/>
    <mergeCell ref="AF52:AG52"/>
    <mergeCell ref="AH52:AI52"/>
    <mergeCell ref="AJ52:AK52"/>
    <mergeCell ref="AL52:AM52"/>
    <mergeCell ref="AN52:AO52"/>
    <mergeCell ref="R52:S52"/>
    <mergeCell ref="T52:U52"/>
    <mergeCell ref="V52:W52"/>
    <mergeCell ref="X52:Y52"/>
    <mergeCell ref="Z52:AA52"/>
    <mergeCell ref="AB52:AC52"/>
    <mergeCell ref="AN51:AO51"/>
    <mergeCell ref="AP51:AQ51"/>
    <mergeCell ref="AR51:AS51"/>
    <mergeCell ref="B52:B84"/>
    <mergeCell ref="F52:G52"/>
    <mergeCell ref="H52:I52"/>
    <mergeCell ref="J52:K52"/>
    <mergeCell ref="L52:M52"/>
    <mergeCell ref="N52:O52"/>
    <mergeCell ref="P52:Q52"/>
    <mergeCell ref="AB51:AC51"/>
    <mergeCell ref="AD51:AE51"/>
    <mergeCell ref="AF51:AG51"/>
    <mergeCell ref="AH51:AI51"/>
    <mergeCell ref="AJ51:AK51"/>
    <mergeCell ref="AL51:AM51"/>
    <mergeCell ref="P51:Q51"/>
    <mergeCell ref="R51:S51"/>
    <mergeCell ref="T51:U51"/>
    <mergeCell ref="V51:W51"/>
    <mergeCell ref="X51:Y51"/>
    <mergeCell ref="Z51:AA51"/>
    <mergeCell ref="N54:O54"/>
    <mergeCell ref="P54:Q54"/>
    <mergeCell ref="AH53:AI53"/>
    <mergeCell ref="AJ53:AK53"/>
    <mergeCell ref="AL53:AM53"/>
    <mergeCell ref="AN53:AO53"/>
    <mergeCell ref="AP53:AQ53"/>
    <mergeCell ref="AR53:AS53"/>
    <mergeCell ref="V53:W53"/>
    <mergeCell ref="X53:Y53"/>
    <mergeCell ref="AR50:AS50"/>
    <mergeCell ref="F51:G51"/>
    <mergeCell ref="H51:I51"/>
    <mergeCell ref="J51:K51"/>
    <mergeCell ref="L51:M51"/>
    <mergeCell ref="N51:O51"/>
    <mergeCell ref="X50:Y50"/>
    <mergeCell ref="Z50:AA50"/>
    <mergeCell ref="AB50:AC50"/>
    <mergeCell ref="AD50:AE50"/>
    <mergeCell ref="AF50:AG50"/>
    <mergeCell ref="AH50:AI50"/>
    <mergeCell ref="AT49:AT50"/>
    <mergeCell ref="F50:G50"/>
    <mergeCell ref="H50:I50"/>
    <mergeCell ref="J50:K50"/>
    <mergeCell ref="L50:M50"/>
    <mergeCell ref="N50:O50"/>
    <mergeCell ref="P50:Q50"/>
    <mergeCell ref="R50:S50"/>
    <mergeCell ref="T50:U50"/>
    <mergeCell ref="V50:W50"/>
    <mergeCell ref="AH49:AI49"/>
    <mergeCell ref="AJ49:AK49"/>
    <mergeCell ref="AL49:AM49"/>
    <mergeCell ref="AN49:AO49"/>
    <mergeCell ref="AP49:AQ49"/>
    <mergeCell ref="AR49:AS49"/>
    <mergeCell ref="V49:W49"/>
    <mergeCell ref="X49:Y49"/>
    <mergeCell ref="Z49:AA49"/>
    <mergeCell ref="AB49:AC49"/>
    <mergeCell ref="AD49:AE49"/>
    <mergeCell ref="AF49:AG49"/>
    <mergeCell ref="AR48:AS48"/>
    <mergeCell ref="C49:C50"/>
    <mergeCell ref="F49:G49"/>
    <mergeCell ref="H49:I49"/>
    <mergeCell ref="J49:K49"/>
    <mergeCell ref="L49:M49"/>
    <mergeCell ref="N49:O49"/>
    <mergeCell ref="P49:Q49"/>
    <mergeCell ref="R49:S49"/>
    <mergeCell ref="T49:U49"/>
    <mergeCell ref="AF48:AG48"/>
    <mergeCell ref="AH48:AI48"/>
    <mergeCell ref="AJ48:AK48"/>
    <mergeCell ref="AL48:AM48"/>
    <mergeCell ref="AN48:AO48"/>
    <mergeCell ref="AP48:AQ48"/>
    <mergeCell ref="T48:U48"/>
    <mergeCell ref="V48:W48"/>
    <mergeCell ref="X48:Y48"/>
    <mergeCell ref="Z48:AA48"/>
    <mergeCell ref="AB48:AC48"/>
    <mergeCell ref="AD48:AE48"/>
    <mergeCell ref="AJ50:AK50"/>
    <mergeCell ref="AL50:AM50"/>
    <mergeCell ref="AN50:AO50"/>
    <mergeCell ref="AP50:AQ50"/>
    <mergeCell ref="F48:G48"/>
    <mergeCell ref="H48:I48"/>
    <mergeCell ref="J48:K48"/>
    <mergeCell ref="L48:M48"/>
    <mergeCell ref="N48:O48"/>
    <mergeCell ref="P48:Q48"/>
    <mergeCell ref="R48:S48"/>
    <mergeCell ref="AB47:AC47"/>
    <mergeCell ref="AD47:AE47"/>
    <mergeCell ref="AF47:AG47"/>
    <mergeCell ref="AH47:AI47"/>
    <mergeCell ref="AJ47:AK47"/>
    <mergeCell ref="AL47:AM47"/>
    <mergeCell ref="P47:Q47"/>
    <mergeCell ref="R47:S47"/>
    <mergeCell ref="T47:U47"/>
    <mergeCell ref="V47:W47"/>
    <mergeCell ref="X47:Y47"/>
    <mergeCell ref="Z47:AA47"/>
    <mergeCell ref="AR46:AS46"/>
    <mergeCell ref="N47:O47"/>
    <mergeCell ref="X46:Y46"/>
    <mergeCell ref="Z46:AA46"/>
    <mergeCell ref="AB46:AC46"/>
    <mergeCell ref="AD46:AE46"/>
    <mergeCell ref="AF46:AG46"/>
    <mergeCell ref="AH46:AI46"/>
    <mergeCell ref="AP46:AQ46"/>
    <mergeCell ref="AR45:AS45"/>
    <mergeCell ref="F46:G46"/>
    <mergeCell ref="H46:I46"/>
    <mergeCell ref="J46:K46"/>
    <mergeCell ref="L46:M46"/>
    <mergeCell ref="N46:O46"/>
    <mergeCell ref="P46:Q46"/>
    <mergeCell ref="R46:S46"/>
    <mergeCell ref="T46:U46"/>
    <mergeCell ref="V46:W46"/>
    <mergeCell ref="AF45:AG45"/>
    <mergeCell ref="AH45:AI45"/>
    <mergeCell ref="AJ45:AK45"/>
    <mergeCell ref="AL45:AM45"/>
    <mergeCell ref="AN45:AO45"/>
    <mergeCell ref="AP45:AQ45"/>
    <mergeCell ref="C45:C48"/>
    <mergeCell ref="F45:G45"/>
    <mergeCell ref="H45:I45"/>
    <mergeCell ref="J45:K45"/>
    <mergeCell ref="L45:M45"/>
    <mergeCell ref="N45:O45"/>
    <mergeCell ref="P45:Q45"/>
    <mergeCell ref="R45:S45"/>
    <mergeCell ref="AP47:AQ47"/>
    <mergeCell ref="AR47:AS47"/>
    <mergeCell ref="T45:U45"/>
    <mergeCell ref="V45:W45"/>
    <mergeCell ref="X45:Y45"/>
    <mergeCell ref="Z45:AA45"/>
    <mergeCell ref="AB45:AC45"/>
    <mergeCell ref="AD45:AE45"/>
    <mergeCell ref="AH44:AI44"/>
    <mergeCell ref="AJ44:AK44"/>
    <mergeCell ref="AL44:AM44"/>
    <mergeCell ref="AN44:AO44"/>
    <mergeCell ref="R44:S44"/>
    <mergeCell ref="T44:U44"/>
    <mergeCell ref="V44:W44"/>
    <mergeCell ref="X44:Y44"/>
    <mergeCell ref="Z44:AA44"/>
    <mergeCell ref="AB44:AC44"/>
    <mergeCell ref="AJ46:AK46"/>
    <mergeCell ref="AL46:AM46"/>
    <mergeCell ref="AN46:AO46"/>
    <mergeCell ref="AN47:AO47"/>
    <mergeCell ref="F47:G47"/>
    <mergeCell ref="H47:I47"/>
    <mergeCell ref="J47:K47"/>
    <mergeCell ref="L47:M47"/>
    <mergeCell ref="AP42:AQ42"/>
    <mergeCell ref="AR42:AS42"/>
    <mergeCell ref="C43:C44"/>
    <mergeCell ref="AT43:AT44"/>
    <mergeCell ref="F44:G44"/>
    <mergeCell ref="H44:I44"/>
    <mergeCell ref="J44:K44"/>
    <mergeCell ref="L44:M44"/>
    <mergeCell ref="N44:O44"/>
    <mergeCell ref="P44:Q44"/>
    <mergeCell ref="AD42:AE42"/>
    <mergeCell ref="AF42:AG42"/>
    <mergeCell ref="AH42:AI42"/>
    <mergeCell ref="AJ42:AK42"/>
    <mergeCell ref="AL42:AM42"/>
    <mergeCell ref="AN42:AO42"/>
    <mergeCell ref="R42:S42"/>
    <mergeCell ref="T42:U42"/>
    <mergeCell ref="V42:W42"/>
    <mergeCell ref="X42:Y42"/>
    <mergeCell ref="Z42:AA42"/>
    <mergeCell ref="AB42:AC42"/>
    <mergeCell ref="F42:G42"/>
    <mergeCell ref="H42:I42"/>
    <mergeCell ref="J42:K42"/>
    <mergeCell ref="L42:M42"/>
    <mergeCell ref="N42:O42"/>
    <mergeCell ref="P42:Q42"/>
    <mergeCell ref="AP44:AQ44"/>
    <mergeCell ref="AR44:AS44"/>
    <mergeCell ref="AD44:AE44"/>
    <mergeCell ref="AF44:AG44"/>
    <mergeCell ref="AH41:AI41"/>
    <mergeCell ref="AJ41:AK41"/>
    <mergeCell ref="AL41:AM41"/>
    <mergeCell ref="AN41:AO41"/>
    <mergeCell ref="AP41:AQ41"/>
    <mergeCell ref="AR41:AS41"/>
    <mergeCell ref="V41:W41"/>
    <mergeCell ref="X41:Y41"/>
    <mergeCell ref="Z41:AA41"/>
    <mergeCell ref="AB41:AC41"/>
    <mergeCell ref="AD41:AE41"/>
    <mergeCell ref="AF41:AG41"/>
    <mergeCell ref="AP40:AQ40"/>
    <mergeCell ref="AR40:AS40"/>
    <mergeCell ref="F41:G41"/>
    <mergeCell ref="H41:I41"/>
    <mergeCell ref="J41:K41"/>
    <mergeCell ref="L41:M41"/>
    <mergeCell ref="N41:O41"/>
    <mergeCell ref="P41:Q41"/>
    <mergeCell ref="R41:S41"/>
    <mergeCell ref="T41:U41"/>
    <mergeCell ref="AD40:AE40"/>
    <mergeCell ref="AF40:AG40"/>
    <mergeCell ref="AH40:AI40"/>
    <mergeCell ref="AJ40:AK40"/>
    <mergeCell ref="AL40:AM40"/>
    <mergeCell ref="AN40:AO40"/>
    <mergeCell ref="R40:S40"/>
    <mergeCell ref="T40:U40"/>
    <mergeCell ref="V40:W40"/>
    <mergeCell ref="X40:Y40"/>
    <mergeCell ref="Z40:AA40"/>
    <mergeCell ref="AB40:AC40"/>
    <mergeCell ref="AL39:AM39"/>
    <mergeCell ref="AN39:AO39"/>
    <mergeCell ref="AP39:AQ39"/>
    <mergeCell ref="AR39:AS39"/>
    <mergeCell ref="F40:G40"/>
    <mergeCell ref="H40:I40"/>
    <mergeCell ref="J40:K40"/>
    <mergeCell ref="L40:M40"/>
    <mergeCell ref="N40:O40"/>
    <mergeCell ref="P40:Q40"/>
    <mergeCell ref="Z39:AA39"/>
    <mergeCell ref="AB39:AC39"/>
    <mergeCell ref="AD39:AE39"/>
    <mergeCell ref="AF39:AG39"/>
    <mergeCell ref="AH39:AI39"/>
    <mergeCell ref="AJ39:AK39"/>
    <mergeCell ref="N39:O39"/>
    <mergeCell ref="P39:Q39"/>
    <mergeCell ref="R39:S39"/>
    <mergeCell ref="T39:U39"/>
    <mergeCell ref="V39:W39"/>
    <mergeCell ref="X39:Y39"/>
    <mergeCell ref="AJ38:AK38"/>
    <mergeCell ref="AL38:AM38"/>
    <mergeCell ref="AN38:AO38"/>
    <mergeCell ref="AP38:AQ38"/>
    <mergeCell ref="AR38:AS38"/>
    <mergeCell ref="C39:C42"/>
    <mergeCell ref="F39:G39"/>
    <mergeCell ref="H39:I39"/>
    <mergeCell ref="J39:K39"/>
    <mergeCell ref="L39:M39"/>
    <mergeCell ref="X38:Y38"/>
    <mergeCell ref="Z38:AA38"/>
    <mergeCell ref="AB38:AC38"/>
    <mergeCell ref="AD38:AE38"/>
    <mergeCell ref="AF38:AG38"/>
    <mergeCell ref="AH38:AI38"/>
    <mergeCell ref="AR37:AS37"/>
    <mergeCell ref="F38:G38"/>
    <mergeCell ref="H38:I38"/>
    <mergeCell ref="J38:K38"/>
    <mergeCell ref="L38:M38"/>
    <mergeCell ref="N38:O38"/>
    <mergeCell ref="P38:Q38"/>
    <mergeCell ref="R38:S38"/>
    <mergeCell ref="T38:U38"/>
    <mergeCell ref="V38:W38"/>
    <mergeCell ref="AF37:AG37"/>
    <mergeCell ref="AH37:AI37"/>
    <mergeCell ref="AJ37:AK37"/>
    <mergeCell ref="AL37:AM37"/>
    <mergeCell ref="AN37:AO37"/>
    <mergeCell ref="AP37:AQ37"/>
    <mergeCell ref="T37:U37"/>
    <mergeCell ref="V37:W37"/>
    <mergeCell ref="X37:Y37"/>
    <mergeCell ref="Z37:AA37"/>
    <mergeCell ref="AB37:AC37"/>
    <mergeCell ref="AD37:AE37"/>
    <mergeCell ref="AP36:AQ36"/>
    <mergeCell ref="AR36:AS36"/>
    <mergeCell ref="C37:C38"/>
    <mergeCell ref="F37:G37"/>
    <mergeCell ref="H37:I37"/>
    <mergeCell ref="J37:K37"/>
    <mergeCell ref="L37:M37"/>
    <mergeCell ref="N37:O37"/>
    <mergeCell ref="P37:Q37"/>
    <mergeCell ref="R37:S37"/>
    <mergeCell ref="AD36:AE36"/>
    <mergeCell ref="AF36:AG36"/>
    <mergeCell ref="AH36:AI36"/>
    <mergeCell ref="AJ36:AK36"/>
    <mergeCell ref="AL36:AM36"/>
    <mergeCell ref="AN36:AO36"/>
    <mergeCell ref="R36:S36"/>
    <mergeCell ref="T36:U36"/>
    <mergeCell ref="V36:W36"/>
    <mergeCell ref="X36:Y36"/>
    <mergeCell ref="Z36:AA36"/>
    <mergeCell ref="AB36:AC36"/>
    <mergeCell ref="F36:G36"/>
    <mergeCell ref="H36:I36"/>
    <mergeCell ref="J36:K36"/>
    <mergeCell ref="L36:M36"/>
    <mergeCell ref="N36:O36"/>
    <mergeCell ref="P36:Q36"/>
    <mergeCell ref="AH35:AI35"/>
    <mergeCell ref="AJ35:AK35"/>
    <mergeCell ref="AL35:AM35"/>
    <mergeCell ref="AN35:AO35"/>
    <mergeCell ref="AP35:AQ35"/>
    <mergeCell ref="AR35:AS35"/>
    <mergeCell ref="V35:W35"/>
    <mergeCell ref="X35:Y35"/>
    <mergeCell ref="Z35:AA35"/>
    <mergeCell ref="AB35:AC35"/>
    <mergeCell ref="AD35:AE35"/>
    <mergeCell ref="AF35:AG35"/>
    <mergeCell ref="AP34:AQ34"/>
    <mergeCell ref="AR34:AS34"/>
    <mergeCell ref="F35:G35"/>
    <mergeCell ref="H35:I35"/>
    <mergeCell ref="J35:K35"/>
    <mergeCell ref="L35:M35"/>
    <mergeCell ref="N35:O35"/>
    <mergeCell ref="P35:Q35"/>
    <mergeCell ref="R35:S35"/>
    <mergeCell ref="T35:U35"/>
    <mergeCell ref="AD34:AE34"/>
    <mergeCell ref="AF34:AG34"/>
    <mergeCell ref="AH34:AI34"/>
    <mergeCell ref="AJ34:AK34"/>
    <mergeCell ref="AL34:AM34"/>
    <mergeCell ref="AN34:AO34"/>
    <mergeCell ref="R34:S34"/>
    <mergeCell ref="T34:U34"/>
    <mergeCell ref="AL33:AM33"/>
    <mergeCell ref="AN33:AO33"/>
    <mergeCell ref="AP33:AQ33"/>
    <mergeCell ref="AR33:AS33"/>
    <mergeCell ref="F34:G34"/>
    <mergeCell ref="H34:I34"/>
    <mergeCell ref="J34:K34"/>
    <mergeCell ref="L34:M34"/>
    <mergeCell ref="N34:O34"/>
    <mergeCell ref="P34:Q34"/>
    <mergeCell ref="Z33:AA33"/>
    <mergeCell ref="AB33:AC33"/>
    <mergeCell ref="AD33:AE33"/>
    <mergeCell ref="AF33:AG33"/>
    <mergeCell ref="AH33:AI33"/>
    <mergeCell ref="AJ33:AK33"/>
    <mergeCell ref="N33:O33"/>
    <mergeCell ref="P33:Q33"/>
    <mergeCell ref="R33:S33"/>
    <mergeCell ref="T33:U33"/>
    <mergeCell ref="V33:W33"/>
    <mergeCell ref="X33:Y33"/>
    <mergeCell ref="AR32:AS32"/>
    <mergeCell ref="C33:C36"/>
    <mergeCell ref="F33:G33"/>
    <mergeCell ref="H33:I33"/>
    <mergeCell ref="J33:K33"/>
    <mergeCell ref="L33:M33"/>
    <mergeCell ref="X32:Y32"/>
    <mergeCell ref="Z32:AA32"/>
    <mergeCell ref="AB32:AC32"/>
    <mergeCell ref="AD32:AE32"/>
    <mergeCell ref="AF32:AG32"/>
    <mergeCell ref="AH32:AI32"/>
    <mergeCell ref="AT31:AT32"/>
    <mergeCell ref="F32:G32"/>
    <mergeCell ref="H32:I32"/>
    <mergeCell ref="J32:K32"/>
    <mergeCell ref="L32:M32"/>
    <mergeCell ref="N32:O32"/>
    <mergeCell ref="P32:Q32"/>
    <mergeCell ref="R32:S32"/>
    <mergeCell ref="T32:U32"/>
    <mergeCell ref="V32:W32"/>
    <mergeCell ref="AH31:AI31"/>
    <mergeCell ref="AJ31:AK31"/>
    <mergeCell ref="AL31:AM31"/>
    <mergeCell ref="AN31:AO31"/>
    <mergeCell ref="AP31:AQ31"/>
    <mergeCell ref="AR31:AS31"/>
    <mergeCell ref="V34:W34"/>
    <mergeCell ref="X34:Y34"/>
    <mergeCell ref="Z34:AA34"/>
    <mergeCell ref="AB34:AC34"/>
    <mergeCell ref="V31:W31"/>
    <mergeCell ref="X31:Y31"/>
    <mergeCell ref="Z31:AA31"/>
    <mergeCell ref="AB31:AC31"/>
    <mergeCell ref="AD31:AE31"/>
    <mergeCell ref="AF31:AG31"/>
    <mergeCell ref="AR30:AS30"/>
    <mergeCell ref="C31:C32"/>
    <mergeCell ref="F31:G31"/>
    <mergeCell ref="H31:I31"/>
    <mergeCell ref="J31:K31"/>
    <mergeCell ref="L31:M31"/>
    <mergeCell ref="N31:O31"/>
    <mergeCell ref="P31:Q31"/>
    <mergeCell ref="R31:S31"/>
    <mergeCell ref="T31:U31"/>
    <mergeCell ref="AF30:AG30"/>
    <mergeCell ref="AH30:AI30"/>
    <mergeCell ref="AJ30:AK30"/>
    <mergeCell ref="AL30:AM30"/>
    <mergeCell ref="AN30:AO30"/>
    <mergeCell ref="AP30:AQ30"/>
    <mergeCell ref="T30:U30"/>
    <mergeCell ref="V30:W30"/>
    <mergeCell ref="X30:Y30"/>
    <mergeCell ref="Z30:AA30"/>
    <mergeCell ref="AB30:AC30"/>
    <mergeCell ref="AD30:AE30"/>
    <mergeCell ref="AJ32:AK32"/>
    <mergeCell ref="AL32:AM32"/>
    <mergeCell ref="AN32:AO32"/>
    <mergeCell ref="AP32:AQ32"/>
    <mergeCell ref="AN29:AO29"/>
    <mergeCell ref="AP29:AQ29"/>
    <mergeCell ref="AR29:AS29"/>
    <mergeCell ref="F30:G30"/>
    <mergeCell ref="H30:I30"/>
    <mergeCell ref="J30:K30"/>
    <mergeCell ref="L30:M30"/>
    <mergeCell ref="N30:O30"/>
    <mergeCell ref="P30:Q30"/>
    <mergeCell ref="R30:S30"/>
    <mergeCell ref="AB29:AC29"/>
    <mergeCell ref="AD29:AE29"/>
    <mergeCell ref="AF29:AG29"/>
    <mergeCell ref="AH29:AI29"/>
    <mergeCell ref="AJ29:AK29"/>
    <mergeCell ref="AL29:AM29"/>
    <mergeCell ref="P29:Q29"/>
    <mergeCell ref="R29:S29"/>
    <mergeCell ref="T29:U29"/>
    <mergeCell ref="V29:W29"/>
    <mergeCell ref="X29:Y29"/>
    <mergeCell ref="Z29:AA29"/>
    <mergeCell ref="AJ28:AK28"/>
    <mergeCell ref="AL28:AM28"/>
    <mergeCell ref="AN28:AO28"/>
    <mergeCell ref="AP28:AQ28"/>
    <mergeCell ref="AR28:AS28"/>
    <mergeCell ref="F29:G29"/>
    <mergeCell ref="H29:I29"/>
    <mergeCell ref="J29:K29"/>
    <mergeCell ref="L29:M29"/>
    <mergeCell ref="N29:O29"/>
    <mergeCell ref="X28:Y28"/>
    <mergeCell ref="Z28:AA28"/>
    <mergeCell ref="AB28:AC28"/>
    <mergeCell ref="AD28:AE28"/>
    <mergeCell ref="AF28:AG28"/>
    <mergeCell ref="AH28:AI28"/>
    <mergeCell ref="AR27:AS27"/>
    <mergeCell ref="F28:G28"/>
    <mergeCell ref="H28:I28"/>
    <mergeCell ref="J28:K28"/>
    <mergeCell ref="L28:M28"/>
    <mergeCell ref="N28:O28"/>
    <mergeCell ref="P28:Q28"/>
    <mergeCell ref="R28:S28"/>
    <mergeCell ref="T28:U28"/>
    <mergeCell ref="V28:W28"/>
    <mergeCell ref="AF27:AG27"/>
    <mergeCell ref="AH27:AI27"/>
    <mergeCell ref="AJ27:AK27"/>
    <mergeCell ref="AL27:AM27"/>
    <mergeCell ref="AN27:AO27"/>
    <mergeCell ref="AP27:AQ27"/>
    <mergeCell ref="T27:U27"/>
    <mergeCell ref="V27:W27"/>
    <mergeCell ref="X27:Y27"/>
    <mergeCell ref="Z27:AA27"/>
    <mergeCell ref="AB27:AC27"/>
    <mergeCell ref="AD27:AE27"/>
    <mergeCell ref="AP26:AQ26"/>
    <mergeCell ref="AR26:AS26"/>
    <mergeCell ref="C27:C30"/>
    <mergeCell ref="F27:G27"/>
    <mergeCell ref="H27:I27"/>
    <mergeCell ref="J27:K27"/>
    <mergeCell ref="L27:M27"/>
    <mergeCell ref="N27:O27"/>
    <mergeCell ref="P27:Q27"/>
    <mergeCell ref="R27:S27"/>
    <mergeCell ref="AD26:AE26"/>
    <mergeCell ref="AF26:AG26"/>
    <mergeCell ref="AH26:AI26"/>
    <mergeCell ref="AJ26:AK26"/>
    <mergeCell ref="AL26:AM26"/>
    <mergeCell ref="AN26:AO26"/>
    <mergeCell ref="R26:S26"/>
    <mergeCell ref="T26:U26"/>
    <mergeCell ref="V26:W26"/>
    <mergeCell ref="X26:Y26"/>
    <mergeCell ref="Z26:AA26"/>
    <mergeCell ref="AB26:AC26"/>
    <mergeCell ref="F26:G26"/>
    <mergeCell ref="H26:I26"/>
    <mergeCell ref="J26:K26"/>
    <mergeCell ref="L26:M26"/>
    <mergeCell ref="N26:O26"/>
    <mergeCell ref="P26:Q26"/>
    <mergeCell ref="AH25:AI25"/>
    <mergeCell ref="AJ25:AK25"/>
    <mergeCell ref="AL25:AM25"/>
    <mergeCell ref="AN25:AO25"/>
    <mergeCell ref="AP25:AQ25"/>
    <mergeCell ref="AR25:AS25"/>
    <mergeCell ref="V25:W25"/>
    <mergeCell ref="X25:Y25"/>
    <mergeCell ref="Z25:AA25"/>
    <mergeCell ref="AB25:AC25"/>
    <mergeCell ref="AD25:AE25"/>
    <mergeCell ref="AF25:AG25"/>
    <mergeCell ref="AR24:AS24"/>
    <mergeCell ref="C25:C26"/>
    <mergeCell ref="F25:G25"/>
    <mergeCell ref="H25:I25"/>
    <mergeCell ref="J25:K25"/>
    <mergeCell ref="L25:M25"/>
    <mergeCell ref="N25:O25"/>
    <mergeCell ref="P25:Q25"/>
    <mergeCell ref="R25:S25"/>
    <mergeCell ref="T25:U25"/>
    <mergeCell ref="AF24:AG24"/>
    <mergeCell ref="AH24:AI24"/>
    <mergeCell ref="AJ24:AK24"/>
    <mergeCell ref="AL24:AM24"/>
    <mergeCell ref="AN24:AO24"/>
    <mergeCell ref="AP24:AQ24"/>
    <mergeCell ref="T24:U24"/>
    <mergeCell ref="V24:W24"/>
    <mergeCell ref="AP23:AQ23"/>
    <mergeCell ref="AR23:AS23"/>
    <mergeCell ref="F24:G24"/>
    <mergeCell ref="H24:I24"/>
    <mergeCell ref="J24:K24"/>
    <mergeCell ref="L24:M24"/>
    <mergeCell ref="N24:O24"/>
    <mergeCell ref="P24:Q24"/>
    <mergeCell ref="R24:S24"/>
    <mergeCell ref="AB23:AC23"/>
    <mergeCell ref="AD23:AE23"/>
    <mergeCell ref="AF23:AG23"/>
    <mergeCell ref="AH23:AI23"/>
    <mergeCell ref="AJ23:AK23"/>
    <mergeCell ref="AL23:AM23"/>
    <mergeCell ref="P23:Q23"/>
    <mergeCell ref="R23:S23"/>
    <mergeCell ref="T23:U23"/>
    <mergeCell ref="V23:W23"/>
    <mergeCell ref="X23:Y23"/>
    <mergeCell ref="Z23:AA23"/>
    <mergeCell ref="L23:M23"/>
    <mergeCell ref="N23:O23"/>
    <mergeCell ref="AP22:AQ22"/>
    <mergeCell ref="AR22:AS22"/>
    <mergeCell ref="F23:G23"/>
    <mergeCell ref="H23:I23"/>
    <mergeCell ref="J23:K23"/>
    <mergeCell ref="X22:Y22"/>
    <mergeCell ref="Z22:AA22"/>
    <mergeCell ref="AB22:AC22"/>
    <mergeCell ref="AD22:AE22"/>
    <mergeCell ref="AF22:AG22"/>
    <mergeCell ref="AH22:AI22"/>
    <mergeCell ref="AR21:AS21"/>
    <mergeCell ref="F22:G22"/>
    <mergeCell ref="H22:I22"/>
    <mergeCell ref="J22:K22"/>
    <mergeCell ref="L22:M22"/>
    <mergeCell ref="N22:O22"/>
    <mergeCell ref="P22:Q22"/>
    <mergeCell ref="R22:S22"/>
    <mergeCell ref="T22:U22"/>
    <mergeCell ref="V22:W22"/>
    <mergeCell ref="AF21:AG21"/>
    <mergeCell ref="AH21:AI21"/>
    <mergeCell ref="AJ21:AK21"/>
    <mergeCell ref="AL21:AM21"/>
    <mergeCell ref="AN21:AO21"/>
    <mergeCell ref="AP21:AQ21"/>
    <mergeCell ref="T21:U21"/>
    <mergeCell ref="V21:W21"/>
    <mergeCell ref="X21:Y21"/>
    <mergeCell ref="Z21:AA21"/>
    <mergeCell ref="AB21:AC21"/>
    <mergeCell ref="C21:C24"/>
    <mergeCell ref="F21:G21"/>
    <mergeCell ref="H21:I21"/>
    <mergeCell ref="J21:K21"/>
    <mergeCell ref="L21:M21"/>
    <mergeCell ref="N21:O21"/>
    <mergeCell ref="P21:Q21"/>
    <mergeCell ref="R21:S21"/>
    <mergeCell ref="AD20:AE20"/>
    <mergeCell ref="AF20:AG20"/>
    <mergeCell ref="AH20:AI20"/>
    <mergeCell ref="AJ20:AK20"/>
    <mergeCell ref="AL20:AM20"/>
    <mergeCell ref="AN20:AO20"/>
    <mergeCell ref="R20:S20"/>
    <mergeCell ref="T20:U20"/>
    <mergeCell ref="V20:W20"/>
    <mergeCell ref="X20:Y20"/>
    <mergeCell ref="Z20:AA20"/>
    <mergeCell ref="AB20:AC20"/>
    <mergeCell ref="AJ22:AK22"/>
    <mergeCell ref="AL22:AM22"/>
    <mergeCell ref="AN22:AO22"/>
    <mergeCell ref="AD21:AE21"/>
    <mergeCell ref="X24:Y24"/>
    <mergeCell ref="Z24:AA24"/>
    <mergeCell ref="AB24:AC24"/>
    <mergeCell ref="AD24:AE24"/>
    <mergeCell ref="AN23:AO23"/>
    <mergeCell ref="AP18:AQ18"/>
    <mergeCell ref="AR18:AS18"/>
    <mergeCell ref="C19:C20"/>
    <mergeCell ref="AT19:AT20"/>
    <mergeCell ref="F20:G20"/>
    <mergeCell ref="H20:I20"/>
    <mergeCell ref="J20:K20"/>
    <mergeCell ref="L20:M20"/>
    <mergeCell ref="N20:O20"/>
    <mergeCell ref="P20:Q20"/>
    <mergeCell ref="AD18:AE18"/>
    <mergeCell ref="AF18:AG18"/>
    <mergeCell ref="AH18:AI18"/>
    <mergeCell ref="AJ18:AK18"/>
    <mergeCell ref="AL18:AM18"/>
    <mergeCell ref="AN18:AO18"/>
    <mergeCell ref="R18:S18"/>
    <mergeCell ref="T18:U18"/>
    <mergeCell ref="V18:W18"/>
    <mergeCell ref="X18:Y18"/>
    <mergeCell ref="Z18:AA18"/>
    <mergeCell ref="AB18:AC18"/>
    <mergeCell ref="F18:G18"/>
    <mergeCell ref="H18:I18"/>
    <mergeCell ref="J18:K18"/>
    <mergeCell ref="L18:M18"/>
    <mergeCell ref="N18:O18"/>
    <mergeCell ref="P18:Q18"/>
    <mergeCell ref="AP20:AQ20"/>
    <mergeCell ref="AR20:AS20"/>
    <mergeCell ref="F17:G17"/>
    <mergeCell ref="H17:I17"/>
    <mergeCell ref="J17:K17"/>
    <mergeCell ref="L17:M17"/>
    <mergeCell ref="N17:O17"/>
    <mergeCell ref="P17:Q17"/>
    <mergeCell ref="R17:S17"/>
    <mergeCell ref="T17:U17"/>
    <mergeCell ref="AD16:AE16"/>
    <mergeCell ref="AF16:AG16"/>
    <mergeCell ref="AH16:AI16"/>
    <mergeCell ref="AJ16:AK16"/>
    <mergeCell ref="AL16:AM16"/>
    <mergeCell ref="AN16:AO16"/>
    <mergeCell ref="R16:S16"/>
    <mergeCell ref="T16:U16"/>
    <mergeCell ref="V16:W16"/>
    <mergeCell ref="X16:Y16"/>
    <mergeCell ref="L16:M16"/>
    <mergeCell ref="N16:O16"/>
    <mergeCell ref="P16:Q16"/>
    <mergeCell ref="AH15:AI15"/>
    <mergeCell ref="AJ15:AK15"/>
    <mergeCell ref="AL15:AM15"/>
    <mergeCell ref="AN15:AO15"/>
    <mergeCell ref="AP15:AQ15"/>
    <mergeCell ref="AR15:AS15"/>
    <mergeCell ref="V15:W15"/>
    <mergeCell ref="X15:Y15"/>
    <mergeCell ref="Z15:AA15"/>
    <mergeCell ref="AB15:AC15"/>
    <mergeCell ref="AD15:AE15"/>
    <mergeCell ref="AF15:AG15"/>
    <mergeCell ref="AH17:AI17"/>
    <mergeCell ref="AJ17:AK17"/>
    <mergeCell ref="AL17:AM17"/>
    <mergeCell ref="AN17:AO17"/>
    <mergeCell ref="AP17:AQ17"/>
    <mergeCell ref="AR17:AS17"/>
    <mergeCell ref="V17:W17"/>
    <mergeCell ref="X17:Y17"/>
    <mergeCell ref="Z17:AA17"/>
    <mergeCell ref="AB17:AC17"/>
    <mergeCell ref="AD17:AE17"/>
    <mergeCell ref="AF17:AG17"/>
    <mergeCell ref="AP16:AQ16"/>
    <mergeCell ref="AR16:AS16"/>
    <mergeCell ref="AT13:AT14"/>
    <mergeCell ref="F14:G14"/>
    <mergeCell ref="H14:I14"/>
    <mergeCell ref="J14:K14"/>
    <mergeCell ref="L14:M14"/>
    <mergeCell ref="N14:O14"/>
    <mergeCell ref="P14:Q14"/>
    <mergeCell ref="R14:S14"/>
    <mergeCell ref="AD13:AE13"/>
    <mergeCell ref="AF13:AG13"/>
    <mergeCell ref="AH13:AI13"/>
    <mergeCell ref="AJ13:AK13"/>
    <mergeCell ref="AL13:AM13"/>
    <mergeCell ref="AN13:AO13"/>
    <mergeCell ref="R13:S13"/>
    <mergeCell ref="T13:U13"/>
    <mergeCell ref="V13:W13"/>
    <mergeCell ref="X13:Y13"/>
    <mergeCell ref="Z13:AA13"/>
    <mergeCell ref="AB13:AC13"/>
    <mergeCell ref="AR14:AS14"/>
    <mergeCell ref="AF14:AG14"/>
    <mergeCell ref="AH14:AI14"/>
    <mergeCell ref="AJ14:AK14"/>
    <mergeCell ref="AL14:AM14"/>
    <mergeCell ref="AN14:AO14"/>
    <mergeCell ref="AP14:AQ14"/>
    <mergeCell ref="T14:U14"/>
    <mergeCell ref="V14:W14"/>
    <mergeCell ref="X14:Y14"/>
    <mergeCell ref="Z14:AA14"/>
    <mergeCell ref="AB14:AC14"/>
    <mergeCell ref="AN12:AO12"/>
    <mergeCell ref="AP12:AQ12"/>
    <mergeCell ref="AR12:AS12"/>
    <mergeCell ref="C13:C14"/>
    <mergeCell ref="F13:G13"/>
    <mergeCell ref="H13:I13"/>
    <mergeCell ref="J13:K13"/>
    <mergeCell ref="L13:M13"/>
    <mergeCell ref="N13:O13"/>
    <mergeCell ref="P13:Q13"/>
    <mergeCell ref="AB12:AC12"/>
    <mergeCell ref="AD12:AE12"/>
    <mergeCell ref="AF12:AG12"/>
    <mergeCell ref="AH12:AI12"/>
    <mergeCell ref="AJ12:AK12"/>
    <mergeCell ref="AL12:AM12"/>
    <mergeCell ref="P12:Q12"/>
    <mergeCell ref="R12:S12"/>
    <mergeCell ref="T12:U12"/>
    <mergeCell ref="V12:W12"/>
    <mergeCell ref="X12:Y12"/>
    <mergeCell ref="Z12:AA12"/>
    <mergeCell ref="AP13:AQ13"/>
    <mergeCell ref="AR13:AS13"/>
    <mergeCell ref="AD14:AE14"/>
    <mergeCell ref="B12:B50"/>
    <mergeCell ref="F12:G12"/>
    <mergeCell ref="H12:I12"/>
    <mergeCell ref="J12:K12"/>
    <mergeCell ref="L12:M12"/>
    <mergeCell ref="N12:O12"/>
    <mergeCell ref="AA11:AB11"/>
    <mergeCell ref="AC11:AD11"/>
    <mergeCell ref="AE11:AF11"/>
    <mergeCell ref="AG11:AH11"/>
    <mergeCell ref="AI11:AJ11"/>
    <mergeCell ref="AK11:AL11"/>
    <mergeCell ref="O11:P11"/>
    <mergeCell ref="Q11:R11"/>
    <mergeCell ref="S11:T11"/>
    <mergeCell ref="U11:V11"/>
    <mergeCell ref="W11:X11"/>
    <mergeCell ref="Y11:Z11"/>
    <mergeCell ref="C15:C18"/>
    <mergeCell ref="F15:G15"/>
    <mergeCell ref="H15:I15"/>
    <mergeCell ref="J15:K15"/>
    <mergeCell ref="L15:M15"/>
    <mergeCell ref="N15:O15"/>
    <mergeCell ref="P15:Q15"/>
    <mergeCell ref="R15:S15"/>
    <mergeCell ref="T15:U15"/>
    <mergeCell ref="Z16:AA16"/>
    <mergeCell ref="AB16:AC16"/>
    <mergeCell ref="F16:G16"/>
    <mergeCell ref="H16:I16"/>
    <mergeCell ref="J16:K16"/>
    <mergeCell ref="AK10:AL10"/>
    <mergeCell ref="AM10:AN10"/>
    <mergeCell ref="AO10:AP10"/>
    <mergeCell ref="AQ10:AR10"/>
    <mergeCell ref="AS10:AT10"/>
    <mergeCell ref="B9:D9"/>
    <mergeCell ref="E9:F9"/>
    <mergeCell ref="G9:H9"/>
    <mergeCell ref="I9:J9"/>
    <mergeCell ref="K9:L9"/>
    <mergeCell ref="B11:D11"/>
    <mergeCell ref="E11:F11"/>
    <mergeCell ref="G11:H11"/>
    <mergeCell ref="I11:J11"/>
    <mergeCell ref="M11:N11"/>
    <mergeCell ref="Y10:Z10"/>
    <mergeCell ref="AA10:AB10"/>
    <mergeCell ref="AC10:AD10"/>
    <mergeCell ref="AE10:AF10"/>
    <mergeCell ref="AG10:AH10"/>
    <mergeCell ref="AI10:AJ10"/>
    <mergeCell ref="M10:N10"/>
    <mergeCell ref="O10:P10"/>
    <mergeCell ref="Q10:R10"/>
    <mergeCell ref="S10:T10"/>
    <mergeCell ref="U10:V10"/>
    <mergeCell ref="W10:X10"/>
    <mergeCell ref="AM11:AN11"/>
    <mergeCell ref="AO11:AP11"/>
    <mergeCell ref="AQ11:AR11"/>
    <mergeCell ref="AS11:AT11"/>
    <mergeCell ref="AK7:AL7"/>
    <mergeCell ref="AM7:AN7"/>
    <mergeCell ref="AO7:AP7"/>
    <mergeCell ref="AQ7:AR7"/>
    <mergeCell ref="AS7:AT7"/>
    <mergeCell ref="AK8:AL8"/>
    <mergeCell ref="AM8:AN8"/>
    <mergeCell ref="AO8:AP8"/>
    <mergeCell ref="AQ8:AR8"/>
    <mergeCell ref="AS8:AT8"/>
    <mergeCell ref="AK9:AL9"/>
    <mergeCell ref="AM9:AN9"/>
    <mergeCell ref="AO9:AP9"/>
    <mergeCell ref="AQ9:AR9"/>
    <mergeCell ref="AS9:AT9"/>
    <mergeCell ref="B10:D10"/>
    <mergeCell ref="E10:F10"/>
    <mergeCell ref="G10:H10"/>
    <mergeCell ref="I10:J10"/>
    <mergeCell ref="K10:L10"/>
    <mergeCell ref="Y9:Z9"/>
    <mergeCell ref="AA9:AB9"/>
    <mergeCell ref="AC9:AD9"/>
    <mergeCell ref="AE9:AF9"/>
    <mergeCell ref="AG9:AH9"/>
    <mergeCell ref="AI9:AJ9"/>
    <mergeCell ref="M9:N9"/>
    <mergeCell ref="O9:P9"/>
    <mergeCell ref="Q9:R9"/>
    <mergeCell ref="S9:T9"/>
    <mergeCell ref="U9:V9"/>
    <mergeCell ref="W9:X9"/>
    <mergeCell ref="B8:D8"/>
    <mergeCell ref="E8:F8"/>
    <mergeCell ref="G8:H8"/>
    <mergeCell ref="I8:J8"/>
    <mergeCell ref="K8:L8"/>
    <mergeCell ref="Y7:Z7"/>
    <mergeCell ref="AA7:AB7"/>
    <mergeCell ref="AC7:AD7"/>
    <mergeCell ref="AE7:AF7"/>
    <mergeCell ref="AG7:AH7"/>
    <mergeCell ref="AI7:AJ7"/>
    <mergeCell ref="M7:N7"/>
    <mergeCell ref="O7:P7"/>
    <mergeCell ref="Q7:R7"/>
    <mergeCell ref="S7:T7"/>
    <mergeCell ref="U7:V7"/>
    <mergeCell ref="W7:X7"/>
    <mergeCell ref="Y8:Z8"/>
    <mergeCell ref="AA8:AB8"/>
    <mergeCell ref="AC8:AD8"/>
    <mergeCell ref="AE8:AF8"/>
    <mergeCell ref="AG8:AH8"/>
    <mergeCell ref="AI8:AJ8"/>
    <mergeCell ref="M8:N8"/>
    <mergeCell ref="O8:P8"/>
    <mergeCell ref="Q8:R8"/>
    <mergeCell ref="S8:T8"/>
    <mergeCell ref="U8:V8"/>
    <mergeCell ref="W8:X8"/>
    <mergeCell ref="L2:W2"/>
    <mergeCell ref="AC2:AJ2"/>
    <mergeCell ref="AK2:AT2"/>
    <mergeCell ref="L4:AC4"/>
    <mergeCell ref="AK4:AT4"/>
    <mergeCell ref="B6:D6"/>
    <mergeCell ref="E6:F6"/>
    <mergeCell ref="G6:H6"/>
    <mergeCell ref="I6:J6"/>
    <mergeCell ref="K6:L6"/>
    <mergeCell ref="AK6:AL6"/>
    <mergeCell ref="AM6:AN6"/>
    <mergeCell ref="AO6:AP6"/>
    <mergeCell ref="AQ6:AR6"/>
    <mergeCell ref="AS6:AT6"/>
    <mergeCell ref="B7:D7"/>
    <mergeCell ref="E7:F7"/>
    <mergeCell ref="G7:H7"/>
    <mergeCell ref="I7:J7"/>
    <mergeCell ref="K7:L7"/>
    <mergeCell ref="Y6:Z6"/>
    <mergeCell ref="AA6:AB6"/>
    <mergeCell ref="AC6:AD6"/>
    <mergeCell ref="AE6:AF6"/>
    <mergeCell ref="AG6:AH6"/>
    <mergeCell ref="AI6:AJ6"/>
    <mergeCell ref="M6:N6"/>
    <mergeCell ref="O6:P6"/>
    <mergeCell ref="Q6:R6"/>
    <mergeCell ref="S6:T6"/>
    <mergeCell ref="U6:V6"/>
    <mergeCell ref="W6:X6"/>
  </mergeCells>
  <pageMargins left="0.7" right="0.7" top="0.75" bottom="0.75" header="0.3" footer="0.3"/>
  <pageSetup paperSize="9" scale="3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pageSetUpPr fitToPage="1"/>
  </sheetPr>
  <dimension ref="B1:AT176"/>
  <sheetViews>
    <sheetView view="pageBreakPreview" zoomScale="40" zoomScaleNormal="40" zoomScaleSheetLayoutView="40" workbookViewId="0">
      <selection activeCell="B36" sqref="B1:G36"/>
    </sheetView>
  </sheetViews>
  <sheetFormatPr defaultColWidth="9.21875" defaultRowHeight="14.4" x14ac:dyDescent="0.3"/>
  <cols>
    <col min="1" max="1" width="0.21875" customWidth="1"/>
    <col min="2" max="2" width="10.77734375" customWidth="1"/>
    <col min="3" max="4" width="13.77734375" customWidth="1"/>
    <col min="5" max="46" width="8.77734375" customWidth="1"/>
    <col min="47" max="49" width="3" customWidth="1"/>
  </cols>
  <sheetData>
    <row r="1" spans="2:46" x14ac:dyDescent="0.3">
      <c r="B1" s="1"/>
      <c r="AQ1" s="1"/>
    </row>
    <row r="2" spans="2:46" ht="50.1" customHeight="1" thickBot="1" x14ac:dyDescent="0.8">
      <c r="B2" s="65" t="s">
        <v>85</v>
      </c>
      <c r="C2" s="62"/>
      <c r="D2" s="63"/>
      <c r="E2" s="63"/>
      <c r="F2" s="64"/>
      <c r="G2" s="63"/>
      <c r="H2" s="64"/>
      <c r="I2" s="64"/>
      <c r="J2" s="64"/>
      <c r="K2" s="64"/>
      <c r="L2" s="423" t="str">
        <f>'Plot Data'!L7:O7</f>
        <v>AFT QC  (˚C)</v>
      </c>
      <c r="M2" s="423"/>
      <c r="N2" s="423"/>
      <c r="O2" s="423"/>
      <c r="P2" s="423"/>
      <c r="Q2" s="423"/>
      <c r="R2" s="423"/>
      <c r="S2" s="423"/>
      <c r="T2" s="423"/>
      <c r="U2" s="423"/>
      <c r="V2" s="423"/>
      <c r="W2" s="423"/>
      <c r="X2" s="63"/>
      <c r="Y2" s="63"/>
      <c r="Z2" s="63"/>
      <c r="AA2" s="63"/>
      <c r="AB2" s="65"/>
      <c r="AC2" s="424" t="s">
        <v>92</v>
      </c>
      <c r="AD2" s="424"/>
      <c r="AE2" s="424"/>
      <c r="AF2" s="424"/>
      <c r="AG2" s="424"/>
      <c r="AH2" s="424"/>
      <c r="AI2" s="424"/>
      <c r="AJ2" s="424"/>
      <c r="AK2" s="425" t="s">
        <v>310</v>
      </c>
      <c r="AL2" s="425"/>
      <c r="AM2" s="425"/>
      <c r="AN2" s="425"/>
      <c r="AO2" s="425"/>
      <c r="AP2" s="425"/>
      <c r="AQ2" s="425"/>
      <c r="AR2" s="425"/>
      <c r="AS2" s="425"/>
      <c r="AT2" s="425"/>
    </row>
    <row r="3" spans="2:46" ht="22.05" customHeight="1" x14ac:dyDescent="0.85">
      <c r="B3" s="61"/>
      <c r="C3" s="66"/>
      <c r="D3" s="66"/>
      <c r="E3" s="66"/>
      <c r="F3" s="67"/>
      <c r="G3" s="66"/>
      <c r="H3" s="67"/>
      <c r="I3" s="67"/>
      <c r="J3" s="66"/>
      <c r="K3" s="66"/>
      <c r="L3" s="66"/>
      <c r="M3" s="66"/>
      <c r="N3" s="66"/>
      <c r="O3" s="66"/>
      <c r="P3" s="66"/>
      <c r="Q3" s="66"/>
      <c r="R3" s="66"/>
      <c r="S3" s="66"/>
      <c r="T3" s="66"/>
      <c r="U3" s="66"/>
      <c r="V3" s="66"/>
      <c r="W3" s="66"/>
      <c r="X3" s="66"/>
      <c r="Y3" s="66"/>
      <c r="Z3" s="66"/>
      <c r="AA3" s="66"/>
      <c r="AB3" s="66"/>
      <c r="AC3" s="66"/>
      <c r="AD3" s="66"/>
      <c r="AE3" s="66"/>
      <c r="AF3" s="66"/>
      <c r="AG3" s="66"/>
      <c r="AH3" s="68"/>
      <c r="AI3" s="66"/>
      <c r="AJ3" s="68"/>
      <c r="AK3" s="66"/>
      <c r="AL3" s="66"/>
      <c r="AM3" s="66"/>
      <c r="AN3" s="66"/>
      <c r="AO3" s="67"/>
      <c r="AP3" s="66"/>
      <c r="AQ3" s="67"/>
      <c r="AR3" s="66"/>
      <c r="AS3" s="66"/>
    </row>
    <row r="4" spans="2:46" ht="50.1" customHeight="1" x14ac:dyDescent="0.85">
      <c r="B4" s="60"/>
      <c r="C4" s="66"/>
      <c r="D4" s="66"/>
      <c r="E4" s="66"/>
      <c r="F4" s="66"/>
      <c r="G4" s="66"/>
      <c r="H4" s="66"/>
      <c r="I4" s="66"/>
      <c r="J4" s="66"/>
      <c r="K4" s="66"/>
      <c r="L4" s="426" t="s">
        <v>87</v>
      </c>
      <c r="M4" s="426"/>
      <c r="N4" s="426"/>
      <c r="O4" s="426"/>
      <c r="P4" s="426"/>
      <c r="Q4" s="426"/>
      <c r="R4" s="426"/>
      <c r="S4" s="426"/>
      <c r="T4" s="426"/>
      <c r="U4" s="426"/>
      <c r="V4" s="426"/>
      <c r="W4" s="426"/>
      <c r="X4" s="426"/>
      <c r="Y4" s="426"/>
      <c r="Z4" s="426"/>
      <c r="AA4" s="426"/>
      <c r="AB4" s="426"/>
      <c r="AC4" s="426"/>
      <c r="AD4" s="69" t="s">
        <v>93</v>
      </c>
      <c r="AE4" s="66"/>
      <c r="AF4" s="66"/>
      <c r="AG4" s="66"/>
      <c r="AH4" s="66"/>
      <c r="AI4" s="66"/>
      <c r="AJ4" s="66"/>
      <c r="AK4" s="427" t="s">
        <v>89</v>
      </c>
      <c r="AL4" s="427"/>
      <c r="AM4" s="427"/>
      <c r="AN4" s="427"/>
      <c r="AO4" s="427"/>
      <c r="AP4" s="427"/>
      <c r="AQ4" s="427"/>
      <c r="AR4" s="427"/>
      <c r="AS4" s="427"/>
      <c r="AT4" s="427"/>
    </row>
    <row r="5" spans="2:46" ht="22.05" customHeight="1" thickBot="1" x14ac:dyDescent="0.35">
      <c r="K5" s="2"/>
    </row>
    <row r="6" spans="2:46" ht="50.1" customHeight="1" x14ac:dyDescent="0.3">
      <c r="B6" s="428" t="s">
        <v>0</v>
      </c>
      <c r="C6" s="429"/>
      <c r="D6" s="430"/>
      <c r="E6" s="431"/>
      <c r="F6" s="432"/>
      <c r="G6" s="431"/>
      <c r="H6" s="432"/>
      <c r="I6" s="431"/>
      <c r="J6" s="432"/>
      <c r="K6" s="431"/>
      <c r="L6" s="432"/>
      <c r="M6" s="431"/>
      <c r="N6" s="432"/>
      <c r="O6" s="431"/>
      <c r="P6" s="432"/>
      <c r="Q6" s="431"/>
      <c r="R6" s="432"/>
      <c r="S6" s="431"/>
      <c r="T6" s="432"/>
      <c r="U6" s="431"/>
      <c r="V6" s="432"/>
      <c r="W6" s="431"/>
      <c r="X6" s="432"/>
      <c r="Y6" s="431"/>
      <c r="Z6" s="432"/>
      <c r="AA6" s="431"/>
      <c r="AB6" s="432"/>
      <c r="AC6" s="431"/>
      <c r="AD6" s="432"/>
      <c r="AE6" s="431"/>
      <c r="AF6" s="432"/>
      <c r="AG6" s="431"/>
      <c r="AH6" s="432"/>
      <c r="AI6" s="431"/>
      <c r="AJ6" s="432"/>
      <c r="AK6" s="431"/>
      <c r="AL6" s="432"/>
      <c r="AM6" s="431"/>
      <c r="AN6" s="432"/>
      <c r="AO6" s="431"/>
      <c r="AP6" s="432"/>
      <c r="AQ6" s="431"/>
      <c r="AR6" s="432"/>
      <c r="AS6" s="431"/>
      <c r="AT6" s="432"/>
    </row>
    <row r="7" spans="2:46" ht="50.1" customHeight="1" thickBot="1" x14ac:dyDescent="0.35">
      <c r="B7" s="433" t="s">
        <v>1</v>
      </c>
      <c r="C7" s="434"/>
      <c r="D7" s="435"/>
      <c r="E7" s="436"/>
      <c r="F7" s="437"/>
      <c r="G7" s="436"/>
      <c r="H7" s="437"/>
      <c r="I7" s="436"/>
      <c r="J7" s="437"/>
      <c r="K7" s="436"/>
      <c r="L7" s="437"/>
      <c r="M7" s="436"/>
      <c r="N7" s="437"/>
      <c r="O7" s="436"/>
      <c r="P7" s="437"/>
      <c r="Q7" s="436"/>
      <c r="R7" s="437"/>
      <c r="S7" s="436"/>
      <c r="T7" s="437"/>
      <c r="U7" s="436"/>
      <c r="V7" s="437"/>
      <c r="W7" s="436"/>
      <c r="X7" s="437"/>
      <c r="Y7" s="436"/>
      <c r="Z7" s="437"/>
      <c r="AA7" s="436"/>
      <c r="AB7" s="437"/>
      <c r="AC7" s="436"/>
      <c r="AD7" s="437"/>
      <c r="AE7" s="436"/>
      <c r="AF7" s="437"/>
      <c r="AG7" s="436"/>
      <c r="AH7" s="437"/>
      <c r="AI7" s="436"/>
      <c r="AJ7" s="437"/>
      <c r="AK7" s="436"/>
      <c r="AL7" s="437"/>
      <c r="AM7" s="436"/>
      <c r="AN7" s="437"/>
      <c r="AO7" s="436"/>
      <c r="AP7" s="437"/>
      <c r="AQ7" s="436"/>
      <c r="AR7" s="437"/>
      <c r="AS7" s="436"/>
      <c r="AT7" s="437"/>
    </row>
    <row r="8" spans="2:46" ht="50.1" customHeight="1" thickBot="1" x14ac:dyDescent="0.35">
      <c r="B8" s="438" t="s">
        <v>301</v>
      </c>
      <c r="C8" s="439"/>
      <c r="D8" s="440"/>
      <c r="E8" s="441"/>
      <c r="F8" s="442"/>
      <c r="G8" s="441"/>
      <c r="H8" s="442"/>
      <c r="I8" s="441"/>
      <c r="J8" s="442"/>
      <c r="K8" s="441"/>
      <c r="L8" s="442"/>
      <c r="M8" s="441"/>
      <c r="N8" s="442"/>
      <c r="O8" s="441"/>
      <c r="P8" s="442"/>
      <c r="Q8" s="441"/>
      <c r="R8" s="442"/>
      <c r="S8" s="441"/>
      <c r="T8" s="442"/>
      <c r="U8" s="441"/>
      <c r="V8" s="442"/>
      <c r="W8" s="441"/>
      <c r="X8" s="442"/>
      <c r="Y8" s="441"/>
      <c r="Z8" s="442"/>
      <c r="AA8" s="441"/>
      <c r="AB8" s="442"/>
      <c r="AC8" s="441"/>
      <c r="AD8" s="442"/>
      <c r="AE8" s="441"/>
      <c r="AF8" s="442"/>
      <c r="AG8" s="441"/>
      <c r="AH8" s="442"/>
      <c r="AI8" s="441"/>
      <c r="AJ8" s="442"/>
      <c r="AK8" s="441"/>
      <c r="AL8" s="442"/>
      <c r="AM8" s="441"/>
      <c r="AN8" s="442"/>
      <c r="AO8" s="441"/>
      <c r="AP8" s="442"/>
      <c r="AQ8" s="441"/>
      <c r="AR8" s="442"/>
      <c r="AS8" s="441"/>
      <c r="AT8" s="442"/>
    </row>
    <row r="9" spans="2:46" ht="50.1" customHeight="1" thickBot="1" x14ac:dyDescent="0.35">
      <c r="B9" s="447" t="s">
        <v>302</v>
      </c>
      <c r="C9" s="448"/>
      <c r="D9" s="449"/>
      <c r="E9" s="443"/>
      <c r="F9" s="444"/>
      <c r="G9" s="443"/>
      <c r="H9" s="444"/>
      <c r="I9" s="443"/>
      <c r="J9" s="444"/>
      <c r="K9" s="443"/>
      <c r="L9" s="444"/>
      <c r="M9" s="443"/>
      <c r="N9" s="444"/>
      <c r="O9" s="443"/>
      <c r="P9" s="444"/>
      <c r="Q9" s="443"/>
      <c r="R9" s="444"/>
      <c r="S9" s="443"/>
      <c r="T9" s="444"/>
      <c r="U9" s="443"/>
      <c r="V9" s="444"/>
      <c r="W9" s="443"/>
      <c r="X9" s="444"/>
      <c r="Y9" s="443"/>
      <c r="Z9" s="444"/>
      <c r="AA9" s="443"/>
      <c r="AB9" s="444"/>
      <c r="AC9" s="443"/>
      <c r="AD9" s="444"/>
      <c r="AE9" s="443"/>
      <c r="AF9" s="444"/>
      <c r="AG9" s="443"/>
      <c r="AH9" s="444"/>
      <c r="AI9" s="443"/>
      <c r="AJ9" s="444"/>
      <c r="AK9" s="443"/>
      <c r="AL9" s="444"/>
      <c r="AM9" s="443"/>
      <c r="AN9" s="444"/>
      <c r="AO9" s="443"/>
      <c r="AP9" s="444"/>
      <c r="AQ9" s="443"/>
      <c r="AR9" s="444"/>
      <c r="AS9" s="443"/>
      <c r="AT9" s="444"/>
    </row>
    <row r="10" spans="2:46" ht="50.1" customHeight="1" thickBot="1" x14ac:dyDescent="0.35">
      <c r="B10" s="428" t="s">
        <v>303</v>
      </c>
      <c r="C10" s="429"/>
      <c r="D10" s="430"/>
      <c r="E10" s="441"/>
      <c r="F10" s="442"/>
      <c r="G10" s="441"/>
      <c r="H10" s="442"/>
      <c r="I10" s="441"/>
      <c r="J10" s="442"/>
      <c r="K10" s="445"/>
      <c r="L10" s="446"/>
      <c r="M10" s="441"/>
      <c r="N10" s="442"/>
      <c r="O10" s="441"/>
      <c r="P10" s="442"/>
      <c r="Q10" s="441"/>
      <c r="R10" s="442"/>
      <c r="S10" s="441"/>
      <c r="T10" s="442"/>
      <c r="U10" s="441"/>
      <c r="V10" s="442"/>
      <c r="W10" s="441"/>
      <c r="X10" s="442"/>
      <c r="Y10" s="441"/>
      <c r="Z10" s="442"/>
      <c r="AA10" s="441"/>
      <c r="AB10" s="442"/>
      <c r="AC10" s="441"/>
      <c r="AD10" s="442"/>
      <c r="AE10" s="441"/>
      <c r="AF10" s="442"/>
      <c r="AG10" s="441"/>
      <c r="AH10" s="442"/>
      <c r="AI10" s="441"/>
      <c r="AJ10" s="442"/>
      <c r="AK10" s="441"/>
      <c r="AL10" s="442"/>
      <c r="AM10" s="441"/>
      <c r="AN10" s="442"/>
      <c r="AO10" s="441"/>
      <c r="AP10" s="442"/>
      <c r="AQ10" s="441"/>
      <c r="AR10" s="442"/>
      <c r="AS10" s="441"/>
      <c r="AT10" s="442"/>
    </row>
    <row r="11" spans="2:46" ht="50.1" customHeight="1" thickBot="1" x14ac:dyDescent="0.35">
      <c r="B11" s="677" t="s">
        <v>304</v>
      </c>
      <c r="C11" s="678"/>
      <c r="D11" s="679"/>
      <c r="E11" s="441"/>
      <c r="F11" s="442"/>
      <c r="G11" s="441"/>
      <c r="H11" s="442"/>
      <c r="I11" s="441"/>
      <c r="J11" s="442"/>
      <c r="K11" s="72"/>
      <c r="L11" s="72"/>
      <c r="M11" s="441"/>
      <c r="N11" s="442"/>
      <c r="O11" s="441"/>
      <c r="P11" s="442"/>
      <c r="Q11" s="441"/>
      <c r="R11" s="442"/>
      <c r="S11" s="441"/>
      <c r="T11" s="442"/>
      <c r="U11" s="441"/>
      <c r="V11" s="442"/>
      <c r="W11" s="441"/>
      <c r="X11" s="442"/>
      <c r="Y11" s="441"/>
      <c r="Z11" s="442"/>
      <c r="AA11" s="441"/>
      <c r="AB11" s="442"/>
      <c r="AC11" s="441"/>
      <c r="AD11" s="442"/>
      <c r="AE11" s="441"/>
      <c r="AF11" s="442"/>
      <c r="AG11" s="441"/>
      <c r="AH11" s="442"/>
      <c r="AI11" s="441"/>
      <c r="AJ11" s="442"/>
      <c r="AK11" s="441"/>
      <c r="AL11" s="442"/>
      <c r="AM11" s="441"/>
      <c r="AN11" s="442"/>
      <c r="AO11" s="441"/>
      <c r="AP11" s="442"/>
      <c r="AQ11" s="441"/>
      <c r="AR11" s="442"/>
      <c r="AS11" s="441"/>
      <c r="AT11" s="442"/>
    </row>
    <row r="12" spans="2:46" ht="18" customHeight="1" thickTop="1" x14ac:dyDescent="0.6">
      <c r="B12" s="667" t="s">
        <v>301</v>
      </c>
      <c r="C12" s="401"/>
      <c r="D12" s="13"/>
      <c r="E12" s="74"/>
      <c r="F12" s="456"/>
      <c r="G12" s="457"/>
      <c r="H12" s="456"/>
      <c r="I12" s="457"/>
      <c r="J12" s="456"/>
      <c r="K12" s="457"/>
      <c r="L12" s="456"/>
      <c r="M12" s="457"/>
      <c r="N12" s="456"/>
      <c r="O12" s="457"/>
      <c r="P12" s="456"/>
      <c r="Q12" s="457"/>
      <c r="R12" s="456"/>
      <c r="S12" s="457"/>
      <c r="T12" s="456"/>
      <c r="U12" s="457"/>
      <c r="V12" s="456"/>
      <c r="W12" s="457"/>
      <c r="X12" s="456"/>
      <c r="Y12" s="457"/>
      <c r="Z12" s="456"/>
      <c r="AA12" s="457"/>
      <c r="AB12" s="456"/>
      <c r="AC12" s="457"/>
      <c r="AD12" s="456"/>
      <c r="AE12" s="457"/>
      <c r="AF12" s="456"/>
      <c r="AG12" s="457"/>
      <c r="AH12" s="456"/>
      <c r="AI12" s="457"/>
      <c r="AJ12" s="456"/>
      <c r="AK12" s="457"/>
      <c r="AL12" s="456"/>
      <c r="AM12" s="457"/>
      <c r="AN12" s="456"/>
      <c r="AO12" s="457"/>
      <c r="AP12" s="456"/>
      <c r="AQ12" s="457"/>
      <c r="AR12" s="456"/>
      <c r="AS12" s="457"/>
      <c r="AT12" s="93"/>
    </row>
    <row r="13" spans="2:46" ht="18" customHeight="1" thickBot="1" x14ac:dyDescent="0.35">
      <c r="B13" s="667"/>
      <c r="C13" s="669">
        <f>'Plot Data'!L64</f>
        <v>1290</v>
      </c>
      <c r="D13" s="5"/>
      <c r="E13" s="6"/>
      <c r="F13" s="461"/>
      <c r="G13" s="462"/>
      <c r="H13" s="461"/>
      <c r="I13" s="462"/>
      <c r="J13" s="461"/>
      <c r="K13" s="462"/>
      <c r="L13" s="461"/>
      <c r="M13" s="462"/>
      <c r="N13" s="461"/>
      <c r="O13" s="462"/>
      <c r="P13" s="461"/>
      <c r="Q13" s="462"/>
      <c r="R13" s="461"/>
      <c r="S13" s="462"/>
      <c r="T13" s="461"/>
      <c r="U13" s="462"/>
      <c r="V13" s="461"/>
      <c r="W13" s="462"/>
      <c r="X13" s="461"/>
      <c r="Y13" s="462"/>
      <c r="Z13" s="461"/>
      <c r="AA13" s="462"/>
      <c r="AB13" s="461"/>
      <c r="AC13" s="462"/>
      <c r="AD13" s="461"/>
      <c r="AE13" s="462"/>
      <c r="AF13" s="461"/>
      <c r="AG13" s="462"/>
      <c r="AH13" s="461"/>
      <c r="AI13" s="462"/>
      <c r="AJ13" s="461"/>
      <c r="AK13" s="462"/>
      <c r="AL13" s="461"/>
      <c r="AM13" s="462"/>
      <c r="AN13" s="461"/>
      <c r="AO13" s="462"/>
      <c r="AP13" s="461"/>
      <c r="AQ13" s="462"/>
      <c r="AR13" s="461"/>
      <c r="AS13" s="462"/>
      <c r="AT13" s="463" t="s">
        <v>48</v>
      </c>
    </row>
    <row r="14" spans="2:46" ht="18" customHeight="1" thickTop="1" x14ac:dyDescent="0.3">
      <c r="B14" s="667"/>
      <c r="C14" s="669"/>
      <c r="D14" s="7"/>
      <c r="E14" s="8"/>
      <c r="F14" s="459"/>
      <c r="G14" s="460"/>
      <c r="H14" s="459"/>
      <c r="I14" s="460"/>
      <c r="J14" s="459"/>
      <c r="K14" s="460"/>
      <c r="L14" s="459"/>
      <c r="M14" s="460"/>
      <c r="N14" s="459"/>
      <c r="O14" s="460"/>
      <c r="P14" s="459"/>
      <c r="Q14" s="460"/>
      <c r="R14" s="459"/>
      <c r="S14" s="460"/>
      <c r="T14" s="459"/>
      <c r="U14" s="460"/>
      <c r="V14" s="459"/>
      <c r="W14" s="460"/>
      <c r="X14" s="459"/>
      <c r="Y14" s="460"/>
      <c r="Z14" s="459"/>
      <c r="AA14" s="460"/>
      <c r="AB14" s="459"/>
      <c r="AC14" s="460"/>
      <c r="AD14" s="459"/>
      <c r="AE14" s="460"/>
      <c r="AF14" s="459"/>
      <c r="AG14" s="460"/>
      <c r="AH14" s="459"/>
      <c r="AI14" s="460"/>
      <c r="AJ14" s="459"/>
      <c r="AK14" s="460"/>
      <c r="AL14" s="459"/>
      <c r="AM14" s="460"/>
      <c r="AN14" s="459"/>
      <c r="AO14" s="460"/>
      <c r="AP14" s="459"/>
      <c r="AQ14" s="460"/>
      <c r="AR14" s="459"/>
      <c r="AS14" s="460"/>
      <c r="AT14" s="464"/>
    </row>
    <row r="15" spans="2:46" ht="18" customHeight="1" x14ac:dyDescent="0.6">
      <c r="B15" s="667"/>
      <c r="C15" s="669">
        <f>C19+(C13-C19)/2</f>
        <v>1285</v>
      </c>
      <c r="D15" s="3"/>
      <c r="E15" s="8"/>
      <c r="F15" s="459"/>
      <c r="G15" s="460"/>
      <c r="H15" s="459"/>
      <c r="I15" s="460"/>
      <c r="J15" s="459"/>
      <c r="K15" s="460"/>
      <c r="L15" s="459"/>
      <c r="M15" s="460"/>
      <c r="N15" s="459"/>
      <c r="O15" s="460"/>
      <c r="P15" s="459"/>
      <c r="Q15" s="460"/>
      <c r="R15" s="459"/>
      <c r="S15" s="460"/>
      <c r="T15" s="459"/>
      <c r="U15" s="460"/>
      <c r="V15" s="459"/>
      <c r="W15" s="460"/>
      <c r="X15" s="459"/>
      <c r="Y15" s="460"/>
      <c r="Z15" s="459"/>
      <c r="AA15" s="460"/>
      <c r="AB15" s="459"/>
      <c r="AC15" s="460"/>
      <c r="AD15" s="459"/>
      <c r="AE15" s="460"/>
      <c r="AF15" s="459"/>
      <c r="AG15" s="460"/>
      <c r="AH15" s="459"/>
      <c r="AI15" s="460"/>
      <c r="AJ15" s="459"/>
      <c r="AK15" s="460"/>
      <c r="AL15" s="459"/>
      <c r="AM15" s="460"/>
      <c r="AN15" s="459"/>
      <c r="AO15" s="460"/>
      <c r="AP15" s="459"/>
      <c r="AQ15" s="460"/>
      <c r="AR15" s="459"/>
      <c r="AS15" s="460"/>
      <c r="AT15" s="94"/>
    </row>
    <row r="16" spans="2:46" ht="18" customHeight="1" x14ac:dyDescent="0.6">
      <c r="B16" s="667"/>
      <c r="C16" s="669"/>
      <c r="D16" s="3"/>
      <c r="E16" s="8"/>
      <c r="F16" s="459"/>
      <c r="G16" s="460"/>
      <c r="H16" s="459"/>
      <c r="I16" s="460"/>
      <c r="J16" s="459"/>
      <c r="K16" s="460"/>
      <c r="L16" s="459"/>
      <c r="M16" s="460"/>
      <c r="N16" s="459"/>
      <c r="O16" s="460"/>
      <c r="P16" s="459"/>
      <c r="Q16" s="460"/>
      <c r="R16" s="459"/>
      <c r="S16" s="460"/>
      <c r="T16" s="459"/>
      <c r="U16" s="460"/>
      <c r="V16" s="459"/>
      <c r="W16" s="460"/>
      <c r="X16" s="459"/>
      <c r="Y16" s="460"/>
      <c r="Z16" s="459"/>
      <c r="AA16" s="460"/>
      <c r="AB16" s="459"/>
      <c r="AC16" s="460"/>
      <c r="AD16" s="459"/>
      <c r="AE16" s="460"/>
      <c r="AF16" s="459"/>
      <c r="AG16" s="460"/>
      <c r="AH16" s="459"/>
      <c r="AI16" s="460"/>
      <c r="AJ16" s="459"/>
      <c r="AK16" s="460"/>
      <c r="AL16" s="459"/>
      <c r="AM16" s="460"/>
      <c r="AN16" s="459"/>
      <c r="AO16" s="460"/>
      <c r="AP16" s="459"/>
      <c r="AQ16" s="460"/>
      <c r="AR16" s="459"/>
      <c r="AS16" s="460"/>
      <c r="AT16" s="94"/>
    </row>
    <row r="17" spans="2:46" ht="18" customHeight="1" x14ac:dyDescent="0.6">
      <c r="B17" s="667"/>
      <c r="C17" s="669"/>
      <c r="D17" s="3"/>
      <c r="E17" s="8"/>
      <c r="F17" s="459"/>
      <c r="G17" s="460"/>
      <c r="H17" s="459"/>
      <c r="I17" s="460"/>
      <c r="J17" s="459"/>
      <c r="K17" s="460"/>
      <c r="L17" s="459"/>
      <c r="M17" s="460"/>
      <c r="N17" s="459"/>
      <c r="O17" s="460"/>
      <c r="P17" s="459"/>
      <c r="Q17" s="460"/>
      <c r="R17" s="459"/>
      <c r="S17" s="460"/>
      <c r="T17" s="459"/>
      <c r="U17" s="460"/>
      <c r="V17" s="459"/>
      <c r="W17" s="460"/>
      <c r="X17" s="459"/>
      <c r="Y17" s="460"/>
      <c r="Z17" s="459"/>
      <c r="AA17" s="460"/>
      <c r="AB17" s="459"/>
      <c r="AC17" s="460"/>
      <c r="AD17" s="459"/>
      <c r="AE17" s="460"/>
      <c r="AF17" s="459"/>
      <c r="AG17" s="460"/>
      <c r="AH17" s="459"/>
      <c r="AI17" s="460"/>
      <c r="AJ17" s="459"/>
      <c r="AK17" s="460"/>
      <c r="AL17" s="459"/>
      <c r="AM17" s="460"/>
      <c r="AN17" s="459"/>
      <c r="AO17" s="460"/>
      <c r="AP17" s="459"/>
      <c r="AQ17" s="460"/>
      <c r="AR17" s="459"/>
      <c r="AS17" s="460"/>
      <c r="AT17" s="94"/>
    </row>
    <row r="18" spans="2:46" ht="18" customHeight="1" x14ac:dyDescent="0.6">
      <c r="B18" s="667"/>
      <c r="C18" s="669"/>
      <c r="D18" s="3"/>
      <c r="E18" s="8"/>
      <c r="F18" s="459"/>
      <c r="G18" s="460"/>
      <c r="H18" s="459"/>
      <c r="I18" s="460"/>
      <c r="J18" s="459"/>
      <c r="K18" s="460"/>
      <c r="L18" s="459"/>
      <c r="M18" s="460"/>
      <c r="N18" s="459"/>
      <c r="O18" s="460"/>
      <c r="P18" s="459"/>
      <c r="Q18" s="460"/>
      <c r="R18" s="459"/>
      <c r="S18" s="460"/>
      <c r="T18" s="459"/>
      <c r="U18" s="460"/>
      <c r="V18" s="459"/>
      <c r="W18" s="460"/>
      <c r="X18" s="459"/>
      <c r="Y18" s="460"/>
      <c r="Z18" s="459"/>
      <c r="AA18" s="460"/>
      <c r="AB18" s="459"/>
      <c r="AC18" s="460"/>
      <c r="AD18" s="459"/>
      <c r="AE18" s="460"/>
      <c r="AF18" s="459"/>
      <c r="AG18" s="460"/>
      <c r="AH18" s="459"/>
      <c r="AI18" s="460"/>
      <c r="AJ18" s="459"/>
      <c r="AK18" s="460"/>
      <c r="AL18" s="459"/>
      <c r="AM18" s="460"/>
      <c r="AN18" s="459"/>
      <c r="AO18" s="460"/>
      <c r="AP18" s="459"/>
      <c r="AQ18" s="460"/>
      <c r="AR18" s="459"/>
      <c r="AS18" s="460"/>
      <c r="AT18" s="94"/>
    </row>
    <row r="19" spans="2:46" ht="18" customHeight="1" thickBot="1" x14ac:dyDescent="0.35">
      <c r="B19" s="667"/>
      <c r="C19" s="669">
        <f>'Plot Data'!L62</f>
        <v>1280</v>
      </c>
      <c r="D19" s="9"/>
      <c r="E19" s="10"/>
      <c r="F19" s="11"/>
      <c r="G19" s="12"/>
      <c r="H19" s="11"/>
      <c r="I19" s="12"/>
      <c r="J19" s="11"/>
      <c r="K19" s="12"/>
      <c r="L19" s="11"/>
      <c r="M19" s="12"/>
      <c r="N19" s="11"/>
      <c r="O19" s="12"/>
      <c r="P19" s="11"/>
      <c r="Q19" s="12"/>
      <c r="R19" s="11"/>
      <c r="S19" s="12"/>
      <c r="T19" s="11"/>
      <c r="U19" s="12"/>
      <c r="V19" s="11"/>
      <c r="W19" s="12"/>
      <c r="X19" s="11"/>
      <c r="Y19" s="12"/>
      <c r="Z19" s="11"/>
      <c r="AA19" s="12"/>
      <c r="AB19" s="11"/>
      <c r="AC19" s="12"/>
      <c r="AD19" s="11"/>
      <c r="AE19" s="12"/>
      <c r="AF19" s="11"/>
      <c r="AG19" s="12"/>
      <c r="AH19" s="11"/>
      <c r="AI19" s="12"/>
      <c r="AJ19" s="11"/>
      <c r="AK19" s="12"/>
      <c r="AL19" s="11"/>
      <c r="AM19" s="12"/>
      <c r="AN19" s="11"/>
      <c r="AO19" s="12"/>
      <c r="AP19" s="11"/>
      <c r="AQ19" s="12"/>
      <c r="AR19" s="11"/>
      <c r="AS19" s="12"/>
      <c r="AT19" s="463" t="s">
        <v>47</v>
      </c>
    </row>
    <row r="20" spans="2:46" ht="18" customHeight="1" x14ac:dyDescent="0.3">
      <c r="B20" s="667"/>
      <c r="C20" s="669"/>
      <c r="D20" s="7"/>
      <c r="E20" s="8"/>
      <c r="F20" s="459"/>
      <c r="G20" s="460"/>
      <c r="H20" s="459"/>
      <c r="I20" s="460"/>
      <c r="J20" s="459"/>
      <c r="K20" s="460"/>
      <c r="L20" s="459"/>
      <c r="M20" s="460"/>
      <c r="N20" s="459"/>
      <c r="O20" s="460"/>
      <c r="P20" s="459"/>
      <c r="Q20" s="460"/>
      <c r="R20" s="459"/>
      <c r="S20" s="460"/>
      <c r="T20" s="459"/>
      <c r="U20" s="460"/>
      <c r="V20" s="459"/>
      <c r="W20" s="460"/>
      <c r="X20" s="459"/>
      <c r="Y20" s="460"/>
      <c r="Z20" s="459"/>
      <c r="AA20" s="460"/>
      <c r="AB20" s="459"/>
      <c r="AC20" s="460"/>
      <c r="AD20" s="459"/>
      <c r="AE20" s="460"/>
      <c r="AF20" s="459"/>
      <c r="AG20" s="460"/>
      <c r="AH20" s="459"/>
      <c r="AI20" s="460"/>
      <c r="AJ20" s="459"/>
      <c r="AK20" s="460"/>
      <c r="AL20" s="459"/>
      <c r="AM20" s="460"/>
      <c r="AN20" s="459"/>
      <c r="AO20" s="460"/>
      <c r="AP20" s="459"/>
      <c r="AQ20" s="460"/>
      <c r="AR20" s="459"/>
      <c r="AS20" s="460"/>
      <c r="AT20" s="464"/>
    </row>
    <row r="21" spans="2:46" ht="18" customHeight="1" x14ac:dyDescent="0.6">
      <c r="B21" s="667"/>
      <c r="C21" s="669">
        <f>C25+(C19-C25)/2</f>
        <v>1275</v>
      </c>
      <c r="D21" s="3"/>
      <c r="E21" s="8"/>
      <c r="F21" s="459"/>
      <c r="G21" s="460"/>
      <c r="H21" s="459"/>
      <c r="I21" s="460"/>
      <c r="J21" s="459"/>
      <c r="K21" s="460"/>
      <c r="L21" s="459"/>
      <c r="M21" s="460"/>
      <c r="N21" s="459"/>
      <c r="O21" s="460"/>
      <c r="P21" s="459"/>
      <c r="Q21" s="460"/>
      <c r="R21" s="459"/>
      <c r="S21" s="460"/>
      <c r="T21" s="459"/>
      <c r="U21" s="460"/>
      <c r="V21" s="459"/>
      <c r="W21" s="460"/>
      <c r="X21" s="459"/>
      <c r="Y21" s="460"/>
      <c r="Z21" s="459"/>
      <c r="AA21" s="460"/>
      <c r="AB21" s="459"/>
      <c r="AC21" s="460"/>
      <c r="AD21" s="459"/>
      <c r="AE21" s="460"/>
      <c r="AF21" s="459"/>
      <c r="AG21" s="460"/>
      <c r="AH21" s="459"/>
      <c r="AI21" s="460"/>
      <c r="AJ21" s="459"/>
      <c r="AK21" s="460"/>
      <c r="AL21" s="459"/>
      <c r="AM21" s="460"/>
      <c r="AN21" s="459"/>
      <c r="AO21" s="460"/>
      <c r="AP21" s="459"/>
      <c r="AQ21" s="460"/>
      <c r="AR21" s="459"/>
      <c r="AS21" s="460"/>
      <c r="AT21" s="94"/>
    </row>
    <row r="22" spans="2:46" ht="18" customHeight="1" x14ac:dyDescent="0.6">
      <c r="B22" s="667"/>
      <c r="C22" s="669"/>
      <c r="D22" s="3"/>
      <c r="E22" s="8"/>
      <c r="F22" s="459"/>
      <c r="G22" s="460"/>
      <c r="H22" s="459"/>
      <c r="I22" s="460"/>
      <c r="J22" s="459"/>
      <c r="K22" s="460"/>
      <c r="L22" s="459"/>
      <c r="M22" s="460"/>
      <c r="N22" s="459"/>
      <c r="O22" s="460"/>
      <c r="P22" s="459"/>
      <c r="Q22" s="460"/>
      <c r="R22" s="459"/>
      <c r="S22" s="460"/>
      <c r="T22" s="459"/>
      <c r="U22" s="460"/>
      <c r="V22" s="459"/>
      <c r="W22" s="460"/>
      <c r="X22" s="459"/>
      <c r="Y22" s="460"/>
      <c r="Z22" s="459"/>
      <c r="AA22" s="460"/>
      <c r="AB22" s="459"/>
      <c r="AC22" s="460"/>
      <c r="AD22" s="459"/>
      <c r="AE22" s="460"/>
      <c r="AF22" s="459"/>
      <c r="AG22" s="460"/>
      <c r="AH22" s="459"/>
      <c r="AI22" s="460"/>
      <c r="AJ22" s="459"/>
      <c r="AK22" s="460"/>
      <c r="AL22" s="459"/>
      <c r="AM22" s="460"/>
      <c r="AN22" s="459"/>
      <c r="AO22" s="460"/>
      <c r="AP22" s="459"/>
      <c r="AQ22" s="460"/>
      <c r="AR22" s="459"/>
      <c r="AS22" s="460"/>
      <c r="AT22" s="94"/>
    </row>
    <row r="23" spans="2:46" ht="18" customHeight="1" x14ac:dyDescent="0.6">
      <c r="B23" s="667"/>
      <c r="C23" s="669"/>
      <c r="D23" s="3"/>
      <c r="E23" s="8"/>
      <c r="F23" s="459"/>
      <c r="G23" s="460"/>
      <c r="H23" s="459"/>
      <c r="I23" s="460"/>
      <c r="J23" s="459"/>
      <c r="K23" s="460"/>
      <c r="L23" s="459"/>
      <c r="M23" s="460"/>
      <c r="N23" s="459"/>
      <c r="O23" s="460"/>
      <c r="P23" s="459"/>
      <c r="Q23" s="460"/>
      <c r="R23" s="459"/>
      <c r="S23" s="460"/>
      <c r="T23" s="459"/>
      <c r="U23" s="460"/>
      <c r="V23" s="459"/>
      <c r="W23" s="460"/>
      <c r="X23" s="459"/>
      <c r="Y23" s="460"/>
      <c r="Z23" s="459"/>
      <c r="AA23" s="460"/>
      <c r="AB23" s="459"/>
      <c r="AC23" s="460"/>
      <c r="AD23" s="459"/>
      <c r="AE23" s="460"/>
      <c r="AF23" s="459"/>
      <c r="AG23" s="460"/>
      <c r="AH23" s="459"/>
      <c r="AI23" s="460"/>
      <c r="AJ23" s="459"/>
      <c r="AK23" s="460"/>
      <c r="AL23" s="459"/>
      <c r="AM23" s="460"/>
      <c r="AN23" s="459"/>
      <c r="AO23" s="460"/>
      <c r="AP23" s="459"/>
      <c r="AQ23" s="460"/>
      <c r="AR23" s="459"/>
      <c r="AS23" s="460"/>
      <c r="AT23" s="94"/>
    </row>
    <row r="24" spans="2:46" ht="18" customHeight="1" x14ac:dyDescent="0.6">
      <c r="B24" s="667"/>
      <c r="C24" s="669"/>
      <c r="D24" s="7"/>
      <c r="E24" s="8"/>
      <c r="F24" s="459"/>
      <c r="G24" s="460"/>
      <c r="H24" s="459"/>
      <c r="I24" s="460"/>
      <c r="J24" s="459"/>
      <c r="K24" s="460"/>
      <c r="L24" s="459"/>
      <c r="M24" s="460"/>
      <c r="N24" s="459"/>
      <c r="O24" s="460"/>
      <c r="P24" s="459"/>
      <c r="Q24" s="460"/>
      <c r="R24" s="459"/>
      <c r="S24" s="460"/>
      <c r="T24" s="459"/>
      <c r="U24" s="460"/>
      <c r="V24" s="459"/>
      <c r="W24" s="460"/>
      <c r="X24" s="459"/>
      <c r="Y24" s="460"/>
      <c r="Z24" s="459"/>
      <c r="AA24" s="460"/>
      <c r="AB24" s="459"/>
      <c r="AC24" s="460"/>
      <c r="AD24" s="459"/>
      <c r="AE24" s="460"/>
      <c r="AF24" s="459"/>
      <c r="AG24" s="460"/>
      <c r="AH24" s="459"/>
      <c r="AI24" s="460"/>
      <c r="AJ24" s="459"/>
      <c r="AK24" s="460"/>
      <c r="AL24" s="459"/>
      <c r="AM24" s="460"/>
      <c r="AN24" s="459"/>
      <c r="AO24" s="460"/>
      <c r="AP24" s="459"/>
      <c r="AQ24" s="460"/>
      <c r="AR24" s="459"/>
      <c r="AS24" s="460"/>
      <c r="AT24" s="94"/>
    </row>
    <row r="25" spans="2:46" ht="18" customHeight="1" x14ac:dyDescent="0.6">
      <c r="B25" s="667"/>
      <c r="C25" s="669">
        <f>'Plot Data'!L63</f>
        <v>1270</v>
      </c>
      <c r="D25" s="3"/>
      <c r="E25" s="8"/>
      <c r="F25" s="459"/>
      <c r="G25" s="460"/>
      <c r="H25" s="459"/>
      <c r="I25" s="460"/>
      <c r="J25" s="459"/>
      <c r="K25" s="460"/>
      <c r="L25" s="459"/>
      <c r="M25" s="460"/>
      <c r="N25" s="459"/>
      <c r="O25" s="460"/>
      <c r="P25" s="459"/>
      <c r="Q25" s="460"/>
      <c r="R25" s="459"/>
      <c r="S25" s="460"/>
      <c r="T25" s="459"/>
      <c r="U25" s="460"/>
      <c r="V25" s="459"/>
      <c r="W25" s="460"/>
      <c r="X25" s="459"/>
      <c r="Y25" s="460"/>
      <c r="Z25" s="459"/>
      <c r="AA25" s="460"/>
      <c r="AB25" s="459"/>
      <c r="AC25" s="460"/>
      <c r="AD25" s="459"/>
      <c r="AE25" s="460"/>
      <c r="AF25" s="459"/>
      <c r="AG25" s="460"/>
      <c r="AH25" s="459"/>
      <c r="AI25" s="460"/>
      <c r="AJ25" s="459"/>
      <c r="AK25" s="460"/>
      <c r="AL25" s="459"/>
      <c r="AM25" s="460"/>
      <c r="AN25" s="459"/>
      <c r="AO25" s="460"/>
      <c r="AP25" s="459"/>
      <c r="AQ25" s="460"/>
      <c r="AR25" s="459"/>
      <c r="AS25" s="460"/>
      <c r="AT25" s="94"/>
    </row>
    <row r="26" spans="2:46" ht="18" customHeight="1" x14ac:dyDescent="0.6">
      <c r="B26" s="667"/>
      <c r="C26" s="669"/>
      <c r="D26" s="3"/>
      <c r="E26" s="8"/>
      <c r="F26" s="459"/>
      <c r="G26" s="460"/>
      <c r="H26" s="459"/>
      <c r="I26" s="460"/>
      <c r="J26" s="459"/>
      <c r="K26" s="460"/>
      <c r="L26" s="459"/>
      <c r="M26" s="460"/>
      <c r="N26" s="459"/>
      <c r="O26" s="460"/>
      <c r="P26" s="459"/>
      <c r="Q26" s="460"/>
      <c r="R26" s="459"/>
      <c r="S26" s="460"/>
      <c r="T26" s="459"/>
      <c r="U26" s="460"/>
      <c r="V26" s="459"/>
      <c r="W26" s="460"/>
      <c r="X26" s="459"/>
      <c r="Y26" s="460"/>
      <c r="Z26" s="459"/>
      <c r="AA26" s="460"/>
      <c r="AB26" s="459"/>
      <c r="AC26" s="460"/>
      <c r="AD26" s="459"/>
      <c r="AE26" s="460"/>
      <c r="AF26" s="459"/>
      <c r="AG26" s="460"/>
      <c r="AH26" s="459"/>
      <c r="AI26" s="460"/>
      <c r="AJ26" s="459"/>
      <c r="AK26" s="460"/>
      <c r="AL26" s="459"/>
      <c r="AM26" s="460"/>
      <c r="AN26" s="459"/>
      <c r="AO26" s="460"/>
      <c r="AP26" s="459"/>
      <c r="AQ26" s="460"/>
      <c r="AR26" s="459"/>
      <c r="AS26" s="460"/>
      <c r="AT26" s="94"/>
    </row>
    <row r="27" spans="2:46" ht="18" customHeight="1" x14ac:dyDescent="0.6">
      <c r="B27" s="667"/>
      <c r="C27" s="669">
        <f>C31+(C25-C31)/2</f>
        <v>1265</v>
      </c>
      <c r="D27" s="13"/>
      <c r="E27" s="8"/>
      <c r="F27" s="459"/>
      <c r="G27" s="460"/>
      <c r="H27" s="459"/>
      <c r="I27" s="460"/>
      <c r="J27" s="459"/>
      <c r="K27" s="460"/>
      <c r="L27" s="459"/>
      <c r="M27" s="460"/>
      <c r="N27" s="459"/>
      <c r="O27" s="460"/>
      <c r="P27" s="459"/>
      <c r="Q27" s="460"/>
      <c r="R27" s="459"/>
      <c r="S27" s="460"/>
      <c r="T27" s="459"/>
      <c r="U27" s="460"/>
      <c r="V27" s="459"/>
      <c r="W27" s="460"/>
      <c r="X27" s="459"/>
      <c r="Y27" s="460"/>
      <c r="Z27" s="459"/>
      <c r="AA27" s="460"/>
      <c r="AB27" s="459"/>
      <c r="AC27" s="460"/>
      <c r="AD27" s="459"/>
      <c r="AE27" s="460"/>
      <c r="AF27" s="459"/>
      <c r="AG27" s="460"/>
      <c r="AH27" s="459"/>
      <c r="AI27" s="460"/>
      <c r="AJ27" s="459"/>
      <c r="AK27" s="460"/>
      <c r="AL27" s="459"/>
      <c r="AM27" s="460"/>
      <c r="AN27" s="459"/>
      <c r="AO27" s="460"/>
      <c r="AP27" s="459"/>
      <c r="AQ27" s="460"/>
      <c r="AR27" s="459"/>
      <c r="AS27" s="460"/>
      <c r="AT27" s="94"/>
    </row>
    <row r="28" spans="2:46" ht="18" customHeight="1" x14ac:dyDescent="0.6">
      <c r="B28" s="667"/>
      <c r="C28" s="669"/>
      <c r="D28" s="3"/>
      <c r="E28" s="8"/>
      <c r="F28" s="459"/>
      <c r="G28" s="460"/>
      <c r="H28" s="459"/>
      <c r="I28" s="460"/>
      <c r="J28" s="459"/>
      <c r="K28" s="460"/>
      <c r="L28" s="459"/>
      <c r="M28" s="460"/>
      <c r="N28" s="459"/>
      <c r="O28" s="460"/>
      <c r="P28" s="459"/>
      <c r="Q28" s="460"/>
      <c r="R28" s="459"/>
      <c r="S28" s="460"/>
      <c r="T28" s="459"/>
      <c r="U28" s="460"/>
      <c r="V28" s="459"/>
      <c r="W28" s="460"/>
      <c r="X28" s="459"/>
      <c r="Y28" s="460"/>
      <c r="Z28" s="459"/>
      <c r="AA28" s="460"/>
      <c r="AB28" s="459"/>
      <c r="AC28" s="460"/>
      <c r="AD28" s="459"/>
      <c r="AE28" s="460"/>
      <c r="AF28" s="459"/>
      <c r="AG28" s="460"/>
      <c r="AH28" s="459"/>
      <c r="AI28" s="460"/>
      <c r="AJ28" s="459"/>
      <c r="AK28" s="460"/>
      <c r="AL28" s="459"/>
      <c r="AM28" s="460"/>
      <c r="AN28" s="459"/>
      <c r="AO28" s="460"/>
      <c r="AP28" s="459"/>
      <c r="AQ28" s="460"/>
      <c r="AR28" s="459"/>
      <c r="AS28" s="460"/>
      <c r="AT28" s="94"/>
    </row>
    <row r="29" spans="2:46" ht="18" customHeight="1" x14ac:dyDescent="0.6">
      <c r="B29" s="667"/>
      <c r="C29" s="669"/>
      <c r="D29" s="3"/>
      <c r="E29" s="8"/>
      <c r="F29" s="459"/>
      <c r="G29" s="460"/>
      <c r="H29" s="459"/>
      <c r="I29" s="460"/>
      <c r="J29" s="459"/>
      <c r="K29" s="460"/>
      <c r="L29" s="459"/>
      <c r="M29" s="460"/>
      <c r="N29" s="459"/>
      <c r="O29" s="460"/>
      <c r="P29" s="459"/>
      <c r="Q29" s="460"/>
      <c r="R29" s="459"/>
      <c r="S29" s="460"/>
      <c r="T29" s="459"/>
      <c r="U29" s="460"/>
      <c r="V29" s="459"/>
      <c r="W29" s="460"/>
      <c r="X29" s="459"/>
      <c r="Y29" s="460"/>
      <c r="Z29" s="459"/>
      <c r="AA29" s="460"/>
      <c r="AB29" s="459"/>
      <c r="AC29" s="460"/>
      <c r="AD29" s="459"/>
      <c r="AE29" s="460"/>
      <c r="AF29" s="459"/>
      <c r="AG29" s="460"/>
      <c r="AH29" s="459"/>
      <c r="AI29" s="460"/>
      <c r="AJ29" s="459"/>
      <c r="AK29" s="460"/>
      <c r="AL29" s="459"/>
      <c r="AM29" s="460"/>
      <c r="AN29" s="459"/>
      <c r="AO29" s="460"/>
      <c r="AP29" s="459"/>
      <c r="AQ29" s="460"/>
      <c r="AR29" s="459"/>
      <c r="AS29" s="460"/>
      <c r="AT29" s="94"/>
    </row>
    <row r="30" spans="2:46" ht="18" customHeight="1" x14ac:dyDescent="0.6">
      <c r="B30" s="667"/>
      <c r="C30" s="669"/>
      <c r="D30" s="3"/>
      <c r="E30" s="8"/>
      <c r="F30" s="459"/>
      <c r="G30" s="460"/>
      <c r="H30" s="459"/>
      <c r="I30" s="460"/>
      <c r="J30" s="459"/>
      <c r="K30" s="460"/>
      <c r="L30" s="459"/>
      <c r="M30" s="460"/>
      <c r="N30" s="459"/>
      <c r="O30" s="460"/>
      <c r="P30" s="459"/>
      <c r="Q30" s="460"/>
      <c r="R30" s="459"/>
      <c r="S30" s="460"/>
      <c r="T30" s="459"/>
      <c r="U30" s="460"/>
      <c r="V30" s="459"/>
      <c r="W30" s="460"/>
      <c r="X30" s="459"/>
      <c r="Y30" s="460"/>
      <c r="Z30" s="459"/>
      <c r="AA30" s="460"/>
      <c r="AB30" s="459"/>
      <c r="AC30" s="460"/>
      <c r="AD30" s="459"/>
      <c r="AE30" s="460"/>
      <c r="AF30" s="459"/>
      <c r="AG30" s="460"/>
      <c r="AH30" s="459"/>
      <c r="AI30" s="460"/>
      <c r="AJ30" s="459"/>
      <c r="AK30" s="460"/>
      <c r="AL30" s="459"/>
      <c r="AM30" s="460"/>
      <c r="AN30" s="459"/>
      <c r="AO30" s="460"/>
      <c r="AP30" s="459"/>
      <c r="AQ30" s="460"/>
      <c r="AR30" s="459"/>
      <c r="AS30" s="460"/>
      <c r="AT30" s="94"/>
    </row>
    <row r="31" spans="2:46" ht="18" customHeight="1" thickBot="1" x14ac:dyDescent="0.35">
      <c r="B31" s="667"/>
      <c r="C31" s="669">
        <f>'Plot Data'!L58</f>
        <v>1260</v>
      </c>
      <c r="D31" s="14"/>
      <c r="E31" s="15"/>
      <c r="F31" s="465"/>
      <c r="G31" s="466"/>
      <c r="H31" s="465"/>
      <c r="I31" s="466"/>
      <c r="J31" s="465"/>
      <c r="K31" s="466"/>
      <c r="L31" s="465"/>
      <c r="M31" s="466"/>
      <c r="N31" s="465"/>
      <c r="O31" s="466"/>
      <c r="P31" s="465"/>
      <c r="Q31" s="466"/>
      <c r="R31" s="465"/>
      <c r="S31" s="466"/>
      <c r="T31" s="465"/>
      <c r="U31" s="466"/>
      <c r="V31" s="465"/>
      <c r="W31" s="466"/>
      <c r="X31" s="465"/>
      <c r="Y31" s="466"/>
      <c r="Z31" s="465"/>
      <c r="AA31" s="466"/>
      <c r="AB31" s="465"/>
      <c r="AC31" s="466"/>
      <c r="AD31" s="465"/>
      <c r="AE31" s="466"/>
      <c r="AF31" s="465"/>
      <c r="AG31" s="466"/>
      <c r="AH31" s="465"/>
      <c r="AI31" s="466"/>
      <c r="AJ31" s="465"/>
      <c r="AK31" s="466"/>
      <c r="AL31" s="465"/>
      <c r="AM31" s="466"/>
      <c r="AN31" s="465"/>
      <c r="AO31" s="466"/>
      <c r="AP31" s="465"/>
      <c r="AQ31" s="466"/>
      <c r="AR31" s="465"/>
      <c r="AS31" s="466"/>
      <c r="AT31" s="469" t="s">
        <v>90</v>
      </c>
    </row>
    <row r="32" spans="2:46" ht="18" customHeight="1" x14ac:dyDescent="0.3">
      <c r="B32" s="667"/>
      <c r="C32" s="669"/>
      <c r="D32" s="16"/>
      <c r="E32" s="17"/>
      <c r="F32" s="467"/>
      <c r="G32" s="468"/>
      <c r="H32" s="467"/>
      <c r="I32" s="468"/>
      <c r="J32" s="467"/>
      <c r="K32" s="468"/>
      <c r="L32" s="467"/>
      <c r="M32" s="468"/>
      <c r="N32" s="467"/>
      <c r="O32" s="468"/>
      <c r="P32" s="467"/>
      <c r="Q32" s="468"/>
      <c r="R32" s="467"/>
      <c r="S32" s="468"/>
      <c r="T32" s="467"/>
      <c r="U32" s="468"/>
      <c r="V32" s="467"/>
      <c r="W32" s="468"/>
      <c r="X32" s="467"/>
      <c r="Y32" s="468"/>
      <c r="Z32" s="467"/>
      <c r="AA32" s="468"/>
      <c r="AB32" s="467"/>
      <c r="AC32" s="468"/>
      <c r="AD32" s="467"/>
      <c r="AE32" s="468"/>
      <c r="AF32" s="467"/>
      <c r="AG32" s="468"/>
      <c r="AH32" s="467"/>
      <c r="AI32" s="468"/>
      <c r="AJ32" s="467"/>
      <c r="AK32" s="468"/>
      <c r="AL32" s="467"/>
      <c r="AM32" s="468"/>
      <c r="AN32" s="467"/>
      <c r="AO32" s="468"/>
      <c r="AP32" s="467"/>
      <c r="AQ32" s="468"/>
      <c r="AR32" s="467"/>
      <c r="AS32" s="468"/>
      <c r="AT32" s="464"/>
    </row>
    <row r="33" spans="2:46" ht="18" customHeight="1" x14ac:dyDescent="0.6">
      <c r="B33" s="667"/>
      <c r="C33" s="669">
        <f>C37+(C31-C37)/2</f>
        <v>1255</v>
      </c>
      <c r="D33" s="3"/>
      <c r="E33" s="8"/>
      <c r="F33" s="459"/>
      <c r="G33" s="460"/>
      <c r="H33" s="459"/>
      <c r="I33" s="460"/>
      <c r="J33" s="459"/>
      <c r="K33" s="460"/>
      <c r="L33" s="459"/>
      <c r="M33" s="460"/>
      <c r="N33" s="459"/>
      <c r="O33" s="460"/>
      <c r="P33" s="459"/>
      <c r="Q33" s="460"/>
      <c r="R33" s="459"/>
      <c r="S33" s="460"/>
      <c r="T33" s="459"/>
      <c r="U33" s="460"/>
      <c r="V33" s="459"/>
      <c r="W33" s="460"/>
      <c r="X33" s="459"/>
      <c r="Y33" s="460"/>
      <c r="Z33" s="459"/>
      <c r="AA33" s="460"/>
      <c r="AB33" s="459"/>
      <c r="AC33" s="460"/>
      <c r="AD33" s="459"/>
      <c r="AE33" s="460"/>
      <c r="AF33" s="459"/>
      <c r="AG33" s="460"/>
      <c r="AH33" s="459"/>
      <c r="AI33" s="460"/>
      <c r="AJ33" s="459"/>
      <c r="AK33" s="460"/>
      <c r="AL33" s="459"/>
      <c r="AM33" s="460"/>
      <c r="AN33" s="459"/>
      <c r="AO33" s="460"/>
      <c r="AP33" s="459"/>
      <c r="AQ33" s="460"/>
      <c r="AR33" s="459"/>
      <c r="AS33" s="460"/>
      <c r="AT33" s="94"/>
    </row>
    <row r="34" spans="2:46" ht="18" customHeight="1" x14ac:dyDescent="0.6">
      <c r="B34" s="667"/>
      <c r="C34" s="669"/>
      <c r="D34" s="13"/>
      <c r="E34" s="8"/>
      <c r="F34" s="459"/>
      <c r="G34" s="460"/>
      <c r="H34" s="459"/>
      <c r="I34" s="460"/>
      <c r="J34" s="459"/>
      <c r="K34" s="460"/>
      <c r="L34" s="459"/>
      <c r="M34" s="460"/>
      <c r="N34" s="459"/>
      <c r="O34" s="460"/>
      <c r="P34" s="459"/>
      <c r="Q34" s="460"/>
      <c r="R34" s="459"/>
      <c r="S34" s="460"/>
      <c r="T34" s="459"/>
      <c r="U34" s="460"/>
      <c r="V34" s="459"/>
      <c r="W34" s="460"/>
      <c r="X34" s="459"/>
      <c r="Y34" s="460"/>
      <c r="Z34" s="459"/>
      <c r="AA34" s="460"/>
      <c r="AB34" s="459"/>
      <c r="AC34" s="460"/>
      <c r="AD34" s="459"/>
      <c r="AE34" s="460"/>
      <c r="AF34" s="459"/>
      <c r="AG34" s="460"/>
      <c r="AH34" s="459"/>
      <c r="AI34" s="460"/>
      <c r="AJ34" s="459"/>
      <c r="AK34" s="460"/>
      <c r="AL34" s="459"/>
      <c r="AM34" s="460"/>
      <c r="AN34" s="459"/>
      <c r="AO34" s="460"/>
      <c r="AP34" s="459"/>
      <c r="AQ34" s="460"/>
      <c r="AR34" s="459"/>
      <c r="AS34" s="460"/>
      <c r="AT34" s="94"/>
    </row>
    <row r="35" spans="2:46" ht="18" customHeight="1" x14ac:dyDescent="0.6">
      <c r="B35" s="667"/>
      <c r="C35" s="669"/>
      <c r="D35" s="13"/>
      <c r="E35" s="8"/>
      <c r="F35" s="459"/>
      <c r="G35" s="460"/>
      <c r="H35" s="459"/>
      <c r="I35" s="460"/>
      <c r="J35" s="459"/>
      <c r="K35" s="460"/>
      <c r="L35" s="459"/>
      <c r="M35" s="460"/>
      <c r="N35" s="459"/>
      <c r="O35" s="460"/>
      <c r="P35" s="459"/>
      <c r="Q35" s="460"/>
      <c r="R35" s="459"/>
      <c r="S35" s="460"/>
      <c r="T35" s="459"/>
      <c r="U35" s="460"/>
      <c r="V35" s="459"/>
      <c r="W35" s="460"/>
      <c r="X35" s="459"/>
      <c r="Y35" s="460"/>
      <c r="Z35" s="459"/>
      <c r="AA35" s="460"/>
      <c r="AB35" s="459"/>
      <c r="AC35" s="460"/>
      <c r="AD35" s="459"/>
      <c r="AE35" s="460"/>
      <c r="AF35" s="459"/>
      <c r="AG35" s="460"/>
      <c r="AH35" s="459"/>
      <c r="AI35" s="460"/>
      <c r="AJ35" s="459"/>
      <c r="AK35" s="460"/>
      <c r="AL35" s="459"/>
      <c r="AM35" s="460"/>
      <c r="AN35" s="459"/>
      <c r="AO35" s="460"/>
      <c r="AP35" s="459"/>
      <c r="AQ35" s="460"/>
      <c r="AR35" s="459"/>
      <c r="AS35" s="460"/>
      <c r="AT35" s="94"/>
    </row>
    <row r="36" spans="2:46" ht="18" customHeight="1" x14ac:dyDescent="0.6">
      <c r="B36" s="667"/>
      <c r="C36" s="669"/>
      <c r="D36" s="92"/>
      <c r="E36" s="8"/>
      <c r="F36" s="459"/>
      <c r="G36" s="460"/>
      <c r="H36" s="459"/>
      <c r="I36" s="460"/>
      <c r="J36" s="459"/>
      <c r="K36" s="460"/>
      <c r="L36" s="459"/>
      <c r="M36" s="460"/>
      <c r="N36" s="459"/>
      <c r="O36" s="460"/>
      <c r="P36" s="459"/>
      <c r="Q36" s="460"/>
      <c r="R36" s="459"/>
      <c r="S36" s="460"/>
      <c r="T36" s="459"/>
      <c r="U36" s="460"/>
      <c r="V36" s="459"/>
      <c r="W36" s="460"/>
      <c r="X36" s="459"/>
      <c r="Y36" s="460"/>
      <c r="Z36" s="459"/>
      <c r="AA36" s="460"/>
      <c r="AB36" s="459"/>
      <c r="AC36" s="460"/>
      <c r="AD36" s="459"/>
      <c r="AE36" s="460"/>
      <c r="AF36" s="459"/>
      <c r="AG36" s="460"/>
      <c r="AH36" s="459"/>
      <c r="AI36" s="460"/>
      <c r="AJ36" s="459"/>
      <c r="AK36" s="460"/>
      <c r="AL36" s="459"/>
      <c r="AM36" s="460"/>
      <c r="AN36" s="459"/>
      <c r="AO36" s="460"/>
      <c r="AP36" s="459"/>
      <c r="AQ36" s="460"/>
      <c r="AR36" s="459"/>
      <c r="AS36" s="460"/>
      <c r="AT36" s="94"/>
    </row>
    <row r="37" spans="2:46" ht="18" customHeight="1" x14ac:dyDescent="0.6">
      <c r="B37" s="667"/>
      <c r="C37" s="669">
        <f>'Plot Data'!L66</f>
        <v>1250</v>
      </c>
      <c r="D37" s="3"/>
      <c r="E37" s="8"/>
      <c r="F37" s="470"/>
      <c r="G37" s="471"/>
      <c r="H37" s="459"/>
      <c r="I37" s="460"/>
      <c r="J37" s="459"/>
      <c r="K37" s="460"/>
      <c r="L37" s="459"/>
      <c r="M37" s="460"/>
      <c r="N37" s="459"/>
      <c r="O37" s="460"/>
      <c r="P37" s="459"/>
      <c r="Q37" s="460"/>
      <c r="R37" s="459"/>
      <c r="S37" s="460"/>
      <c r="T37" s="459"/>
      <c r="U37" s="460"/>
      <c r="V37" s="459"/>
      <c r="W37" s="460"/>
      <c r="X37" s="459"/>
      <c r="Y37" s="460"/>
      <c r="Z37" s="459"/>
      <c r="AA37" s="460"/>
      <c r="AB37" s="459"/>
      <c r="AC37" s="460"/>
      <c r="AD37" s="459"/>
      <c r="AE37" s="460"/>
      <c r="AF37" s="459"/>
      <c r="AG37" s="460"/>
      <c r="AH37" s="459"/>
      <c r="AI37" s="460"/>
      <c r="AJ37" s="459"/>
      <c r="AK37" s="460"/>
      <c r="AL37" s="459"/>
      <c r="AM37" s="460"/>
      <c r="AN37" s="459"/>
      <c r="AO37" s="460"/>
      <c r="AP37" s="459"/>
      <c r="AQ37" s="460"/>
      <c r="AR37" s="459"/>
      <c r="AS37" s="460"/>
      <c r="AT37" s="94"/>
    </row>
    <row r="38" spans="2:46" ht="18" customHeight="1" x14ac:dyDescent="0.6">
      <c r="B38" s="667"/>
      <c r="C38" s="669"/>
      <c r="D38" s="7"/>
      <c r="E38" s="8"/>
      <c r="F38" s="459"/>
      <c r="G38" s="460"/>
      <c r="H38" s="459"/>
      <c r="I38" s="460"/>
      <c r="J38" s="459"/>
      <c r="K38" s="460"/>
      <c r="L38" s="459"/>
      <c r="M38" s="460"/>
      <c r="N38" s="459"/>
      <c r="O38" s="460"/>
      <c r="P38" s="459"/>
      <c r="Q38" s="460"/>
      <c r="R38" s="459"/>
      <c r="S38" s="460"/>
      <c r="T38" s="459"/>
      <c r="U38" s="460"/>
      <c r="V38" s="459"/>
      <c r="W38" s="460"/>
      <c r="X38" s="459"/>
      <c r="Y38" s="460"/>
      <c r="Z38" s="459"/>
      <c r="AA38" s="460"/>
      <c r="AB38" s="459"/>
      <c r="AC38" s="460"/>
      <c r="AD38" s="459"/>
      <c r="AE38" s="460"/>
      <c r="AF38" s="459"/>
      <c r="AG38" s="460"/>
      <c r="AH38" s="459"/>
      <c r="AI38" s="460"/>
      <c r="AJ38" s="459"/>
      <c r="AK38" s="460"/>
      <c r="AL38" s="459"/>
      <c r="AM38" s="460"/>
      <c r="AN38" s="459"/>
      <c r="AO38" s="460"/>
      <c r="AP38" s="459"/>
      <c r="AQ38" s="460"/>
      <c r="AR38" s="459"/>
      <c r="AS38" s="460"/>
      <c r="AT38" s="94"/>
    </row>
    <row r="39" spans="2:46" ht="18" customHeight="1" x14ac:dyDescent="0.6">
      <c r="B39" s="667"/>
      <c r="C39" s="669">
        <f>C43+(C37-C43)/2</f>
        <v>1245</v>
      </c>
      <c r="D39" s="3"/>
      <c r="E39" s="8"/>
      <c r="F39" s="459"/>
      <c r="G39" s="460"/>
      <c r="H39" s="459"/>
      <c r="I39" s="460"/>
      <c r="J39" s="459"/>
      <c r="K39" s="460"/>
      <c r="L39" s="459"/>
      <c r="M39" s="460"/>
      <c r="N39" s="459"/>
      <c r="O39" s="460"/>
      <c r="P39" s="459"/>
      <c r="Q39" s="460"/>
      <c r="R39" s="459"/>
      <c r="S39" s="460"/>
      <c r="T39" s="459"/>
      <c r="U39" s="460"/>
      <c r="V39" s="459"/>
      <c r="W39" s="460"/>
      <c r="X39" s="459"/>
      <c r="Y39" s="460"/>
      <c r="Z39" s="459"/>
      <c r="AA39" s="460"/>
      <c r="AB39" s="459"/>
      <c r="AC39" s="460"/>
      <c r="AD39" s="459"/>
      <c r="AE39" s="460"/>
      <c r="AF39" s="459"/>
      <c r="AG39" s="460"/>
      <c r="AH39" s="459"/>
      <c r="AI39" s="460"/>
      <c r="AJ39" s="459"/>
      <c r="AK39" s="460"/>
      <c r="AL39" s="459"/>
      <c r="AM39" s="460"/>
      <c r="AN39" s="459"/>
      <c r="AO39" s="460"/>
      <c r="AP39" s="459"/>
      <c r="AQ39" s="460"/>
      <c r="AR39" s="459"/>
      <c r="AS39" s="460"/>
      <c r="AT39" s="94"/>
    </row>
    <row r="40" spans="2:46" ht="18" customHeight="1" x14ac:dyDescent="0.6">
      <c r="B40" s="667"/>
      <c r="C40" s="669"/>
      <c r="D40" s="3"/>
      <c r="E40" s="8"/>
      <c r="F40" s="459"/>
      <c r="G40" s="460"/>
      <c r="H40" s="459"/>
      <c r="I40" s="460"/>
      <c r="J40" s="459"/>
      <c r="K40" s="460"/>
      <c r="L40" s="459"/>
      <c r="M40" s="460"/>
      <c r="N40" s="459"/>
      <c r="O40" s="460"/>
      <c r="P40" s="459"/>
      <c r="Q40" s="460"/>
      <c r="R40" s="459"/>
      <c r="S40" s="460"/>
      <c r="T40" s="459"/>
      <c r="U40" s="460"/>
      <c r="V40" s="459"/>
      <c r="W40" s="460"/>
      <c r="X40" s="459"/>
      <c r="Y40" s="460"/>
      <c r="Z40" s="459"/>
      <c r="AA40" s="460"/>
      <c r="AB40" s="459"/>
      <c r="AC40" s="460"/>
      <c r="AD40" s="459"/>
      <c r="AE40" s="460"/>
      <c r="AF40" s="459"/>
      <c r="AG40" s="460"/>
      <c r="AH40" s="459"/>
      <c r="AI40" s="460"/>
      <c r="AJ40" s="459"/>
      <c r="AK40" s="460"/>
      <c r="AL40" s="459"/>
      <c r="AM40" s="460"/>
      <c r="AN40" s="459"/>
      <c r="AO40" s="460"/>
      <c r="AP40" s="459"/>
      <c r="AQ40" s="460"/>
      <c r="AR40" s="459"/>
      <c r="AS40" s="460"/>
      <c r="AT40" s="94"/>
    </row>
    <row r="41" spans="2:46" ht="18" customHeight="1" x14ac:dyDescent="0.6">
      <c r="B41" s="667"/>
      <c r="C41" s="669"/>
      <c r="D41" s="3"/>
      <c r="E41" s="8"/>
      <c r="F41" s="459"/>
      <c r="G41" s="460"/>
      <c r="H41" s="459"/>
      <c r="I41" s="460"/>
      <c r="J41" s="459"/>
      <c r="K41" s="460"/>
      <c r="L41" s="459"/>
      <c r="M41" s="460"/>
      <c r="N41" s="459"/>
      <c r="O41" s="460"/>
      <c r="P41" s="459"/>
      <c r="Q41" s="460"/>
      <c r="R41" s="459"/>
      <c r="S41" s="460"/>
      <c r="T41" s="459"/>
      <c r="U41" s="460"/>
      <c r="V41" s="459"/>
      <c r="W41" s="460"/>
      <c r="X41" s="459"/>
      <c r="Y41" s="460"/>
      <c r="Z41" s="459"/>
      <c r="AA41" s="460"/>
      <c r="AB41" s="459"/>
      <c r="AC41" s="460"/>
      <c r="AD41" s="459"/>
      <c r="AE41" s="460"/>
      <c r="AF41" s="459"/>
      <c r="AG41" s="460"/>
      <c r="AH41" s="459"/>
      <c r="AI41" s="460"/>
      <c r="AJ41" s="459"/>
      <c r="AK41" s="460"/>
      <c r="AL41" s="459"/>
      <c r="AM41" s="460"/>
      <c r="AN41" s="459"/>
      <c r="AO41" s="460"/>
      <c r="AP41" s="459"/>
      <c r="AQ41" s="460"/>
      <c r="AR41" s="459"/>
      <c r="AS41" s="460"/>
      <c r="AT41" s="94"/>
    </row>
    <row r="42" spans="2:46" ht="18" customHeight="1" x14ac:dyDescent="0.6">
      <c r="B42" s="667"/>
      <c r="C42" s="669"/>
      <c r="D42" s="3"/>
      <c r="E42" s="8"/>
      <c r="F42" s="459"/>
      <c r="G42" s="460"/>
      <c r="H42" s="459"/>
      <c r="I42" s="460"/>
      <c r="J42" s="459"/>
      <c r="K42" s="460"/>
      <c r="L42" s="459"/>
      <c r="M42" s="460"/>
      <c r="N42" s="459"/>
      <c r="O42" s="460"/>
      <c r="P42" s="459"/>
      <c r="Q42" s="460"/>
      <c r="R42" s="459"/>
      <c r="S42" s="460"/>
      <c r="T42" s="459"/>
      <c r="U42" s="460"/>
      <c r="V42" s="459"/>
      <c r="W42" s="460"/>
      <c r="X42" s="459"/>
      <c r="Y42" s="460"/>
      <c r="Z42" s="459"/>
      <c r="AA42" s="460"/>
      <c r="AB42" s="459"/>
      <c r="AC42" s="460"/>
      <c r="AD42" s="459"/>
      <c r="AE42" s="460"/>
      <c r="AF42" s="459"/>
      <c r="AG42" s="460"/>
      <c r="AH42" s="459"/>
      <c r="AI42" s="460"/>
      <c r="AJ42" s="459"/>
      <c r="AK42" s="460"/>
      <c r="AL42" s="459"/>
      <c r="AM42" s="460"/>
      <c r="AN42" s="459"/>
      <c r="AO42" s="460"/>
      <c r="AP42" s="459"/>
      <c r="AQ42" s="460"/>
      <c r="AR42" s="459"/>
      <c r="AS42" s="460"/>
      <c r="AT42" s="94"/>
    </row>
    <row r="43" spans="2:46" ht="18" customHeight="1" thickBot="1" x14ac:dyDescent="0.35">
      <c r="B43" s="667"/>
      <c r="C43" s="669">
        <f>'Plot Data'!L65</f>
        <v>1240</v>
      </c>
      <c r="D43" s="9"/>
      <c r="E43" s="10"/>
      <c r="F43" s="11"/>
      <c r="G43" s="12"/>
      <c r="H43" s="11"/>
      <c r="I43" s="12"/>
      <c r="J43" s="11"/>
      <c r="K43" s="12"/>
      <c r="L43" s="11"/>
      <c r="M43" s="12"/>
      <c r="N43" s="11"/>
      <c r="O43" s="12"/>
      <c r="P43" s="11"/>
      <c r="Q43" s="12"/>
      <c r="R43" s="11"/>
      <c r="S43" s="12"/>
      <c r="T43" s="11"/>
      <c r="U43" s="12"/>
      <c r="V43" s="11"/>
      <c r="W43" s="12"/>
      <c r="X43" s="11"/>
      <c r="Y43" s="12"/>
      <c r="Z43" s="11"/>
      <c r="AA43" s="12"/>
      <c r="AB43" s="11"/>
      <c r="AC43" s="12"/>
      <c r="AD43" s="11"/>
      <c r="AE43" s="12"/>
      <c r="AF43" s="11"/>
      <c r="AG43" s="12"/>
      <c r="AH43" s="11"/>
      <c r="AI43" s="12"/>
      <c r="AJ43" s="11"/>
      <c r="AK43" s="12"/>
      <c r="AL43" s="11"/>
      <c r="AM43" s="12"/>
      <c r="AN43" s="11"/>
      <c r="AO43" s="12"/>
      <c r="AP43" s="11"/>
      <c r="AQ43" s="12"/>
      <c r="AR43" s="11"/>
      <c r="AS43" s="12"/>
      <c r="AT43" s="463" t="s">
        <v>46</v>
      </c>
    </row>
    <row r="44" spans="2:46" ht="18" customHeight="1" x14ac:dyDescent="0.3">
      <c r="B44" s="667"/>
      <c r="C44" s="669"/>
      <c r="D44" s="7"/>
      <c r="E44" s="8"/>
      <c r="F44" s="459"/>
      <c r="G44" s="460"/>
      <c r="H44" s="459"/>
      <c r="I44" s="460"/>
      <c r="J44" s="459"/>
      <c r="K44" s="460"/>
      <c r="L44" s="459"/>
      <c r="M44" s="460"/>
      <c r="N44" s="459"/>
      <c r="O44" s="460"/>
      <c r="P44" s="459"/>
      <c r="Q44" s="460"/>
      <c r="R44" s="459"/>
      <c r="S44" s="460"/>
      <c r="T44" s="459"/>
      <c r="U44" s="460"/>
      <c r="V44" s="459"/>
      <c r="W44" s="460"/>
      <c r="X44" s="459"/>
      <c r="Y44" s="460"/>
      <c r="Z44" s="459"/>
      <c r="AA44" s="460"/>
      <c r="AB44" s="459"/>
      <c r="AC44" s="460"/>
      <c r="AD44" s="459"/>
      <c r="AE44" s="460"/>
      <c r="AF44" s="459"/>
      <c r="AG44" s="460"/>
      <c r="AH44" s="459"/>
      <c r="AI44" s="460"/>
      <c r="AJ44" s="459"/>
      <c r="AK44" s="460"/>
      <c r="AL44" s="459"/>
      <c r="AM44" s="460"/>
      <c r="AN44" s="459"/>
      <c r="AO44" s="460"/>
      <c r="AP44" s="459"/>
      <c r="AQ44" s="460"/>
      <c r="AR44" s="459"/>
      <c r="AS44" s="460"/>
      <c r="AT44" s="464"/>
    </row>
    <row r="45" spans="2:46" ht="18" customHeight="1" x14ac:dyDescent="0.6">
      <c r="B45" s="667"/>
      <c r="C45" s="669">
        <f>C49+(C43-C49)/2</f>
        <v>1235</v>
      </c>
      <c r="D45" s="3"/>
      <c r="E45" s="8"/>
      <c r="F45" s="459"/>
      <c r="G45" s="460"/>
      <c r="H45" s="459"/>
      <c r="I45" s="460"/>
      <c r="J45" s="459"/>
      <c r="K45" s="460"/>
      <c r="L45" s="459"/>
      <c r="M45" s="460"/>
      <c r="N45" s="459"/>
      <c r="O45" s="460"/>
      <c r="P45" s="459"/>
      <c r="Q45" s="460"/>
      <c r="R45" s="459"/>
      <c r="S45" s="460"/>
      <c r="T45" s="459"/>
      <c r="U45" s="460"/>
      <c r="V45" s="459"/>
      <c r="W45" s="460"/>
      <c r="X45" s="459"/>
      <c r="Y45" s="460"/>
      <c r="Z45" s="459"/>
      <c r="AA45" s="460"/>
      <c r="AB45" s="459"/>
      <c r="AC45" s="460"/>
      <c r="AD45" s="459"/>
      <c r="AE45" s="460"/>
      <c r="AF45" s="459"/>
      <c r="AG45" s="460"/>
      <c r="AH45" s="459"/>
      <c r="AI45" s="460"/>
      <c r="AJ45" s="459"/>
      <c r="AK45" s="460"/>
      <c r="AL45" s="459"/>
      <c r="AM45" s="460"/>
      <c r="AN45" s="459"/>
      <c r="AO45" s="460"/>
      <c r="AP45" s="459"/>
      <c r="AQ45" s="460"/>
      <c r="AR45" s="459"/>
      <c r="AS45" s="460"/>
      <c r="AT45" s="94"/>
    </row>
    <row r="46" spans="2:46" ht="18" customHeight="1" x14ac:dyDescent="0.6">
      <c r="B46" s="667"/>
      <c r="C46" s="669"/>
      <c r="D46" s="3"/>
      <c r="E46" s="8"/>
      <c r="F46" s="459"/>
      <c r="G46" s="460"/>
      <c r="H46" s="459"/>
      <c r="I46" s="460"/>
      <c r="J46" s="459"/>
      <c r="K46" s="460"/>
      <c r="L46" s="459"/>
      <c r="M46" s="460"/>
      <c r="N46" s="459"/>
      <c r="O46" s="460"/>
      <c r="P46" s="459"/>
      <c r="Q46" s="460"/>
      <c r="R46" s="459"/>
      <c r="S46" s="460"/>
      <c r="T46" s="459"/>
      <c r="U46" s="460"/>
      <c r="V46" s="459"/>
      <c r="W46" s="460"/>
      <c r="X46" s="459"/>
      <c r="Y46" s="460"/>
      <c r="Z46" s="459"/>
      <c r="AA46" s="460"/>
      <c r="AB46" s="459"/>
      <c r="AC46" s="460"/>
      <c r="AD46" s="459"/>
      <c r="AE46" s="460"/>
      <c r="AF46" s="459"/>
      <c r="AG46" s="460"/>
      <c r="AH46" s="459"/>
      <c r="AI46" s="460"/>
      <c r="AJ46" s="459"/>
      <c r="AK46" s="460"/>
      <c r="AL46" s="459"/>
      <c r="AM46" s="460"/>
      <c r="AN46" s="459"/>
      <c r="AO46" s="460"/>
      <c r="AP46" s="459"/>
      <c r="AQ46" s="460"/>
      <c r="AR46" s="459"/>
      <c r="AS46" s="460"/>
      <c r="AT46" s="94"/>
    </row>
    <row r="47" spans="2:46" ht="18" customHeight="1" x14ac:dyDescent="0.6">
      <c r="B47" s="667"/>
      <c r="C47" s="669"/>
      <c r="D47" s="3"/>
      <c r="E47" s="8"/>
      <c r="F47" s="459"/>
      <c r="G47" s="460"/>
      <c r="H47" s="459"/>
      <c r="I47" s="460"/>
      <c r="J47" s="459"/>
      <c r="K47" s="460"/>
      <c r="L47" s="459"/>
      <c r="M47" s="460"/>
      <c r="N47" s="459"/>
      <c r="O47" s="460"/>
      <c r="P47" s="459"/>
      <c r="Q47" s="460"/>
      <c r="R47" s="459"/>
      <c r="S47" s="460"/>
      <c r="T47" s="459"/>
      <c r="U47" s="460"/>
      <c r="V47" s="459"/>
      <c r="W47" s="460"/>
      <c r="X47" s="459"/>
      <c r="Y47" s="460"/>
      <c r="Z47" s="459"/>
      <c r="AA47" s="460"/>
      <c r="AB47" s="459"/>
      <c r="AC47" s="460"/>
      <c r="AD47" s="459"/>
      <c r="AE47" s="460"/>
      <c r="AF47" s="459"/>
      <c r="AG47" s="460"/>
      <c r="AH47" s="459"/>
      <c r="AI47" s="460"/>
      <c r="AJ47" s="459"/>
      <c r="AK47" s="460"/>
      <c r="AL47" s="459"/>
      <c r="AM47" s="460"/>
      <c r="AN47" s="459"/>
      <c r="AO47" s="460"/>
      <c r="AP47" s="459"/>
      <c r="AQ47" s="460"/>
      <c r="AR47" s="459"/>
      <c r="AS47" s="460"/>
      <c r="AT47" s="94"/>
    </row>
    <row r="48" spans="2:46" ht="18" customHeight="1" x14ac:dyDescent="0.6">
      <c r="B48" s="667"/>
      <c r="C48" s="669"/>
      <c r="D48" s="3"/>
      <c r="E48" s="8"/>
      <c r="F48" s="459"/>
      <c r="G48" s="460"/>
      <c r="H48" s="459"/>
      <c r="I48" s="460"/>
      <c r="J48" s="459"/>
      <c r="K48" s="460"/>
      <c r="L48" s="459"/>
      <c r="M48" s="460"/>
      <c r="N48" s="459"/>
      <c r="O48" s="460"/>
      <c r="P48" s="459"/>
      <c r="Q48" s="460"/>
      <c r="R48" s="459"/>
      <c r="S48" s="460"/>
      <c r="T48" s="459"/>
      <c r="U48" s="460"/>
      <c r="V48" s="459"/>
      <c r="W48" s="460"/>
      <c r="X48" s="459"/>
      <c r="Y48" s="460"/>
      <c r="Z48" s="459"/>
      <c r="AA48" s="460"/>
      <c r="AB48" s="459"/>
      <c r="AC48" s="460"/>
      <c r="AD48" s="459"/>
      <c r="AE48" s="460"/>
      <c r="AF48" s="459"/>
      <c r="AG48" s="460"/>
      <c r="AH48" s="459"/>
      <c r="AI48" s="460"/>
      <c r="AJ48" s="459"/>
      <c r="AK48" s="460"/>
      <c r="AL48" s="459"/>
      <c r="AM48" s="460"/>
      <c r="AN48" s="459"/>
      <c r="AO48" s="460"/>
      <c r="AP48" s="459"/>
      <c r="AQ48" s="460"/>
      <c r="AR48" s="459"/>
      <c r="AS48" s="460"/>
      <c r="AT48" s="94"/>
    </row>
    <row r="49" spans="2:46" ht="18" customHeight="1" thickBot="1" x14ac:dyDescent="0.35">
      <c r="B49" s="667"/>
      <c r="C49" s="669">
        <f>'Plot Data'!L67</f>
        <v>1230</v>
      </c>
      <c r="D49" s="5"/>
      <c r="E49" s="6"/>
      <c r="F49" s="461"/>
      <c r="G49" s="462"/>
      <c r="H49" s="461"/>
      <c r="I49" s="462"/>
      <c r="J49" s="461"/>
      <c r="K49" s="462"/>
      <c r="L49" s="461"/>
      <c r="M49" s="462"/>
      <c r="N49" s="461"/>
      <c r="O49" s="462"/>
      <c r="P49" s="461"/>
      <c r="Q49" s="462"/>
      <c r="R49" s="461"/>
      <c r="S49" s="462"/>
      <c r="T49" s="461"/>
      <c r="U49" s="462"/>
      <c r="V49" s="461"/>
      <c r="W49" s="462"/>
      <c r="X49" s="461"/>
      <c r="Y49" s="462"/>
      <c r="Z49" s="461"/>
      <c r="AA49" s="462"/>
      <c r="AB49" s="461"/>
      <c r="AC49" s="462"/>
      <c r="AD49" s="461"/>
      <c r="AE49" s="462"/>
      <c r="AF49" s="461"/>
      <c r="AG49" s="462"/>
      <c r="AH49" s="461"/>
      <c r="AI49" s="462"/>
      <c r="AJ49" s="461"/>
      <c r="AK49" s="462"/>
      <c r="AL49" s="461"/>
      <c r="AM49" s="462"/>
      <c r="AN49" s="461"/>
      <c r="AO49" s="462"/>
      <c r="AP49" s="461"/>
      <c r="AQ49" s="462"/>
      <c r="AR49" s="461"/>
      <c r="AS49" s="462"/>
      <c r="AT49" s="463" t="s">
        <v>45</v>
      </c>
    </row>
    <row r="50" spans="2:46" ht="18" customHeight="1" thickTop="1" thickBot="1" x14ac:dyDescent="0.35">
      <c r="B50" s="668"/>
      <c r="C50" s="670"/>
      <c r="D50" s="77"/>
      <c r="E50" s="78"/>
      <c r="F50" s="473"/>
      <c r="G50" s="474"/>
      <c r="H50" s="473"/>
      <c r="I50" s="474"/>
      <c r="J50" s="473"/>
      <c r="K50" s="474"/>
      <c r="L50" s="473"/>
      <c r="M50" s="474"/>
      <c r="N50" s="473"/>
      <c r="O50" s="474"/>
      <c r="P50" s="473"/>
      <c r="Q50" s="474"/>
      <c r="R50" s="473"/>
      <c r="S50" s="474"/>
      <c r="T50" s="473"/>
      <c r="U50" s="474"/>
      <c r="V50" s="473"/>
      <c r="W50" s="474"/>
      <c r="X50" s="473"/>
      <c r="Y50" s="474"/>
      <c r="Z50" s="473"/>
      <c r="AA50" s="474"/>
      <c r="AB50" s="473"/>
      <c r="AC50" s="474"/>
      <c r="AD50" s="473"/>
      <c r="AE50" s="474"/>
      <c r="AF50" s="473"/>
      <c r="AG50" s="474"/>
      <c r="AH50" s="473"/>
      <c r="AI50" s="474"/>
      <c r="AJ50" s="473"/>
      <c r="AK50" s="474"/>
      <c r="AL50" s="473"/>
      <c r="AM50" s="474"/>
      <c r="AN50" s="473"/>
      <c r="AO50" s="474"/>
      <c r="AP50" s="473"/>
      <c r="AQ50" s="474"/>
      <c r="AR50" s="473"/>
      <c r="AS50" s="474"/>
      <c r="AT50" s="477"/>
    </row>
    <row r="51" spans="2:46" ht="18" customHeight="1" thickTop="1" thickBot="1" x14ac:dyDescent="0.35">
      <c r="B51" s="394"/>
      <c r="C51" s="395"/>
      <c r="D51" s="396"/>
      <c r="E51" s="397"/>
      <c r="F51" s="398"/>
      <c r="G51" s="399"/>
      <c r="H51" s="398"/>
      <c r="I51" s="399"/>
      <c r="J51" s="398"/>
      <c r="K51" s="399"/>
      <c r="L51" s="398"/>
      <c r="M51" s="399"/>
      <c r="N51" s="398"/>
      <c r="O51" s="399"/>
      <c r="P51" s="398"/>
      <c r="Q51" s="399"/>
      <c r="R51" s="398"/>
      <c r="S51" s="399"/>
      <c r="T51" s="398"/>
      <c r="U51" s="399"/>
      <c r="V51" s="398"/>
      <c r="W51" s="399"/>
      <c r="X51" s="398"/>
      <c r="Y51" s="399"/>
      <c r="Z51" s="398"/>
      <c r="AA51" s="399"/>
      <c r="AB51" s="398"/>
      <c r="AC51" s="399"/>
      <c r="AD51" s="398"/>
      <c r="AE51" s="399"/>
      <c r="AF51" s="398"/>
      <c r="AG51" s="399"/>
      <c r="AH51" s="398"/>
      <c r="AI51" s="399"/>
      <c r="AJ51" s="398"/>
      <c r="AK51" s="399"/>
      <c r="AL51" s="398"/>
      <c r="AM51" s="399"/>
      <c r="AN51" s="398"/>
      <c r="AO51" s="399"/>
      <c r="AP51" s="398"/>
      <c r="AQ51" s="399"/>
      <c r="AR51" s="398"/>
      <c r="AS51" s="399"/>
      <c r="AT51" s="400"/>
    </row>
    <row r="52" spans="2:46" ht="18" customHeight="1" thickTop="1" x14ac:dyDescent="0.6">
      <c r="B52" s="666" t="s">
        <v>302</v>
      </c>
      <c r="C52" s="389"/>
      <c r="D52" s="3"/>
      <c r="E52" s="74"/>
      <c r="F52" s="456"/>
      <c r="G52" s="457"/>
      <c r="H52" s="456"/>
      <c r="I52" s="457"/>
      <c r="J52" s="456"/>
      <c r="K52" s="457"/>
      <c r="L52" s="456"/>
      <c r="M52" s="457"/>
      <c r="N52" s="456"/>
      <c r="O52" s="457"/>
      <c r="P52" s="456"/>
      <c r="Q52" s="457"/>
      <c r="R52" s="456"/>
      <c r="S52" s="457"/>
      <c r="T52" s="456"/>
      <c r="U52" s="457"/>
      <c r="V52" s="456"/>
      <c r="W52" s="457"/>
      <c r="X52" s="456"/>
      <c r="Y52" s="457"/>
      <c r="Z52" s="456"/>
      <c r="AA52" s="457"/>
      <c r="AB52" s="456"/>
      <c r="AC52" s="457"/>
      <c r="AD52" s="456"/>
      <c r="AE52" s="457"/>
      <c r="AF52" s="456"/>
      <c r="AG52" s="457"/>
      <c r="AH52" s="456"/>
      <c r="AI52" s="457"/>
      <c r="AJ52" s="456"/>
      <c r="AK52" s="457"/>
      <c r="AL52" s="456"/>
      <c r="AM52" s="457"/>
      <c r="AN52" s="456"/>
      <c r="AO52" s="457"/>
      <c r="AP52" s="456"/>
      <c r="AQ52" s="457"/>
      <c r="AR52" s="456"/>
      <c r="AS52" s="457"/>
      <c r="AT52" s="93"/>
    </row>
    <row r="53" spans="2:46" ht="18" customHeight="1" thickBot="1" x14ac:dyDescent="0.35">
      <c r="B53" s="667"/>
      <c r="C53" s="669">
        <f>'Plot Data'!M64</f>
        <v>1320</v>
      </c>
      <c r="D53" s="5"/>
      <c r="E53" s="6"/>
      <c r="F53" s="461"/>
      <c r="G53" s="462"/>
      <c r="H53" s="461"/>
      <c r="I53" s="462"/>
      <c r="J53" s="461"/>
      <c r="K53" s="462"/>
      <c r="L53" s="461"/>
      <c r="M53" s="462"/>
      <c r="N53" s="461"/>
      <c r="O53" s="462"/>
      <c r="P53" s="461"/>
      <c r="Q53" s="462"/>
      <c r="R53" s="461"/>
      <c r="S53" s="462"/>
      <c r="T53" s="461"/>
      <c r="U53" s="462"/>
      <c r="V53" s="461"/>
      <c r="W53" s="462"/>
      <c r="X53" s="461"/>
      <c r="Y53" s="462"/>
      <c r="Z53" s="461"/>
      <c r="AA53" s="462"/>
      <c r="AB53" s="461"/>
      <c r="AC53" s="462"/>
      <c r="AD53" s="461"/>
      <c r="AE53" s="462"/>
      <c r="AF53" s="461"/>
      <c r="AG53" s="462"/>
      <c r="AH53" s="461"/>
      <c r="AI53" s="462"/>
      <c r="AJ53" s="461"/>
      <c r="AK53" s="462"/>
      <c r="AL53" s="461"/>
      <c r="AM53" s="462"/>
      <c r="AN53" s="461"/>
      <c r="AO53" s="462"/>
      <c r="AP53" s="461"/>
      <c r="AQ53" s="462"/>
      <c r="AR53" s="461"/>
      <c r="AS53" s="462"/>
      <c r="AT53" s="463" t="s">
        <v>48</v>
      </c>
    </row>
    <row r="54" spans="2:46" ht="18" customHeight="1" thickTop="1" x14ac:dyDescent="0.3">
      <c r="B54" s="667"/>
      <c r="C54" s="669"/>
      <c r="D54" s="7"/>
      <c r="E54" s="8"/>
      <c r="F54" s="459"/>
      <c r="G54" s="460"/>
      <c r="H54" s="459"/>
      <c r="I54" s="460"/>
      <c r="J54" s="459"/>
      <c r="K54" s="460"/>
      <c r="L54" s="459"/>
      <c r="M54" s="460"/>
      <c r="N54" s="459"/>
      <c r="O54" s="460"/>
      <c r="P54" s="459"/>
      <c r="Q54" s="460"/>
      <c r="R54" s="459"/>
      <c r="S54" s="460"/>
      <c r="T54" s="459"/>
      <c r="U54" s="460"/>
      <c r="V54" s="459"/>
      <c r="W54" s="460"/>
      <c r="X54" s="459"/>
      <c r="Y54" s="460"/>
      <c r="Z54" s="459"/>
      <c r="AA54" s="460"/>
      <c r="AB54" s="459"/>
      <c r="AC54" s="460"/>
      <c r="AD54" s="459"/>
      <c r="AE54" s="460"/>
      <c r="AF54" s="459"/>
      <c r="AG54" s="460"/>
      <c r="AH54" s="459"/>
      <c r="AI54" s="460"/>
      <c r="AJ54" s="459"/>
      <c r="AK54" s="460"/>
      <c r="AL54" s="459"/>
      <c r="AM54" s="460"/>
      <c r="AN54" s="459"/>
      <c r="AO54" s="460"/>
      <c r="AP54" s="459"/>
      <c r="AQ54" s="460"/>
      <c r="AR54" s="459"/>
      <c r="AS54" s="460"/>
      <c r="AT54" s="464"/>
    </row>
    <row r="55" spans="2:46" ht="18" customHeight="1" x14ac:dyDescent="0.6">
      <c r="B55" s="667"/>
      <c r="C55" s="669">
        <f>C59+(C53-C59)/2</f>
        <v>1315</v>
      </c>
      <c r="D55" s="3"/>
      <c r="E55" s="8"/>
      <c r="F55" s="459"/>
      <c r="G55" s="460"/>
      <c r="H55" s="459"/>
      <c r="I55" s="460"/>
      <c r="J55" s="459"/>
      <c r="K55" s="460"/>
      <c r="L55" s="459"/>
      <c r="M55" s="460"/>
      <c r="N55" s="459"/>
      <c r="O55" s="460"/>
      <c r="P55" s="459"/>
      <c r="Q55" s="460"/>
      <c r="R55" s="459"/>
      <c r="S55" s="460"/>
      <c r="T55" s="459"/>
      <c r="U55" s="460"/>
      <c r="V55" s="459"/>
      <c r="W55" s="460"/>
      <c r="X55" s="459"/>
      <c r="Y55" s="460"/>
      <c r="Z55" s="459"/>
      <c r="AA55" s="460"/>
      <c r="AB55" s="459"/>
      <c r="AC55" s="460"/>
      <c r="AD55" s="459"/>
      <c r="AE55" s="460"/>
      <c r="AF55" s="459"/>
      <c r="AG55" s="460"/>
      <c r="AH55" s="459"/>
      <c r="AI55" s="460"/>
      <c r="AJ55" s="459"/>
      <c r="AK55" s="460"/>
      <c r="AL55" s="459"/>
      <c r="AM55" s="460"/>
      <c r="AN55" s="459"/>
      <c r="AO55" s="460"/>
      <c r="AP55" s="459"/>
      <c r="AQ55" s="460"/>
      <c r="AR55" s="459"/>
      <c r="AS55" s="460"/>
      <c r="AT55" s="94"/>
    </row>
    <row r="56" spans="2:46" ht="18" customHeight="1" x14ac:dyDescent="0.6">
      <c r="B56" s="667"/>
      <c r="C56" s="669"/>
      <c r="D56" s="3"/>
      <c r="E56" s="8"/>
      <c r="F56" s="459"/>
      <c r="G56" s="460"/>
      <c r="H56" s="459"/>
      <c r="I56" s="460"/>
      <c r="J56" s="459"/>
      <c r="K56" s="460"/>
      <c r="L56" s="459"/>
      <c r="M56" s="460"/>
      <c r="N56" s="459"/>
      <c r="O56" s="460"/>
      <c r="P56" s="459"/>
      <c r="Q56" s="460"/>
      <c r="R56" s="459"/>
      <c r="S56" s="460"/>
      <c r="T56" s="459"/>
      <c r="U56" s="460"/>
      <c r="V56" s="459"/>
      <c r="W56" s="460"/>
      <c r="X56" s="459"/>
      <c r="Y56" s="460"/>
      <c r="Z56" s="459"/>
      <c r="AA56" s="460"/>
      <c r="AB56" s="459"/>
      <c r="AC56" s="460"/>
      <c r="AD56" s="459"/>
      <c r="AE56" s="460"/>
      <c r="AF56" s="459"/>
      <c r="AG56" s="460"/>
      <c r="AH56" s="459"/>
      <c r="AI56" s="460"/>
      <c r="AJ56" s="459"/>
      <c r="AK56" s="460"/>
      <c r="AL56" s="459"/>
      <c r="AM56" s="460"/>
      <c r="AN56" s="459"/>
      <c r="AO56" s="460"/>
      <c r="AP56" s="459"/>
      <c r="AQ56" s="460"/>
      <c r="AR56" s="459"/>
      <c r="AS56" s="460"/>
      <c r="AT56" s="94"/>
    </row>
    <row r="57" spans="2:46" ht="18" customHeight="1" x14ac:dyDescent="0.6">
      <c r="B57" s="667"/>
      <c r="C57" s="669"/>
      <c r="D57" s="3"/>
      <c r="E57" s="8"/>
      <c r="F57" s="459"/>
      <c r="G57" s="460"/>
      <c r="H57" s="459"/>
      <c r="I57" s="460"/>
      <c r="J57" s="459"/>
      <c r="K57" s="460"/>
      <c r="L57" s="459"/>
      <c r="M57" s="460"/>
      <c r="N57" s="459"/>
      <c r="O57" s="460"/>
      <c r="P57" s="459"/>
      <c r="Q57" s="460"/>
      <c r="R57" s="459"/>
      <c r="S57" s="460"/>
      <c r="T57" s="459"/>
      <c r="U57" s="460"/>
      <c r="V57" s="459"/>
      <c r="W57" s="460"/>
      <c r="X57" s="459"/>
      <c r="Y57" s="460"/>
      <c r="Z57" s="459"/>
      <c r="AA57" s="460"/>
      <c r="AB57" s="459"/>
      <c r="AC57" s="460"/>
      <c r="AD57" s="459"/>
      <c r="AE57" s="460"/>
      <c r="AF57" s="459"/>
      <c r="AG57" s="460"/>
      <c r="AH57" s="459"/>
      <c r="AI57" s="460"/>
      <c r="AJ57" s="459"/>
      <c r="AK57" s="460"/>
      <c r="AL57" s="459"/>
      <c r="AM57" s="460"/>
      <c r="AN57" s="459"/>
      <c r="AO57" s="460"/>
      <c r="AP57" s="459"/>
      <c r="AQ57" s="460"/>
      <c r="AR57" s="459"/>
      <c r="AS57" s="460"/>
      <c r="AT57" s="94"/>
    </row>
    <row r="58" spans="2:46" ht="18" customHeight="1" x14ac:dyDescent="0.6">
      <c r="B58" s="667"/>
      <c r="C58" s="669"/>
      <c r="D58" s="3"/>
      <c r="E58" s="8"/>
      <c r="F58" s="459"/>
      <c r="G58" s="460"/>
      <c r="H58" s="459"/>
      <c r="I58" s="460"/>
      <c r="J58" s="459"/>
      <c r="K58" s="460"/>
      <c r="L58" s="459"/>
      <c r="M58" s="460"/>
      <c r="N58" s="459"/>
      <c r="O58" s="460"/>
      <c r="P58" s="459"/>
      <c r="Q58" s="460"/>
      <c r="R58" s="459"/>
      <c r="S58" s="460"/>
      <c r="T58" s="459"/>
      <c r="U58" s="460"/>
      <c r="V58" s="459"/>
      <c r="W58" s="460"/>
      <c r="X58" s="459"/>
      <c r="Y58" s="460"/>
      <c r="Z58" s="459"/>
      <c r="AA58" s="460"/>
      <c r="AB58" s="459"/>
      <c r="AC58" s="460"/>
      <c r="AD58" s="459"/>
      <c r="AE58" s="460"/>
      <c r="AF58" s="459"/>
      <c r="AG58" s="460"/>
      <c r="AH58" s="459"/>
      <c r="AI58" s="460"/>
      <c r="AJ58" s="459"/>
      <c r="AK58" s="460"/>
      <c r="AL58" s="459"/>
      <c r="AM58" s="460"/>
      <c r="AN58" s="459"/>
      <c r="AO58" s="460"/>
      <c r="AP58" s="459"/>
      <c r="AQ58" s="460"/>
      <c r="AR58" s="459"/>
      <c r="AS58" s="460"/>
      <c r="AT58" s="94"/>
    </row>
    <row r="59" spans="2:46" ht="18" customHeight="1" thickBot="1" x14ac:dyDescent="0.35">
      <c r="B59" s="667"/>
      <c r="C59" s="669">
        <f>'Plot Data'!M62</f>
        <v>1310</v>
      </c>
      <c r="D59" s="9"/>
      <c r="E59" s="10"/>
      <c r="F59" s="11"/>
      <c r="G59" s="12"/>
      <c r="H59" s="11"/>
      <c r="I59" s="12"/>
      <c r="J59" s="11"/>
      <c r="K59" s="12"/>
      <c r="L59" s="11"/>
      <c r="M59" s="12"/>
      <c r="N59" s="11"/>
      <c r="O59" s="12"/>
      <c r="P59" s="11"/>
      <c r="Q59" s="12"/>
      <c r="R59" s="11"/>
      <c r="S59" s="12"/>
      <c r="T59" s="11"/>
      <c r="U59" s="12"/>
      <c r="V59" s="11"/>
      <c r="W59" s="12"/>
      <c r="X59" s="11"/>
      <c r="Y59" s="12"/>
      <c r="Z59" s="11"/>
      <c r="AA59" s="12"/>
      <c r="AB59" s="11"/>
      <c r="AC59" s="12"/>
      <c r="AD59" s="11"/>
      <c r="AE59" s="12"/>
      <c r="AF59" s="11"/>
      <c r="AG59" s="12"/>
      <c r="AH59" s="11"/>
      <c r="AI59" s="12"/>
      <c r="AJ59" s="11"/>
      <c r="AK59" s="12"/>
      <c r="AL59" s="11"/>
      <c r="AM59" s="12"/>
      <c r="AN59" s="11"/>
      <c r="AO59" s="12"/>
      <c r="AP59" s="11"/>
      <c r="AQ59" s="12"/>
      <c r="AR59" s="11"/>
      <c r="AS59" s="12"/>
      <c r="AT59" s="463" t="s">
        <v>47</v>
      </c>
    </row>
    <row r="60" spans="2:46" ht="18" customHeight="1" x14ac:dyDescent="0.3">
      <c r="B60" s="667"/>
      <c r="C60" s="669"/>
      <c r="D60" s="7"/>
      <c r="E60" s="8"/>
      <c r="F60" s="459"/>
      <c r="G60" s="460"/>
      <c r="H60" s="459"/>
      <c r="I60" s="460"/>
      <c r="J60" s="459"/>
      <c r="K60" s="460"/>
      <c r="L60" s="459"/>
      <c r="M60" s="460"/>
      <c r="N60" s="459"/>
      <c r="O60" s="460"/>
      <c r="P60" s="459"/>
      <c r="Q60" s="460"/>
      <c r="R60" s="459"/>
      <c r="S60" s="460"/>
      <c r="T60" s="459"/>
      <c r="U60" s="460"/>
      <c r="V60" s="459"/>
      <c r="W60" s="460"/>
      <c r="X60" s="459"/>
      <c r="Y60" s="460"/>
      <c r="Z60" s="459"/>
      <c r="AA60" s="460"/>
      <c r="AB60" s="459"/>
      <c r="AC60" s="460"/>
      <c r="AD60" s="459"/>
      <c r="AE60" s="460"/>
      <c r="AF60" s="459"/>
      <c r="AG60" s="460"/>
      <c r="AH60" s="459"/>
      <c r="AI60" s="460"/>
      <c r="AJ60" s="459"/>
      <c r="AK60" s="460"/>
      <c r="AL60" s="459"/>
      <c r="AM60" s="460"/>
      <c r="AN60" s="459"/>
      <c r="AO60" s="460"/>
      <c r="AP60" s="459"/>
      <c r="AQ60" s="460"/>
      <c r="AR60" s="459"/>
      <c r="AS60" s="460"/>
      <c r="AT60" s="464"/>
    </row>
    <row r="61" spans="2:46" ht="18" customHeight="1" x14ac:dyDescent="0.6">
      <c r="B61" s="667"/>
      <c r="C61" s="669">
        <f>C65+(C59-C65)/2</f>
        <v>1305</v>
      </c>
      <c r="D61" s="3"/>
      <c r="E61" s="8"/>
      <c r="F61" s="459"/>
      <c r="G61" s="460"/>
      <c r="H61" s="459"/>
      <c r="I61" s="460"/>
      <c r="J61" s="459"/>
      <c r="K61" s="460"/>
      <c r="L61" s="459"/>
      <c r="M61" s="460"/>
      <c r="N61" s="459"/>
      <c r="O61" s="460"/>
      <c r="P61" s="459"/>
      <c r="Q61" s="460"/>
      <c r="R61" s="459"/>
      <c r="S61" s="460"/>
      <c r="T61" s="459"/>
      <c r="U61" s="460"/>
      <c r="V61" s="459"/>
      <c r="W61" s="460"/>
      <c r="X61" s="459"/>
      <c r="Y61" s="460"/>
      <c r="Z61" s="459"/>
      <c r="AA61" s="460"/>
      <c r="AB61" s="459"/>
      <c r="AC61" s="460"/>
      <c r="AD61" s="459"/>
      <c r="AE61" s="460"/>
      <c r="AF61" s="459"/>
      <c r="AG61" s="460"/>
      <c r="AH61" s="459"/>
      <c r="AI61" s="460"/>
      <c r="AJ61" s="459"/>
      <c r="AK61" s="460"/>
      <c r="AL61" s="459"/>
      <c r="AM61" s="460"/>
      <c r="AN61" s="459"/>
      <c r="AO61" s="460"/>
      <c r="AP61" s="459"/>
      <c r="AQ61" s="460"/>
      <c r="AR61" s="459"/>
      <c r="AS61" s="460"/>
      <c r="AT61" s="94"/>
    </row>
    <row r="62" spans="2:46" ht="18" customHeight="1" x14ac:dyDescent="0.6">
      <c r="B62" s="667"/>
      <c r="C62" s="669"/>
      <c r="D62" s="3"/>
      <c r="E62" s="8"/>
      <c r="F62" s="459"/>
      <c r="G62" s="460"/>
      <c r="H62" s="459"/>
      <c r="I62" s="460"/>
      <c r="J62" s="459"/>
      <c r="K62" s="460"/>
      <c r="L62" s="459"/>
      <c r="M62" s="460"/>
      <c r="N62" s="459"/>
      <c r="O62" s="460"/>
      <c r="P62" s="459"/>
      <c r="Q62" s="460"/>
      <c r="R62" s="459"/>
      <c r="S62" s="460"/>
      <c r="T62" s="459"/>
      <c r="U62" s="460"/>
      <c r="V62" s="459"/>
      <c r="W62" s="460"/>
      <c r="X62" s="459"/>
      <c r="Y62" s="460"/>
      <c r="Z62" s="459"/>
      <c r="AA62" s="460"/>
      <c r="AB62" s="459"/>
      <c r="AC62" s="460"/>
      <c r="AD62" s="459"/>
      <c r="AE62" s="460"/>
      <c r="AF62" s="459"/>
      <c r="AG62" s="460"/>
      <c r="AH62" s="459"/>
      <c r="AI62" s="460"/>
      <c r="AJ62" s="459"/>
      <c r="AK62" s="460"/>
      <c r="AL62" s="459"/>
      <c r="AM62" s="460"/>
      <c r="AN62" s="459"/>
      <c r="AO62" s="460"/>
      <c r="AP62" s="459"/>
      <c r="AQ62" s="460"/>
      <c r="AR62" s="459"/>
      <c r="AS62" s="460"/>
      <c r="AT62" s="94"/>
    </row>
    <row r="63" spans="2:46" ht="18" customHeight="1" x14ac:dyDescent="0.6">
      <c r="B63" s="667"/>
      <c r="C63" s="669"/>
      <c r="D63" s="3"/>
      <c r="E63" s="8"/>
      <c r="F63" s="459"/>
      <c r="G63" s="460"/>
      <c r="H63" s="459"/>
      <c r="I63" s="460"/>
      <c r="J63" s="459"/>
      <c r="K63" s="460"/>
      <c r="L63" s="459"/>
      <c r="M63" s="460"/>
      <c r="N63" s="459"/>
      <c r="O63" s="460"/>
      <c r="P63" s="459"/>
      <c r="Q63" s="460"/>
      <c r="R63" s="459"/>
      <c r="S63" s="460"/>
      <c r="T63" s="459"/>
      <c r="U63" s="460"/>
      <c r="V63" s="459"/>
      <c r="W63" s="460"/>
      <c r="X63" s="459"/>
      <c r="Y63" s="460"/>
      <c r="Z63" s="459"/>
      <c r="AA63" s="460"/>
      <c r="AB63" s="459"/>
      <c r="AC63" s="460"/>
      <c r="AD63" s="459"/>
      <c r="AE63" s="460"/>
      <c r="AF63" s="459"/>
      <c r="AG63" s="460"/>
      <c r="AH63" s="459"/>
      <c r="AI63" s="460"/>
      <c r="AJ63" s="459"/>
      <c r="AK63" s="460"/>
      <c r="AL63" s="459"/>
      <c r="AM63" s="460"/>
      <c r="AN63" s="459"/>
      <c r="AO63" s="460"/>
      <c r="AP63" s="459"/>
      <c r="AQ63" s="460"/>
      <c r="AR63" s="459"/>
      <c r="AS63" s="460"/>
      <c r="AT63" s="94"/>
    </row>
    <row r="64" spans="2:46" ht="18" customHeight="1" x14ac:dyDescent="0.6">
      <c r="B64" s="667"/>
      <c r="C64" s="669"/>
      <c r="D64" s="3"/>
      <c r="E64" s="8"/>
      <c r="F64" s="459"/>
      <c r="G64" s="460"/>
      <c r="H64" s="459"/>
      <c r="I64" s="460"/>
      <c r="J64" s="459"/>
      <c r="K64" s="460"/>
      <c r="L64" s="459"/>
      <c r="M64" s="460"/>
      <c r="N64" s="459"/>
      <c r="O64" s="460"/>
      <c r="P64" s="459"/>
      <c r="Q64" s="460"/>
      <c r="R64" s="459"/>
      <c r="S64" s="460"/>
      <c r="T64" s="459"/>
      <c r="U64" s="460"/>
      <c r="V64" s="459"/>
      <c r="W64" s="460"/>
      <c r="X64" s="459"/>
      <c r="Y64" s="460"/>
      <c r="Z64" s="459"/>
      <c r="AA64" s="460"/>
      <c r="AB64" s="459"/>
      <c r="AC64" s="460"/>
      <c r="AD64" s="459"/>
      <c r="AE64" s="460"/>
      <c r="AF64" s="459"/>
      <c r="AG64" s="460"/>
      <c r="AH64" s="459"/>
      <c r="AI64" s="460"/>
      <c r="AJ64" s="459"/>
      <c r="AK64" s="460"/>
      <c r="AL64" s="459"/>
      <c r="AM64" s="460"/>
      <c r="AN64" s="459"/>
      <c r="AO64" s="460"/>
      <c r="AP64" s="459"/>
      <c r="AQ64" s="460"/>
      <c r="AR64" s="459"/>
      <c r="AS64" s="460"/>
      <c r="AT64" s="94"/>
    </row>
    <row r="65" spans="2:46" ht="18" customHeight="1" x14ac:dyDescent="0.6">
      <c r="B65" s="667"/>
      <c r="C65" s="669">
        <f>'Plot Data'!M63</f>
        <v>1300</v>
      </c>
      <c r="D65" s="13"/>
      <c r="E65" s="8"/>
      <c r="F65" s="459"/>
      <c r="G65" s="460"/>
      <c r="H65" s="459"/>
      <c r="I65" s="460"/>
      <c r="J65" s="459"/>
      <c r="K65" s="460"/>
      <c r="L65" s="459"/>
      <c r="M65" s="460"/>
      <c r="N65" s="459"/>
      <c r="O65" s="460"/>
      <c r="P65" s="459"/>
      <c r="Q65" s="460"/>
      <c r="R65" s="459"/>
      <c r="S65" s="460"/>
      <c r="T65" s="459"/>
      <c r="U65" s="460"/>
      <c r="V65" s="459"/>
      <c r="W65" s="460"/>
      <c r="X65" s="459"/>
      <c r="Y65" s="460"/>
      <c r="Z65" s="459"/>
      <c r="AA65" s="460"/>
      <c r="AB65" s="459"/>
      <c r="AC65" s="460"/>
      <c r="AD65" s="459"/>
      <c r="AE65" s="460"/>
      <c r="AF65" s="459"/>
      <c r="AG65" s="460"/>
      <c r="AH65" s="459"/>
      <c r="AI65" s="460"/>
      <c r="AJ65" s="459"/>
      <c r="AK65" s="460"/>
      <c r="AL65" s="459"/>
      <c r="AM65" s="460"/>
      <c r="AN65" s="459"/>
      <c r="AO65" s="460"/>
      <c r="AP65" s="459"/>
      <c r="AQ65" s="460"/>
      <c r="AR65" s="459"/>
      <c r="AS65" s="460"/>
      <c r="AT65" s="94"/>
    </row>
    <row r="66" spans="2:46" ht="18" customHeight="1" x14ac:dyDescent="0.6">
      <c r="B66" s="667"/>
      <c r="C66" s="669"/>
      <c r="D66" s="3"/>
      <c r="E66" s="8"/>
      <c r="F66" s="459"/>
      <c r="G66" s="460"/>
      <c r="H66" s="459"/>
      <c r="I66" s="460"/>
      <c r="J66" s="459"/>
      <c r="K66" s="460"/>
      <c r="L66" s="459"/>
      <c r="M66" s="460"/>
      <c r="N66" s="459"/>
      <c r="O66" s="460"/>
      <c r="P66" s="459"/>
      <c r="Q66" s="460"/>
      <c r="R66" s="459"/>
      <c r="S66" s="460"/>
      <c r="T66" s="459"/>
      <c r="U66" s="460"/>
      <c r="V66" s="459"/>
      <c r="W66" s="460"/>
      <c r="X66" s="459"/>
      <c r="Y66" s="460"/>
      <c r="Z66" s="459"/>
      <c r="AA66" s="460"/>
      <c r="AB66" s="459"/>
      <c r="AC66" s="460"/>
      <c r="AD66" s="459"/>
      <c r="AE66" s="460"/>
      <c r="AF66" s="459"/>
      <c r="AG66" s="460"/>
      <c r="AH66" s="459"/>
      <c r="AI66" s="460"/>
      <c r="AJ66" s="459"/>
      <c r="AK66" s="460"/>
      <c r="AL66" s="459"/>
      <c r="AM66" s="460"/>
      <c r="AN66" s="459"/>
      <c r="AO66" s="460"/>
      <c r="AP66" s="459"/>
      <c r="AQ66" s="460"/>
      <c r="AR66" s="459"/>
      <c r="AS66" s="460"/>
      <c r="AT66" s="94"/>
    </row>
    <row r="67" spans="2:46" ht="18" customHeight="1" x14ac:dyDescent="0.6">
      <c r="B67" s="667"/>
      <c r="C67" s="669">
        <f>C71+(C65-C71)/2</f>
        <v>1295</v>
      </c>
      <c r="D67" s="13"/>
      <c r="E67" s="8"/>
      <c r="F67" s="459"/>
      <c r="G67" s="460"/>
      <c r="H67" s="459"/>
      <c r="I67" s="460"/>
      <c r="J67" s="459"/>
      <c r="K67" s="460"/>
      <c r="L67" s="459"/>
      <c r="M67" s="460"/>
      <c r="N67" s="459"/>
      <c r="O67" s="460"/>
      <c r="P67" s="459"/>
      <c r="Q67" s="460"/>
      <c r="R67" s="459"/>
      <c r="S67" s="460"/>
      <c r="T67" s="459"/>
      <c r="U67" s="460"/>
      <c r="V67" s="459"/>
      <c r="W67" s="460"/>
      <c r="X67" s="459"/>
      <c r="Y67" s="460"/>
      <c r="Z67" s="459"/>
      <c r="AA67" s="460"/>
      <c r="AB67" s="459"/>
      <c r="AC67" s="460"/>
      <c r="AD67" s="459"/>
      <c r="AE67" s="460"/>
      <c r="AF67" s="459"/>
      <c r="AG67" s="460"/>
      <c r="AH67" s="459"/>
      <c r="AI67" s="460"/>
      <c r="AJ67" s="459"/>
      <c r="AK67" s="460"/>
      <c r="AL67" s="459"/>
      <c r="AM67" s="460"/>
      <c r="AN67" s="459"/>
      <c r="AO67" s="460"/>
      <c r="AP67" s="459"/>
      <c r="AQ67" s="460"/>
      <c r="AR67" s="459"/>
      <c r="AS67" s="460"/>
      <c r="AT67" s="94"/>
    </row>
    <row r="68" spans="2:46" ht="18" customHeight="1" x14ac:dyDescent="0.6">
      <c r="B68" s="667"/>
      <c r="C68" s="669"/>
      <c r="D68" s="3"/>
      <c r="E68" s="8"/>
      <c r="F68" s="459"/>
      <c r="G68" s="460"/>
      <c r="H68" s="459"/>
      <c r="I68" s="460"/>
      <c r="J68" s="459"/>
      <c r="K68" s="460"/>
      <c r="L68" s="459"/>
      <c r="M68" s="460"/>
      <c r="N68" s="459"/>
      <c r="O68" s="460"/>
      <c r="P68" s="459"/>
      <c r="Q68" s="460"/>
      <c r="R68" s="459"/>
      <c r="S68" s="460"/>
      <c r="T68" s="459"/>
      <c r="U68" s="460"/>
      <c r="V68" s="459"/>
      <c r="W68" s="460"/>
      <c r="X68" s="459"/>
      <c r="Y68" s="460"/>
      <c r="Z68" s="459"/>
      <c r="AA68" s="460"/>
      <c r="AB68" s="459"/>
      <c r="AC68" s="460"/>
      <c r="AD68" s="459"/>
      <c r="AE68" s="460"/>
      <c r="AF68" s="459"/>
      <c r="AG68" s="460"/>
      <c r="AH68" s="459"/>
      <c r="AI68" s="460"/>
      <c r="AJ68" s="459"/>
      <c r="AK68" s="460"/>
      <c r="AL68" s="459"/>
      <c r="AM68" s="460"/>
      <c r="AN68" s="459"/>
      <c r="AO68" s="460"/>
      <c r="AP68" s="459"/>
      <c r="AQ68" s="460"/>
      <c r="AR68" s="459"/>
      <c r="AS68" s="460"/>
      <c r="AT68" s="94"/>
    </row>
    <row r="69" spans="2:46" ht="18" customHeight="1" x14ac:dyDescent="0.6">
      <c r="B69" s="667"/>
      <c r="C69" s="669"/>
      <c r="D69" s="3"/>
      <c r="E69" s="8"/>
      <c r="F69" s="459"/>
      <c r="G69" s="460"/>
      <c r="H69" s="459"/>
      <c r="I69" s="460"/>
      <c r="J69" s="459"/>
      <c r="K69" s="460"/>
      <c r="L69" s="459"/>
      <c r="M69" s="460"/>
      <c r="N69" s="459"/>
      <c r="O69" s="460"/>
      <c r="P69" s="459"/>
      <c r="Q69" s="460"/>
      <c r="R69" s="459"/>
      <c r="S69" s="460"/>
      <c r="T69" s="459"/>
      <c r="U69" s="460"/>
      <c r="V69" s="459"/>
      <c r="W69" s="460"/>
      <c r="X69" s="459"/>
      <c r="Y69" s="460"/>
      <c r="Z69" s="459"/>
      <c r="AA69" s="460"/>
      <c r="AB69" s="459"/>
      <c r="AC69" s="460"/>
      <c r="AD69" s="459"/>
      <c r="AE69" s="460"/>
      <c r="AF69" s="459"/>
      <c r="AG69" s="460"/>
      <c r="AH69" s="459"/>
      <c r="AI69" s="460"/>
      <c r="AJ69" s="459"/>
      <c r="AK69" s="460"/>
      <c r="AL69" s="459"/>
      <c r="AM69" s="460"/>
      <c r="AN69" s="459"/>
      <c r="AO69" s="460"/>
      <c r="AP69" s="459"/>
      <c r="AQ69" s="460"/>
      <c r="AR69" s="459"/>
      <c r="AS69" s="460"/>
      <c r="AT69" s="94"/>
    </row>
    <row r="70" spans="2:46" ht="18" customHeight="1" x14ac:dyDescent="0.6">
      <c r="B70" s="667"/>
      <c r="C70" s="669"/>
      <c r="D70" s="3"/>
      <c r="E70" s="8"/>
      <c r="F70" s="459"/>
      <c r="G70" s="460"/>
      <c r="H70" s="459"/>
      <c r="I70" s="460"/>
      <c r="J70" s="459"/>
      <c r="K70" s="460"/>
      <c r="L70" s="459"/>
      <c r="M70" s="460"/>
      <c r="N70" s="459"/>
      <c r="O70" s="460"/>
      <c r="P70" s="459"/>
      <c r="Q70" s="460"/>
      <c r="R70" s="459"/>
      <c r="S70" s="460"/>
      <c r="T70" s="459"/>
      <c r="U70" s="460"/>
      <c r="V70" s="459"/>
      <c r="W70" s="460"/>
      <c r="X70" s="459"/>
      <c r="Y70" s="460"/>
      <c r="Z70" s="459"/>
      <c r="AA70" s="460"/>
      <c r="AB70" s="459"/>
      <c r="AC70" s="460"/>
      <c r="AD70" s="459"/>
      <c r="AE70" s="460"/>
      <c r="AF70" s="459"/>
      <c r="AG70" s="460"/>
      <c r="AH70" s="459"/>
      <c r="AI70" s="460"/>
      <c r="AJ70" s="459"/>
      <c r="AK70" s="460"/>
      <c r="AL70" s="459"/>
      <c r="AM70" s="460"/>
      <c r="AN70" s="459"/>
      <c r="AO70" s="460"/>
      <c r="AP70" s="459"/>
      <c r="AQ70" s="460"/>
      <c r="AR70" s="459"/>
      <c r="AS70" s="460"/>
      <c r="AT70" s="94"/>
    </row>
    <row r="71" spans="2:46" ht="18" customHeight="1" thickBot="1" x14ac:dyDescent="0.35">
      <c r="B71" s="667"/>
      <c r="C71" s="669">
        <f>'Plot Data'!M58</f>
        <v>1290</v>
      </c>
      <c r="D71" s="14"/>
      <c r="E71" s="15"/>
      <c r="F71" s="465"/>
      <c r="G71" s="466"/>
      <c r="H71" s="465"/>
      <c r="I71" s="466"/>
      <c r="J71" s="465"/>
      <c r="K71" s="466"/>
      <c r="L71" s="465"/>
      <c r="M71" s="466"/>
      <c r="N71" s="465"/>
      <c r="O71" s="466"/>
      <c r="P71" s="465"/>
      <c r="Q71" s="466"/>
      <c r="R71" s="465"/>
      <c r="S71" s="466"/>
      <c r="T71" s="465"/>
      <c r="U71" s="466"/>
      <c r="V71" s="465"/>
      <c r="W71" s="466"/>
      <c r="X71" s="465"/>
      <c r="Y71" s="466"/>
      <c r="Z71" s="465"/>
      <c r="AA71" s="466"/>
      <c r="AB71" s="465"/>
      <c r="AC71" s="466"/>
      <c r="AD71" s="465"/>
      <c r="AE71" s="466"/>
      <c r="AF71" s="465"/>
      <c r="AG71" s="466"/>
      <c r="AH71" s="465"/>
      <c r="AI71" s="466"/>
      <c r="AJ71" s="465"/>
      <c r="AK71" s="466"/>
      <c r="AL71" s="465"/>
      <c r="AM71" s="466"/>
      <c r="AN71" s="465"/>
      <c r="AO71" s="466"/>
      <c r="AP71" s="465"/>
      <c r="AQ71" s="466"/>
      <c r="AR71" s="465"/>
      <c r="AS71" s="466"/>
      <c r="AT71" s="469" t="s">
        <v>90</v>
      </c>
    </row>
    <row r="72" spans="2:46" ht="18" customHeight="1" x14ac:dyDescent="0.3">
      <c r="B72" s="667"/>
      <c r="C72" s="669"/>
      <c r="D72" s="16"/>
      <c r="E72" s="17"/>
      <c r="F72" s="467"/>
      <c r="G72" s="468"/>
      <c r="H72" s="467"/>
      <c r="I72" s="468"/>
      <c r="J72" s="467"/>
      <c r="K72" s="468"/>
      <c r="L72" s="467"/>
      <c r="M72" s="468"/>
      <c r="N72" s="467"/>
      <c r="O72" s="468"/>
      <c r="P72" s="467"/>
      <c r="Q72" s="468"/>
      <c r="R72" s="467"/>
      <c r="S72" s="468"/>
      <c r="T72" s="467"/>
      <c r="U72" s="468"/>
      <c r="V72" s="467"/>
      <c r="W72" s="468"/>
      <c r="X72" s="467"/>
      <c r="Y72" s="468"/>
      <c r="Z72" s="467"/>
      <c r="AA72" s="468"/>
      <c r="AB72" s="467"/>
      <c r="AC72" s="468"/>
      <c r="AD72" s="467"/>
      <c r="AE72" s="468"/>
      <c r="AF72" s="467"/>
      <c r="AG72" s="468"/>
      <c r="AH72" s="467"/>
      <c r="AI72" s="468"/>
      <c r="AJ72" s="467"/>
      <c r="AK72" s="468"/>
      <c r="AL72" s="467"/>
      <c r="AM72" s="468"/>
      <c r="AN72" s="467"/>
      <c r="AO72" s="468"/>
      <c r="AP72" s="467"/>
      <c r="AQ72" s="468"/>
      <c r="AR72" s="467"/>
      <c r="AS72" s="468"/>
      <c r="AT72" s="464"/>
    </row>
    <row r="73" spans="2:46" ht="18" customHeight="1" x14ac:dyDescent="0.6">
      <c r="B73" s="667"/>
      <c r="C73" s="669">
        <f>C77+(C71-C77)/2</f>
        <v>1285</v>
      </c>
      <c r="D73" s="3"/>
      <c r="E73" s="8"/>
      <c r="F73" s="459"/>
      <c r="G73" s="460"/>
      <c r="H73" s="459"/>
      <c r="I73" s="460"/>
      <c r="J73" s="459"/>
      <c r="K73" s="460"/>
      <c r="L73" s="459"/>
      <c r="M73" s="460"/>
      <c r="N73" s="459"/>
      <c r="O73" s="460"/>
      <c r="P73" s="459"/>
      <c r="Q73" s="460"/>
      <c r="R73" s="459"/>
      <c r="S73" s="460"/>
      <c r="T73" s="459"/>
      <c r="U73" s="460"/>
      <c r="V73" s="459"/>
      <c r="W73" s="460"/>
      <c r="X73" s="459"/>
      <c r="Y73" s="460"/>
      <c r="Z73" s="459"/>
      <c r="AA73" s="460"/>
      <c r="AB73" s="459"/>
      <c r="AC73" s="460"/>
      <c r="AD73" s="459"/>
      <c r="AE73" s="460"/>
      <c r="AF73" s="459"/>
      <c r="AG73" s="460"/>
      <c r="AH73" s="459"/>
      <c r="AI73" s="460"/>
      <c r="AJ73" s="459"/>
      <c r="AK73" s="460"/>
      <c r="AL73" s="459"/>
      <c r="AM73" s="460"/>
      <c r="AN73" s="459"/>
      <c r="AO73" s="460"/>
      <c r="AP73" s="459"/>
      <c r="AQ73" s="460"/>
      <c r="AR73" s="459"/>
      <c r="AS73" s="460"/>
      <c r="AT73" s="94"/>
    </row>
    <row r="74" spans="2:46" ht="18" customHeight="1" x14ac:dyDescent="0.6">
      <c r="B74" s="667"/>
      <c r="C74" s="669"/>
      <c r="D74" s="13"/>
      <c r="E74" s="8"/>
      <c r="F74" s="459"/>
      <c r="G74" s="460"/>
      <c r="H74" s="459"/>
      <c r="I74" s="460"/>
      <c r="J74" s="459"/>
      <c r="K74" s="460"/>
      <c r="L74" s="459"/>
      <c r="M74" s="460"/>
      <c r="N74" s="459"/>
      <c r="O74" s="460"/>
      <c r="P74" s="459"/>
      <c r="Q74" s="460"/>
      <c r="R74" s="459"/>
      <c r="S74" s="460"/>
      <c r="T74" s="459"/>
      <c r="U74" s="460"/>
      <c r="V74" s="459"/>
      <c r="W74" s="460"/>
      <c r="X74" s="459"/>
      <c r="Y74" s="460"/>
      <c r="Z74" s="459"/>
      <c r="AA74" s="460"/>
      <c r="AB74" s="459"/>
      <c r="AC74" s="460"/>
      <c r="AD74" s="459"/>
      <c r="AE74" s="460"/>
      <c r="AF74" s="459"/>
      <c r="AG74" s="460"/>
      <c r="AH74" s="459"/>
      <c r="AI74" s="460"/>
      <c r="AJ74" s="459"/>
      <c r="AK74" s="460"/>
      <c r="AL74" s="459"/>
      <c r="AM74" s="460"/>
      <c r="AN74" s="459"/>
      <c r="AO74" s="460"/>
      <c r="AP74" s="459"/>
      <c r="AQ74" s="460"/>
      <c r="AR74" s="459"/>
      <c r="AS74" s="460"/>
      <c r="AT74" s="94"/>
    </row>
    <row r="75" spans="2:46" ht="18" customHeight="1" x14ac:dyDescent="0.6">
      <c r="B75" s="667"/>
      <c r="C75" s="669"/>
      <c r="D75" s="13"/>
      <c r="E75" s="8"/>
      <c r="F75" s="459"/>
      <c r="G75" s="460"/>
      <c r="H75" s="459"/>
      <c r="I75" s="460"/>
      <c r="J75" s="459"/>
      <c r="K75" s="460"/>
      <c r="L75" s="459"/>
      <c r="M75" s="460"/>
      <c r="N75" s="459"/>
      <c r="O75" s="460"/>
      <c r="P75" s="459"/>
      <c r="Q75" s="460"/>
      <c r="R75" s="459"/>
      <c r="S75" s="460"/>
      <c r="T75" s="459"/>
      <c r="U75" s="460"/>
      <c r="V75" s="459"/>
      <c r="W75" s="460"/>
      <c r="X75" s="459"/>
      <c r="Y75" s="460"/>
      <c r="Z75" s="459"/>
      <c r="AA75" s="460"/>
      <c r="AB75" s="459"/>
      <c r="AC75" s="460"/>
      <c r="AD75" s="459"/>
      <c r="AE75" s="460"/>
      <c r="AF75" s="459"/>
      <c r="AG75" s="460"/>
      <c r="AH75" s="459"/>
      <c r="AI75" s="460"/>
      <c r="AJ75" s="459"/>
      <c r="AK75" s="460"/>
      <c r="AL75" s="459"/>
      <c r="AM75" s="460"/>
      <c r="AN75" s="459"/>
      <c r="AO75" s="460"/>
      <c r="AP75" s="459"/>
      <c r="AQ75" s="460"/>
      <c r="AR75" s="459"/>
      <c r="AS75" s="460"/>
      <c r="AT75" s="94"/>
    </row>
    <row r="76" spans="2:46" ht="18" customHeight="1" x14ac:dyDescent="0.6">
      <c r="B76" s="667"/>
      <c r="C76" s="669"/>
      <c r="D76" s="92"/>
      <c r="E76" s="8"/>
      <c r="F76" s="459"/>
      <c r="G76" s="460"/>
      <c r="H76" s="459"/>
      <c r="I76" s="460"/>
      <c r="J76" s="459"/>
      <c r="K76" s="460"/>
      <c r="L76" s="459"/>
      <c r="M76" s="460"/>
      <c r="N76" s="459"/>
      <c r="O76" s="460"/>
      <c r="P76" s="459"/>
      <c r="Q76" s="460"/>
      <c r="R76" s="459"/>
      <c r="S76" s="460"/>
      <c r="T76" s="459"/>
      <c r="U76" s="460"/>
      <c r="V76" s="459"/>
      <c r="W76" s="460"/>
      <c r="X76" s="459"/>
      <c r="Y76" s="460"/>
      <c r="Z76" s="459"/>
      <c r="AA76" s="460"/>
      <c r="AB76" s="459"/>
      <c r="AC76" s="460"/>
      <c r="AD76" s="459"/>
      <c r="AE76" s="460"/>
      <c r="AF76" s="459"/>
      <c r="AG76" s="460"/>
      <c r="AH76" s="459"/>
      <c r="AI76" s="460"/>
      <c r="AJ76" s="459"/>
      <c r="AK76" s="460"/>
      <c r="AL76" s="459"/>
      <c r="AM76" s="460"/>
      <c r="AN76" s="459"/>
      <c r="AO76" s="460"/>
      <c r="AP76" s="459"/>
      <c r="AQ76" s="460"/>
      <c r="AR76" s="459"/>
      <c r="AS76" s="460"/>
      <c r="AT76" s="94"/>
    </row>
    <row r="77" spans="2:46" ht="18" customHeight="1" x14ac:dyDescent="0.6">
      <c r="B77" s="667"/>
      <c r="C77" s="669">
        <f>'Plot Data'!M66</f>
        <v>1280</v>
      </c>
      <c r="D77" s="3"/>
      <c r="E77" s="8"/>
      <c r="F77" s="470"/>
      <c r="G77" s="471"/>
      <c r="H77" s="459"/>
      <c r="I77" s="460"/>
      <c r="J77" s="459"/>
      <c r="K77" s="460"/>
      <c r="L77" s="459"/>
      <c r="M77" s="460"/>
      <c r="N77" s="459"/>
      <c r="O77" s="460"/>
      <c r="P77" s="459"/>
      <c r="Q77" s="460"/>
      <c r="R77" s="459"/>
      <c r="S77" s="460"/>
      <c r="T77" s="459"/>
      <c r="U77" s="460"/>
      <c r="V77" s="459"/>
      <c r="W77" s="460"/>
      <c r="X77" s="459"/>
      <c r="Y77" s="460"/>
      <c r="Z77" s="459"/>
      <c r="AA77" s="460"/>
      <c r="AB77" s="459"/>
      <c r="AC77" s="460"/>
      <c r="AD77" s="459"/>
      <c r="AE77" s="460"/>
      <c r="AF77" s="459"/>
      <c r="AG77" s="460"/>
      <c r="AH77" s="459"/>
      <c r="AI77" s="460"/>
      <c r="AJ77" s="459"/>
      <c r="AK77" s="460"/>
      <c r="AL77" s="459"/>
      <c r="AM77" s="460"/>
      <c r="AN77" s="459"/>
      <c r="AO77" s="460"/>
      <c r="AP77" s="459"/>
      <c r="AQ77" s="460"/>
      <c r="AR77" s="459"/>
      <c r="AS77" s="460"/>
      <c r="AT77" s="94"/>
    </row>
    <row r="78" spans="2:46" ht="18" customHeight="1" x14ac:dyDescent="0.6">
      <c r="B78" s="667"/>
      <c r="C78" s="669"/>
      <c r="D78" s="7"/>
      <c r="E78" s="8"/>
      <c r="F78" s="459"/>
      <c r="G78" s="460"/>
      <c r="H78" s="459"/>
      <c r="I78" s="460"/>
      <c r="J78" s="459"/>
      <c r="K78" s="460"/>
      <c r="L78" s="459"/>
      <c r="M78" s="460"/>
      <c r="N78" s="459"/>
      <c r="O78" s="460"/>
      <c r="P78" s="459"/>
      <c r="Q78" s="460"/>
      <c r="R78" s="459"/>
      <c r="S78" s="460"/>
      <c r="T78" s="459"/>
      <c r="U78" s="460"/>
      <c r="V78" s="459"/>
      <c r="W78" s="460"/>
      <c r="X78" s="459"/>
      <c r="Y78" s="460"/>
      <c r="Z78" s="459"/>
      <c r="AA78" s="460"/>
      <c r="AB78" s="459"/>
      <c r="AC78" s="460"/>
      <c r="AD78" s="459"/>
      <c r="AE78" s="460"/>
      <c r="AF78" s="459"/>
      <c r="AG78" s="460"/>
      <c r="AH78" s="459"/>
      <c r="AI78" s="460"/>
      <c r="AJ78" s="459"/>
      <c r="AK78" s="460"/>
      <c r="AL78" s="459"/>
      <c r="AM78" s="460"/>
      <c r="AN78" s="459"/>
      <c r="AO78" s="460"/>
      <c r="AP78" s="459"/>
      <c r="AQ78" s="460"/>
      <c r="AR78" s="459"/>
      <c r="AS78" s="460"/>
      <c r="AT78" s="94"/>
    </row>
    <row r="79" spans="2:46" ht="18" customHeight="1" x14ac:dyDescent="0.6">
      <c r="B79" s="667"/>
      <c r="C79" s="669">
        <f>C83+(C77-C83)/2</f>
        <v>1275</v>
      </c>
      <c r="D79" s="3"/>
      <c r="E79" s="8"/>
      <c r="F79" s="459"/>
      <c r="G79" s="460"/>
      <c r="H79" s="459"/>
      <c r="I79" s="460"/>
      <c r="J79" s="459"/>
      <c r="K79" s="460"/>
      <c r="L79" s="459"/>
      <c r="M79" s="460"/>
      <c r="N79" s="459"/>
      <c r="O79" s="460"/>
      <c r="P79" s="459"/>
      <c r="Q79" s="460"/>
      <c r="R79" s="459"/>
      <c r="S79" s="460"/>
      <c r="T79" s="459"/>
      <c r="U79" s="460"/>
      <c r="V79" s="459"/>
      <c r="W79" s="460"/>
      <c r="X79" s="459"/>
      <c r="Y79" s="460"/>
      <c r="Z79" s="459"/>
      <c r="AA79" s="460"/>
      <c r="AB79" s="459"/>
      <c r="AC79" s="460"/>
      <c r="AD79" s="459"/>
      <c r="AE79" s="460"/>
      <c r="AF79" s="459"/>
      <c r="AG79" s="460"/>
      <c r="AH79" s="459"/>
      <c r="AI79" s="460"/>
      <c r="AJ79" s="459"/>
      <c r="AK79" s="460"/>
      <c r="AL79" s="459"/>
      <c r="AM79" s="460"/>
      <c r="AN79" s="459"/>
      <c r="AO79" s="460"/>
      <c r="AP79" s="459"/>
      <c r="AQ79" s="460"/>
      <c r="AR79" s="459"/>
      <c r="AS79" s="460"/>
      <c r="AT79" s="94"/>
    </row>
    <row r="80" spans="2:46" ht="18" customHeight="1" x14ac:dyDescent="0.6">
      <c r="B80" s="667"/>
      <c r="C80" s="669"/>
      <c r="D80" s="3"/>
      <c r="E80" s="8"/>
      <c r="F80" s="459"/>
      <c r="G80" s="460"/>
      <c r="H80" s="459"/>
      <c r="I80" s="460"/>
      <c r="J80" s="459"/>
      <c r="K80" s="460"/>
      <c r="L80" s="459"/>
      <c r="M80" s="460"/>
      <c r="N80" s="459"/>
      <c r="O80" s="460"/>
      <c r="P80" s="459"/>
      <c r="Q80" s="460"/>
      <c r="R80" s="459"/>
      <c r="S80" s="460"/>
      <c r="T80" s="459"/>
      <c r="U80" s="460"/>
      <c r="V80" s="459"/>
      <c r="W80" s="460"/>
      <c r="X80" s="459"/>
      <c r="Y80" s="460"/>
      <c r="Z80" s="459"/>
      <c r="AA80" s="460"/>
      <c r="AB80" s="459"/>
      <c r="AC80" s="460"/>
      <c r="AD80" s="459"/>
      <c r="AE80" s="460"/>
      <c r="AF80" s="459"/>
      <c r="AG80" s="460"/>
      <c r="AH80" s="459"/>
      <c r="AI80" s="460"/>
      <c r="AJ80" s="459"/>
      <c r="AK80" s="460"/>
      <c r="AL80" s="459"/>
      <c r="AM80" s="460"/>
      <c r="AN80" s="459"/>
      <c r="AO80" s="460"/>
      <c r="AP80" s="459"/>
      <c r="AQ80" s="460"/>
      <c r="AR80" s="459"/>
      <c r="AS80" s="460"/>
      <c r="AT80" s="94"/>
    </row>
    <row r="81" spans="2:46" ht="18" customHeight="1" x14ac:dyDescent="0.6">
      <c r="B81" s="667"/>
      <c r="C81" s="669"/>
      <c r="D81" s="3"/>
      <c r="E81" s="8"/>
      <c r="F81" s="459"/>
      <c r="G81" s="460"/>
      <c r="H81" s="459"/>
      <c r="I81" s="460"/>
      <c r="J81" s="459"/>
      <c r="K81" s="460"/>
      <c r="L81" s="459"/>
      <c r="M81" s="460"/>
      <c r="N81" s="459"/>
      <c r="O81" s="460"/>
      <c r="P81" s="459"/>
      <c r="Q81" s="460"/>
      <c r="R81" s="459"/>
      <c r="S81" s="460"/>
      <c r="T81" s="459"/>
      <c r="U81" s="460"/>
      <c r="V81" s="459"/>
      <c r="W81" s="460"/>
      <c r="X81" s="459"/>
      <c r="Y81" s="460"/>
      <c r="Z81" s="459"/>
      <c r="AA81" s="460"/>
      <c r="AB81" s="459"/>
      <c r="AC81" s="460"/>
      <c r="AD81" s="459"/>
      <c r="AE81" s="460"/>
      <c r="AF81" s="459"/>
      <c r="AG81" s="460"/>
      <c r="AH81" s="459"/>
      <c r="AI81" s="460"/>
      <c r="AJ81" s="459"/>
      <c r="AK81" s="460"/>
      <c r="AL81" s="459"/>
      <c r="AM81" s="460"/>
      <c r="AN81" s="459"/>
      <c r="AO81" s="460"/>
      <c r="AP81" s="459"/>
      <c r="AQ81" s="460"/>
      <c r="AR81" s="459"/>
      <c r="AS81" s="460"/>
      <c r="AT81" s="94"/>
    </row>
    <row r="82" spans="2:46" ht="18" customHeight="1" x14ac:dyDescent="0.6">
      <c r="B82" s="667"/>
      <c r="C82" s="669"/>
      <c r="D82" s="3"/>
      <c r="E82" s="8"/>
      <c r="F82" s="459"/>
      <c r="G82" s="460"/>
      <c r="H82" s="459"/>
      <c r="I82" s="460"/>
      <c r="J82" s="459"/>
      <c r="K82" s="460"/>
      <c r="L82" s="459"/>
      <c r="M82" s="460"/>
      <c r="N82" s="459"/>
      <c r="O82" s="460"/>
      <c r="P82" s="459"/>
      <c r="Q82" s="460"/>
      <c r="R82" s="459"/>
      <c r="S82" s="460"/>
      <c r="T82" s="459"/>
      <c r="U82" s="460"/>
      <c r="V82" s="459"/>
      <c r="W82" s="460"/>
      <c r="X82" s="459"/>
      <c r="Y82" s="460"/>
      <c r="Z82" s="459"/>
      <c r="AA82" s="460"/>
      <c r="AB82" s="459"/>
      <c r="AC82" s="460"/>
      <c r="AD82" s="459"/>
      <c r="AE82" s="460"/>
      <c r="AF82" s="459"/>
      <c r="AG82" s="460"/>
      <c r="AH82" s="459"/>
      <c r="AI82" s="460"/>
      <c r="AJ82" s="459"/>
      <c r="AK82" s="460"/>
      <c r="AL82" s="459"/>
      <c r="AM82" s="460"/>
      <c r="AN82" s="459"/>
      <c r="AO82" s="460"/>
      <c r="AP82" s="459"/>
      <c r="AQ82" s="460"/>
      <c r="AR82" s="459"/>
      <c r="AS82" s="460"/>
      <c r="AT82" s="94"/>
    </row>
    <row r="83" spans="2:46" ht="18" customHeight="1" thickBot="1" x14ac:dyDescent="0.35">
      <c r="B83" s="667"/>
      <c r="C83" s="669">
        <f>'Plot Data'!M65</f>
        <v>1270</v>
      </c>
      <c r="D83" s="9"/>
      <c r="E83" s="10"/>
      <c r="F83" s="11"/>
      <c r="G83" s="12"/>
      <c r="H83" s="11"/>
      <c r="I83" s="12"/>
      <c r="J83" s="11"/>
      <c r="K83" s="12"/>
      <c r="L83" s="11"/>
      <c r="M83" s="12"/>
      <c r="N83" s="11"/>
      <c r="O83" s="12"/>
      <c r="P83" s="11"/>
      <c r="Q83" s="12"/>
      <c r="R83" s="11"/>
      <c r="S83" s="12"/>
      <c r="T83" s="11"/>
      <c r="U83" s="12"/>
      <c r="V83" s="11"/>
      <c r="W83" s="12"/>
      <c r="X83" s="11"/>
      <c r="Y83" s="12"/>
      <c r="Z83" s="11"/>
      <c r="AA83" s="12"/>
      <c r="AB83" s="11"/>
      <c r="AC83" s="12"/>
      <c r="AD83" s="11"/>
      <c r="AE83" s="12"/>
      <c r="AF83" s="11"/>
      <c r="AG83" s="12"/>
      <c r="AH83" s="11"/>
      <c r="AI83" s="12"/>
      <c r="AJ83" s="11"/>
      <c r="AK83" s="12"/>
      <c r="AL83" s="11"/>
      <c r="AM83" s="12"/>
      <c r="AN83" s="11"/>
      <c r="AO83" s="12"/>
      <c r="AP83" s="11"/>
      <c r="AQ83" s="12"/>
      <c r="AR83" s="11"/>
      <c r="AS83" s="12"/>
      <c r="AT83" s="463" t="s">
        <v>46</v>
      </c>
    </row>
    <row r="84" spans="2:46" ht="18" customHeight="1" x14ac:dyDescent="0.3">
      <c r="B84" s="667"/>
      <c r="C84" s="669"/>
      <c r="D84" s="7"/>
      <c r="E84" s="8"/>
      <c r="F84" s="459"/>
      <c r="G84" s="460"/>
      <c r="H84" s="459"/>
      <c r="I84" s="460"/>
      <c r="J84" s="459"/>
      <c r="K84" s="460"/>
      <c r="L84" s="459"/>
      <c r="M84" s="460"/>
      <c r="N84" s="459"/>
      <c r="O84" s="460"/>
      <c r="P84" s="459"/>
      <c r="Q84" s="460"/>
      <c r="R84" s="459"/>
      <c r="S84" s="460"/>
      <c r="T84" s="459"/>
      <c r="U84" s="460"/>
      <c r="V84" s="459"/>
      <c r="W84" s="460"/>
      <c r="X84" s="459"/>
      <c r="Y84" s="460"/>
      <c r="Z84" s="459"/>
      <c r="AA84" s="460"/>
      <c r="AB84" s="459"/>
      <c r="AC84" s="460"/>
      <c r="AD84" s="459"/>
      <c r="AE84" s="460"/>
      <c r="AF84" s="459"/>
      <c r="AG84" s="460"/>
      <c r="AH84" s="459"/>
      <c r="AI84" s="460"/>
      <c r="AJ84" s="459"/>
      <c r="AK84" s="460"/>
      <c r="AL84" s="459"/>
      <c r="AM84" s="460"/>
      <c r="AN84" s="459"/>
      <c r="AO84" s="460"/>
      <c r="AP84" s="459"/>
      <c r="AQ84" s="460"/>
      <c r="AR84" s="459"/>
      <c r="AS84" s="460"/>
      <c r="AT84" s="464"/>
    </row>
    <row r="85" spans="2:46" ht="18" customHeight="1" x14ac:dyDescent="0.6">
      <c r="B85" s="667"/>
      <c r="C85" s="669">
        <f>C89+(C83-C89)/2</f>
        <v>1265</v>
      </c>
      <c r="D85" s="3"/>
      <c r="E85" s="8"/>
      <c r="F85" s="459"/>
      <c r="G85" s="460"/>
      <c r="H85" s="459"/>
      <c r="I85" s="460"/>
      <c r="J85" s="459"/>
      <c r="K85" s="460"/>
      <c r="L85" s="459"/>
      <c r="M85" s="460"/>
      <c r="N85" s="459"/>
      <c r="O85" s="460"/>
      <c r="P85" s="459"/>
      <c r="Q85" s="460"/>
      <c r="R85" s="459"/>
      <c r="S85" s="460"/>
      <c r="T85" s="459"/>
      <c r="U85" s="460"/>
      <c r="V85" s="459"/>
      <c r="W85" s="460"/>
      <c r="X85" s="459"/>
      <c r="Y85" s="460"/>
      <c r="Z85" s="459"/>
      <c r="AA85" s="460"/>
      <c r="AB85" s="459"/>
      <c r="AC85" s="460"/>
      <c r="AD85" s="459"/>
      <c r="AE85" s="460"/>
      <c r="AF85" s="459"/>
      <c r="AG85" s="460"/>
      <c r="AH85" s="459"/>
      <c r="AI85" s="460"/>
      <c r="AJ85" s="459"/>
      <c r="AK85" s="460"/>
      <c r="AL85" s="459"/>
      <c r="AM85" s="460"/>
      <c r="AN85" s="459"/>
      <c r="AO85" s="460"/>
      <c r="AP85" s="459"/>
      <c r="AQ85" s="460"/>
      <c r="AR85" s="459"/>
      <c r="AS85" s="460"/>
      <c r="AT85" s="94"/>
    </row>
    <row r="86" spans="2:46" ht="18" customHeight="1" x14ac:dyDescent="0.6">
      <c r="B86" s="667"/>
      <c r="C86" s="669"/>
      <c r="D86" s="3"/>
      <c r="E86" s="8"/>
      <c r="F86" s="459"/>
      <c r="G86" s="460"/>
      <c r="H86" s="459"/>
      <c r="I86" s="460"/>
      <c r="J86" s="459"/>
      <c r="K86" s="460"/>
      <c r="L86" s="459"/>
      <c r="M86" s="460"/>
      <c r="N86" s="459"/>
      <c r="O86" s="460"/>
      <c r="P86" s="459"/>
      <c r="Q86" s="460"/>
      <c r="R86" s="459"/>
      <c r="S86" s="460"/>
      <c r="T86" s="459"/>
      <c r="U86" s="460"/>
      <c r="V86" s="459"/>
      <c r="W86" s="460"/>
      <c r="X86" s="459"/>
      <c r="Y86" s="460"/>
      <c r="Z86" s="459"/>
      <c r="AA86" s="460"/>
      <c r="AB86" s="459"/>
      <c r="AC86" s="460"/>
      <c r="AD86" s="459"/>
      <c r="AE86" s="460"/>
      <c r="AF86" s="459"/>
      <c r="AG86" s="460"/>
      <c r="AH86" s="459"/>
      <c r="AI86" s="460"/>
      <c r="AJ86" s="459"/>
      <c r="AK86" s="460"/>
      <c r="AL86" s="459"/>
      <c r="AM86" s="460"/>
      <c r="AN86" s="459"/>
      <c r="AO86" s="460"/>
      <c r="AP86" s="459"/>
      <c r="AQ86" s="460"/>
      <c r="AR86" s="459"/>
      <c r="AS86" s="460"/>
      <c r="AT86" s="94"/>
    </row>
    <row r="87" spans="2:46" ht="18" customHeight="1" x14ac:dyDescent="0.6">
      <c r="B87" s="667"/>
      <c r="C87" s="669"/>
      <c r="D87" s="3"/>
      <c r="E87" s="8"/>
      <c r="F87" s="459"/>
      <c r="G87" s="460"/>
      <c r="H87" s="459"/>
      <c r="I87" s="460"/>
      <c r="J87" s="459"/>
      <c r="K87" s="460"/>
      <c r="L87" s="459"/>
      <c r="M87" s="460"/>
      <c r="N87" s="459"/>
      <c r="O87" s="460"/>
      <c r="P87" s="459"/>
      <c r="Q87" s="460"/>
      <c r="R87" s="459"/>
      <c r="S87" s="460"/>
      <c r="T87" s="459"/>
      <c r="U87" s="460"/>
      <c r="V87" s="459"/>
      <c r="W87" s="460"/>
      <c r="X87" s="459"/>
      <c r="Y87" s="460"/>
      <c r="Z87" s="459"/>
      <c r="AA87" s="460"/>
      <c r="AB87" s="459"/>
      <c r="AC87" s="460"/>
      <c r="AD87" s="459"/>
      <c r="AE87" s="460"/>
      <c r="AF87" s="459"/>
      <c r="AG87" s="460"/>
      <c r="AH87" s="459"/>
      <c r="AI87" s="460"/>
      <c r="AJ87" s="459"/>
      <c r="AK87" s="460"/>
      <c r="AL87" s="459"/>
      <c r="AM87" s="460"/>
      <c r="AN87" s="459"/>
      <c r="AO87" s="460"/>
      <c r="AP87" s="459"/>
      <c r="AQ87" s="460"/>
      <c r="AR87" s="459"/>
      <c r="AS87" s="460"/>
      <c r="AT87" s="94"/>
    </row>
    <row r="88" spans="2:46" ht="18" customHeight="1" x14ac:dyDescent="0.6">
      <c r="B88" s="667"/>
      <c r="C88" s="669"/>
      <c r="D88" s="3"/>
      <c r="E88" s="8"/>
      <c r="F88" s="459"/>
      <c r="G88" s="460"/>
      <c r="H88" s="459"/>
      <c r="I88" s="460"/>
      <c r="J88" s="459"/>
      <c r="K88" s="460"/>
      <c r="L88" s="459"/>
      <c r="M88" s="460"/>
      <c r="N88" s="459"/>
      <c r="O88" s="460"/>
      <c r="P88" s="459"/>
      <c r="Q88" s="460"/>
      <c r="R88" s="459"/>
      <c r="S88" s="460"/>
      <c r="T88" s="459"/>
      <c r="U88" s="460"/>
      <c r="V88" s="459"/>
      <c r="W88" s="460"/>
      <c r="X88" s="459"/>
      <c r="Y88" s="460"/>
      <c r="Z88" s="459"/>
      <c r="AA88" s="460"/>
      <c r="AB88" s="459"/>
      <c r="AC88" s="460"/>
      <c r="AD88" s="459"/>
      <c r="AE88" s="460"/>
      <c r="AF88" s="459"/>
      <c r="AG88" s="460"/>
      <c r="AH88" s="459"/>
      <c r="AI88" s="460"/>
      <c r="AJ88" s="459"/>
      <c r="AK88" s="460"/>
      <c r="AL88" s="459"/>
      <c r="AM88" s="460"/>
      <c r="AN88" s="459"/>
      <c r="AO88" s="460"/>
      <c r="AP88" s="459"/>
      <c r="AQ88" s="460"/>
      <c r="AR88" s="459"/>
      <c r="AS88" s="460"/>
      <c r="AT88" s="94"/>
    </row>
    <row r="89" spans="2:46" ht="18" customHeight="1" thickBot="1" x14ac:dyDescent="0.35">
      <c r="B89" s="667"/>
      <c r="C89" s="669">
        <f>'Plot Data'!M67</f>
        <v>1260</v>
      </c>
      <c r="D89" s="5"/>
      <c r="E89" s="6"/>
      <c r="F89" s="461"/>
      <c r="G89" s="462"/>
      <c r="H89" s="461"/>
      <c r="I89" s="462"/>
      <c r="J89" s="461"/>
      <c r="K89" s="462"/>
      <c r="L89" s="461"/>
      <c r="M89" s="462"/>
      <c r="N89" s="461"/>
      <c r="O89" s="462"/>
      <c r="P89" s="461"/>
      <c r="Q89" s="462"/>
      <c r="R89" s="461"/>
      <c r="S89" s="462"/>
      <c r="T89" s="461"/>
      <c r="U89" s="462"/>
      <c r="V89" s="461"/>
      <c r="W89" s="462"/>
      <c r="X89" s="461"/>
      <c r="Y89" s="462"/>
      <c r="Z89" s="461"/>
      <c r="AA89" s="462"/>
      <c r="AB89" s="461"/>
      <c r="AC89" s="462"/>
      <c r="AD89" s="461"/>
      <c r="AE89" s="462"/>
      <c r="AF89" s="461"/>
      <c r="AG89" s="462"/>
      <c r="AH89" s="461"/>
      <c r="AI89" s="462"/>
      <c r="AJ89" s="461"/>
      <c r="AK89" s="462"/>
      <c r="AL89" s="461"/>
      <c r="AM89" s="462"/>
      <c r="AN89" s="461"/>
      <c r="AO89" s="462"/>
      <c r="AP89" s="461"/>
      <c r="AQ89" s="462"/>
      <c r="AR89" s="461"/>
      <c r="AS89" s="462"/>
      <c r="AT89" s="463" t="s">
        <v>45</v>
      </c>
    </row>
    <row r="90" spans="2:46" ht="18" customHeight="1" thickTop="1" thickBot="1" x14ac:dyDescent="0.35">
      <c r="B90" s="668"/>
      <c r="C90" s="670"/>
      <c r="D90" s="77"/>
      <c r="E90" s="78"/>
      <c r="F90" s="473"/>
      <c r="G90" s="474"/>
      <c r="H90" s="473"/>
      <c r="I90" s="474"/>
      <c r="J90" s="473"/>
      <c r="K90" s="474"/>
      <c r="L90" s="473"/>
      <c r="M90" s="474"/>
      <c r="N90" s="473"/>
      <c r="O90" s="474"/>
      <c r="P90" s="473"/>
      <c r="Q90" s="474"/>
      <c r="R90" s="473"/>
      <c r="S90" s="474"/>
      <c r="T90" s="473"/>
      <c r="U90" s="474"/>
      <c r="V90" s="473"/>
      <c r="W90" s="474"/>
      <c r="X90" s="473"/>
      <c r="Y90" s="474"/>
      <c r="Z90" s="473"/>
      <c r="AA90" s="474"/>
      <c r="AB90" s="473"/>
      <c r="AC90" s="474"/>
      <c r="AD90" s="473"/>
      <c r="AE90" s="474"/>
      <c r="AF90" s="473"/>
      <c r="AG90" s="474"/>
      <c r="AH90" s="473"/>
      <c r="AI90" s="474"/>
      <c r="AJ90" s="473"/>
      <c r="AK90" s="474"/>
      <c r="AL90" s="473"/>
      <c r="AM90" s="474"/>
      <c r="AN90" s="473"/>
      <c r="AO90" s="474"/>
      <c r="AP90" s="473"/>
      <c r="AQ90" s="474"/>
      <c r="AR90" s="473"/>
      <c r="AS90" s="474"/>
      <c r="AT90" s="477"/>
    </row>
    <row r="91" spans="2:46" ht="18" customHeight="1" thickTop="1" thickBot="1" x14ac:dyDescent="0.35">
      <c r="B91" s="394"/>
      <c r="C91" s="395"/>
      <c r="D91" s="396"/>
      <c r="E91" s="397"/>
      <c r="F91" s="398"/>
      <c r="G91" s="399"/>
      <c r="H91" s="398"/>
      <c r="I91" s="399"/>
      <c r="J91" s="398"/>
      <c r="K91" s="399"/>
      <c r="L91" s="398"/>
      <c r="M91" s="399"/>
      <c r="N91" s="398"/>
      <c r="O91" s="399"/>
      <c r="P91" s="398"/>
      <c r="Q91" s="399"/>
      <c r="R91" s="398"/>
      <c r="S91" s="399"/>
      <c r="T91" s="398"/>
      <c r="U91" s="399"/>
      <c r="V91" s="398"/>
      <c r="W91" s="399"/>
      <c r="X91" s="398"/>
      <c r="Y91" s="399"/>
      <c r="Z91" s="398"/>
      <c r="AA91" s="399"/>
      <c r="AB91" s="398"/>
      <c r="AC91" s="399"/>
      <c r="AD91" s="398"/>
      <c r="AE91" s="399"/>
      <c r="AF91" s="398"/>
      <c r="AG91" s="399"/>
      <c r="AH91" s="398"/>
      <c r="AI91" s="399"/>
      <c r="AJ91" s="398"/>
      <c r="AK91" s="399"/>
      <c r="AL91" s="398"/>
      <c r="AM91" s="399"/>
      <c r="AN91" s="398"/>
      <c r="AO91" s="399"/>
      <c r="AP91" s="398"/>
      <c r="AQ91" s="399"/>
      <c r="AR91" s="398"/>
      <c r="AS91" s="399"/>
      <c r="AT91" s="400"/>
    </row>
    <row r="92" spans="2:46" ht="18" customHeight="1" thickTop="1" x14ac:dyDescent="0.6">
      <c r="B92" s="666" t="s">
        <v>303</v>
      </c>
      <c r="C92" s="389"/>
      <c r="D92" s="3"/>
      <c r="E92" s="74"/>
      <c r="F92" s="456"/>
      <c r="G92" s="457"/>
      <c r="H92" s="456"/>
      <c r="I92" s="457"/>
      <c r="J92" s="456"/>
      <c r="K92" s="457"/>
      <c r="L92" s="456"/>
      <c r="M92" s="457"/>
      <c r="N92" s="456"/>
      <c r="O92" s="457"/>
      <c r="P92" s="456"/>
      <c r="Q92" s="457"/>
      <c r="R92" s="456"/>
      <c r="S92" s="457"/>
      <c r="T92" s="456"/>
      <c r="U92" s="457"/>
      <c r="V92" s="456"/>
      <c r="W92" s="457"/>
      <c r="X92" s="456"/>
      <c r="Y92" s="457"/>
      <c r="Z92" s="456"/>
      <c r="AA92" s="457"/>
      <c r="AB92" s="456"/>
      <c r="AC92" s="457"/>
      <c r="AD92" s="456"/>
      <c r="AE92" s="457"/>
      <c r="AF92" s="456"/>
      <c r="AG92" s="457"/>
      <c r="AH92" s="456"/>
      <c r="AI92" s="457"/>
      <c r="AJ92" s="456"/>
      <c r="AK92" s="457"/>
      <c r="AL92" s="456"/>
      <c r="AM92" s="457"/>
      <c r="AN92" s="456"/>
      <c r="AO92" s="457"/>
      <c r="AP92" s="456"/>
      <c r="AQ92" s="457"/>
      <c r="AR92" s="456"/>
      <c r="AS92" s="457"/>
      <c r="AT92" s="93"/>
    </row>
    <row r="93" spans="2:46" ht="18" customHeight="1" thickBot="1" x14ac:dyDescent="0.35">
      <c r="B93" s="667"/>
      <c r="C93" s="669">
        <f>'Plot Data'!N64</f>
        <v>1340</v>
      </c>
      <c r="D93" s="5"/>
      <c r="E93" s="6"/>
      <c r="F93" s="461"/>
      <c r="G93" s="462"/>
      <c r="H93" s="461"/>
      <c r="I93" s="462"/>
      <c r="J93" s="461"/>
      <c r="K93" s="462"/>
      <c r="L93" s="461"/>
      <c r="M93" s="462"/>
      <c r="N93" s="461"/>
      <c r="O93" s="462"/>
      <c r="P93" s="461"/>
      <c r="Q93" s="462"/>
      <c r="R93" s="461"/>
      <c r="S93" s="462"/>
      <c r="T93" s="461"/>
      <c r="U93" s="462"/>
      <c r="V93" s="461"/>
      <c r="W93" s="462"/>
      <c r="X93" s="461"/>
      <c r="Y93" s="462"/>
      <c r="Z93" s="461"/>
      <c r="AA93" s="462"/>
      <c r="AB93" s="461"/>
      <c r="AC93" s="462"/>
      <c r="AD93" s="461"/>
      <c r="AE93" s="462"/>
      <c r="AF93" s="461"/>
      <c r="AG93" s="462"/>
      <c r="AH93" s="461"/>
      <c r="AI93" s="462"/>
      <c r="AJ93" s="461"/>
      <c r="AK93" s="462"/>
      <c r="AL93" s="461"/>
      <c r="AM93" s="462"/>
      <c r="AN93" s="461"/>
      <c r="AO93" s="462"/>
      <c r="AP93" s="461"/>
      <c r="AQ93" s="462"/>
      <c r="AR93" s="461"/>
      <c r="AS93" s="462"/>
      <c r="AT93" s="463" t="s">
        <v>48</v>
      </c>
    </row>
    <row r="94" spans="2:46" ht="18" customHeight="1" thickTop="1" x14ac:dyDescent="0.3">
      <c r="B94" s="667"/>
      <c r="C94" s="669"/>
      <c r="D94" s="7"/>
      <c r="E94" s="8"/>
      <c r="F94" s="459"/>
      <c r="G94" s="460"/>
      <c r="H94" s="459"/>
      <c r="I94" s="460"/>
      <c r="J94" s="459"/>
      <c r="K94" s="460"/>
      <c r="L94" s="459"/>
      <c r="M94" s="460"/>
      <c r="N94" s="459"/>
      <c r="O94" s="460"/>
      <c r="P94" s="459"/>
      <c r="Q94" s="460"/>
      <c r="R94" s="459"/>
      <c r="S94" s="460"/>
      <c r="T94" s="459"/>
      <c r="U94" s="460"/>
      <c r="V94" s="459"/>
      <c r="W94" s="460"/>
      <c r="X94" s="459"/>
      <c r="Y94" s="460"/>
      <c r="Z94" s="459"/>
      <c r="AA94" s="460"/>
      <c r="AB94" s="459"/>
      <c r="AC94" s="460"/>
      <c r="AD94" s="459"/>
      <c r="AE94" s="460"/>
      <c r="AF94" s="459"/>
      <c r="AG94" s="460"/>
      <c r="AH94" s="459"/>
      <c r="AI94" s="460"/>
      <c r="AJ94" s="459"/>
      <c r="AK94" s="460"/>
      <c r="AL94" s="459"/>
      <c r="AM94" s="460"/>
      <c r="AN94" s="459"/>
      <c r="AO94" s="460"/>
      <c r="AP94" s="459"/>
      <c r="AQ94" s="460"/>
      <c r="AR94" s="459"/>
      <c r="AS94" s="460"/>
      <c r="AT94" s="464"/>
    </row>
    <row r="95" spans="2:46" ht="18" customHeight="1" x14ac:dyDescent="0.6">
      <c r="B95" s="667"/>
      <c r="C95" s="669">
        <f>C99+(C93-C99)/2</f>
        <v>1335</v>
      </c>
      <c r="D95" s="3"/>
      <c r="E95" s="8"/>
      <c r="F95" s="459"/>
      <c r="G95" s="460"/>
      <c r="H95" s="459"/>
      <c r="I95" s="460"/>
      <c r="J95" s="459"/>
      <c r="K95" s="460"/>
      <c r="L95" s="459"/>
      <c r="M95" s="460"/>
      <c r="N95" s="459"/>
      <c r="O95" s="460"/>
      <c r="P95" s="459"/>
      <c r="Q95" s="460"/>
      <c r="R95" s="459"/>
      <c r="S95" s="460"/>
      <c r="T95" s="459"/>
      <c r="U95" s="460"/>
      <c r="V95" s="459"/>
      <c r="W95" s="460"/>
      <c r="X95" s="459"/>
      <c r="Y95" s="460"/>
      <c r="Z95" s="459"/>
      <c r="AA95" s="460"/>
      <c r="AB95" s="459"/>
      <c r="AC95" s="460"/>
      <c r="AD95" s="459"/>
      <c r="AE95" s="460"/>
      <c r="AF95" s="459"/>
      <c r="AG95" s="460"/>
      <c r="AH95" s="459"/>
      <c r="AI95" s="460"/>
      <c r="AJ95" s="459"/>
      <c r="AK95" s="460"/>
      <c r="AL95" s="459"/>
      <c r="AM95" s="460"/>
      <c r="AN95" s="459"/>
      <c r="AO95" s="460"/>
      <c r="AP95" s="459"/>
      <c r="AQ95" s="460"/>
      <c r="AR95" s="459"/>
      <c r="AS95" s="460"/>
      <c r="AT95" s="94"/>
    </row>
    <row r="96" spans="2:46" ht="18" customHeight="1" x14ac:dyDescent="0.6">
      <c r="B96" s="667"/>
      <c r="C96" s="669"/>
      <c r="D96" s="3"/>
      <c r="E96" s="8"/>
      <c r="F96" s="459"/>
      <c r="G96" s="460"/>
      <c r="H96" s="459"/>
      <c r="I96" s="460"/>
      <c r="J96" s="459"/>
      <c r="K96" s="460"/>
      <c r="L96" s="459"/>
      <c r="M96" s="460"/>
      <c r="N96" s="459"/>
      <c r="O96" s="460"/>
      <c r="P96" s="459"/>
      <c r="Q96" s="460"/>
      <c r="R96" s="459"/>
      <c r="S96" s="460"/>
      <c r="T96" s="459"/>
      <c r="U96" s="460"/>
      <c r="V96" s="459"/>
      <c r="W96" s="460"/>
      <c r="X96" s="459"/>
      <c r="Y96" s="460"/>
      <c r="Z96" s="459"/>
      <c r="AA96" s="460"/>
      <c r="AB96" s="459"/>
      <c r="AC96" s="460"/>
      <c r="AD96" s="459"/>
      <c r="AE96" s="460"/>
      <c r="AF96" s="459"/>
      <c r="AG96" s="460"/>
      <c r="AH96" s="459"/>
      <c r="AI96" s="460"/>
      <c r="AJ96" s="459"/>
      <c r="AK96" s="460"/>
      <c r="AL96" s="459"/>
      <c r="AM96" s="460"/>
      <c r="AN96" s="459"/>
      <c r="AO96" s="460"/>
      <c r="AP96" s="459"/>
      <c r="AQ96" s="460"/>
      <c r="AR96" s="459"/>
      <c r="AS96" s="460"/>
      <c r="AT96" s="94"/>
    </row>
    <row r="97" spans="2:46" ht="18" customHeight="1" x14ac:dyDescent="0.6">
      <c r="B97" s="667"/>
      <c r="C97" s="669"/>
      <c r="D97" s="3"/>
      <c r="E97" s="8"/>
      <c r="F97" s="459"/>
      <c r="G97" s="460"/>
      <c r="H97" s="459"/>
      <c r="I97" s="460"/>
      <c r="J97" s="459"/>
      <c r="K97" s="460"/>
      <c r="L97" s="459"/>
      <c r="M97" s="460"/>
      <c r="N97" s="459"/>
      <c r="O97" s="460"/>
      <c r="P97" s="459"/>
      <c r="Q97" s="460"/>
      <c r="R97" s="459"/>
      <c r="S97" s="460"/>
      <c r="T97" s="459"/>
      <c r="U97" s="460"/>
      <c r="V97" s="459"/>
      <c r="W97" s="460"/>
      <c r="X97" s="459"/>
      <c r="Y97" s="460"/>
      <c r="Z97" s="459"/>
      <c r="AA97" s="460"/>
      <c r="AB97" s="459"/>
      <c r="AC97" s="460"/>
      <c r="AD97" s="459"/>
      <c r="AE97" s="460"/>
      <c r="AF97" s="459"/>
      <c r="AG97" s="460"/>
      <c r="AH97" s="459"/>
      <c r="AI97" s="460"/>
      <c r="AJ97" s="459"/>
      <c r="AK97" s="460"/>
      <c r="AL97" s="459"/>
      <c r="AM97" s="460"/>
      <c r="AN97" s="459"/>
      <c r="AO97" s="460"/>
      <c r="AP97" s="459"/>
      <c r="AQ97" s="460"/>
      <c r="AR97" s="459"/>
      <c r="AS97" s="460"/>
      <c r="AT97" s="94"/>
    </row>
    <row r="98" spans="2:46" ht="18" customHeight="1" x14ac:dyDescent="0.6">
      <c r="B98" s="667"/>
      <c r="C98" s="669"/>
      <c r="D98" s="3"/>
      <c r="E98" s="8"/>
      <c r="F98" s="459"/>
      <c r="G98" s="460"/>
      <c r="H98" s="459"/>
      <c r="I98" s="460"/>
      <c r="J98" s="459"/>
      <c r="K98" s="460"/>
      <c r="L98" s="459"/>
      <c r="M98" s="460"/>
      <c r="N98" s="459"/>
      <c r="O98" s="460"/>
      <c r="P98" s="459"/>
      <c r="Q98" s="460"/>
      <c r="R98" s="459"/>
      <c r="S98" s="460"/>
      <c r="T98" s="459"/>
      <c r="U98" s="460"/>
      <c r="V98" s="459"/>
      <c r="W98" s="460"/>
      <c r="X98" s="459"/>
      <c r="Y98" s="460"/>
      <c r="Z98" s="459"/>
      <c r="AA98" s="460"/>
      <c r="AB98" s="459"/>
      <c r="AC98" s="460"/>
      <c r="AD98" s="459"/>
      <c r="AE98" s="460"/>
      <c r="AF98" s="459"/>
      <c r="AG98" s="460"/>
      <c r="AH98" s="459"/>
      <c r="AI98" s="460"/>
      <c r="AJ98" s="459"/>
      <c r="AK98" s="460"/>
      <c r="AL98" s="459"/>
      <c r="AM98" s="460"/>
      <c r="AN98" s="459"/>
      <c r="AO98" s="460"/>
      <c r="AP98" s="459"/>
      <c r="AQ98" s="460"/>
      <c r="AR98" s="459"/>
      <c r="AS98" s="460"/>
      <c r="AT98" s="94"/>
    </row>
    <row r="99" spans="2:46" ht="18" customHeight="1" thickBot="1" x14ac:dyDescent="0.35">
      <c r="B99" s="667"/>
      <c r="C99" s="669">
        <f>'Plot Data'!N62</f>
        <v>1330</v>
      </c>
      <c r="D99" s="9"/>
      <c r="E99" s="10"/>
      <c r="F99" s="11"/>
      <c r="G99" s="12"/>
      <c r="H99" s="11"/>
      <c r="I99" s="12"/>
      <c r="J99" s="11"/>
      <c r="K99" s="12"/>
      <c r="L99" s="11"/>
      <c r="M99" s="12"/>
      <c r="N99" s="11"/>
      <c r="O99" s="12"/>
      <c r="P99" s="11"/>
      <c r="Q99" s="12"/>
      <c r="R99" s="11"/>
      <c r="S99" s="12"/>
      <c r="T99" s="11"/>
      <c r="U99" s="12"/>
      <c r="V99" s="11"/>
      <c r="W99" s="12"/>
      <c r="X99" s="11"/>
      <c r="Y99" s="12"/>
      <c r="Z99" s="11"/>
      <c r="AA99" s="12"/>
      <c r="AB99" s="11"/>
      <c r="AC99" s="12"/>
      <c r="AD99" s="11"/>
      <c r="AE99" s="12"/>
      <c r="AF99" s="11"/>
      <c r="AG99" s="12"/>
      <c r="AH99" s="11"/>
      <c r="AI99" s="12"/>
      <c r="AJ99" s="11"/>
      <c r="AK99" s="12"/>
      <c r="AL99" s="11"/>
      <c r="AM99" s="12"/>
      <c r="AN99" s="11"/>
      <c r="AO99" s="12"/>
      <c r="AP99" s="11"/>
      <c r="AQ99" s="12"/>
      <c r="AR99" s="11"/>
      <c r="AS99" s="12"/>
      <c r="AT99" s="463" t="s">
        <v>47</v>
      </c>
    </row>
    <row r="100" spans="2:46" ht="18" customHeight="1" x14ac:dyDescent="0.3">
      <c r="B100" s="667"/>
      <c r="C100" s="669"/>
      <c r="D100" s="7"/>
      <c r="E100" s="8"/>
      <c r="F100" s="459"/>
      <c r="G100" s="460"/>
      <c r="H100" s="459"/>
      <c r="I100" s="460"/>
      <c r="J100" s="459"/>
      <c r="K100" s="460"/>
      <c r="L100" s="459"/>
      <c r="M100" s="460"/>
      <c r="N100" s="459"/>
      <c r="O100" s="460"/>
      <c r="P100" s="459"/>
      <c r="Q100" s="460"/>
      <c r="R100" s="459"/>
      <c r="S100" s="460"/>
      <c r="T100" s="459"/>
      <c r="U100" s="460"/>
      <c r="V100" s="459"/>
      <c r="W100" s="460"/>
      <c r="X100" s="459"/>
      <c r="Y100" s="460"/>
      <c r="Z100" s="459"/>
      <c r="AA100" s="460"/>
      <c r="AB100" s="459"/>
      <c r="AC100" s="460"/>
      <c r="AD100" s="459"/>
      <c r="AE100" s="460"/>
      <c r="AF100" s="459"/>
      <c r="AG100" s="460"/>
      <c r="AH100" s="459"/>
      <c r="AI100" s="460"/>
      <c r="AJ100" s="459"/>
      <c r="AK100" s="460"/>
      <c r="AL100" s="459"/>
      <c r="AM100" s="460"/>
      <c r="AN100" s="459"/>
      <c r="AO100" s="460"/>
      <c r="AP100" s="459"/>
      <c r="AQ100" s="460"/>
      <c r="AR100" s="459"/>
      <c r="AS100" s="460"/>
      <c r="AT100" s="464"/>
    </row>
    <row r="101" spans="2:46" ht="18" customHeight="1" x14ac:dyDescent="0.6">
      <c r="B101" s="667"/>
      <c r="C101" s="669">
        <f>C105+(C99-C105)/2</f>
        <v>1325</v>
      </c>
      <c r="D101" s="3"/>
      <c r="E101" s="8"/>
      <c r="F101" s="459"/>
      <c r="G101" s="460"/>
      <c r="H101" s="459"/>
      <c r="I101" s="460"/>
      <c r="J101" s="459"/>
      <c r="K101" s="460"/>
      <c r="L101" s="459"/>
      <c r="M101" s="460"/>
      <c r="N101" s="459"/>
      <c r="O101" s="460"/>
      <c r="P101" s="459"/>
      <c r="Q101" s="460"/>
      <c r="R101" s="459"/>
      <c r="S101" s="460"/>
      <c r="T101" s="459"/>
      <c r="U101" s="460"/>
      <c r="V101" s="459"/>
      <c r="W101" s="460"/>
      <c r="X101" s="459"/>
      <c r="Y101" s="460"/>
      <c r="Z101" s="459"/>
      <c r="AA101" s="460"/>
      <c r="AB101" s="459"/>
      <c r="AC101" s="460"/>
      <c r="AD101" s="459"/>
      <c r="AE101" s="460"/>
      <c r="AF101" s="459"/>
      <c r="AG101" s="460"/>
      <c r="AH101" s="459"/>
      <c r="AI101" s="460"/>
      <c r="AJ101" s="459"/>
      <c r="AK101" s="460"/>
      <c r="AL101" s="459"/>
      <c r="AM101" s="460"/>
      <c r="AN101" s="459"/>
      <c r="AO101" s="460"/>
      <c r="AP101" s="459"/>
      <c r="AQ101" s="460"/>
      <c r="AR101" s="459"/>
      <c r="AS101" s="460"/>
      <c r="AT101" s="94"/>
    </row>
    <row r="102" spans="2:46" ht="18" customHeight="1" x14ac:dyDescent="0.6">
      <c r="B102" s="667"/>
      <c r="C102" s="669"/>
      <c r="D102" s="3"/>
      <c r="E102" s="8"/>
      <c r="F102" s="459"/>
      <c r="G102" s="460"/>
      <c r="H102" s="459"/>
      <c r="I102" s="460"/>
      <c r="J102" s="459"/>
      <c r="K102" s="460"/>
      <c r="L102" s="459"/>
      <c r="M102" s="460"/>
      <c r="N102" s="459"/>
      <c r="O102" s="460"/>
      <c r="P102" s="459"/>
      <c r="Q102" s="460"/>
      <c r="R102" s="459"/>
      <c r="S102" s="460"/>
      <c r="T102" s="459"/>
      <c r="U102" s="460"/>
      <c r="V102" s="459"/>
      <c r="W102" s="460"/>
      <c r="X102" s="459"/>
      <c r="Y102" s="460"/>
      <c r="Z102" s="459"/>
      <c r="AA102" s="460"/>
      <c r="AB102" s="459"/>
      <c r="AC102" s="460"/>
      <c r="AD102" s="459"/>
      <c r="AE102" s="460"/>
      <c r="AF102" s="459"/>
      <c r="AG102" s="460"/>
      <c r="AH102" s="459"/>
      <c r="AI102" s="460"/>
      <c r="AJ102" s="459"/>
      <c r="AK102" s="460"/>
      <c r="AL102" s="459"/>
      <c r="AM102" s="460"/>
      <c r="AN102" s="459"/>
      <c r="AO102" s="460"/>
      <c r="AP102" s="459"/>
      <c r="AQ102" s="460"/>
      <c r="AR102" s="459"/>
      <c r="AS102" s="460"/>
      <c r="AT102" s="94"/>
    </row>
    <row r="103" spans="2:46" ht="18" customHeight="1" x14ac:dyDescent="0.6">
      <c r="B103" s="667"/>
      <c r="C103" s="669"/>
      <c r="D103" s="3"/>
      <c r="E103" s="8"/>
      <c r="F103" s="459"/>
      <c r="G103" s="460"/>
      <c r="H103" s="459"/>
      <c r="I103" s="460"/>
      <c r="J103" s="459"/>
      <c r="K103" s="460"/>
      <c r="L103" s="459"/>
      <c r="M103" s="460"/>
      <c r="N103" s="459"/>
      <c r="O103" s="460"/>
      <c r="P103" s="459"/>
      <c r="Q103" s="460"/>
      <c r="R103" s="459"/>
      <c r="S103" s="460"/>
      <c r="T103" s="459"/>
      <c r="U103" s="460"/>
      <c r="V103" s="459"/>
      <c r="W103" s="460"/>
      <c r="X103" s="459"/>
      <c r="Y103" s="460"/>
      <c r="Z103" s="459"/>
      <c r="AA103" s="460"/>
      <c r="AB103" s="459"/>
      <c r="AC103" s="460"/>
      <c r="AD103" s="459"/>
      <c r="AE103" s="460"/>
      <c r="AF103" s="459"/>
      <c r="AG103" s="460"/>
      <c r="AH103" s="459"/>
      <c r="AI103" s="460"/>
      <c r="AJ103" s="459"/>
      <c r="AK103" s="460"/>
      <c r="AL103" s="459"/>
      <c r="AM103" s="460"/>
      <c r="AN103" s="459"/>
      <c r="AO103" s="460"/>
      <c r="AP103" s="459"/>
      <c r="AQ103" s="460"/>
      <c r="AR103" s="459"/>
      <c r="AS103" s="460"/>
      <c r="AT103" s="94"/>
    </row>
    <row r="104" spans="2:46" ht="18" customHeight="1" x14ac:dyDescent="0.6">
      <c r="B104" s="667"/>
      <c r="C104" s="669"/>
      <c r="D104" s="7"/>
      <c r="E104" s="8"/>
      <c r="F104" s="459"/>
      <c r="G104" s="460"/>
      <c r="H104" s="459"/>
      <c r="I104" s="460"/>
      <c r="J104" s="459"/>
      <c r="K104" s="460"/>
      <c r="L104" s="459"/>
      <c r="M104" s="460"/>
      <c r="N104" s="459"/>
      <c r="O104" s="460"/>
      <c r="P104" s="459"/>
      <c r="Q104" s="460"/>
      <c r="R104" s="459"/>
      <c r="S104" s="460"/>
      <c r="T104" s="459"/>
      <c r="U104" s="460"/>
      <c r="V104" s="459"/>
      <c r="W104" s="460"/>
      <c r="X104" s="459"/>
      <c r="Y104" s="460"/>
      <c r="Z104" s="459"/>
      <c r="AA104" s="460"/>
      <c r="AB104" s="459"/>
      <c r="AC104" s="460"/>
      <c r="AD104" s="459"/>
      <c r="AE104" s="460"/>
      <c r="AF104" s="459"/>
      <c r="AG104" s="460"/>
      <c r="AH104" s="459"/>
      <c r="AI104" s="460"/>
      <c r="AJ104" s="459"/>
      <c r="AK104" s="460"/>
      <c r="AL104" s="459"/>
      <c r="AM104" s="460"/>
      <c r="AN104" s="459"/>
      <c r="AO104" s="460"/>
      <c r="AP104" s="459"/>
      <c r="AQ104" s="460"/>
      <c r="AR104" s="459"/>
      <c r="AS104" s="460"/>
      <c r="AT104" s="94"/>
    </row>
    <row r="105" spans="2:46" ht="18" customHeight="1" x14ac:dyDescent="0.6">
      <c r="B105" s="667"/>
      <c r="C105" s="669">
        <f>'Plot Data'!N63</f>
        <v>1320</v>
      </c>
      <c r="D105" s="3"/>
      <c r="E105" s="8"/>
      <c r="F105" s="459"/>
      <c r="G105" s="460"/>
      <c r="H105" s="459"/>
      <c r="I105" s="460"/>
      <c r="J105" s="459"/>
      <c r="K105" s="460"/>
      <c r="L105" s="459"/>
      <c r="M105" s="460"/>
      <c r="N105" s="459"/>
      <c r="O105" s="460"/>
      <c r="P105" s="459"/>
      <c r="Q105" s="460"/>
      <c r="R105" s="459"/>
      <c r="S105" s="460"/>
      <c r="T105" s="459"/>
      <c r="U105" s="460"/>
      <c r="V105" s="459"/>
      <c r="W105" s="460"/>
      <c r="X105" s="459"/>
      <c r="Y105" s="460"/>
      <c r="Z105" s="459"/>
      <c r="AA105" s="460"/>
      <c r="AB105" s="459"/>
      <c r="AC105" s="460"/>
      <c r="AD105" s="459"/>
      <c r="AE105" s="460"/>
      <c r="AF105" s="459"/>
      <c r="AG105" s="460"/>
      <c r="AH105" s="459"/>
      <c r="AI105" s="460"/>
      <c r="AJ105" s="459"/>
      <c r="AK105" s="460"/>
      <c r="AL105" s="459"/>
      <c r="AM105" s="460"/>
      <c r="AN105" s="459"/>
      <c r="AO105" s="460"/>
      <c r="AP105" s="459"/>
      <c r="AQ105" s="460"/>
      <c r="AR105" s="459"/>
      <c r="AS105" s="460"/>
      <c r="AT105" s="94"/>
    </row>
    <row r="106" spans="2:46" ht="18" customHeight="1" x14ac:dyDescent="0.6">
      <c r="B106" s="667"/>
      <c r="C106" s="669"/>
      <c r="D106" s="7"/>
      <c r="E106" s="8"/>
      <c r="F106" s="459"/>
      <c r="G106" s="460"/>
      <c r="H106" s="459"/>
      <c r="I106" s="460"/>
      <c r="J106" s="459"/>
      <c r="K106" s="460"/>
      <c r="L106" s="459"/>
      <c r="M106" s="460"/>
      <c r="N106" s="459"/>
      <c r="O106" s="460"/>
      <c r="P106" s="459"/>
      <c r="Q106" s="460"/>
      <c r="R106" s="459"/>
      <c r="S106" s="460"/>
      <c r="T106" s="459"/>
      <c r="U106" s="460"/>
      <c r="V106" s="459"/>
      <c r="W106" s="460"/>
      <c r="X106" s="459"/>
      <c r="Y106" s="460"/>
      <c r="Z106" s="459"/>
      <c r="AA106" s="460"/>
      <c r="AB106" s="459"/>
      <c r="AC106" s="460"/>
      <c r="AD106" s="459"/>
      <c r="AE106" s="460"/>
      <c r="AF106" s="459"/>
      <c r="AG106" s="460"/>
      <c r="AH106" s="459"/>
      <c r="AI106" s="460"/>
      <c r="AJ106" s="459"/>
      <c r="AK106" s="460"/>
      <c r="AL106" s="459"/>
      <c r="AM106" s="460"/>
      <c r="AN106" s="459"/>
      <c r="AO106" s="460"/>
      <c r="AP106" s="459"/>
      <c r="AQ106" s="460"/>
      <c r="AR106" s="459"/>
      <c r="AS106" s="460"/>
      <c r="AT106" s="94"/>
    </row>
    <row r="107" spans="2:46" ht="18" customHeight="1" x14ac:dyDescent="0.6">
      <c r="B107" s="667"/>
      <c r="C107" s="669">
        <f>C111+(C105-C111)/2</f>
        <v>1315</v>
      </c>
      <c r="D107" s="3"/>
      <c r="E107" s="8"/>
      <c r="F107" s="459"/>
      <c r="G107" s="460"/>
      <c r="H107" s="459"/>
      <c r="I107" s="460"/>
      <c r="J107" s="459"/>
      <c r="K107" s="460"/>
      <c r="L107" s="459"/>
      <c r="M107" s="460"/>
      <c r="N107" s="459"/>
      <c r="O107" s="460"/>
      <c r="P107" s="459"/>
      <c r="Q107" s="460"/>
      <c r="R107" s="459"/>
      <c r="S107" s="460"/>
      <c r="T107" s="459"/>
      <c r="U107" s="460"/>
      <c r="V107" s="459"/>
      <c r="W107" s="460"/>
      <c r="X107" s="459"/>
      <c r="Y107" s="460"/>
      <c r="Z107" s="459"/>
      <c r="AA107" s="460"/>
      <c r="AB107" s="459"/>
      <c r="AC107" s="460"/>
      <c r="AD107" s="459"/>
      <c r="AE107" s="460"/>
      <c r="AF107" s="459"/>
      <c r="AG107" s="460"/>
      <c r="AH107" s="459"/>
      <c r="AI107" s="460"/>
      <c r="AJ107" s="459"/>
      <c r="AK107" s="460"/>
      <c r="AL107" s="459"/>
      <c r="AM107" s="460"/>
      <c r="AN107" s="459"/>
      <c r="AO107" s="460"/>
      <c r="AP107" s="459"/>
      <c r="AQ107" s="460"/>
      <c r="AR107" s="459"/>
      <c r="AS107" s="460"/>
      <c r="AT107" s="94"/>
    </row>
    <row r="108" spans="2:46" ht="18" customHeight="1" x14ac:dyDescent="0.6">
      <c r="B108" s="667"/>
      <c r="C108" s="669"/>
      <c r="D108" s="3"/>
      <c r="E108" s="8"/>
      <c r="F108" s="459"/>
      <c r="G108" s="460"/>
      <c r="H108" s="459"/>
      <c r="I108" s="460"/>
      <c r="J108" s="459"/>
      <c r="K108" s="460"/>
      <c r="L108" s="459"/>
      <c r="M108" s="460"/>
      <c r="N108" s="459"/>
      <c r="O108" s="460"/>
      <c r="P108" s="459"/>
      <c r="Q108" s="460"/>
      <c r="R108" s="459"/>
      <c r="S108" s="460"/>
      <c r="T108" s="459"/>
      <c r="U108" s="460"/>
      <c r="V108" s="459"/>
      <c r="W108" s="460"/>
      <c r="X108" s="459"/>
      <c r="Y108" s="460"/>
      <c r="Z108" s="459"/>
      <c r="AA108" s="460"/>
      <c r="AB108" s="459"/>
      <c r="AC108" s="460"/>
      <c r="AD108" s="459"/>
      <c r="AE108" s="460"/>
      <c r="AF108" s="459"/>
      <c r="AG108" s="460"/>
      <c r="AH108" s="459"/>
      <c r="AI108" s="460"/>
      <c r="AJ108" s="459"/>
      <c r="AK108" s="460"/>
      <c r="AL108" s="459"/>
      <c r="AM108" s="460"/>
      <c r="AN108" s="459"/>
      <c r="AO108" s="460"/>
      <c r="AP108" s="459"/>
      <c r="AQ108" s="460"/>
      <c r="AR108" s="459"/>
      <c r="AS108" s="460"/>
      <c r="AT108" s="94"/>
    </row>
    <row r="109" spans="2:46" ht="18" customHeight="1" x14ac:dyDescent="0.6">
      <c r="B109" s="667"/>
      <c r="C109" s="669"/>
      <c r="D109" s="3"/>
      <c r="E109" s="8"/>
      <c r="F109" s="459"/>
      <c r="G109" s="460"/>
      <c r="H109" s="459"/>
      <c r="I109" s="460"/>
      <c r="J109" s="459"/>
      <c r="K109" s="460"/>
      <c r="L109" s="459"/>
      <c r="M109" s="460"/>
      <c r="N109" s="459"/>
      <c r="O109" s="460"/>
      <c r="P109" s="459"/>
      <c r="Q109" s="460"/>
      <c r="R109" s="459"/>
      <c r="S109" s="460"/>
      <c r="T109" s="459"/>
      <c r="U109" s="460"/>
      <c r="V109" s="459"/>
      <c r="W109" s="460"/>
      <c r="X109" s="459"/>
      <c r="Y109" s="460"/>
      <c r="Z109" s="459"/>
      <c r="AA109" s="460"/>
      <c r="AB109" s="459"/>
      <c r="AC109" s="460"/>
      <c r="AD109" s="459"/>
      <c r="AE109" s="460"/>
      <c r="AF109" s="459"/>
      <c r="AG109" s="460"/>
      <c r="AH109" s="459"/>
      <c r="AI109" s="460"/>
      <c r="AJ109" s="459"/>
      <c r="AK109" s="460"/>
      <c r="AL109" s="459"/>
      <c r="AM109" s="460"/>
      <c r="AN109" s="459"/>
      <c r="AO109" s="460"/>
      <c r="AP109" s="459"/>
      <c r="AQ109" s="460"/>
      <c r="AR109" s="459"/>
      <c r="AS109" s="460"/>
      <c r="AT109" s="94"/>
    </row>
    <row r="110" spans="2:46" ht="18" customHeight="1" x14ac:dyDescent="0.6">
      <c r="B110" s="667"/>
      <c r="C110" s="669"/>
      <c r="D110" s="3"/>
      <c r="E110" s="8"/>
      <c r="F110" s="459"/>
      <c r="G110" s="460"/>
      <c r="H110" s="459"/>
      <c r="I110" s="460"/>
      <c r="J110" s="459"/>
      <c r="K110" s="460"/>
      <c r="L110" s="459"/>
      <c r="M110" s="460"/>
      <c r="N110" s="459"/>
      <c r="O110" s="460"/>
      <c r="P110" s="459"/>
      <c r="Q110" s="460"/>
      <c r="R110" s="459"/>
      <c r="S110" s="460"/>
      <c r="T110" s="459"/>
      <c r="U110" s="460"/>
      <c r="V110" s="459"/>
      <c r="W110" s="460"/>
      <c r="X110" s="459"/>
      <c r="Y110" s="460"/>
      <c r="Z110" s="459"/>
      <c r="AA110" s="460"/>
      <c r="AB110" s="459"/>
      <c r="AC110" s="460"/>
      <c r="AD110" s="459"/>
      <c r="AE110" s="460"/>
      <c r="AF110" s="459"/>
      <c r="AG110" s="460"/>
      <c r="AH110" s="459"/>
      <c r="AI110" s="460"/>
      <c r="AJ110" s="459"/>
      <c r="AK110" s="460"/>
      <c r="AL110" s="459"/>
      <c r="AM110" s="460"/>
      <c r="AN110" s="459"/>
      <c r="AO110" s="460"/>
      <c r="AP110" s="459"/>
      <c r="AQ110" s="460"/>
      <c r="AR110" s="459"/>
      <c r="AS110" s="460"/>
      <c r="AT110" s="94"/>
    </row>
    <row r="111" spans="2:46" ht="18" customHeight="1" thickBot="1" x14ac:dyDescent="0.35">
      <c r="B111" s="667"/>
      <c r="C111" s="669">
        <f>'Plot Data'!N58</f>
        <v>1310</v>
      </c>
      <c r="D111" s="14"/>
      <c r="E111" s="15"/>
      <c r="F111" s="465"/>
      <c r="G111" s="466"/>
      <c r="H111" s="465"/>
      <c r="I111" s="466"/>
      <c r="J111" s="465"/>
      <c r="K111" s="466"/>
      <c r="L111" s="465"/>
      <c r="M111" s="466"/>
      <c r="N111" s="465"/>
      <c r="O111" s="466"/>
      <c r="P111" s="465"/>
      <c r="Q111" s="466"/>
      <c r="R111" s="465"/>
      <c r="S111" s="466"/>
      <c r="T111" s="465"/>
      <c r="U111" s="466"/>
      <c r="V111" s="465"/>
      <c r="W111" s="466"/>
      <c r="X111" s="465"/>
      <c r="Y111" s="466"/>
      <c r="Z111" s="465"/>
      <c r="AA111" s="466"/>
      <c r="AB111" s="465"/>
      <c r="AC111" s="466"/>
      <c r="AD111" s="465"/>
      <c r="AE111" s="466"/>
      <c r="AF111" s="465"/>
      <c r="AG111" s="466"/>
      <c r="AH111" s="465"/>
      <c r="AI111" s="466"/>
      <c r="AJ111" s="465"/>
      <c r="AK111" s="466"/>
      <c r="AL111" s="465"/>
      <c r="AM111" s="466"/>
      <c r="AN111" s="465"/>
      <c r="AO111" s="466"/>
      <c r="AP111" s="465"/>
      <c r="AQ111" s="466"/>
      <c r="AR111" s="465"/>
      <c r="AS111" s="466"/>
      <c r="AT111" s="469" t="s">
        <v>90</v>
      </c>
    </row>
    <row r="112" spans="2:46" ht="18" customHeight="1" x14ac:dyDescent="0.3">
      <c r="B112" s="667"/>
      <c r="C112" s="669"/>
      <c r="D112" s="16"/>
      <c r="E112" s="17"/>
      <c r="F112" s="467"/>
      <c r="G112" s="468"/>
      <c r="H112" s="467"/>
      <c r="I112" s="468"/>
      <c r="J112" s="467"/>
      <c r="K112" s="468"/>
      <c r="L112" s="467"/>
      <c r="M112" s="468"/>
      <c r="N112" s="467"/>
      <c r="O112" s="468"/>
      <c r="P112" s="467"/>
      <c r="Q112" s="468"/>
      <c r="R112" s="467"/>
      <c r="S112" s="468"/>
      <c r="T112" s="467"/>
      <c r="U112" s="468"/>
      <c r="V112" s="467"/>
      <c r="W112" s="468"/>
      <c r="X112" s="467"/>
      <c r="Y112" s="468"/>
      <c r="Z112" s="467"/>
      <c r="AA112" s="468"/>
      <c r="AB112" s="467"/>
      <c r="AC112" s="468"/>
      <c r="AD112" s="467"/>
      <c r="AE112" s="468"/>
      <c r="AF112" s="467"/>
      <c r="AG112" s="468"/>
      <c r="AH112" s="467"/>
      <c r="AI112" s="468"/>
      <c r="AJ112" s="467"/>
      <c r="AK112" s="468"/>
      <c r="AL112" s="467"/>
      <c r="AM112" s="468"/>
      <c r="AN112" s="467"/>
      <c r="AO112" s="468"/>
      <c r="AP112" s="467"/>
      <c r="AQ112" s="468"/>
      <c r="AR112" s="467"/>
      <c r="AS112" s="468"/>
      <c r="AT112" s="464"/>
    </row>
    <row r="113" spans="2:46" ht="18" customHeight="1" x14ac:dyDescent="0.6">
      <c r="B113" s="667"/>
      <c r="C113" s="669">
        <f>C117+(C111-C117)/2</f>
        <v>1305</v>
      </c>
      <c r="D113" s="3"/>
      <c r="E113" s="8"/>
      <c r="F113" s="459"/>
      <c r="G113" s="460"/>
      <c r="H113" s="459"/>
      <c r="I113" s="460"/>
      <c r="J113" s="459"/>
      <c r="K113" s="460"/>
      <c r="L113" s="459"/>
      <c r="M113" s="460"/>
      <c r="N113" s="459"/>
      <c r="O113" s="460"/>
      <c r="P113" s="459"/>
      <c r="Q113" s="460"/>
      <c r="R113" s="459"/>
      <c r="S113" s="460"/>
      <c r="T113" s="459"/>
      <c r="U113" s="460"/>
      <c r="V113" s="459"/>
      <c r="W113" s="460"/>
      <c r="X113" s="459"/>
      <c r="Y113" s="460"/>
      <c r="Z113" s="459"/>
      <c r="AA113" s="460"/>
      <c r="AB113" s="459"/>
      <c r="AC113" s="460"/>
      <c r="AD113" s="459"/>
      <c r="AE113" s="460"/>
      <c r="AF113" s="459"/>
      <c r="AG113" s="460"/>
      <c r="AH113" s="459"/>
      <c r="AI113" s="460"/>
      <c r="AJ113" s="459"/>
      <c r="AK113" s="460"/>
      <c r="AL113" s="459"/>
      <c r="AM113" s="460"/>
      <c r="AN113" s="459"/>
      <c r="AO113" s="460"/>
      <c r="AP113" s="459"/>
      <c r="AQ113" s="460"/>
      <c r="AR113" s="459"/>
      <c r="AS113" s="460"/>
      <c r="AT113" s="94"/>
    </row>
    <row r="114" spans="2:46" ht="18" customHeight="1" x14ac:dyDescent="0.6">
      <c r="B114" s="667"/>
      <c r="C114" s="669"/>
      <c r="D114" s="13"/>
      <c r="E114" s="8"/>
      <c r="F114" s="459"/>
      <c r="G114" s="460"/>
      <c r="H114" s="459"/>
      <c r="I114" s="460"/>
      <c r="J114" s="459"/>
      <c r="K114" s="460"/>
      <c r="L114" s="459"/>
      <c r="M114" s="460"/>
      <c r="N114" s="459"/>
      <c r="O114" s="460"/>
      <c r="P114" s="459"/>
      <c r="Q114" s="460"/>
      <c r="R114" s="459"/>
      <c r="S114" s="460"/>
      <c r="T114" s="459"/>
      <c r="U114" s="460"/>
      <c r="V114" s="459"/>
      <c r="W114" s="460"/>
      <c r="X114" s="459"/>
      <c r="Y114" s="460"/>
      <c r="Z114" s="459"/>
      <c r="AA114" s="460"/>
      <c r="AB114" s="459"/>
      <c r="AC114" s="460"/>
      <c r="AD114" s="459"/>
      <c r="AE114" s="460"/>
      <c r="AF114" s="459"/>
      <c r="AG114" s="460"/>
      <c r="AH114" s="459"/>
      <c r="AI114" s="460"/>
      <c r="AJ114" s="459"/>
      <c r="AK114" s="460"/>
      <c r="AL114" s="459"/>
      <c r="AM114" s="460"/>
      <c r="AN114" s="459"/>
      <c r="AO114" s="460"/>
      <c r="AP114" s="459"/>
      <c r="AQ114" s="460"/>
      <c r="AR114" s="459"/>
      <c r="AS114" s="460"/>
      <c r="AT114" s="94"/>
    </row>
    <row r="115" spans="2:46" ht="18" customHeight="1" x14ac:dyDescent="0.6">
      <c r="B115" s="667"/>
      <c r="C115" s="669"/>
      <c r="D115" s="13"/>
      <c r="E115" s="8"/>
      <c r="F115" s="459"/>
      <c r="G115" s="460"/>
      <c r="H115" s="459"/>
      <c r="I115" s="460"/>
      <c r="J115" s="459"/>
      <c r="K115" s="460"/>
      <c r="L115" s="459"/>
      <c r="M115" s="460"/>
      <c r="N115" s="459"/>
      <c r="O115" s="460"/>
      <c r="P115" s="459"/>
      <c r="Q115" s="460"/>
      <c r="R115" s="459"/>
      <c r="S115" s="460"/>
      <c r="T115" s="459"/>
      <c r="U115" s="460"/>
      <c r="V115" s="459"/>
      <c r="W115" s="460"/>
      <c r="X115" s="459"/>
      <c r="Y115" s="460"/>
      <c r="Z115" s="459"/>
      <c r="AA115" s="460"/>
      <c r="AB115" s="459"/>
      <c r="AC115" s="460"/>
      <c r="AD115" s="459"/>
      <c r="AE115" s="460"/>
      <c r="AF115" s="459"/>
      <c r="AG115" s="460"/>
      <c r="AH115" s="459"/>
      <c r="AI115" s="460"/>
      <c r="AJ115" s="459"/>
      <c r="AK115" s="460"/>
      <c r="AL115" s="459"/>
      <c r="AM115" s="460"/>
      <c r="AN115" s="459"/>
      <c r="AO115" s="460"/>
      <c r="AP115" s="459"/>
      <c r="AQ115" s="460"/>
      <c r="AR115" s="459"/>
      <c r="AS115" s="460"/>
      <c r="AT115" s="94"/>
    </row>
    <row r="116" spans="2:46" ht="18" customHeight="1" x14ac:dyDescent="0.6">
      <c r="B116" s="667"/>
      <c r="C116" s="669"/>
      <c r="D116" s="3"/>
      <c r="E116" s="8"/>
      <c r="F116" s="459"/>
      <c r="G116" s="460"/>
      <c r="H116" s="459"/>
      <c r="I116" s="460"/>
      <c r="J116" s="459"/>
      <c r="K116" s="460"/>
      <c r="L116" s="459"/>
      <c r="M116" s="460"/>
      <c r="N116" s="459"/>
      <c r="O116" s="460"/>
      <c r="P116" s="459"/>
      <c r="Q116" s="460"/>
      <c r="R116" s="459"/>
      <c r="S116" s="460"/>
      <c r="T116" s="459"/>
      <c r="U116" s="460"/>
      <c r="V116" s="459"/>
      <c r="W116" s="460"/>
      <c r="X116" s="459"/>
      <c r="Y116" s="460"/>
      <c r="Z116" s="459"/>
      <c r="AA116" s="460"/>
      <c r="AB116" s="459"/>
      <c r="AC116" s="460"/>
      <c r="AD116" s="459"/>
      <c r="AE116" s="460"/>
      <c r="AF116" s="459"/>
      <c r="AG116" s="460"/>
      <c r="AH116" s="459"/>
      <c r="AI116" s="460"/>
      <c r="AJ116" s="459"/>
      <c r="AK116" s="460"/>
      <c r="AL116" s="459"/>
      <c r="AM116" s="460"/>
      <c r="AN116" s="459"/>
      <c r="AO116" s="460"/>
      <c r="AP116" s="459"/>
      <c r="AQ116" s="460"/>
      <c r="AR116" s="459"/>
      <c r="AS116" s="460"/>
      <c r="AT116" s="94"/>
    </row>
    <row r="117" spans="2:46" ht="18" customHeight="1" x14ac:dyDescent="0.6">
      <c r="B117" s="667"/>
      <c r="C117" s="669">
        <f>'Plot Data'!N66</f>
        <v>1300</v>
      </c>
      <c r="D117" s="13"/>
      <c r="E117" s="8"/>
      <c r="F117" s="470"/>
      <c r="G117" s="471"/>
      <c r="H117" s="459"/>
      <c r="I117" s="460"/>
      <c r="J117" s="459"/>
      <c r="K117" s="460"/>
      <c r="L117" s="459"/>
      <c r="M117" s="460"/>
      <c r="N117" s="459"/>
      <c r="O117" s="460"/>
      <c r="P117" s="459"/>
      <c r="Q117" s="460"/>
      <c r="R117" s="459"/>
      <c r="S117" s="460"/>
      <c r="T117" s="459"/>
      <c r="U117" s="460"/>
      <c r="V117" s="459"/>
      <c r="W117" s="460"/>
      <c r="X117" s="459"/>
      <c r="Y117" s="460"/>
      <c r="Z117" s="459"/>
      <c r="AA117" s="460"/>
      <c r="AB117" s="459"/>
      <c r="AC117" s="460"/>
      <c r="AD117" s="459"/>
      <c r="AE117" s="460"/>
      <c r="AF117" s="459"/>
      <c r="AG117" s="460"/>
      <c r="AH117" s="459"/>
      <c r="AI117" s="460"/>
      <c r="AJ117" s="459"/>
      <c r="AK117" s="460"/>
      <c r="AL117" s="459"/>
      <c r="AM117" s="460"/>
      <c r="AN117" s="459"/>
      <c r="AO117" s="460"/>
      <c r="AP117" s="459"/>
      <c r="AQ117" s="460"/>
      <c r="AR117" s="459"/>
      <c r="AS117" s="460"/>
      <c r="AT117" s="94"/>
    </row>
    <row r="118" spans="2:46" ht="18" customHeight="1" x14ac:dyDescent="0.6">
      <c r="B118" s="667"/>
      <c r="C118" s="669"/>
      <c r="D118" s="3"/>
      <c r="E118" s="8"/>
      <c r="F118" s="459"/>
      <c r="G118" s="460"/>
      <c r="H118" s="459"/>
      <c r="I118" s="460"/>
      <c r="J118" s="459"/>
      <c r="K118" s="460"/>
      <c r="L118" s="459"/>
      <c r="M118" s="460"/>
      <c r="N118" s="459"/>
      <c r="O118" s="460"/>
      <c r="P118" s="459"/>
      <c r="Q118" s="460"/>
      <c r="R118" s="459"/>
      <c r="S118" s="460"/>
      <c r="T118" s="459"/>
      <c r="U118" s="460"/>
      <c r="V118" s="459"/>
      <c r="W118" s="460"/>
      <c r="X118" s="459"/>
      <c r="Y118" s="460"/>
      <c r="Z118" s="459"/>
      <c r="AA118" s="460"/>
      <c r="AB118" s="459"/>
      <c r="AC118" s="460"/>
      <c r="AD118" s="459"/>
      <c r="AE118" s="460"/>
      <c r="AF118" s="459"/>
      <c r="AG118" s="460"/>
      <c r="AH118" s="459"/>
      <c r="AI118" s="460"/>
      <c r="AJ118" s="459"/>
      <c r="AK118" s="460"/>
      <c r="AL118" s="459"/>
      <c r="AM118" s="460"/>
      <c r="AN118" s="459"/>
      <c r="AO118" s="460"/>
      <c r="AP118" s="459"/>
      <c r="AQ118" s="460"/>
      <c r="AR118" s="459"/>
      <c r="AS118" s="460"/>
      <c r="AT118" s="94"/>
    </row>
    <row r="119" spans="2:46" ht="18" customHeight="1" x14ac:dyDescent="0.6">
      <c r="B119" s="667"/>
      <c r="C119" s="669">
        <f>C123+(C117-C123)/2</f>
        <v>1295</v>
      </c>
      <c r="D119" s="13"/>
      <c r="E119" s="8"/>
      <c r="F119" s="459"/>
      <c r="G119" s="460"/>
      <c r="H119" s="459"/>
      <c r="I119" s="460"/>
      <c r="J119" s="459"/>
      <c r="K119" s="460"/>
      <c r="L119" s="459"/>
      <c r="M119" s="460"/>
      <c r="N119" s="459"/>
      <c r="O119" s="460"/>
      <c r="P119" s="459"/>
      <c r="Q119" s="460"/>
      <c r="R119" s="459"/>
      <c r="S119" s="460"/>
      <c r="T119" s="459"/>
      <c r="U119" s="460"/>
      <c r="V119" s="459"/>
      <c r="W119" s="460"/>
      <c r="X119" s="459"/>
      <c r="Y119" s="460"/>
      <c r="Z119" s="459"/>
      <c r="AA119" s="460"/>
      <c r="AB119" s="459"/>
      <c r="AC119" s="460"/>
      <c r="AD119" s="459"/>
      <c r="AE119" s="460"/>
      <c r="AF119" s="459"/>
      <c r="AG119" s="460"/>
      <c r="AH119" s="459"/>
      <c r="AI119" s="460"/>
      <c r="AJ119" s="459"/>
      <c r="AK119" s="460"/>
      <c r="AL119" s="459"/>
      <c r="AM119" s="460"/>
      <c r="AN119" s="459"/>
      <c r="AO119" s="460"/>
      <c r="AP119" s="459"/>
      <c r="AQ119" s="460"/>
      <c r="AR119" s="459"/>
      <c r="AS119" s="460"/>
      <c r="AT119" s="94"/>
    </row>
    <row r="120" spans="2:46" ht="18" customHeight="1" x14ac:dyDescent="0.6">
      <c r="B120" s="667"/>
      <c r="C120" s="669"/>
      <c r="D120" s="3"/>
      <c r="E120" s="8"/>
      <c r="F120" s="459"/>
      <c r="G120" s="460"/>
      <c r="H120" s="459"/>
      <c r="I120" s="460"/>
      <c r="J120" s="459"/>
      <c r="K120" s="460"/>
      <c r="L120" s="459"/>
      <c r="M120" s="460"/>
      <c r="N120" s="459"/>
      <c r="O120" s="460"/>
      <c r="P120" s="459"/>
      <c r="Q120" s="460"/>
      <c r="R120" s="459"/>
      <c r="S120" s="460"/>
      <c r="T120" s="459"/>
      <c r="U120" s="460"/>
      <c r="V120" s="459"/>
      <c r="W120" s="460"/>
      <c r="X120" s="459"/>
      <c r="Y120" s="460"/>
      <c r="Z120" s="459"/>
      <c r="AA120" s="460"/>
      <c r="AB120" s="459"/>
      <c r="AC120" s="460"/>
      <c r="AD120" s="459"/>
      <c r="AE120" s="460"/>
      <c r="AF120" s="459"/>
      <c r="AG120" s="460"/>
      <c r="AH120" s="459"/>
      <c r="AI120" s="460"/>
      <c r="AJ120" s="459"/>
      <c r="AK120" s="460"/>
      <c r="AL120" s="459"/>
      <c r="AM120" s="460"/>
      <c r="AN120" s="459"/>
      <c r="AO120" s="460"/>
      <c r="AP120" s="459"/>
      <c r="AQ120" s="460"/>
      <c r="AR120" s="459"/>
      <c r="AS120" s="460"/>
      <c r="AT120" s="94"/>
    </row>
    <row r="121" spans="2:46" ht="18" customHeight="1" x14ac:dyDescent="0.6">
      <c r="B121" s="667"/>
      <c r="C121" s="669"/>
      <c r="D121" s="3"/>
      <c r="E121" s="8"/>
      <c r="F121" s="459"/>
      <c r="G121" s="460"/>
      <c r="H121" s="459"/>
      <c r="I121" s="460"/>
      <c r="J121" s="459"/>
      <c r="K121" s="460"/>
      <c r="L121" s="459"/>
      <c r="M121" s="460"/>
      <c r="N121" s="459"/>
      <c r="O121" s="460"/>
      <c r="P121" s="459"/>
      <c r="Q121" s="460"/>
      <c r="R121" s="459"/>
      <c r="S121" s="460"/>
      <c r="T121" s="459"/>
      <c r="U121" s="460"/>
      <c r="V121" s="459"/>
      <c r="W121" s="460"/>
      <c r="X121" s="459"/>
      <c r="Y121" s="460"/>
      <c r="Z121" s="459"/>
      <c r="AA121" s="460"/>
      <c r="AB121" s="459"/>
      <c r="AC121" s="460"/>
      <c r="AD121" s="459"/>
      <c r="AE121" s="460"/>
      <c r="AF121" s="459"/>
      <c r="AG121" s="460"/>
      <c r="AH121" s="459"/>
      <c r="AI121" s="460"/>
      <c r="AJ121" s="459"/>
      <c r="AK121" s="460"/>
      <c r="AL121" s="459"/>
      <c r="AM121" s="460"/>
      <c r="AN121" s="459"/>
      <c r="AO121" s="460"/>
      <c r="AP121" s="459"/>
      <c r="AQ121" s="460"/>
      <c r="AR121" s="459"/>
      <c r="AS121" s="460"/>
      <c r="AT121" s="94"/>
    </row>
    <row r="122" spans="2:46" ht="18" customHeight="1" x14ac:dyDescent="0.6">
      <c r="B122" s="667"/>
      <c r="C122" s="669"/>
      <c r="D122" s="3"/>
      <c r="E122" s="8"/>
      <c r="F122" s="459"/>
      <c r="G122" s="460"/>
      <c r="H122" s="459"/>
      <c r="I122" s="460"/>
      <c r="J122" s="459"/>
      <c r="K122" s="460"/>
      <c r="L122" s="459"/>
      <c r="M122" s="460"/>
      <c r="N122" s="459"/>
      <c r="O122" s="460"/>
      <c r="P122" s="459"/>
      <c r="Q122" s="460"/>
      <c r="R122" s="459"/>
      <c r="S122" s="460"/>
      <c r="T122" s="459"/>
      <c r="U122" s="460"/>
      <c r="V122" s="459"/>
      <c r="W122" s="460"/>
      <c r="X122" s="459"/>
      <c r="Y122" s="460"/>
      <c r="Z122" s="459"/>
      <c r="AA122" s="460"/>
      <c r="AB122" s="459"/>
      <c r="AC122" s="460"/>
      <c r="AD122" s="459"/>
      <c r="AE122" s="460"/>
      <c r="AF122" s="459"/>
      <c r="AG122" s="460"/>
      <c r="AH122" s="459"/>
      <c r="AI122" s="460"/>
      <c r="AJ122" s="459"/>
      <c r="AK122" s="460"/>
      <c r="AL122" s="459"/>
      <c r="AM122" s="460"/>
      <c r="AN122" s="459"/>
      <c r="AO122" s="460"/>
      <c r="AP122" s="459"/>
      <c r="AQ122" s="460"/>
      <c r="AR122" s="459"/>
      <c r="AS122" s="460"/>
      <c r="AT122" s="94"/>
    </row>
    <row r="123" spans="2:46" ht="18" customHeight="1" thickBot="1" x14ac:dyDescent="0.35">
      <c r="B123" s="667"/>
      <c r="C123" s="669">
        <f>'Plot Data'!N65</f>
        <v>1290</v>
      </c>
      <c r="D123" s="9"/>
      <c r="E123" s="10"/>
      <c r="F123" s="11"/>
      <c r="G123" s="12"/>
      <c r="H123" s="11"/>
      <c r="I123" s="12"/>
      <c r="J123" s="11"/>
      <c r="K123" s="12"/>
      <c r="L123" s="11"/>
      <c r="M123" s="12"/>
      <c r="N123" s="11"/>
      <c r="O123" s="12"/>
      <c r="P123" s="11"/>
      <c r="Q123" s="12"/>
      <c r="R123" s="11"/>
      <c r="S123" s="12"/>
      <c r="T123" s="11"/>
      <c r="U123" s="12"/>
      <c r="V123" s="11"/>
      <c r="W123" s="12"/>
      <c r="X123" s="11"/>
      <c r="Y123" s="12"/>
      <c r="Z123" s="11"/>
      <c r="AA123" s="12"/>
      <c r="AB123" s="11"/>
      <c r="AC123" s="12"/>
      <c r="AD123" s="11"/>
      <c r="AE123" s="12"/>
      <c r="AF123" s="11"/>
      <c r="AG123" s="12"/>
      <c r="AH123" s="11"/>
      <c r="AI123" s="12"/>
      <c r="AJ123" s="11"/>
      <c r="AK123" s="12"/>
      <c r="AL123" s="11"/>
      <c r="AM123" s="12"/>
      <c r="AN123" s="11"/>
      <c r="AO123" s="12"/>
      <c r="AP123" s="11"/>
      <c r="AQ123" s="12"/>
      <c r="AR123" s="11"/>
      <c r="AS123" s="12"/>
      <c r="AT123" s="463" t="s">
        <v>46</v>
      </c>
    </row>
    <row r="124" spans="2:46" ht="18" customHeight="1" x14ac:dyDescent="0.3">
      <c r="B124" s="667"/>
      <c r="C124" s="669"/>
      <c r="D124" s="7"/>
      <c r="E124" s="8"/>
      <c r="F124" s="459"/>
      <c r="G124" s="460"/>
      <c r="H124" s="459"/>
      <c r="I124" s="460"/>
      <c r="J124" s="459"/>
      <c r="K124" s="460"/>
      <c r="L124" s="459"/>
      <c r="M124" s="460"/>
      <c r="N124" s="459"/>
      <c r="O124" s="460"/>
      <c r="P124" s="459"/>
      <c r="Q124" s="460"/>
      <c r="R124" s="459"/>
      <c r="S124" s="460"/>
      <c r="T124" s="459"/>
      <c r="U124" s="460"/>
      <c r="V124" s="459"/>
      <c r="W124" s="460"/>
      <c r="X124" s="459"/>
      <c r="Y124" s="460"/>
      <c r="Z124" s="459"/>
      <c r="AA124" s="460"/>
      <c r="AB124" s="459"/>
      <c r="AC124" s="460"/>
      <c r="AD124" s="459"/>
      <c r="AE124" s="460"/>
      <c r="AF124" s="459"/>
      <c r="AG124" s="460"/>
      <c r="AH124" s="459"/>
      <c r="AI124" s="460"/>
      <c r="AJ124" s="459"/>
      <c r="AK124" s="460"/>
      <c r="AL124" s="459"/>
      <c r="AM124" s="460"/>
      <c r="AN124" s="459"/>
      <c r="AO124" s="460"/>
      <c r="AP124" s="459"/>
      <c r="AQ124" s="460"/>
      <c r="AR124" s="459"/>
      <c r="AS124" s="460"/>
      <c r="AT124" s="464"/>
    </row>
    <row r="125" spans="2:46" ht="18" customHeight="1" x14ac:dyDescent="0.6">
      <c r="B125" s="667"/>
      <c r="C125" s="669">
        <f>C129+(C123-C129)/2</f>
        <v>1285</v>
      </c>
      <c r="D125" s="3"/>
      <c r="E125" s="8"/>
      <c r="F125" s="459"/>
      <c r="G125" s="460"/>
      <c r="H125" s="459"/>
      <c r="I125" s="460"/>
      <c r="J125" s="459"/>
      <c r="K125" s="460"/>
      <c r="L125" s="459"/>
      <c r="M125" s="460"/>
      <c r="N125" s="459"/>
      <c r="O125" s="460"/>
      <c r="P125" s="459"/>
      <c r="Q125" s="460"/>
      <c r="R125" s="459"/>
      <c r="S125" s="460"/>
      <c r="T125" s="459"/>
      <c r="U125" s="460"/>
      <c r="V125" s="459"/>
      <c r="W125" s="460"/>
      <c r="X125" s="459"/>
      <c r="Y125" s="460"/>
      <c r="Z125" s="459"/>
      <c r="AA125" s="460"/>
      <c r="AB125" s="459"/>
      <c r="AC125" s="460"/>
      <c r="AD125" s="459"/>
      <c r="AE125" s="460"/>
      <c r="AF125" s="459"/>
      <c r="AG125" s="460"/>
      <c r="AH125" s="459"/>
      <c r="AI125" s="460"/>
      <c r="AJ125" s="459"/>
      <c r="AK125" s="460"/>
      <c r="AL125" s="459"/>
      <c r="AM125" s="460"/>
      <c r="AN125" s="459"/>
      <c r="AO125" s="460"/>
      <c r="AP125" s="459"/>
      <c r="AQ125" s="460"/>
      <c r="AR125" s="459"/>
      <c r="AS125" s="460"/>
      <c r="AT125" s="94"/>
    </row>
    <row r="126" spans="2:46" ht="18" customHeight="1" x14ac:dyDescent="0.6">
      <c r="B126" s="667"/>
      <c r="C126" s="669"/>
      <c r="D126" s="3"/>
      <c r="E126" s="8"/>
      <c r="F126" s="459"/>
      <c r="G126" s="460"/>
      <c r="H126" s="459"/>
      <c r="I126" s="460"/>
      <c r="J126" s="459"/>
      <c r="K126" s="460"/>
      <c r="L126" s="459"/>
      <c r="M126" s="460"/>
      <c r="N126" s="459"/>
      <c r="O126" s="460"/>
      <c r="P126" s="459"/>
      <c r="Q126" s="460"/>
      <c r="R126" s="459"/>
      <c r="S126" s="460"/>
      <c r="T126" s="459"/>
      <c r="U126" s="460"/>
      <c r="V126" s="459"/>
      <c r="W126" s="460"/>
      <c r="X126" s="459"/>
      <c r="Y126" s="460"/>
      <c r="Z126" s="459"/>
      <c r="AA126" s="460"/>
      <c r="AB126" s="459"/>
      <c r="AC126" s="460"/>
      <c r="AD126" s="459"/>
      <c r="AE126" s="460"/>
      <c r="AF126" s="459"/>
      <c r="AG126" s="460"/>
      <c r="AH126" s="459"/>
      <c r="AI126" s="460"/>
      <c r="AJ126" s="459"/>
      <c r="AK126" s="460"/>
      <c r="AL126" s="459"/>
      <c r="AM126" s="460"/>
      <c r="AN126" s="459"/>
      <c r="AO126" s="460"/>
      <c r="AP126" s="459"/>
      <c r="AQ126" s="460"/>
      <c r="AR126" s="459"/>
      <c r="AS126" s="460"/>
      <c r="AT126" s="94"/>
    </row>
    <row r="127" spans="2:46" ht="18" customHeight="1" x14ac:dyDescent="0.6">
      <c r="B127" s="667"/>
      <c r="C127" s="669"/>
      <c r="D127" s="3"/>
      <c r="E127" s="8"/>
      <c r="F127" s="459"/>
      <c r="G127" s="460"/>
      <c r="H127" s="459"/>
      <c r="I127" s="460"/>
      <c r="J127" s="459"/>
      <c r="K127" s="460"/>
      <c r="L127" s="459"/>
      <c r="M127" s="460"/>
      <c r="N127" s="459"/>
      <c r="O127" s="460"/>
      <c r="P127" s="459"/>
      <c r="Q127" s="460"/>
      <c r="R127" s="459"/>
      <c r="S127" s="460"/>
      <c r="T127" s="459"/>
      <c r="U127" s="460"/>
      <c r="V127" s="459"/>
      <c r="W127" s="460"/>
      <c r="X127" s="459"/>
      <c r="Y127" s="460"/>
      <c r="Z127" s="459"/>
      <c r="AA127" s="460"/>
      <c r="AB127" s="459"/>
      <c r="AC127" s="460"/>
      <c r="AD127" s="459"/>
      <c r="AE127" s="460"/>
      <c r="AF127" s="459"/>
      <c r="AG127" s="460"/>
      <c r="AH127" s="459"/>
      <c r="AI127" s="460"/>
      <c r="AJ127" s="459"/>
      <c r="AK127" s="460"/>
      <c r="AL127" s="459"/>
      <c r="AM127" s="460"/>
      <c r="AN127" s="459"/>
      <c r="AO127" s="460"/>
      <c r="AP127" s="459"/>
      <c r="AQ127" s="460"/>
      <c r="AR127" s="459"/>
      <c r="AS127" s="460"/>
      <c r="AT127" s="94"/>
    </row>
    <row r="128" spans="2:46" ht="18" customHeight="1" x14ac:dyDescent="0.6">
      <c r="B128" s="667"/>
      <c r="C128" s="669"/>
      <c r="D128" s="3"/>
      <c r="E128" s="8"/>
      <c r="F128" s="459"/>
      <c r="G128" s="460"/>
      <c r="H128" s="459"/>
      <c r="I128" s="460"/>
      <c r="J128" s="459"/>
      <c r="K128" s="460"/>
      <c r="L128" s="459"/>
      <c r="M128" s="460"/>
      <c r="N128" s="459"/>
      <c r="O128" s="460"/>
      <c r="P128" s="459"/>
      <c r="Q128" s="460"/>
      <c r="R128" s="459"/>
      <c r="S128" s="460"/>
      <c r="T128" s="459"/>
      <c r="U128" s="460"/>
      <c r="V128" s="459"/>
      <c r="W128" s="460"/>
      <c r="X128" s="459"/>
      <c r="Y128" s="460"/>
      <c r="Z128" s="459"/>
      <c r="AA128" s="460"/>
      <c r="AB128" s="459"/>
      <c r="AC128" s="460"/>
      <c r="AD128" s="459"/>
      <c r="AE128" s="460"/>
      <c r="AF128" s="459"/>
      <c r="AG128" s="460"/>
      <c r="AH128" s="459"/>
      <c r="AI128" s="460"/>
      <c r="AJ128" s="459"/>
      <c r="AK128" s="460"/>
      <c r="AL128" s="459"/>
      <c r="AM128" s="460"/>
      <c r="AN128" s="459"/>
      <c r="AO128" s="460"/>
      <c r="AP128" s="459"/>
      <c r="AQ128" s="460"/>
      <c r="AR128" s="459"/>
      <c r="AS128" s="460"/>
      <c r="AT128" s="94"/>
    </row>
    <row r="129" spans="2:46" ht="18" customHeight="1" thickBot="1" x14ac:dyDescent="0.35">
      <c r="B129" s="667"/>
      <c r="C129" s="669">
        <f>'Plot Data'!N67</f>
        <v>1280</v>
      </c>
      <c r="D129" s="5"/>
      <c r="E129" s="6"/>
      <c r="F129" s="461"/>
      <c r="G129" s="462"/>
      <c r="H129" s="461"/>
      <c r="I129" s="462"/>
      <c r="J129" s="461"/>
      <c r="K129" s="462"/>
      <c r="L129" s="461"/>
      <c r="M129" s="462"/>
      <c r="N129" s="461"/>
      <c r="O129" s="462"/>
      <c r="P129" s="461"/>
      <c r="Q129" s="462"/>
      <c r="R129" s="461"/>
      <c r="S129" s="462"/>
      <c r="T129" s="461"/>
      <c r="U129" s="462"/>
      <c r="V129" s="461"/>
      <c r="W129" s="462"/>
      <c r="X129" s="461"/>
      <c r="Y129" s="462"/>
      <c r="Z129" s="461"/>
      <c r="AA129" s="462"/>
      <c r="AB129" s="461"/>
      <c r="AC129" s="462"/>
      <c r="AD129" s="461"/>
      <c r="AE129" s="462"/>
      <c r="AF129" s="461"/>
      <c r="AG129" s="462"/>
      <c r="AH129" s="461"/>
      <c r="AI129" s="462"/>
      <c r="AJ129" s="461"/>
      <c r="AK129" s="462"/>
      <c r="AL129" s="461"/>
      <c r="AM129" s="462"/>
      <c r="AN129" s="461"/>
      <c r="AO129" s="462"/>
      <c r="AP129" s="461"/>
      <c r="AQ129" s="462"/>
      <c r="AR129" s="461"/>
      <c r="AS129" s="462"/>
      <c r="AT129" s="463" t="s">
        <v>45</v>
      </c>
    </row>
    <row r="130" spans="2:46" ht="18" customHeight="1" thickTop="1" thickBot="1" x14ac:dyDescent="0.35">
      <c r="B130" s="668"/>
      <c r="C130" s="670"/>
      <c r="D130" s="77"/>
      <c r="E130" s="78"/>
      <c r="F130" s="473"/>
      <c r="G130" s="474"/>
      <c r="H130" s="473"/>
      <c r="I130" s="474"/>
      <c r="J130" s="473"/>
      <c r="K130" s="474"/>
      <c r="L130" s="473"/>
      <c r="M130" s="474"/>
      <c r="N130" s="473"/>
      <c r="O130" s="474"/>
      <c r="P130" s="473"/>
      <c r="Q130" s="474"/>
      <c r="R130" s="473"/>
      <c r="S130" s="474"/>
      <c r="T130" s="473"/>
      <c r="U130" s="474"/>
      <c r="V130" s="473"/>
      <c r="W130" s="474"/>
      <c r="X130" s="473"/>
      <c r="Y130" s="474"/>
      <c r="Z130" s="473"/>
      <c r="AA130" s="474"/>
      <c r="AB130" s="473"/>
      <c r="AC130" s="474"/>
      <c r="AD130" s="473"/>
      <c r="AE130" s="474"/>
      <c r="AF130" s="473"/>
      <c r="AG130" s="474"/>
      <c r="AH130" s="473"/>
      <c r="AI130" s="474"/>
      <c r="AJ130" s="473"/>
      <c r="AK130" s="474"/>
      <c r="AL130" s="473"/>
      <c r="AM130" s="474"/>
      <c r="AN130" s="473"/>
      <c r="AO130" s="474"/>
      <c r="AP130" s="473"/>
      <c r="AQ130" s="474"/>
      <c r="AR130" s="473"/>
      <c r="AS130" s="474"/>
      <c r="AT130" s="477"/>
    </row>
    <row r="131" spans="2:46" ht="18" customHeight="1" thickTop="1" thickBot="1" x14ac:dyDescent="0.35">
      <c r="B131" s="394"/>
      <c r="C131" s="395"/>
      <c r="D131" s="396"/>
      <c r="E131" s="397"/>
      <c r="F131" s="398"/>
      <c r="G131" s="399"/>
      <c r="H131" s="398"/>
      <c r="I131" s="399"/>
      <c r="J131" s="398"/>
      <c r="K131" s="399"/>
      <c r="L131" s="398"/>
      <c r="M131" s="399"/>
      <c r="N131" s="398"/>
      <c r="O131" s="399"/>
      <c r="P131" s="398"/>
      <c r="Q131" s="399"/>
      <c r="R131" s="398"/>
      <c r="S131" s="399"/>
      <c r="T131" s="398"/>
      <c r="U131" s="399"/>
      <c r="V131" s="398"/>
      <c r="W131" s="399"/>
      <c r="X131" s="398"/>
      <c r="Y131" s="399"/>
      <c r="Z131" s="398"/>
      <c r="AA131" s="399"/>
      <c r="AB131" s="398"/>
      <c r="AC131" s="399"/>
      <c r="AD131" s="398"/>
      <c r="AE131" s="399"/>
      <c r="AF131" s="398"/>
      <c r="AG131" s="399"/>
      <c r="AH131" s="398"/>
      <c r="AI131" s="399"/>
      <c r="AJ131" s="398"/>
      <c r="AK131" s="399"/>
      <c r="AL131" s="398"/>
      <c r="AM131" s="399"/>
      <c r="AN131" s="398"/>
      <c r="AO131" s="399"/>
      <c r="AP131" s="398"/>
      <c r="AQ131" s="399"/>
      <c r="AR131" s="398"/>
      <c r="AS131" s="399"/>
      <c r="AT131" s="400"/>
    </row>
    <row r="132" spans="2:46" ht="18" customHeight="1" thickTop="1" x14ac:dyDescent="0.6">
      <c r="B132" s="666" t="s">
        <v>304</v>
      </c>
      <c r="C132" s="389"/>
      <c r="D132" s="3"/>
      <c r="E132" s="74"/>
      <c r="F132" s="456"/>
      <c r="G132" s="457"/>
      <c r="H132" s="456"/>
      <c r="I132" s="457"/>
      <c r="J132" s="456"/>
      <c r="K132" s="457"/>
      <c r="L132" s="456"/>
      <c r="M132" s="457"/>
      <c r="N132" s="456"/>
      <c r="O132" s="457"/>
      <c r="P132" s="456"/>
      <c r="Q132" s="457"/>
      <c r="R132" s="456"/>
      <c r="S132" s="457"/>
      <c r="T132" s="456"/>
      <c r="U132" s="457"/>
      <c r="V132" s="456"/>
      <c r="W132" s="457"/>
      <c r="X132" s="456"/>
      <c r="Y132" s="457"/>
      <c r="Z132" s="456"/>
      <c r="AA132" s="457"/>
      <c r="AB132" s="456"/>
      <c r="AC132" s="457"/>
      <c r="AD132" s="456"/>
      <c r="AE132" s="457"/>
      <c r="AF132" s="456"/>
      <c r="AG132" s="457"/>
      <c r="AH132" s="456"/>
      <c r="AI132" s="457"/>
      <c r="AJ132" s="456"/>
      <c r="AK132" s="457"/>
      <c r="AL132" s="456"/>
      <c r="AM132" s="457"/>
      <c r="AN132" s="456"/>
      <c r="AO132" s="457"/>
      <c r="AP132" s="456"/>
      <c r="AQ132" s="457"/>
      <c r="AR132" s="456"/>
      <c r="AS132" s="457"/>
      <c r="AT132" s="93"/>
    </row>
    <row r="133" spans="2:46" ht="18" customHeight="1" thickBot="1" x14ac:dyDescent="0.35">
      <c r="B133" s="667"/>
      <c r="C133" s="669">
        <f>'Plot Data'!O64</f>
        <v>1390</v>
      </c>
      <c r="D133" s="5"/>
      <c r="E133" s="6"/>
      <c r="F133" s="461"/>
      <c r="G133" s="462"/>
      <c r="H133" s="461"/>
      <c r="I133" s="462"/>
      <c r="J133" s="461"/>
      <c r="K133" s="462"/>
      <c r="L133" s="461"/>
      <c r="M133" s="462"/>
      <c r="N133" s="461"/>
      <c r="O133" s="462"/>
      <c r="P133" s="461"/>
      <c r="Q133" s="462"/>
      <c r="R133" s="461"/>
      <c r="S133" s="462"/>
      <c r="T133" s="461"/>
      <c r="U133" s="462"/>
      <c r="V133" s="461"/>
      <c r="W133" s="462"/>
      <c r="X133" s="461"/>
      <c r="Y133" s="462"/>
      <c r="Z133" s="461"/>
      <c r="AA133" s="462"/>
      <c r="AB133" s="461"/>
      <c r="AC133" s="462"/>
      <c r="AD133" s="461"/>
      <c r="AE133" s="462"/>
      <c r="AF133" s="461"/>
      <c r="AG133" s="462"/>
      <c r="AH133" s="461"/>
      <c r="AI133" s="462"/>
      <c r="AJ133" s="461"/>
      <c r="AK133" s="462"/>
      <c r="AL133" s="461"/>
      <c r="AM133" s="462"/>
      <c r="AN133" s="461"/>
      <c r="AO133" s="462"/>
      <c r="AP133" s="461"/>
      <c r="AQ133" s="462"/>
      <c r="AR133" s="461"/>
      <c r="AS133" s="462"/>
      <c r="AT133" s="463" t="s">
        <v>48</v>
      </c>
    </row>
    <row r="134" spans="2:46" ht="18" customHeight="1" thickTop="1" x14ac:dyDescent="0.3">
      <c r="B134" s="667"/>
      <c r="C134" s="669"/>
      <c r="D134" s="7"/>
      <c r="E134" s="8"/>
      <c r="F134" s="459"/>
      <c r="G134" s="460"/>
      <c r="H134" s="459"/>
      <c r="I134" s="460"/>
      <c r="J134" s="459"/>
      <c r="K134" s="460"/>
      <c r="L134" s="459"/>
      <c r="M134" s="460"/>
      <c r="N134" s="459"/>
      <c r="O134" s="460"/>
      <c r="P134" s="459"/>
      <c r="Q134" s="460"/>
      <c r="R134" s="459"/>
      <c r="S134" s="460"/>
      <c r="T134" s="459"/>
      <c r="U134" s="460"/>
      <c r="V134" s="459"/>
      <c r="W134" s="460"/>
      <c r="X134" s="459"/>
      <c r="Y134" s="460"/>
      <c r="Z134" s="459"/>
      <c r="AA134" s="460"/>
      <c r="AB134" s="459"/>
      <c r="AC134" s="460"/>
      <c r="AD134" s="459"/>
      <c r="AE134" s="460"/>
      <c r="AF134" s="459"/>
      <c r="AG134" s="460"/>
      <c r="AH134" s="459"/>
      <c r="AI134" s="460"/>
      <c r="AJ134" s="459"/>
      <c r="AK134" s="460"/>
      <c r="AL134" s="459"/>
      <c r="AM134" s="460"/>
      <c r="AN134" s="459"/>
      <c r="AO134" s="460"/>
      <c r="AP134" s="459"/>
      <c r="AQ134" s="460"/>
      <c r="AR134" s="459"/>
      <c r="AS134" s="460"/>
      <c r="AT134" s="464"/>
    </row>
    <row r="135" spans="2:46" ht="18" customHeight="1" x14ac:dyDescent="0.6">
      <c r="B135" s="667"/>
      <c r="C135" s="669">
        <f>C139+(C133-C139)/2</f>
        <v>1385</v>
      </c>
      <c r="D135" s="3"/>
      <c r="E135" s="8"/>
      <c r="F135" s="459"/>
      <c r="G135" s="460"/>
      <c r="H135" s="459"/>
      <c r="I135" s="460"/>
      <c r="J135" s="459"/>
      <c r="K135" s="460"/>
      <c r="L135" s="459"/>
      <c r="M135" s="460"/>
      <c r="N135" s="459"/>
      <c r="O135" s="460"/>
      <c r="P135" s="459"/>
      <c r="Q135" s="460"/>
      <c r="R135" s="459"/>
      <c r="S135" s="460"/>
      <c r="T135" s="459"/>
      <c r="U135" s="460"/>
      <c r="V135" s="459"/>
      <c r="W135" s="460"/>
      <c r="X135" s="459"/>
      <c r="Y135" s="460"/>
      <c r="Z135" s="459"/>
      <c r="AA135" s="460"/>
      <c r="AB135" s="459"/>
      <c r="AC135" s="460"/>
      <c r="AD135" s="459"/>
      <c r="AE135" s="460"/>
      <c r="AF135" s="459"/>
      <c r="AG135" s="460"/>
      <c r="AH135" s="459"/>
      <c r="AI135" s="460"/>
      <c r="AJ135" s="459"/>
      <c r="AK135" s="460"/>
      <c r="AL135" s="459"/>
      <c r="AM135" s="460"/>
      <c r="AN135" s="459"/>
      <c r="AO135" s="460"/>
      <c r="AP135" s="459"/>
      <c r="AQ135" s="460"/>
      <c r="AR135" s="459"/>
      <c r="AS135" s="460"/>
      <c r="AT135" s="94"/>
    </row>
    <row r="136" spans="2:46" ht="18" customHeight="1" x14ac:dyDescent="0.6">
      <c r="B136" s="667"/>
      <c r="C136" s="669"/>
      <c r="D136" s="3"/>
      <c r="E136" s="8"/>
      <c r="F136" s="459"/>
      <c r="G136" s="460"/>
      <c r="H136" s="459"/>
      <c r="I136" s="460"/>
      <c r="J136" s="459"/>
      <c r="K136" s="460"/>
      <c r="L136" s="459"/>
      <c r="M136" s="460"/>
      <c r="N136" s="459"/>
      <c r="O136" s="460"/>
      <c r="P136" s="459"/>
      <c r="Q136" s="460"/>
      <c r="R136" s="459"/>
      <c r="S136" s="460"/>
      <c r="T136" s="459"/>
      <c r="U136" s="460"/>
      <c r="V136" s="459"/>
      <c r="W136" s="460"/>
      <c r="X136" s="459"/>
      <c r="Y136" s="460"/>
      <c r="Z136" s="459"/>
      <c r="AA136" s="460"/>
      <c r="AB136" s="459"/>
      <c r="AC136" s="460"/>
      <c r="AD136" s="459"/>
      <c r="AE136" s="460"/>
      <c r="AF136" s="459"/>
      <c r="AG136" s="460"/>
      <c r="AH136" s="459"/>
      <c r="AI136" s="460"/>
      <c r="AJ136" s="459"/>
      <c r="AK136" s="460"/>
      <c r="AL136" s="459"/>
      <c r="AM136" s="460"/>
      <c r="AN136" s="459"/>
      <c r="AO136" s="460"/>
      <c r="AP136" s="459"/>
      <c r="AQ136" s="460"/>
      <c r="AR136" s="459"/>
      <c r="AS136" s="460"/>
      <c r="AT136" s="94"/>
    </row>
    <row r="137" spans="2:46" ht="18" customHeight="1" x14ac:dyDescent="0.6">
      <c r="B137" s="667"/>
      <c r="C137" s="669"/>
      <c r="D137" s="3"/>
      <c r="E137" s="8"/>
      <c r="F137" s="459"/>
      <c r="G137" s="460"/>
      <c r="H137" s="459"/>
      <c r="I137" s="460"/>
      <c r="J137" s="459"/>
      <c r="K137" s="460"/>
      <c r="L137" s="459"/>
      <c r="M137" s="460"/>
      <c r="N137" s="459"/>
      <c r="O137" s="460"/>
      <c r="P137" s="459"/>
      <c r="Q137" s="460"/>
      <c r="R137" s="459"/>
      <c r="S137" s="460"/>
      <c r="T137" s="459"/>
      <c r="U137" s="460"/>
      <c r="V137" s="459"/>
      <c r="W137" s="460"/>
      <c r="X137" s="459"/>
      <c r="Y137" s="460"/>
      <c r="Z137" s="459"/>
      <c r="AA137" s="460"/>
      <c r="AB137" s="459"/>
      <c r="AC137" s="460"/>
      <c r="AD137" s="459"/>
      <c r="AE137" s="460"/>
      <c r="AF137" s="459"/>
      <c r="AG137" s="460"/>
      <c r="AH137" s="459"/>
      <c r="AI137" s="460"/>
      <c r="AJ137" s="459"/>
      <c r="AK137" s="460"/>
      <c r="AL137" s="459"/>
      <c r="AM137" s="460"/>
      <c r="AN137" s="459"/>
      <c r="AO137" s="460"/>
      <c r="AP137" s="459"/>
      <c r="AQ137" s="460"/>
      <c r="AR137" s="459"/>
      <c r="AS137" s="460"/>
      <c r="AT137" s="94"/>
    </row>
    <row r="138" spans="2:46" ht="18" customHeight="1" x14ac:dyDescent="0.6">
      <c r="B138" s="667"/>
      <c r="C138" s="669"/>
      <c r="D138" s="3"/>
      <c r="E138" s="8"/>
      <c r="F138" s="459"/>
      <c r="G138" s="460"/>
      <c r="H138" s="459"/>
      <c r="I138" s="460"/>
      <c r="J138" s="459"/>
      <c r="K138" s="460"/>
      <c r="L138" s="459"/>
      <c r="M138" s="460"/>
      <c r="N138" s="459"/>
      <c r="O138" s="460"/>
      <c r="P138" s="459"/>
      <c r="Q138" s="460"/>
      <c r="R138" s="459"/>
      <c r="S138" s="460"/>
      <c r="T138" s="459"/>
      <c r="U138" s="460"/>
      <c r="V138" s="459"/>
      <c r="W138" s="460"/>
      <c r="X138" s="459"/>
      <c r="Y138" s="460"/>
      <c r="Z138" s="459"/>
      <c r="AA138" s="460"/>
      <c r="AB138" s="459"/>
      <c r="AC138" s="460"/>
      <c r="AD138" s="459"/>
      <c r="AE138" s="460"/>
      <c r="AF138" s="459"/>
      <c r="AG138" s="460"/>
      <c r="AH138" s="459"/>
      <c r="AI138" s="460"/>
      <c r="AJ138" s="459"/>
      <c r="AK138" s="460"/>
      <c r="AL138" s="459"/>
      <c r="AM138" s="460"/>
      <c r="AN138" s="459"/>
      <c r="AO138" s="460"/>
      <c r="AP138" s="459"/>
      <c r="AQ138" s="460"/>
      <c r="AR138" s="459"/>
      <c r="AS138" s="460"/>
      <c r="AT138" s="94"/>
    </row>
    <row r="139" spans="2:46" ht="18" customHeight="1" thickBot="1" x14ac:dyDescent="0.35">
      <c r="B139" s="667"/>
      <c r="C139" s="669">
        <f>'Plot Data'!O62</f>
        <v>1380</v>
      </c>
      <c r="D139" s="9"/>
      <c r="E139" s="10"/>
      <c r="F139" s="11"/>
      <c r="G139" s="12"/>
      <c r="H139" s="11"/>
      <c r="I139" s="12"/>
      <c r="J139" s="11"/>
      <c r="K139" s="12"/>
      <c r="L139" s="11"/>
      <c r="M139" s="12"/>
      <c r="N139" s="11"/>
      <c r="O139" s="12"/>
      <c r="P139" s="11"/>
      <c r="Q139" s="12"/>
      <c r="R139" s="11"/>
      <c r="S139" s="12"/>
      <c r="T139" s="11"/>
      <c r="U139" s="12"/>
      <c r="V139" s="11"/>
      <c r="W139" s="12"/>
      <c r="X139" s="11"/>
      <c r="Y139" s="12"/>
      <c r="Z139" s="11"/>
      <c r="AA139" s="12"/>
      <c r="AB139" s="11"/>
      <c r="AC139" s="12"/>
      <c r="AD139" s="11"/>
      <c r="AE139" s="12"/>
      <c r="AF139" s="11"/>
      <c r="AG139" s="12"/>
      <c r="AH139" s="11"/>
      <c r="AI139" s="12"/>
      <c r="AJ139" s="11"/>
      <c r="AK139" s="12"/>
      <c r="AL139" s="11"/>
      <c r="AM139" s="12"/>
      <c r="AN139" s="11"/>
      <c r="AO139" s="12"/>
      <c r="AP139" s="11"/>
      <c r="AQ139" s="12"/>
      <c r="AR139" s="11"/>
      <c r="AS139" s="12"/>
      <c r="AT139" s="463" t="s">
        <v>47</v>
      </c>
    </row>
    <row r="140" spans="2:46" ht="18" customHeight="1" x14ac:dyDescent="0.3">
      <c r="B140" s="667"/>
      <c r="C140" s="669"/>
      <c r="D140" s="7"/>
      <c r="E140" s="8"/>
      <c r="F140" s="459"/>
      <c r="G140" s="460"/>
      <c r="H140" s="459"/>
      <c r="I140" s="460"/>
      <c r="J140" s="459"/>
      <c r="K140" s="460"/>
      <c r="L140" s="459"/>
      <c r="M140" s="460"/>
      <c r="N140" s="459"/>
      <c r="O140" s="460"/>
      <c r="P140" s="459"/>
      <c r="Q140" s="460"/>
      <c r="R140" s="459"/>
      <c r="S140" s="460"/>
      <c r="T140" s="459"/>
      <c r="U140" s="460"/>
      <c r="V140" s="459"/>
      <c r="W140" s="460"/>
      <c r="X140" s="459"/>
      <c r="Y140" s="460"/>
      <c r="Z140" s="459"/>
      <c r="AA140" s="460"/>
      <c r="AB140" s="459"/>
      <c r="AC140" s="460"/>
      <c r="AD140" s="459"/>
      <c r="AE140" s="460"/>
      <c r="AF140" s="459"/>
      <c r="AG140" s="460"/>
      <c r="AH140" s="459"/>
      <c r="AI140" s="460"/>
      <c r="AJ140" s="459"/>
      <c r="AK140" s="460"/>
      <c r="AL140" s="459"/>
      <c r="AM140" s="460"/>
      <c r="AN140" s="459"/>
      <c r="AO140" s="460"/>
      <c r="AP140" s="459"/>
      <c r="AQ140" s="460"/>
      <c r="AR140" s="459"/>
      <c r="AS140" s="460"/>
      <c r="AT140" s="464"/>
    </row>
    <row r="141" spans="2:46" ht="18" customHeight="1" x14ac:dyDescent="0.6">
      <c r="B141" s="667"/>
      <c r="C141" s="669">
        <f>C145+(C139-C145)/2</f>
        <v>1375</v>
      </c>
      <c r="D141" s="3"/>
      <c r="E141" s="8"/>
      <c r="F141" s="459"/>
      <c r="G141" s="460"/>
      <c r="H141" s="459"/>
      <c r="I141" s="460"/>
      <c r="J141" s="459"/>
      <c r="K141" s="460"/>
      <c r="L141" s="459"/>
      <c r="M141" s="460"/>
      <c r="N141" s="459"/>
      <c r="O141" s="460"/>
      <c r="P141" s="459"/>
      <c r="Q141" s="460"/>
      <c r="R141" s="459"/>
      <c r="S141" s="460"/>
      <c r="T141" s="459"/>
      <c r="U141" s="460"/>
      <c r="V141" s="459"/>
      <c r="W141" s="460"/>
      <c r="X141" s="459"/>
      <c r="Y141" s="460"/>
      <c r="Z141" s="459"/>
      <c r="AA141" s="460"/>
      <c r="AB141" s="459"/>
      <c r="AC141" s="460"/>
      <c r="AD141" s="459"/>
      <c r="AE141" s="460"/>
      <c r="AF141" s="459"/>
      <c r="AG141" s="460"/>
      <c r="AH141" s="459"/>
      <c r="AI141" s="460"/>
      <c r="AJ141" s="459"/>
      <c r="AK141" s="460"/>
      <c r="AL141" s="459"/>
      <c r="AM141" s="460"/>
      <c r="AN141" s="459"/>
      <c r="AO141" s="460"/>
      <c r="AP141" s="459"/>
      <c r="AQ141" s="460"/>
      <c r="AR141" s="459"/>
      <c r="AS141" s="460"/>
      <c r="AT141" s="94"/>
    </row>
    <row r="142" spans="2:46" ht="18" customHeight="1" x14ac:dyDescent="0.6">
      <c r="B142" s="667"/>
      <c r="C142" s="669"/>
      <c r="D142" s="3"/>
      <c r="E142" s="8"/>
      <c r="F142" s="459"/>
      <c r="G142" s="460"/>
      <c r="H142" s="459"/>
      <c r="I142" s="460"/>
      <c r="J142" s="459"/>
      <c r="K142" s="460"/>
      <c r="L142" s="459"/>
      <c r="M142" s="460"/>
      <c r="N142" s="459"/>
      <c r="O142" s="460"/>
      <c r="P142" s="459"/>
      <c r="Q142" s="460"/>
      <c r="R142" s="459"/>
      <c r="S142" s="460"/>
      <c r="T142" s="459"/>
      <c r="U142" s="460"/>
      <c r="V142" s="459"/>
      <c r="W142" s="460"/>
      <c r="X142" s="459"/>
      <c r="Y142" s="460"/>
      <c r="Z142" s="459"/>
      <c r="AA142" s="460"/>
      <c r="AB142" s="459"/>
      <c r="AC142" s="460"/>
      <c r="AD142" s="459"/>
      <c r="AE142" s="460"/>
      <c r="AF142" s="459"/>
      <c r="AG142" s="460"/>
      <c r="AH142" s="459"/>
      <c r="AI142" s="460"/>
      <c r="AJ142" s="459"/>
      <c r="AK142" s="460"/>
      <c r="AL142" s="459"/>
      <c r="AM142" s="460"/>
      <c r="AN142" s="459"/>
      <c r="AO142" s="460"/>
      <c r="AP142" s="459"/>
      <c r="AQ142" s="460"/>
      <c r="AR142" s="459"/>
      <c r="AS142" s="460"/>
      <c r="AT142" s="94"/>
    </row>
    <row r="143" spans="2:46" ht="18" customHeight="1" x14ac:dyDescent="0.6">
      <c r="B143" s="667"/>
      <c r="C143" s="669"/>
      <c r="D143" s="3"/>
      <c r="E143" s="8"/>
      <c r="F143" s="459"/>
      <c r="G143" s="460"/>
      <c r="H143" s="459"/>
      <c r="I143" s="460"/>
      <c r="J143" s="459"/>
      <c r="K143" s="460"/>
      <c r="L143" s="459"/>
      <c r="M143" s="460"/>
      <c r="N143" s="459"/>
      <c r="O143" s="460"/>
      <c r="P143" s="459"/>
      <c r="Q143" s="460"/>
      <c r="R143" s="459"/>
      <c r="S143" s="460"/>
      <c r="T143" s="459"/>
      <c r="U143" s="460"/>
      <c r="V143" s="459"/>
      <c r="W143" s="460"/>
      <c r="X143" s="459"/>
      <c r="Y143" s="460"/>
      <c r="Z143" s="459"/>
      <c r="AA143" s="460"/>
      <c r="AB143" s="459"/>
      <c r="AC143" s="460"/>
      <c r="AD143" s="459"/>
      <c r="AE143" s="460"/>
      <c r="AF143" s="459"/>
      <c r="AG143" s="460"/>
      <c r="AH143" s="459"/>
      <c r="AI143" s="460"/>
      <c r="AJ143" s="459"/>
      <c r="AK143" s="460"/>
      <c r="AL143" s="459"/>
      <c r="AM143" s="460"/>
      <c r="AN143" s="459"/>
      <c r="AO143" s="460"/>
      <c r="AP143" s="459"/>
      <c r="AQ143" s="460"/>
      <c r="AR143" s="459"/>
      <c r="AS143" s="460"/>
      <c r="AT143" s="94"/>
    </row>
    <row r="144" spans="2:46" ht="18" customHeight="1" x14ac:dyDescent="0.6">
      <c r="B144" s="667"/>
      <c r="C144" s="669"/>
      <c r="D144" s="7"/>
      <c r="E144" s="8"/>
      <c r="F144" s="459"/>
      <c r="G144" s="460"/>
      <c r="H144" s="459"/>
      <c r="I144" s="460"/>
      <c r="J144" s="459"/>
      <c r="K144" s="460"/>
      <c r="L144" s="459"/>
      <c r="M144" s="460"/>
      <c r="N144" s="459"/>
      <c r="O144" s="460"/>
      <c r="P144" s="459"/>
      <c r="Q144" s="460"/>
      <c r="R144" s="459"/>
      <c r="S144" s="460"/>
      <c r="T144" s="459"/>
      <c r="U144" s="460"/>
      <c r="V144" s="459"/>
      <c r="W144" s="460"/>
      <c r="X144" s="459"/>
      <c r="Y144" s="460"/>
      <c r="Z144" s="459"/>
      <c r="AA144" s="460"/>
      <c r="AB144" s="459"/>
      <c r="AC144" s="460"/>
      <c r="AD144" s="459"/>
      <c r="AE144" s="460"/>
      <c r="AF144" s="459"/>
      <c r="AG144" s="460"/>
      <c r="AH144" s="459"/>
      <c r="AI144" s="460"/>
      <c r="AJ144" s="459"/>
      <c r="AK144" s="460"/>
      <c r="AL144" s="459"/>
      <c r="AM144" s="460"/>
      <c r="AN144" s="459"/>
      <c r="AO144" s="460"/>
      <c r="AP144" s="459"/>
      <c r="AQ144" s="460"/>
      <c r="AR144" s="459"/>
      <c r="AS144" s="460"/>
      <c r="AT144" s="94"/>
    </row>
    <row r="145" spans="2:46" ht="18" customHeight="1" x14ac:dyDescent="0.6">
      <c r="B145" s="667"/>
      <c r="C145" s="669">
        <f>'Plot Data'!O63</f>
        <v>1370</v>
      </c>
      <c r="D145" s="3"/>
      <c r="E145" s="8"/>
      <c r="F145" s="459"/>
      <c r="G145" s="460"/>
      <c r="H145" s="459"/>
      <c r="I145" s="460"/>
      <c r="J145" s="459"/>
      <c r="K145" s="460"/>
      <c r="L145" s="459"/>
      <c r="M145" s="460"/>
      <c r="N145" s="459"/>
      <c r="O145" s="460"/>
      <c r="P145" s="459"/>
      <c r="Q145" s="460"/>
      <c r="R145" s="459"/>
      <c r="S145" s="460"/>
      <c r="T145" s="459"/>
      <c r="U145" s="460"/>
      <c r="V145" s="459"/>
      <c r="W145" s="460"/>
      <c r="X145" s="459"/>
      <c r="Y145" s="460"/>
      <c r="Z145" s="459"/>
      <c r="AA145" s="460"/>
      <c r="AB145" s="459"/>
      <c r="AC145" s="460"/>
      <c r="AD145" s="459"/>
      <c r="AE145" s="460"/>
      <c r="AF145" s="459"/>
      <c r="AG145" s="460"/>
      <c r="AH145" s="459"/>
      <c r="AI145" s="460"/>
      <c r="AJ145" s="459"/>
      <c r="AK145" s="460"/>
      <c r="AL145" s="459"/>
      <c r="AM145" s="460"/>
      <c r="AN145" s="459"/>
      <c r="AO145" s="460"/>
      <c r="AP145" s="459"/>
      <c r="AQ145" s="460"/>
      <c r="AR145" s="459"/>
      <c r="AS145" s="460"/>
      <c r="AT145" s="94"/>
    </row>
    <row r="146" spans="2:46" ht="18" customHeight="1" x14ac:dyDescent="0.6">
      <c r="B146" s="667"/>
      <c r="C146" s="669"/>
      <c r="D146" s="7"/>
      <c r="E146" s="8"/>
      <c r="F146" s="459"/>
      <c r="G146" s="460"/>
      <c r="H146" s="459"/>
      <c r="I146" s="460"/>
      <c r="J146" s="459"/>
      <c r="K146" s="460"/>
      <c r="L146" s="459"/>
      <c r="M146" s="460"/>
      <c r="N146" s="459"/>
      <c r="O146" s="460"/>
      <c r="P146" s="459"/>
      <c r="Q146" s="460"/>
      <c r="R146" s="459"/>
      <c r="S146" s="460"/>
      <c r="T146" s="459"/>
      <c r="U146" s="460"/>
      <c r="V146" s="459"/>
      <c r="W146" s="460"/>
      <c r="X146" s="459"/>
      <c r="Y146" s="460"/>
      <c r="Z146" s="459"/>
      <c r="AA146" s="460"/>
      <c r="AB146" s="459"/>
      <c r="AC146" s="460"/>
      <c r="AD146" s="459"/>
      <c r="AE146" s="460"/>
      <c r="AF146" s="459"/>
      <c r="AG146" s="460"/>
      <c r="AH146" s="459"/>
      <c r="AI146" s="460"/>
      <c r="AJ146" s="459"/>
      <c r="AK146" s="460"/>
      <c r="AL146" s="459"/>
      <c r="AM146" s="460"/>
      <c r="AN146" s="459"/>
      <c r="AO146" s="460"/>
      <c r="AP146" s="459"/>
      <c r="AQ146" s="460"/>
      <c r="AR146" s="459"/>
      <c r="AS146" s="460"/>
      <c r="AT146" s="94"/>
    </row>
    <row r="147" spans="2:46" ht="18" customHeight="1" x14ac:dyDescent="0.6">
      <c r="B147" s="667"/>
      <c r="C147" s="669">
        <f>C151+(C145-C151)/2</f>
        <v>1365</v>
      </c>
      <c r="D147" s="3"/>
      <c r="E147" s="8"/>
      <c r="F147" s="459"/>
      <c r="G147" s="460"/>
      <c r="H147" s="459"/>
      <c r="I147" s="460"/>
      <c r="J147" s="459"/>
      <c r="K147" s="460"/>
      <c r="L147" s="459"/>
      <c r="M147" s="460"/>
      <c r="N147" s="459"/>
      <c r="O147" s="460"/>
      <c r="P147" s="459"/>
      <c r="Q147" s="460"/>
      <c r="R147" s="459"/>
      <c r="S147" s="460"/>
      <c r="T147" s="459"/>
      <c r="U147" s="460"/>
      <c r="V147" s="459"/>
      <c r="W147" s="460"/>
      <c r="X147" s="459"/>
      <c r="Y147" s="460"/>
      <c r="Z147" s="459"/>
      <c r="AA147" s="460"/>
      <c r="AB147" s="459"/>
      <c r="AC147" s="460"/>
      <c r="AD147" s="459"/>
      <c r="AE147" s="460"/>
      <c r="AF147" s="459"/>
      <c r="AG147" s="460"/>
      <c r="AH147" s="459"/>
      <c r="AI147" s="460"/>
      <c r="AJ147" s="459"/>
      <c r="AK147" s="460"/>
      <c r="AL147" s="459"/>
      <c r="AM147" s="460"/>
      <c r="AN147" s="459"/>
      <c r="AO147" s="460"/>
      <c r="AP147" s="459"/>
      <c r="AQ147" s="460"/>
      <c r="AR147" s="459"/>
      <c r="AS147" s="460"/>
      <c r="AT147" s="94"/>
    </row>
    <row r="148" spans="2:46" ht="18" customHeight="1" x14ac:dyDescent="0.6">
      <c r="B148" s="667"/>
      <c r="C148" s="669"/>
      <c r="D148" s="3"/>
      <c r="E148" s="8"/>
      <c r="F148" s="459"/>
      <c r="G148" s="460"/>
      <c r="H148" s="459"/>
      <c r="I148" s="460"/>
      <c r="J148" s="459"/>
      <c r="K148" s="460"/>
      <c r="L148" s="459"/>
      <c r="M148" s="460"/>
      <c r="N148" s="459"/>
      <c r="O148" s="460"/>
      <c r="P148" s="459"/>
      <c r="Q148" s="460"/>
      <c r="R148" s="459"/>
      <c r="S148" s="460"/>
      <c r="T148" s="459"/>
      <c r="U148" s="460"/>
      <c r="V148" s="459"/>
      <c r="W148" s="460"/>
      <c r="X148" s="459"/>
      <c r="Y148" s="460"/>
      <c r="Z148" s="459"/>
      <c r="AA148" s="460"/>
      <c r="AB148" s="459"/>
      <c r="AC148" s="460"/>
      <c r="AD148" s="459"/>
      <c r="AE148" s="460"/>
      <c r="AF148" s="459"/>
      <c r="AG148" s="460"/>
      <c r="AH148" s="459"/>
      <c r="AI148" s="460"/>
      <c r="AJ148" s="459"/>
      <c r="AK148" s="460"/>
      <c r="AL148" s="459"/>
      <c r="AM148" s="460"/>
      <c r="AN148" s="459"/>
      <c r="AO148" s="460"/>
      <c r="AP148" s="459"/>
      <c r="AQ148" s="460"/>
      <c r="AR148" s="459"/>
      <c r="AS148" s="460"/>
      <c r="AT148" s="94"/>
    </row>
    <row r="149" spans="2:46" ht="18" customHeight="1" x14ac:dyDescent="0.6">
      <c r="B149" s="667"/>
      <c r="C149" s="669"/>
      <c r="D149" s="3"/>
      <c r="E149" s="8"/>
      <c r="F149" s="459"/>
      <c r="G149" s="460"/>
      <c r="H149" s="459"/>
      <c r="I149" s="460"/>
      <c r="J149" s="459"/>
      <c r="K149" s="460"/>
      <c r="L149" s="459"/>
      <c r="M149" s="460"/>
      <c r="N149" s="459"/>
      <c r="O149" s="460"/>
      <c r="P149" s="459"/>
      <c r="Q149" s="460"/>
      <c r="R149" s="459"/>
      <c r="S149" s="460"/>
      <c r="T149" s="459"/>
      <c r="U149" s="460"/>
      <c r="V149" s="459"/>
      <c r="W149" s="460"/>
      <c r="X149" s="459"/>
      <c r="Y149" s="460"/>
      <c r="Z149" s="459"/>
      <c r="AA149" s="460"/>
      <c r="AB149" s="459"/>
      <c r="AC149" s="460"/>
      <c r="AD149" s="459"/>
      <c r="AE149" s="460"/>
      <c r="AF149" s="459"/>
      <c r="AG149" s="460"/>
      <c r="AH149" s="459"/>
      <c r="AI149" s="460"/>
      <c r="AJ149" s="459"/>
      <c r="AK149" s="460"/>
      <c r="AL149" s="459"/>
      <c r="AM149" s="460"/>
      <c r="AN149" s="459"/>
      <c r="AO149" s="460"/>
      <c r="AP149" s="459"/>
      <c r="AQ149" s="460"/>
      <c r="AR149" s="459"/>
      <c r="AS149" s="460"/>
      <c r="AT149" s="94"/>
    </row>
    <row r="150" spans="2:46" ht="18" customHeight="1" x14ac:dyDescent="0.6">
      <c r="B150" s="667"/>
      <c r="C150" s="669"/>
      <c r="D150" s="3"/>
      <c r="E150" s="8"/>
      <c r="F150" s="459"/>
      <c r="G150" s="460"/>
      <c r="H150" s="459"/>
      <c r="I150" s="460"/>
      <c r="J150" s="459"/>
      <c r="K150" s="460"/>
      <c r="L150" s="459"/>
      <c r="M150" s="460"/>
      <c r="N150" s="459"/>
      <c r="O150" s="460"/>
      <c r="P150" s="459"/>
      <c r="Q150" s="460"/>
      <c r="R150" s="459"/>
      <c r="S150" s="460"/>
      <c r="T150" s="459"/>
      <c r="U150" s="460"/>
      <c r="V150" s="459"/>
      <c r="W150" s="460"/>
      <c r="X150" s="459"/>
      <c r="Y150" s="460"/>
      <c r="Z150" s="459"/>
      <c r="AA150" s="460"/>
      <c r="AB150" s="459"/>
      <c r="AC150" s="460"/>
      <c r="AD150" s="459"/>
      <c r="AE150" s="460"/>
      <c r="AF150" s="459"/>
      <c r="AG150" s="460"/>
      <c r="AH150" s="459"/>
      <c r="AI150" s="460"/>
      <c r="AJ150" s="459"/>
      <c r="AK150" s="460"/>
      <c r="AL150" s="459"/>
      <c r="AM150" s="460"/>
      <c r="AN150" s="459"/>
      <c r="AO150" s="460"/>
      <c r="AP150" s="459"/>
      <c r="AQ150" s="460"/>
      <c r="AR150" s="459"/>
      <c r="AS150" s="460"/>
      <c r="AT150" s="94"/>
    </row>
    <row r="151" spans="2:46" ht="18" customHeight="1" thickBot="1" x14ac:dyDescent="0.35">
      <c r="B151" s="667"/>
      <c r="C151" s="669">
        <f>'Plot Data'!O58</f>
        <v>1360</v>
      </c>
      <c r="D151" s="14"/>
      <c r="E151" s="15"/>
      <c r="F151" s="465"/>
      <c r="G151" s="466"/>
      <c r="H151" s="465"/>
      <c r="I151" s="466"/>
      <c r="J151" s="465"/>
      <c r="K151" s="466"/>
      <c r="L151" s="465"/>
      <c r="M151" s="466"/>
      <c r="N151" s="465"/>
      <c r="O151" s="466"/>
      <c r="P151" s="465"/>
      <c r="Q151" s="466"/>
      <c r="R151" s="465"/>
      <c r="S151" s="466"/>
      <c r="T151" s="465"/>
      <c r="U151" s="466"/>
      <c r="V151" s="465"/>
      <c r="W151" s="466"/>
      <c r="X151" s="465"/>
      <c r="Y151" s="466"/>
      <c r="Z151" s="465"/>
      <c r="AA151" s="466"/>
      <c r="AB151" s="465"/>
      <c r="AC151" s="466"/>
      <c r="AD151" s="465"/>
      <c r="AE151" s="466"/>
      <c r="AF151" s="465"/>
      <c r="AG151" s="466"/>
      <c r="AH151" s="465"/>
      <c r="AI151" s="466"/>
      <c r="AJ151" s="465"/>
      <c r="AK151" s="466"/>
      <c r="AL151" s="465"/>
      <c r="AM151" s="466"/>
      <c r="AN151" s="465"/>
      <c r="AO151" s="466"/>
      <c r="AP151" s="465"/>
      <c r="AQ151" s="466"/>
      <c r="AR151" s="465"/>
      <c r="AS151" s="466"/>
      <c r="AT151" s="469" t="s">
        <v>90</v>
      </c>
    </row>
    <row r="152" spans="2:46" ht="18" customHeight="1" x14ac:dyDescent="0.3">
      <c r="B152" s="667"/>
      <c r="C152" s="669"/>
      <c r="D152" s="16"/>
      <c r="E152" s="17"/>
      <c r="F152" s="467"/>
      <c r="G152" s="468"/>
      <c r="H152" s="467"/>
      <c r="I152" s="468"/>
      <c r="J152" s="467"/>
      <c r="K152" s="468"/>
      <c r="L152" s="467"/>
      <c r="M152" s="468"/>
      <c r="N152" s="467"/>
      <c r="O152" s="468"/>
      <c r="P152" s="467"/>
      <c r="Q152" s="468"/>
      <c r="R152" s="467"/>
      <c r="S152" s="468"/>
      <c r="T152" s="467"/>
      <c r="U152" s="468"/>
      <c r="V152" s="467"/>
      <c r="W152" s="468"/>
      <c r="X152" s="467"/>
      <c r="Y152" s="468"/>
      <c r="Z152" s="467"/>
      <c r="AA152" s="468"/>
      <c r="AB152" s="467"/>
      <c r="AC152" s="468"/>
      <c r="AD152" s="467"/>
      <c r="AE152" s="468"/>
      <c r="AF152" s="467"/>
      <c r="AG152" s="468"/>
      <c r="AH152" s="467"/>
      <c r="AI152" s="468"/>
      <c r="AJ152" s="467"/>
      <c r="AK152" s="468"/>
      <c r="AL152" s="467"/>
      <c r="AM152" s="468"/>
      <c r="AN152" s="467"/>
      <c r="AO152" s="468"/>
      <c r="AP152" s="467"/>
      <c r="AQ152" s="468"/>
      <c r="AR152" s="467"/>
      <c r="AS152" s="468"/>
      <c r="AT152" s="464"/>
    </row>
    <row r="153" spans="2:46" ht="18" customHeight="1" x14ac:dyDescent="0.6">
      <c r="B153" s="667"/>
      <c r="C153" s="669">
        <f>C157+(C151-C157)/2</f>
        <v>1355</v>
      </c>
      <c r="D153" s="3"/>
      <c r="E153" s="8"/>
      <c r="F153" s="459"/>
      <c r="G153" s="460"/>
      <c r="H153" s="459"/>
      <c r="I153" s="460"/>
      <c r="J153" s="459"/>
      <c r="K153" s="460"/>
      <c r="L153" s="459"/>
      <c r="M153" s="460"/>
      <c r="N153" s="459"/>
      <c r="O153" s="460"/>
      <c r="P153" s="459"/>
      <c r="Q153" s="460"/>
      <c r="R153" s="459"/>
      <c r="S153" s="460"/>
      <c r="T153" s="459"/>
      <c r="U153" s="460"/>
      <c r="V153" s="459"/>
      <c r="W153" s="460"/>
      <c r="X153" s="459"/>
      <c r="Y153" s="460"/>
      <c r="Z153" s="459"/>
      <c r="AA153" s="460"/>
      <c r="AB153" s="459"/>
      <c r="AC153" s="460"/>
      <c r="AD153" s="459"/>
      <c r="AE153" s="460"/>
      <c r="AF153" s="459"/>
      <c r="AG153" s="460"/>
      <c r="AH153" s="459"/>
      <c r="AI153" s="460"/>
      <c r="AJ153" s="459"/>
      <c r="AK153" s="460"/>
      <c r="AL153" s="459"/>
      <c r="AM153" s="460"/>
      <c r="AN153" s="459"/>
      <c r="AO153" s="460"/>
      <c r="AP153" s="459"/>
      <c r="AQ153" s="460"/>
      <c r="AR153" s="459"/>
      <c r="AS153" s="460"/>
      <c r="AT153" s="94"/>
    </row>
    <row r="154" spans="2:46" ht="18" customHeight="1" x14ac:dyDescent="0.6">
      <c r="B154" s="667"/>
      <c r="C154" s="669"/>
      <c r="D154" s="13"/>
      <c r="E154" s="8"/>
      <c r="F154" s="459"/>
      <c r="G154" s="460"/>
      <c r="H154" s="459"/>
      <c r="I154" s="460"/>
      <c r="J154" s="459"/>
      <c r="K154" s="460"/>
      <c r="L154" s="459"/>
      <c r="M154" s="460"/>
      <c r="N154" s="459"/>
      <c r="O154" s="460"/>
      <c r="P154" s="459"/>
      <c r="Q154" s="460"/>
      <c r="R154" s="459"/>
      <c r="S154" s="460"/>
      <c r="T154" s="459"/>
      <c r="U154" s="460"/>
      <c r="V154" s="459"/>
      <c r="W154" s="460"/>
      <c r="X154" s="459"/>
      <c r="Y154" s="460"/>
      <c r="Z154" s="459"/>
      <c r="AA154" s="460"/>
      <c r="AB154" s="459"/>
      <c r="AC154" s="460"/>
      <c r="AD154" s="459"/>
      <c r="AE154" s="460"/>
      <c r="AF154" s="459"/>
      <c r="AG154" s="460"/>
      <c r="AH154" s="459"/>
      <c r="AI154" s="460"/>
      <c r="AJ154" s="459"/>
      <c r="AK154" s="460"/>
      <c r="AL154" s="459"/>
      <c r="AM154" s="460"/>
      <c r="AN154" s="459"/>
      <c r="AO154" s="460"/>
      <c r="AP154" s="459"/>
      <c r="AQ154" s="460"/>
      <c r="AR154" s="459"/>
      <c r="AS154" s="460"/>
      <c r="AT154" s="94"/>
    </row>
    <row r="155" spans="2:46" ht="18" customHeight="1" x14ac:dyDescent="0.6">
      <c r="B155" s="667"/>
      <c r="C155" s="669"/>
      <c r="D155" s="13"/>
      <c r="E155" s="8"/>
      <c r="F155" s="459"/>
      <c r="G155" s="460"/>
      <c r="H155" s="459"/>
      <c r="I155" s="460"/>
      <c r="J155" s="459"/>
      <c r="K155" s="460"/>
      <c r="L155" s="459"/>
      <c r="M155" s="460"/>
      <c r="N155" s="459"/>
      <c r="O155" s="460"/>
      <c r="P155" s="459"/>
      <c r="Q155" s="460"/>
      <c r="R155" s="459"/>
      <c r="S155" s="460"/>
      <c r="T155" s="459"/>
      <c r="U155" s="460"/>
      <c r="V155" s="459"/>
      <c r="W155" s="460"/>
      <c r="X155" s="459"/>
      <c r="Y155" s="460"/>
      <c r="Z155" s="459"/>
      <c r="AA155" s="460"/>
      <c r="AB155" s="459"/>
      <c r="AC155" s="460"/>
      <c r="AD155" s="459"/>
      <c r="AE155" s="460"/>
      <c r="AF155" s="459"/>
      <c r="AG155" s="460"/>
      <c r="AH155" s="459"/>
      <c r="AI155" s="460"/>
      <c r="AJ155" s="459"/>
      <c r="AK155" s="460"/>
      <c r="AL155" s="459"/>
      <c r="AM155" s="460"/>
      <c r="AN155" s="459"/>
      <c r="AO155" s="460"/>
      <c r="AP155" s="459"/>
      <c r="AQ155" s="460"/>
      <c r="AR155" s="459"/>
      <c r="AS155" s="460"/>
      <c r="AT155" s="94"/>
    </row>
    <row r="156" spans="2:46" ht="18" customHeight="1" x14ac:dyDescent="0.6">
      <c r="B156" s="667"/>
      <c r="C156" s="669"/>
      <c r="D156" s="92"/>
      <c r="E156" s="8"/>
      <c r="F156" s="459"/>
      <c r="G156" s="460"/>
      <c r="H156" s="459"/>
      <c r="I156" s="460"/>
      <c r="J156" s="459"/>
      <c r="K156" s="460"/>
      <c r="L156" s="459"/>
      <c r="M156" s="460"/>
      <c r="N156" s="459"/>
      <c r="O156" s="460"/>
      <c r="P156" s="459"/>
      <c r="Q156" s="460"/>
      <c r="R156" s="459"/>
      <c r="S156" s="460"/>
      <c r="T156" s="459"/>
      <c r="U156" s="460"/>
      <c r="V156" s="459"/>
      <c r="W156" s="460"/>
      <c r="X156" s="459"/>
      <c r="Y156" s="460"/>
      <c r="Z156" s="459"/>
      <c r="AA156" s="460"/>
      <c r="AB156" s="459"/>
      <c r="AC156" s="460"/>
      <c r="AD156" s="459"/>
      <c r="AE156" s="460"/>
      <c r="AF156" s="459"/>
      <c r="AG156" s="460"/>
      <c r="AH156" s="459"/>
      <c r="AI156" s="460"/>
      <c r="AJ156" s="459"/>
      <c r="AK156" s="460"/>
      <c r="AL156" s="459"/>
      <c r="AM156" s="460"/>
      <c r="AN156" s="459"/>
      <c r="AO156" s="460"/>
      <c r="AP156" s="459"/>
      <c r="AQ156" s="460"/>
      <c r="AR156" s="459"/>
      <c r="AS156" s="460"/>
      <c r="AT156" s="94"/>
    </row>
    <row r="157" spans="2:46" ht="18" customHeight="1" x14ac:dyDescent="0.6">
      <c r="B157" s="667"/>
      <c r="C157" s="669">
        <f>'Plot Data'!O66</f>
        <v>1350</v>
      </c>
      <c r="D157" s="3"/>
      <c r="E157" s="8"/>
      <c r="F157" s="470"/>
      <c r="G157" s="471"/>
      <c r="H157" s="459"/>
      <c r="I157" s="460"/>
      <c r="J157" s="459"/>
      <c r="K157" s="460"/>
      <c r="L157" s="459"/>
      <c r="M157" s="460"/>
      <c r="N157" s="459"/>
      <c r="O157" s="460"/>
      <c r="P157" s="459"/>
      <c r="Q157" s="460"/>
      <c r="R157" s="459"/>
      <c r="S157" s="460"/>
      <c r="T157" s="459"/>
      <c r="U157" s="460"/>
      <c r="V157" s="459"/>
      <c r="W157" s="460"/>
      <c r="X157" s="459"/>
      <c r="Y157" s="460"/>
      <c r="Z157" s="459"/>
      <c r="AA157" s="460"/>
      <c r="AB157" s="459"/>
      <c r="AC157" s="460"/>
      <c r="AD157" s="459"/>
      <c r="AE157" s="460"/>
      <c r="AF157" s="459"/>
      <c r="AG157" s="460"/>
      <c r="AH157" s="459"/>
      <c r="AI157" s="460"/>
      <c r="AJ157" s="459"/>
      <c r="AK157" s="460"/>
      <c r="AL157" s="459"/>
      <c r="AM157" s="460"/>
      <c r="AN157" s="459"/>
      <c r="AO157" s="460"/>
      <c r="AP157" s="459"/>
      <c r="AQ157" s="460"/>
      <c r="AR157" s="459"/>
      <c r="AS157" s="460"/>
      <c r="AT157" s="94"/>
    </row>
    <row r="158" spans="2:46" ht="18" customHeight="1" x14ac:dyDescent="0.6">
      <c r="B158" s="667"/>
      <c r="C158" s="669"/>
      <c r="D158" s="7"/>
      <c r="E158" s="8"/>
      <c r="F158" s="459"/>
      <c r="G158" s="460"/>
      <c r="H158" s="459"/>
      <c r="I158" s="460"/>
      <c r="J158" s="459"/>
      <c r="K158" s="460"/>
      <c r="L158" s="459"/>
      <c r="M158" s="460"/>
      <c r="N158" s="459"/>
      <c r="O158" s="460"/>
      <c r="P158" s="459"/>
      <c r="Q158" s="460"/>
      <c r="R158" s="459"/>
      <c r="S158" s="460"/>
      <c r="T158" s="459"/>
      <c r="U158" s="460"/>
      <c r="V158" s="459"/>
      <c r="W158" s="460"/>
      <c r="X158" s="459"/>
      <c r="Y158" s="460"/>
      <c r="Z158" s="459"/>
      <c r="AA158" s="460"/>
      <c r="AB158" s="459"/>
      <c r="AC158" s="460"/>
      <c r="AD158" s="459"/>
      <c r="AE158" s="460"/>
      <c r="AF158" s="459"/>
      <c r="AG158" s="460"/>
      <c r="AH158" s="459"/>
      <c r="AI158" s="460"/>
      <c r="AJ158" s="459"/>
      <c r="AK158" s="460"/>
      <c r="AL158" s="459"/>
      <c r="AM158" s="460"/>
      <c r="AN158" s="459"/>
      <c r="AO158" s="460"/>
      <c r="AP158" s="459"/>
      <c r="AQ158" s="460"/>
      <c r="AR158" s="459"/>
      <c r="AS158" s="460"/>
      <c r="AT158" s="94"/>
    </row>
    <row r="159" spans="2:46" ht="18" customHeight="1" x14ac:dyDescent="0.6">
      <c r="B159" s="667"/>
      <c r="C159" s="669">
        <f>C163+(C157-C163)/2</f>
        <v>1345</v>
      </c>
      <c r="D159" s="3"/>
      <c r="E159" s="8"/>
      <c r="F159" s="459"/>
      <c r="G159" s="460"/>
      <c r="H159" s="459"/>
      <c r="I159" s="460"/>
      <c r="J159" s="459"/>
      <c r="K159" s="460"/>
      <c r="L159" s="459"/>
      <c r="M159" s="460"/>
      <c r="N159" s="459"/>
      <c r="O159" s="460"/>
      <c r="P159" s="459"/>
      <c r="Q159" s="460"/>
      <c r="R159" s="459"/>
      <c r="S159" s="460"/>
      <c r="T159" s="459"/>
      <c r="U159" s="460"/>
      <c r="V159" s="459"/>
      <c r="W159" s="460"/>
      <c r="X159" s="459"/>
      <c r="Y159" s="460"/>
      <c r="Z159" s="459"/>
      <c r="AA159" s="460"/>
      <c r="AB159" s="459"/>
      <c r="AC159" s="460"/>
      <c r="AD159" s="459"/>
      <c r="AE159" s="460"/>
      <c r="AF159" s="459"/>
      <c r="AG159" s="460"/>
      <c r="AH159" s="459"/>
      <c r="AI159" s="460"/>
      <c r="AJ159" s="459"/>
      <c r="AK159" s="460"/>
      <c r="AL159" s="459"/>
      <c r="AM159" s="460"/>
      <c r="AN159" s="459"/>
      <c r="AO159" s="460"/>
      <c r="AP159" s="459"/>
      <c r="AQ159" s="460"/>
      <c r="AR159" s="459"/>
      <c r="AS159" s="460"/>
      <c r="AT159" s="94"/>
    </row>
    <row r="160" spans="2:46" ht="18" customHeight="1" x14ac:dyDescent="0.6">
      <c r="B160" s="667"/>
      <c r="C160" s="669"/>
      <c r="D160" s="3"/>
      <c r="E160" s="8"/>
      <c r="F160" s="459"/>
      <c r="G160" s="460"/>
      <c r="H160" s="459"/>
      <c r="I160" s="460"/>
      <c r="J160" s="459"/>
      <c r="K160" s="460"/>
      <c r="L160" s="459"/>
      <c r="M160" s="460"/>
      <c r="N160" s="459"/>
      <c r="O160" s="460"/>
      <c r="P160" s="459"/>
      <c r="Q160" s="460"/>
      <c r="R160" s="459"/>
      <c r="S160" s="460"/>
      <c r="T160" s="459"/>
      <c r="U160" s="460"/>
      <c r="V160" s="459"/>
      <c r="W160" s="460"/>
      <c r="X160" s="459"/>
      <c r="Y160" s="460"/>
      <c r="Z160" s="459"/>
      <c r="AA160" s="460"/>
      <c r="AB160" s="459"/>
      <c r="AC160" s="460"/>
      <c r="AD160" s="459"/>
      <c r="AE160" s="460"/>
      <c r="AF160" s="459"/>
      <c r="AG160" s="460"/>
      <c r="AH160" s="459"/>
      <c r="AI160" s="460"/>
      <c r="AJ160" s="459"/>
      <c r="AK160" s="460"/>
      <c r="AL160" s="459"/>
      <c r="AM160" s="460"/>
      <c r="AN160" s="459"/>
      <c r="AO160" s="460"/>
      <c r="AP160" s="459"/>
      <c r="AQ160" s="460"/>
      <c r="AR160" s="459"/>
      <c r="AS160" s="460"/>
      <c r="AT160" s="94"/>
    </row>
    <row r="161" spans="2:46" ht="18" customHeight="1" x14ac:dyDescent="0.6">
      <c r="B161" s="667"/>
      <c r="C161" s="669"/>
      <c r="D161" s="3"/>
      <c r="E161" s="8"/>
      <c r="F161" s="459"/>
      <c r="G161" s="460"/>
      <c r="H161" s="459"/>
      <c r="I161" s="460"/>
      <c r="J161" s="459"/>
      <c r="K161" s="460"/>
      <c r="L161" s="459"/>
      <c r="M161" s="460"/>
      <c r="N161" s="459"/>
      <c r="O161" s="460"/>
      <c r="P161" s="459"/>
      <c r="Q161" s="460"/>
      <c r="R161" s="459"/>
      <c r="S161" s="460"/>
      <c r="T161" s="459"/>
      <c r="U161" s="460"/>
      <c r="V161" s="459"/>
      <c r="W161" s="460"/>
      <c r="X161" s="459"/>
      <c r="Y161" s="460"/>
      <c r="Z161" s="459"/>
      <c r="AA161" s="460"/>
      <c r="AB161" s="459"/>
      <c r="AC161" s="460"/>
      <c r="AD161" s="459"/>
      <c r="AE161" s="460"/>
      <c r="AF161" s="459"/>
      <c r="AG161" s="460"/>
      <c r="AH161" s="459"/>
      <c r="AI161" s="460"/>
      <c r="AJ161" s="459"/>
      <c r="AK161" s="460"/>
      <c r="AL161" s="459"/>
      <c r="AM161" s="460"/>
      <c r="AN161" s="459"/>
      <c r="AO161" s="460"/>
      <c r="AP161" s="459"/>
      <c r="AQ161" s="460"/>
      <c r="AR161" s="459"/>
      <c r="AS161" s="460"/>
      <c r="AT161" s="94"/>
    </row>
    <row r="162" spans="2:46" ht="18" customHeight="1" x14ac:dyDescent="0.6">
      <c r="B162" s="667"/>
      <c r="C162" s="669"/>
      <c r="D162" s="3"/>
      <c r="E162" s="8"/>
      <c r="F162" s="459"/>
      <c r="G162" s="460"/>
      <c r="H162" s="459"/>
      <c r="I162" s="460"/>
      <c r="J162" s="459"/>
      <c r="K162" s="460"/>
      <c r="L162" s="459"/>
      <c r="M162" s="460"/>
      <c r="N162" s="459"/>
      <c r="O162" s="460"/>
      <c r="P162" s="459"/>
      <c r="Q162" s="460"/>
      <c r="R162" s="459"/>
      <c r="S162" s="460"/>
      <c r="T162" s="459"/>
      <c r="U162" s="460"/>
      <c r="V162" s="459"/>
      <c r="W162" s="460"/>
      <c r="X162" s="459"/>
      <c r="Y162" s="460"/>
      <c r="Z162" s="459"/>
      <c r="AA162" s="460"/>
      <c r="AB162" s="459"/>
      <c r="AC162" s="460"/>
      <c r="AD162" s="459"/>
      <c r="AE162" s="460"/>
      <c r="AF162" s="459"/>
      <c r="AG162" s="460"/>
      <c r="AH162" s="459"/>
      <c r="AI162" s="460"/>
      <c r="AJ162" s="459"/>
      <c r="AK162" s="460"/>
      <c r="AL162" s="459"/>
      <c r="AM162" s="460"/>
      <c r="AN162" s="459"/>
      <c r="AO162" s="460"/>
      <c r="AP162" s="459"/>
      <c r="AQ162" s="460"/>
      <c r="AR162" s="459"/>
      <c r="AS162" s="460"/>
      <c r="AT162" s="94"/>
    </row>
    <row r="163" spans="2:46" ht="18" customHeight="1" thickBot="1" x14ac:dyDescent="0.35">
      <c r="B163" s="667"/>
      <c r="C163" s="669">
        <f>'Plot Data'!O65</f>
        <v>1340</v>
      </c>
      <c r="D163" s="9"/>
      <c r="E163" s="10"/>
      <c r="F163" s="11"/>
      <c r="G163" s="12"/>
      <c r="H163" s="11"/>
      <c r="I163" s="12"/>
      <c r="J163" s="11"/>
      <c r="K163" s="12"/>
      <c r="L163" s="11"/>
      <c r="M163" s="12"/>
      <c r="N163" s="11"/>
      <c r="O163" s="12"/>
      <c r="P163" s="11"/>
      <c r="Q163" s="12"/>
      <c r="R163" s="11"/>
      <c r="S163" s="12"/>
      <c r="T163" s="11"/>
      <c r="U163" s="12"/>
      <c r="V163" s="11"/>
      <c r="W163" s="12"/>
      <c r="X163" s="11"/>
      <c r="Y163" s="12"/>
      <c r="Z163" s="11"/>
      <c r="AA163" s="12"/>
      <c r="AB163" s="11"/>
      <c r="AC163" s="12"/>
      <c r="AD163" s="11"/>
      <c r="AE163" s="12"/>
      <c r="AF163" s="11"/>
      <c r="AG163" s="12"/>
      <c r="AH163" s="11"/>
      <c r="AI163" s="12"/>
      <c r="AJ163" s="11"/>
      <c r="AK163" s="12"/>
      <c r="AL163" s="11"/>
      <c r="AM163" s="12"/>
      <c r="AN163" s="11"/>
      <c r="AO163" s="12"/>
      <c r="AP163" s="11"/>
      <c r="AQ163" s="12"/>
      <c r="AR163" s="11"/>
      <c r="AS163" s="12"/>
      <c r="AT163" s="463" t="s">
        <v>46</v>
      </c>
    </row>
    <row r="164" spans="2:46" ht="18" customHeight="1" x14ac:dyDescent="0.3">
      <c r="B164" s="667"/>
      <c r="C164" s="669"/>
      <c r="D164" s="7"/>
      <c r="E164" s="8"/>
      <c r="F164" s="459"/>
      <c r="G164" s="460"/>
      <c r="H164" s="459"/>
      <c r="I164" s="460"/>
      <c r="J164" s="459"/>
      <c r="K164" s="460"/>
      <c r="L164" s="459"/>
      <c r="M164" s="460"/>
      <c r="N164" s="459"/>
      <c r="O164" s="460"/>
      <c r="P164" s="459"/>
      <c r="Q164" s="460"/>
      <c r="R164" s="459"/>
      <c r="S164" s="460"/>
      <c r="T164" s="459"/>
      <c r="U164" s="460"/>
      <c r="V164" s="459"/>
      <c r="W164" s="460"/>
      <c r="X164" s="459"/>
      <c r="Y164" s="460"/>
      <c r="Z164" s="459"/>
      <c r="AA164" s="460"/>
      <c r="AB164" s="459"/>
      <c r="AC164" s="460"/>
      <c r="AD164" s="459"/>
      <c r="AE164" s="460"/>
      <c r="AF164" s="459"/>
      <c r="AG164" s="460"/>
      <c r="AH164" s="459"/>
      <c r="AI164" s="460"/>
      <c r="AJ164" s="459"/>
      <c r="AK164" s="460"/>
      <c r="AL164" s="459"/>
      <c r="AM164" s="460"/>
      <c r="AN164" s="459"/>
      <c r="AO164" s="460"/>
      <c r="AP164" s="459"/>
      <c r="AQ164" s="460"/>
      <c r="AR164" s="459"/>
      <c r="AS164" s="460"/>
      <c r="AT164" s="464"/>
    </row>
    <row r="165" spans="2:46" ht="18" customHeight="1" x14ac:dyDescent="0.6">
      <c r="B165" s="667"/>
      <c r="C165" s="669">
        <f>C169+(C163-C169)/2</f>
        <v>1335</v>
      </c>
      <c r="D165" s="3"/>
      <c r="E165" s="8"/>
      <c r="F165" s="459"/>
      <c r="G165" s="460"/>
      <c r="H165" s="459"/>
      <c r="I165" s="460"/>
      <c r="J165" s="459"/>
      <c r="K165" s="460"/>
      <c r="L165" s="459"/>
      <c r="M165" s="460"/>
      <c r="N165" s="459"/>
      <c r="O165" s="460"/>
      <c r="P165" s="459"/>
      <c r="Q165" s="460"/>
      <c r="R165" s="459"/>
      <c r="S165" s="460"/>
      <c r="T165" s="459"/>
      <c r="U165" s="460"/>
      <c r="V165" s="459"/>
      <c r="W165" s="460"/>
      <c r="X165" s="459"/>
      <c r="Y165" s="460"/>
      <c r="Z165" s="459"/>
      <c r="AA165" s="460"/>
      <c r="AB165" s="459"/>
      <c r="AC165" s="460"/>
      <c r="AD165" s="459"/>
      <c r="AE165" s="460"/>
      <c r="AF165" s="459"/>
      <c r="AG165" s="460"/>
      <c r="AH165" s="459"/>
      <c r="AI165" s="460"/>
      <c r="AJ165" s="459"/>
      <c r="AK165" s="460"/>
      <c r="AL165" s="459"/>
      <c r="AM165" s="460"/>
      <c r="AN165" s="459"/>
      <c r="AO165" s="460"/>
      <c r="AP165" s="459"/>
      <c r="AQ165" s="460"/>
      <c r="AR165" s="459"/>
      <c r="AS165" s="460"/>
      <c r="AT165" s="94"/>
    </row>
    <row r="166" spans="2:46" ht="18" customHeight="1" x14ac:dyDescent="0.6">
      <c r="B166" s="667"/>
      <c r="C166" s="669"/>
      <c r="D166" s="3"/>
      <c r="E166" s="8"/>
      <c r="F166" s="459"/>
      <c r="G166" s="460"/>
      <c r="H166" s="459"/>
      <c r="I166" s="460"/>
      <c r="J166" s="459"/>
      <c r="K166" s="460"/>
      <c r="L166" s="459"/>
      <c r="M166" s="460"/>
      <c r="N166" s="459"/>
      <c r="O166" s="460"/>
      <c r="P166" s="459"/>
      <c r="Q166" s="460"/>
      <c r="R166" s="459"/>
      <c r="S166" s="460"/>
      <c r="T166" s="459"/>
      <c r="U166" s="460"/>
      <c r="V166" s="459"/>
      <c r="W166" s="460"/>
      <c r="X166" s="459"/>
      <c r="Y166" s="460"/>
      <c r="Z166" s="459"/>
      <c r="AA166" s="460"/>
      <c r="AB166" s="459"/>
      <c r="AC166" s="460"/>
      <c r="AD166" s="459"/>
      <c r="AE166" s="460"/>
      <c r="AF166" s="459"/>
      <c r="AG166" s="460"/>
      <c r="AH166" s="459"/>
      <c r="AI166" s="460"/>
      <c r="AJ166" s="459"/>
      <c r="AK166" s="460"/>
      <c r="AL166" s="459"/>
      <c r="AM166" s="460"/>
      <c r="AN166" s="459"/>
      <c r="AO166" s="460"/>
      <c r="AP166" s="459"/>
      <c r="AQ166" s="460"/>
      <c r="AR166" s="459"/>
      <c r="AS166" s="460"/>
      <c r="AT166" s="94"/>
    </row>
    <row r="167" spans="2:46" ht="18" customHeight="1" x14ac:dyDescent="0.6">
      <c r="B167" s="667"/>
      <c r="C167" s="669"/>
      <c r="D167" s="3"/>
      <c r="E167" s="8"/>
      <c r="F167" s="459"/>
      <c r="G167" s="460"/>
      <c r="H167" s="459"/>
      <c r="I167" s="460"/>
      <c r="J167" s="459"/>
      <c r="K167" s="460"/>
      <c r="L167" s="459"/>
      <c r="M167" s="460"/>
      <c r="N167" s="459"/>
      <c r="O167" s="460"/>
      <c r="P167" s="459"/>
      <c r="Q167" s="460"/>
      <c r="R167" s="459"/>
      <c r="S167" s="460"/>
      <c r="T167" s="459"/>
      <c r="U167" s="460"/>
      <c r="V167" s="459"/>
      <c r="W167" s="460"/>
      <c r="X167" s="459"/>
      <c r="Y167" s="460"/>
      <c r="Z167" s="459"/>
      <c r="AA167" s="460"/>
      <c r="AB167" s="459"/>
      <c r="AC167" s="460"/>
      <c r="AD167" s="459"/>
      <c r="AE167" s="460"/>
      <c r="AF167" s="459"/>
      <c r="AG167" s="460"/>
      <c r="AH167" s="459"/>
      <c r="AI167" s="460"/>
      <c r="AJ167" s="459"/>
      <c r="AK167" s="460"/>
      <c r="AL167" s="459"/>
      <c r="AM167" s="460"/>
      <c r="AN167" s="459"/>
      <c r="AO167" s="460"/>
      <c r="AP167" s="459"/>
      <c r="AQ167" s="460"/>
      <c r="AR167" s="459"/>
      <c r="AS167" s="460"/>
      <c r="AT167" s="94"/>
    </row>
    <row r="168" spans="2:46" ht="18" customHeight="1" x14ac:dyDescent="0.6">
      <c r="B168" s="667"/>
      <c r="C168" s="669"/>
      <c r="D168" s="3"/>
      <c r="E168" s="8"/>
      <c r="F168" s="459"/>
      <c r="G168" s="460"/>
      <c r="H168" s="459"/>
      <c r="I168" s="460"/>
      <c r="J168" s="459"/>
      <c r="K168" s="460"/>
      <c r="L168" s="459"/>
      <c r="M168" s="460"/>
      <c r="N168" s="459"/>
      <c r="O168" s="460"/>
      <c r="P168" s="459"/>
      <c r="Q168" s="460"/>
      <c r="R168" s="459"/>
      <c r="S168" s="460"/>
      <c r="T168" s="459"/>
      <c r="U168" s="460"/>
      <c r="V168" s="459"/>
      <c r="W168" s="460"/>
      <c r="X168" s="459"/>
      <c r="Y168" s="460"/>
      <c r="Z168" s="459"/>
      <c r="AA168" s="460"/>
      <c r="AB168" s="459"/>
      <c r="AC168" s="460"/>
      <c r="AD168" s="459"/>
      <c r="AE168" s="460"/>
      <c r="AF168" s="459"/>
      <c r="AG168" s="460"/>
      <c r="AH168" s="459"/>
      <c r="AI168" s="460"/>
      <c r="AJ168" s="459"/>
      <c r="AK168" s="460"/>
      <c r="AL168" s="459"/>
      <c r="AM168" s="460"/>
      <c r="AN168" s="459"/>
      <c r="AO168" s="460"/>
      <c r="AP168" s="459"/>
      <c r="AQ168" s="460"/>
      <c r="AR168" s="459"/>
      <c r="AS168" s="460"/>
      <c r="AT168" s="94"/>
    </row>
    <row r="169" spans="2:46" ht="18" customHeight="1" thickBot="1" x14ac:dyDescent="0.35">
      <c r="B169" s="667"/>
      <c r="C169" s="669">
        <f>'Plot Data'!O67</f>
        <v>1330</v>
      </c>
      <c r="D169" s="5"/>
      <c r="E169" s="6"/>
      <c r="F169" s="461"/>
      <c r="G169" s="462"/>
      <c r="H169" s="461"/>
      <c r="I169" s="462"/>
      <c r="J169" s="461"/>
      <c r="K169" s="462"/>
      <c r="L169" s="461"/>
      <c r="M169" s="462"/>
      <c r="N169" s="461"/>
      <c r="O169" s="462"/>
      <c r="P169" s="461"/>
      <c r="Q169" s="462"/>
      <c r="R169" s="461"/>
      <c r="S169" s="462"/>
      <c r="T169" s="461"/>
      <c r="U169" s="462"/>
      <c r="V169" s="461"/>
      <c r="W169" s="462"/>
      <c r="X169" s="461"/>
      <c r="Y169" s="462"/>
      <c r="Z169" s="461"/>
      <c r="AA169" s="462"/>
      <c r="AB169" s="461"/>
      <c r="AC169" s="462"/>
      <c r="AD169" s="461"/>
      <c r="AE169" s="462"/>
      <c r="AF169" s="461"/>
      <c r="AG169" s="462"/>
      <c r="AH169" s="461"/>
      <c r="AI169" s="462"/>
      <c r="AJ169" s="461"/>
      <c r="AK169" s="462"/>
      <c r="AL169" s="461"/>
      <c r="AM169" s="462"/>
      <c r="AN169" s="461"/>
      <c r="AO169" s="462"/>
      <c r="AP169" s="461"/>
      <c r="AQ169" s="462"/>
      <c r="AR169" s="461"/>
      <c r="AS169" s="462"/>
      <c r="AT169" s="463" t="s">
        <v>45</v>
      </c>
    </row>
    <row r="170" spans="2:46" ht="18" customHeight="1" thickTop="1" thickBot="1" x14ac:dyDescent="0.35">
      <c r="B170" s="668"/>
      <c r="C170" s="670"/>
      <c r="D170" s="77"/>
      <c r="E170" s="78"/>
      <c r="F170" s="473"/>
      <c r="G170" s="474"/>
      <c r="H170" s="473"/>
      <c r="I170" s="474"/>
      <c r="J170" s="473"/>
      <c r="K170" s="474"/>
      <c r="L170" s="473"/>
      <c r="M170" s="474"/>
      <c r="N170" s="473"/>
      <c r="O170" s="474"/>
      <c r="P170" s="473"/>
      <c r="Q170" s="474"/>
      <c r="R170" s="473"/>
      <c r="S170" s="474"/>
      <c r="T170" s="473"/>
      <c r="U170" s="474"/>
      <c r="V170" s="473"/>
      <c r="W170" s="474"/>
      <c r="X170" s="473"/>
      <c r="Y170" s="474"/>
      <c r="Z170" s="473"/>
      <c r="AA170" s="474"/>
      <c r="AB170" s="473"/>
      <c r="AC170" s="474"/>
      <c r="AD170" s="473"/>
      <c r="AE170" s="474"/>
      <c r="AF170" s="473"/>
      <c r="AG170" s="474"/>
      <c r="AH170" s="473"/>
      <c r="AI170" s="474"/>
      <c r="AJ170" s="473"/>
      <c r="AK170" s="474"/>
      <c r="AL170" s="473"/>
      <c r="AM170" s="474"/>
      <c r="AN170" s="473"/>
      <c r="AO170" s="474"/>
      <c r="AP170" s="473"/>
      <c r="AQ170" s="474"/>
      <c r="AR170" s="473"/>
      <c r="AS170" s="474"/>
      <c r="AT170" s="477"/>
    </row>
    <row r="171" spans="2:46" ht="18" customHeight="1" thickTop="1" x14ac:dyDescent="0.3">
      <c r="B171" s="402"/>
      <c r="C171" s="403"/>
      <c r="E171" s="397"/>
      <c r="F171" s="398"/>
      <c r="G171" s="399"/>
      <c r="H171" s="398"/>
      <c r="I171" s="399"/>
      <c r="J171" s="398"/>
      <c r="K171" s="399"/>
      <c r="L171" s="398"/>
      <c r="M171" s="399"/>
      <c r="N171" s="398"/>
      <c r="O171" s="399"/>
      <c r="P171" s="398"/>
      <c r="Q171" s="399"/>
      <c r="R171" s="398"/>
      <c r="S171" s="399"/>
      <c r="T171" s="398"/>
      <c r="U171" s="399"/>
      <c r="V171" s="398"/>
      <c r="W171" s="399"/>
      <c r="X171" s="398"/>
      <c r="Y171" s="399"/>
      <c r="Z171" s="398"/>
      <c r="AA171" s="399"/>
      <c r="AB171" s="398"/>
      <c r="AC171" s="399"/>
      <c r="AD171" s="398"/>
      <c r="AE171" s="399"/>
      <c r="AF171" s="398"/>
      <c r="AG171" s="399"/>
      <c r="AH171" s="398"/>
      <c r="AI171" s="399"/>
      <c r="AJ171" s="398"/>
      <c r="AK171" s="399"/>
      <c r="AL171" s="398"/>
      <c r="AM171" s="399"/>
      <c r="AN171" s="398"/>
      <c r="AO171" s="399"/>
      <c r="AP171" s="398"/>
      <c r="AQ171" s="399"/>
      <c r="AR171" s="398"/>
      <c r="AS171" s="399"/>
      <c r="AT171" s="404"/>
    </row>
    <row r="172" spans="2:46" s="48" customFormat="1" ht="25.8" x14ac:dyDescent="0.5">
      <c r="E172" s="493">
        <v>1</v>
      </c>
      <c r="F172" s="493"/>
      <c r="G172" s="493">
        <v>2</v>
      </c>
      <c r="H172" s="493"/>
      <c r="I172" s="493">
        <v>3</v>
      </c>
      <c r="J172" s="493"/>
      <c r="K172" s="493">
        <v>4</v>
      </c>
      <c r="L172" s="493"/>
      <c r="M172" s="493">
        <v>5</v>
      </c>
      <c r="N172" s="493"/>
      <c r="O172" s="493">
        <v>6</v>
      </c>
      <c r="P172" s="493"/>
      <c r="Q172" s="493">
        <v>7</v>
      </c>
      <c r="R172" s="493"/>
      <c r="S172" s="493">
        <v>8</v>
      </c>
      <c r="T172" s="493"/>
      <c r="U172" s="493">
        <v>9</v>
      </c>
      <c r="V172" s="493"/>
      <c r="W172" s="493">
        <v>10</v>
      </c>
      <c r="X172" s="493"/>
      <c r="Y172" s="493">
        <v>11</v>
      </c>
      <c r="Z172" s="493"/>
      <c r="AA172" s="493">
        <v>12</v>
      </c>
      <c r="AB172" s="493"/>
      <c r="AC172" s="493">
        <v>13</v>
      </c>
      <c r="AD172" s="493"/>
      <c r="AE172" s="493">
        <v>14</v>
      </c>
      <c r="AF172" s="493"/>
      <c r="AG172" s="493">
        <v>15</v>
      </c>
      <c r="AH172" s="493"/>
      <c r="AI172" s="493">
        <v>16</v>
      </c>
      <c r="AJ172" s="493"/>
      <c r="AK172" s="493">
        <v>17</v>
      </c>
      <c r="AL172" s="493"/>
      <c r="AM172" s="493">
        <v>18</v>
      </c>
      <c r="AN172" s="493"/>
      <c r="AO172" s="493">
        <v>19</v>
      </c>
      <c r="AP172" s="493"/>
      <c r="AQ172" s="493">
        <v>20</v>
      </c>
      <c r="AR172" s="493"/>
      <c r="AS172" s="493">
        <v>21</v>
      </c>
      <c r="AT172" s="493"/>
    </row>
    <row r="173" spans="2:46" s="47" customFormat="1" ht="28.8" thickBot="1" x14ac:dyDescent="0.55000000000000004">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c r="AA173" s="99"/>
      <c r="AB173" s="100" t="s">
        <v>8</v>
      </c>
      <c r="AC173" s="99"/>
      <c r="AD173" s="496" t="s">
        <v>9</v>
      </c>
      <c r="AE173" s="496"/>
      <c r="AF173" s="496"/>
      <c r="AG173" s="496"/>
      <c r="AH173" s="99"/>
      <c r="AI173" s="99"/>
      <c r="AJ173" s="497" t="s">
        <v>10</v>
      </c>
      <c r="AK173" s="497"/>
      <c r="AL173" s="497"/>
      <c r="AM173" s="497"/>
      <c r="AN173" s="99"/>
      <c r="AO173" s="99"/>
      <c r="AP173" s="498" t="s">
        <v>11</v>
      </c>
      <c r="AQ173" s="498"/>
      <c r="AR173" s="498"/>
      <c r="AS173" s="498"/>
    </row>
    <row r="174" spans="2:46" s="48" customFormat="1" ht="25.8" x14ac:dyDescent="0.5"/>
    <row r="175" spans="2:46" s="48" customFormat="1" ht="25.8" x14ac:dyDescent="0.5"/>
    <row r="176" spans="2:46" x14ac:dyDescent="0.3">
      <c r="B176" s="23"/>
    </row>
  </sheetData>
  <mergeCells count="3196">
    <mergeCell ref="AT169:AT170"/>
    <mergeCell ref="F170:G170"/>
    <mergeCell ref="H170:I170"/>
    <mergeCell ref="J170:K170"/>
    <mergeCell ref="L170:M170"/>
    <mergeCell ref="N170:O170"/>
    <mergeCell ref="P170:Q170"/>
    <mergeCell ref="R170:S170"/>
    <mergeCell ref="T170:U170"/>
    <mergeCell ref="V170:W170"/>
    <mergeCell ref="AH169:AI169"/>
    <mergeCell ref="AJ169:AK169"/>
    <mergeCell ref="AL169:AM169"/>
    <mergeCell ref="AN169:AO169"/>
    <mergeCell ref="AP169:AQ169"/>
    <mergeCell ref="AR169:AS169"/>
    <mergeCell ref="V169:W169"/>
    <mergeCell ref="X169:Y169"/>
    <mergeCell ref="Z169:AA169"/>
    <mergeCell ref="AB169:AC169"/>
    <mergeCell ref="AD169:AE169"/>
    <mergeCell ref="AF169:AG169"/>
    <mergeCell ref="V168:W168"/>
    <mergeCell ref="X168:Y168"/>
    <mergeCell ref="Z168:AA168"/>
    <mergeCell ref="AB168:AC168"/>
    <mergeCell ref="AD168:AE168"/>
    <mergeCell ref="AJ170:AK170"/>
    <mergeCell ref="AL170:AM170"/>
    <mergeCell ref="AN170:AO170"/>
    <mergeCell ref="AP170:AQ170"/>
    <mergeCell ref="AR170:AS170"/>
    <mergeCell ref="X170:Y170"/>
    <mergeCell ref="Z170:AA170"/>
    <mergeCell ref="AB170:AC170"/>
    <mergeCell ref="AD170:AE170"/>
    <mergeCell ref="F168:G168"/>
    <mergeCell ref="AF170:AG170"/>
    <mergeCell ref="AH170:AI170"/>
    <mergeCell ref="AD167:AE167"/>
    <mergeCell ref="AF167:AG167"/>
    <mergeCell ref="AH167:AI167"/>
    <mergeCell ref="AJ167:AK167"/>
    <mergeCell ref="AL167:AM167"/>
    <mergeCell ref="P167:Q167"/>
    <mergeCell ref="R167:S167"/>
    <mergeCell ref="T167:U167"/>
    <mergeCell ref="V167:W167"/>
    <mergeCell ref="X167:Y167"/>
    <mergeCell ref="Z167:AA167"/>
    <mergeCell ref="H167:I167"/>
    <mergeCell ref="J167:K167"/>
    <mergeCell ref="L167:M167"/>
    <mergeCell ref="N167:O167"/>
    <mergeCell ref="AR168:AS168"/>
    <mergeCell ref="C169:C170"/>
    <mergeCell ref="F169:G169"/>
    <mergeCell ref="H169:I169"/>
    <mergeCell ref="J169:K169"/>
    <mergeCell ref="L169:M169"/>
    <mergeCell ref="N169:O169"/>
    <mergeCell ref="P169:Q169"/>
    <mergeCell ref="R169:S169"/>
    <mergeCell ref="T169:U169"/>
    <mergeCell ref="AF168:AG168"/>
    <mergeCell ref="AH168:AI168"/>
    <mergeCell ref="AJ168:AK168"/>
    <mergeCell ref="AL168:AM168"/>
    <mergeCell ref="AN168:AO168"/>
    <mergeCell ref="AP168:AQ168"/>
    <mergeCell ref="T168:U168"/>
    <mergeCell ref="AP167:AQ167"/>
    <mergeCell ref="AR167:AS167"/>
    <mergeCell ref="AD166:AE166"/>
    <mergeCell ref="AF166:AG166"/>
    <mergeCell ref="AH166:AI166"/>
    <mergeCell ref="AR165:AS165"/>
    <mergeCell ref="F166:G166"/>
    <mergeCell ref="H166:I166"/>
    <mergeCell ref="J166:K166"/>
    <mergeCell ref="L166:M166"/>
    <mergeCell ref="N166:O166"/>
    <mergeCell ref="P166:Q166"/>
    <mergeCell ref="R166:S166"/>
    <mergeCell ref="T166:U166"/>
    <mergeCell ref="V166:W166"/>
    <mergeCell ref="AF165:AG165"/>
    <mergeCell ref="AH165:AI165"/>
    <mergeCell ref="AJ165:AK165"/>
    <mergeCell ref="AL165:AM165"/>
    <mergeCell ref="AN165:AO165"/>
    <mergeCell ref="AP165:AQ165"/>
    <mergeCell ref="AL166:AM166"/>
    <mergeCell ref="AN166:AO166"/>
    <mergeCell ref="AP166:AQ166"/>
    <mergeCell ref="AR166:AS166"/>
    <mergeCell ref="T165:U165"/>
    <mergeCell ref="V165:W165"/>
    <mergeCell ref="X165:Y165"/>
    <mergeCell ref="Z165:AA165"/>
    <mergeCell ref="AB165:AC165"/>
    <mergeCell ref="AD165:AE165"/>
    <mergeCell ref="AB167:AC167"/>
    <mergeCell ref="C165:C168"/>
    <mergeCell ref="F165:G165"/>
    <mergeCell ref="H165:I165"/>
    <mergeCell ref="J165:K165"/>
    <mergeCell ref="L165:M165"/>
    <mergeCell ref="N165:O165"/>
    <mergeCell ref="P165:Q165"/>
    <mergeCell ref="R165:S165"/>
    <mergeCell ref="AD164:AE164"/>
    <mergeCell ref="AF164:AG164"/>
    <mergeCell ref="AH164:AI164"/>
    <mergeCell ref="AJ164:AK164"/>
    <mergeCell ref="AL164:AM164"/>
    <mergeCell ref="AN164:AO164"/>
    <mergeCell ref="R164:S164"/>
    <mergeCell ref="T164:U164"/>
    <mergeCell ref="V164:W164"/>
    <mergeCell ref="X164:Y164"/>
    <mergeCell ref="Z164:AA164"/>
    <mergeCell ref="AB164:AC164"/>
    <mergeCell ref="AJ166:AK166"/>
    <mergeCell ref="X166:Y166"/>
    <mergeCell ref="Z166:AA166"/>
    <mergeCell ref="AB166:AC166"/>
    <mergeCell ref="F167:G167"/>
    <mergeCell ref="AN167:AO167"/>
    <mergeCell ref="H168:I168"/>
    <mergeCell ref="J168:K168"/>
    <mergeCell ref="L168:M168"/>
    <mergeCell ref="N168:O168"/>
    <mergeCell ref="P168:Q168"/>
    <mergeCell ref="R168:S168"/>
    <mergeCell ref="AP162:AQ162"/>
    <mergeCell ref="AR162:AS162"/>
    <mergeCell ref="C163:C164"/>
    <mergeCell ref="AT163:AT164"/>
    <mergeCell ref="F164:G164"/>
    <mergeCell ref="H164:I164"/>
    <mergeCell ref="J164:K164"/>
    <mergeCell ref="L164:M164"/>
    <mergeCell ref="N164:O164"/>
    <mergeCell ref="P164:Q164"/>
    <mergeCell ref="AD162:AE162"/>
    <mergeCell ref="AF162:AG162"/>
    <mergeCell ref="AH162:AI162"/>
    <mergeCell ref="AJ162:AK162"/>
    <mergeCell ref="AL162:AM162"/>
    <mergeCell ref="AN162:AO162"/>
    <mergeCell ref="R162:S162"/>
    <mergeCell ref="T162:U162"/>
    <mergeCell ref="V162:W162"/>
    <mergeCell ref="X162:Y162"/>
    <mergeCell ref="Z162:AA162"/>
    <mergeCell ref="AB162:AC162"/>
    <mergeCell ref="F162:G162"/>
    <mergeCell ref="H162:I162"/>
    <mergeCell ref="J162:K162"/>
    <mergeCell ref="L162:M162"/>
    <mergeCell ref="N162:O162"/>
    <mergeCell ref="P162:Q162"/>
    <mergeCell ref="AP164:AQ164"/>
    <mergeCell ref="AR164:AS164"/>
    <mergeCell ref="AH161:AI161"/>
    <mergeCell ref="AJ161:AK161"/>
    <mergeCell ref="AL161:AM161"/>
    <mergeCell ref="AN161:AO161"/>
    <mergeCell ref="AP161:AQ161"/>
    <mergeCell ref="AR161:AS161"/>
    <mergeCell ref="V161:W161"/>
    <mergeCell ref="X161:Y161"/>
    <mergeCell ref="Z161:AA161"/>
    <mergeCell ref="AB161:AC161"/>
    <mergeCell ref="AD161:AE161"/>
    <mergeCell ref="AF161:AG161"/>
    <mergeCell ref="AP160:AQ160"/>
    <mergeCell ref="AR160:AS160"/>
    <mergeCell ref="F161:G161"/>
    <mergeCell ref="H161:I161"/>
    <mergeCell ref="J161:K161"/>
    <mergeCell ref="L161:M161"/>
    <mergeCell ref="N161:O161"/>
    <mergeCell ref="P161:Q161"/>
    <mergeCell ref="R161:S161"/>
    <mergeCell ref="T161:U161"/>
    <mergeCell ref="AD160:AE160"/>
    <mergeCell ref="AF160:AG160"/>
    <mergeCell ref="AH160:AI160"/>
    <mergeCell ref="AJ160:AK160"/>
    <mergeCell ref="AL160:AM160"/>
    <mergeCell ref="AN160:AO160"/>
    <mergeCell ref="R160:S160"/>
    <mergeCell ref="T160:U160"/>
    <mergeCell ref="V160:W160"/>
    <mergeCell ref="X160:Y160"/>
    <mergeCell ref="Z160:AA160"/>
    <mergeCell ref="AB160:AC160"/>
    <mergeCell ref="AL159:AM159"/>
    <mergeCell ref="AN159:AO159"/>
    <mergeCell ref="AP159:AQ159"/>
    <mergeCell ref="AR159:AS159"/>
    <mergeCell ref="F160:G160"/>
    <mergeCell ref="H160:I160"/>
    <mergeCell ref="J160:K160"/>
    <mergeCell ref="L160:M160"/>
    <mergeCell ref="N160:O160"/>
    <mergeCell ref="P160:Q160"/>
    <mergeCell ref="Z159:AA159"/>
    <mergeCell ref="AB159:AC159"/>
    <mergeCell ref="AD159:AE159"/>
    <mergeCell ref="AF159:AG159"/>
    <mergeCell ref="AH159:AI159"/>
    <mergeCell ref="AJ159:AK159"/>
    <mergeCell ref="N159:O159"/>
    <mergeCell ref="P159:Q159"/>
    <mergeCell ref="R159:S159"/>
    <mergeCell ref="T159:U159"/>
    <mergeCell ref="V159:W159"/>
    <mergeCell ref="X159:Y159"/>
    <mergeCell ref="AJ158:AK158"/>
    <mergeCell ref="AL158:AM158"/>
    <mergeCell ref="AN158:AO158"/>
    <mergeCell ref="AP158:AQ158"/>
    <mergeCell ref="AR158:AS158"/>
    <mergeCell ref="C159:C162"/>
    <mergeCell ref="F159:G159"/>
    <mergeCell ref="H159:I159"/>
    <mergeCell ref="J159:K159"/>
    <mergeCell ref="L159:M159"/>
    <mergeCell ref="X158:Y158"/>
    <mergeCell ref="Z158:AA158"/>
    <mergeCell ref="AB158:AC158"/>
    <mergeCell ref="AD158:AE158"/>
    <mergeCell ref="AF158:AG158"/>
    <mergeCell ref="AH158:AI158"/>
    <mergeCell ref="AR157:AS157"/>
    <mergeCell ref="F158:G158"/>
    <mergeCell ref="H158:I158"/>
    <mergeCell ref="J158:K158"/>
    <mergeCell ref="L158:M158"/>
    <mergeCell ref="N158:O158"/>
    <mergeCell ref="P158:Q158"/>
    <mergeCell ref="R158:S158"/>
    <mergeCell ref="T158:U158"/>
    <mergeCell ref="V158:W158"/>
    <mergeCell ref="AF157:AG157"/>
    <mergeCell ref="AH157:AI157"/>
    <mergeCell ref="AJ157:AK157"/>
    <mergeCell ref="AL157:AM157"/>
    <mergeCell ref="AN157:AO157"/>
    <mergeCell ref="AP157:AQ157"/>
    <mergeCell ref="T157:U157"/>
    <mergeCell ref="V157:W157"/>
    <mergeCell ref="X157:Y157"/>
    <mergeCell ref="Z157:AA157"/>
    <mergeCell ref="AB157:AC157"/>
    <mergeCell ref="AD157:AE157"/>
    <mergeCell ref="AP156:AQ156"/>
    <mergeCell ref="AR156:AS156"/>
    <mergeCell ref="C157:C158"/>
    <mergeCell ref="F157:G157"/>
    <mergeCell ref="H157:I157"/>
    <mergeCell ref="J157:K157"/>
    <mergeCell ref="L157:M157"/>
    <mergeCell ref="N157:O157"/>
    <mergeCell ref="P157:Q157"/>
    <mergeCell ref="R157:S157"/>
    <mergeCell ref="AD156:AE156"/>
    <mergeCell ref="AF156:AG156"/>
    <mergeCell ref="AH156:AI156"/>
    <mergeCell ref="AJ156:AK156"/>
    <mergeCell ref="AL156:AM156"/>
    <mergeCell ref="AN156:AO156"/>
    <mergeCell ref="R156:S156"/>
    <mergeCell ref="T156:U156"/>
    <mergeCell ref="V156:W156"/>
    <mergeCell ref="X156:Y156"/>
    <mergeCell ref="Z156:AA156"/>
    <mergeCell ref="AB156:AC156"/>
    <mergeCell ref="F156:G156"/>
    <mergeCell ref="H156:I156"/>
    <mergeCell ref="J156:K156"/>
    <mergeCell ref="L156:M156"/>
    <mergeCell ref="N156:O156"/>
    <mergeCell ref="P156:Q156"/>
    <mergeCell ref="AH155:AI155"/>
    <mergeCell ref="AJ155:AK155"/>
    <mergeCell ref="AL155:AM155"/>
    <mergeCell ref="AN155:AO155"/>
    <mergeCell ref="AP155:AQ155"/>
    <mergeCell ref="AR155:AS155"/>
    <mergeCell ref="V155:W155"/>
    <mergeCell ref="X155:Y155"/>
    <mergeCell ref="Z155:AA155"/>
    <mergeCell ref="AB155:AC155"/>
    <mergeCell ref="AD155:AE155"/>
    <mergeCell ref="AF155:AG155"/>
    <mergeCell ref="AP154:AQ154"/>
    <mergeCell ref="AR154:AS154"/>
    <mergeCell ref="F155:G155"/>
    <mergeCell ref="H155:I155"/>
    <mergeCell ref="J155:K155"/>
    <mergeCell ref="L155:M155"/>
    <mergeCell ref="N155:O155"/>
    <mergeCell ref="P155:Q155"/>
    <mergeCell ref="R155:S155"/>
    <mergeCell ref="T155:U155"/>
    <mergeCell ref="AD154:AE154"/>
    <mergeCell ref="AF154:AG154"/>
    <mergeCell ref="AH154:AI154"/>
    <mergeCell ref="AJ154:AK154"/>
    <mergeCell ref="AL154:AM154"/>
    <mergeCell ref="AN154:AO154"/>
    <mergeCell ref="R154:S154"/>
    <mergeCell ref="T154:U154"/>
    <mergeCell ref="AL153:AM153"/>
    <mergeCell ref="AN153:AO153"/>
    <mergeCell ref="AP153:AQ153"/>
    <mergeCell ref="AR153:AS153"/>
    <mergeCell ref="F154:G154"/>
    <mergeCell ref="H154:I154"/>
    <mergeCell ref="J154:K154"/>
    <mergeCell ref="L154:M154"/>
    <mergeCell ref="N154:O154"/>
    <mergeCell ref="P154:Q154"/>
    <mergeCell ref="Z153:AA153"/>
    <mergeCell ref="AB153:AC153"/>
    <mergeCell ref="AD153:AE153"/>
    <mergeCell ref="AF153:AG153"/>
    <mergeCell ref="AH153:AI153"/>
    <mergeCell ref="AJ153:AK153"/>
    <mergeCell ref="N153:O153"/>
    <mergeCell ref="P153:Q153"/>
    <mergeCell ref="R153:S153"/>
    <mergeCell ref="T153:U153"/>
    <mergeCell ref="V153:W153"/>
    <mergeCell ref="X153:Y153"/>
    <mergeCell ref="AR152:AS152"/>
    <mergeCell ref="C153:C156"/>
    <mergeCell ref="F153:G153"/>
    <mergeCell ref="H153:I153"/>
    <mergeCell ref="J153:K153"/>
    <mergeCell ref="L153:M153"/>
    <mergeCell ref="X152:Y152"/>
    <mergeCell ref="Z152:AA152"/>
    <mergeCell ref="AB152:AC152"/>
    <mergeCell ref="AD152:AE152"/>
    <mergeCell ref="AF152:AG152"/>
    <mergeCell ref="AH152:AI152"/>
    <mergeCell ref="AT151:AT152"/>
    <mergeCell ref="F152:G152"/>
    <mergeCell ref="H152:I152"/>
    <mergeCell ref="J152:K152"/>
    <mergeCell ref="L152:M152"/>
    <mergeCell ref="N152:O152"/>
    <mergeCell ref="P152:Q152"/>
    <mergeCell ref="R152:S152"/>
    <mergeCell ref="T152:U152"/>
    <mergeCell ref="V152:W152"/>
    <mergeCell ref="AH151:AI151"/>
    <mergeCell ref="AJ151:AK151"/>
    <mergeCell ref="AL151:AM151"/>
    <mergeCell ref="AN151:AO151"/>
    <mergeCell ref="AP151:AQ151"/>
    <mergeCell ref="AR151:AS151"/>
    <mergeCell ref="V154:W154"/>
    <mergeCell ref="X154:Y154"/>
    <mergeCell ref="Z154:AA154"/>
    <mergeCell ref="AB154:AC154"/>
    <mergeCell ref="V151:W151"/>
    <mergeCell ref="X151:Y151"/>
    <mergeCell ref="Z151:AA151"/>
    <mergeCell ref="AB151:AC151"/>
    <mergeCell ref="AD151:AE151"/>
    <mergeCell ref="AF151:AG151"/>
    <mergeCell ref="AR150:AS150"/>
    <mergeCell ref="C151:C152"/>
    <mergeCell ref="F151:G151"/>
    <mergeCell ref="H151:I151"/>
    <mergeCell ref="J151:K151"/>
    <mergeCell ref="L151:M151"/>
    <mergeCell ref="N151:O151"/>
    <mergeCell ref="P151:Q151"/>
    <mergeCell ref="R151:S151"/>
    <mergeCell ref="T151:U151"/>
    <mergeCell ref="AF150:AG150"/>
    <mergeCell ref="AH150:AI150"/>
    <mergeCell ref="AJ150:AK150"/>
    <mergeCell ref="AL150:AM150"/>
    <mergeCell ref="AN150:AO150"/>
    <mergeCell ref="AP150:AQ150"/>
    <mergeCell ref="T150:U150"/>
    <mergeCell ref="V150:W150"/>
    <mergeCell ref="X150:Y150"/>
    <mergeCell ref="Z150:AA150"/>
    <mergeCell ref="AB150:AC150"/>
    <mergeCell ref="AD150:AE150"/>
    <mergeCell ref="AJ152:AK152"/>
    <mergeCell ref="AL152:AM152"/>
    <mergeCell ref="AN152:AO152"/>
    <mergeCell ref="AP152:AQ152"/>
    <mergeCell ref="AN149:AO149"/>
    <mergeCell ref="AP149:AQ149"/>
    <mergeCell ref="AR149:AS149"/>
    <mergeCell ref="F150:G150"/>
    <mergeCell ref="H150:I150"/>
    <mergeCell ref="J150:K150"/>
    <mergeCell ref="L150:M150"/>
    <mergeCell ref="N150:O150"/>
    <mergeCell ref="P150:Q150"/>
    <mergeCell ref="R150:S150"/>
    <mergeCell ref="AB149:AC149"/>
    <mergeCell ref="AD149:AE149"/>
    <mergeCell ref="AF149:AG149"/>
    <mergeCell ref="AH149:AI149"/>
    <mergeCell ref="AJ149:AK149"/>
    <mergeCell ref="AL149:AM149"/>
    <mergeCell ref="P149:Q149"/>
    <mergeCell ref="R149:S149"/>
    <mergeCell ref="T149:U149"/>
    <mergeCell ref="V149:W149"/>
    <mergeCell ref="X149:Y149"/>
    <mergeCell ref="Z149:AA149"/>
    <mergeCell ref="AJ148:AK148"/>
    <mergeCell ref="AL148:AM148"/>
    <mergeCell ref="AN148:AO148"/>
    <mergeCell ref="AP148:AQ148"/>
    <mergeCell ref="AR148:AS148"/>
    <mergeCell ref="F149:G149"/>
    <mergeCell ref="H149:I149"/>
    <mergeCell ref="J149:K149"/>
    <mergeCell ref="L149:M149"/>
    <mergeCell ref="N149:O149"/>
    <mergeCell ref="X148:Y148"/>
    <mergeCell ref="Z148:AA148"/>
    <mergeCell ref="AB148:AC148"/>
    <mergeCell ref="AD148:AE148"/>
    <mergeCell ref="AF148:AG148"/>
    <mergeCell ref="AH148:AI148"/>
    <mergeCell ref="AR147:AS147"/>
    <mergeCell ref="F148:G148"/>
    <mergeCell ref="H148:I148"/>
    <mergeCell ref="J148:K148"/>
    <mergeCell ref="L148:M148"/>
    <mergeCell ref="N148:O148"/>
    <mergeCell ref="P148:Q148"/>
    <mergeCell ref="R148:S148"/>
    <mergeCell ref="T148:U148"/>
    <mergeCell ref="V148:W148"/>
    <mergeCell ref="AF147:AG147"/>
    <mergeCell ref="AH147:AI147"/>
    <mergeCell ref="AJ147:AK147"/>
    <mergeCell ref="AL147:AM147"/>
    <mergeCell ref="AN147:AO147"/>
    <mergeCell ref="AP147:AQ147"/>
    <mergeCell ref="T147:U147"/>
    <mergeCell ref="V147:W147"/>
    <mergeCell ref="X147:Y147"/>
    <mergeCell ref="Z147:AA147"/>
    <mergeCell ref="AB147:AC147"/>
    <mergeCell ref="AD147:AE147"/>
    <mergeCell ref="AP146:AQ146"/>
    <mergeCell ref="AR146:AS146"/>
    <mergeCell ref="C147:C150"/>
    <mergeCell ref="F147:G147"/>
    <mergeCell ref="H147:I147"/>
    <mergeCell ref="J147:K147"/>
    <mergeCell ref="L147:M147"/>
    <mergeCell ref="N147:O147"/>
    <mergeCell ref="P147:Q147"/>
    <mergeCell ref="R147:S147"/>
    <mergeCell ref="AD146:AE146"/>
    <mergeCell ref="AF146:AG146"/>
    <mergeCell ref="AH146:AI146"/>
    <mergeCell ref="AJ146:AK146"/>
    <mergeCell ref="AL146:AM146"/>
    <mergeCell ref="AN146:AO146"/>
    <mergeCell ref="R146:S146"/>
    <mergeCell ref="T146:U146"/>
    <mergeCell ref="V146:W146"/>
    <mergeCell ref="X146:Y146"/>
    <mergeCell ref="Z146:AA146"/>
    <mergeCell ref="AB146:AC146"/>
    <mergeCell ref="F146:G146"/>
    <mergeCell ref="H146:I146"/>
    <mergeCell ref="J146:K146"/>
    <mergeCell ref="L146:M146"/>
    <mergeCell ref="N146:O146"/>
    <mergeCell ref="P146:Q146"/>
    <mergeCell ref="AH145:AI145"/>
    <mergeCell ref="AJ145:AK145"/>
    <mergeCell ref="AL145:AM145"/>
    <mergeCell ref="AN145:AO145"/>
    <mergeCell ref="AP145:AQ145"/>
    <mergeCell ref="AR145:AS145"/>
    <mergeCell ref="V145:W145"/>
    <mergeCell ref="X145:Y145"/>
    <mergeCell ref="Z145:AA145"/>
    <mergeCell ref="AB145:AC145"/>
    <mergeCell ref="AD145:AE145"/>
    <mergeCell ref="AF145:AG145"/>
    <mergeCell ref="AR144:AS144"/>
    <mergeCell ref="C145:C146"/>
    <mergeCell ref="F145:G145"/>
    <mergeCell ref="H145:I145"/>
    <mergeCell ref="J145:K145"/>
    <mergeCell ref="L145:M145"/>
    <mergeCell ref="N145:O145"/>
    <mergeCell ref="P145:Q145"/>
    <mergeCell ref="R145:S145"/>
    <mergeCell ref="T145:U145"/>
    <mergeCell ref="AF144:AG144"/>
    <mergeCell ref="AH144:AI144"/>
    <mergeCell ref="AJ144:AK144"/>
    <mergeCell ref="AL144:AM144"/>
    <mergeCell ref="AN144:AO144"/>
    <mergeCell ref="AP144:AQ144"/>
    <mergeCell ref="T144:U144"/>
    <mergeCell ref="V144:W144"/>
    <mergeCell ref="AP143:AQ143"/>
    <mergeCell ref="AR143:AS143"/>
    <mergeCell ref="F144:G144"/>
    <mergeCell ref="H144:I144"/>
    <mergeCell ref="J144:K144"/>
    <mergeCell ref="L144:M144"/>
    <mergeCell ref="N144:O144"/>
    <mergeCell ref="P144:Q144"/>
    <mergeCell ref="R144:S144"/>
    <mergeCell ref="AB143:AC143"/>
    <mergeCell ref="AD143:AE143"/>
    <mergeCell ref="AF143:AG143"/>
    <mergeCell ref="AH143:AI143"/>
    <mergeCell ref="AJ143:AK143"/>
    <mergeCell ref="AL143:AM143"/>
    <mergeCell ref="P143:Q143"/>
    <mergeCell ref="R143:S143"/>
    <mergeCell ref="T143:U143"/>
    <mergeCell ref="V143:W143"/>
    <mergeCell ref="X143:Y143"/>
    <mergeCell ref="Z143:AA143"/>
    <mergeCell ref="L143:M143"/>
    <mergeCell ref="N143:O143"/>
    <mergeCell ref="AP142:AQ142"/>
    <mergeCell ref="AR142:AS142"/>
    <mergeCell ref="F143:G143"/>
    <mergeCell ref="H143:I143"/>
    <mergeCell ref="J143:K143"/>
    <mergeCell ref="X142:Y142"/>
    <mergeCell ref="Z142:AA142"/>
    <mergeCell ref="AB142:AC142"/>
    <mergeCell ref="AD142:AE142"/>
    <mergeCell ref="AF142:AG142"/>
    <mergeCell ref="AH142:AI142"/>
    <mergeCell ref="AR141:AS141"/>
    <mergeCell ref="F142:G142"/>
    <mergeCell ref="H142:I142"/>
    <mergeCell ref="J142:K142"/>
    <mergeCell ref="L142:M142"/>
    <mergeCell ref="N142:O142"/>
    <mergeCell ref="P142:Q142"/>
    <mergeCell ref="R142:S142"/>
    <mergeCell ref="T142:U142"/>
    <mergeCell ref="V142:W142"/>
    <mergeCell ref="AF141:AG141"/>
    <mergeCell ref="AH141:AI141"/>
    <mergeCell ref="AJ141:AK141"/>
    <mergeCell ref="AL141:AM141"/>
    <mergeCell ref="AN141:AO141"/>
    <mergeCell ref="AP141:AQ141"/>
    <mergeCell ref="T141:U141"/>
    <mergeCell ref="V141:W141"/>
    <mergeCell ref="X141:Y141"/>
    <mergeCell ref="Z141:AA141"/>
    <mergeCell ref="AB141:AC141"/>
    <mergeCell ref="C141:C144"/>
    <mergeCell ref="F141:G141"/>
    <mergeCell ref="H141:I141"/>
    <mergeCell ref="J141:K141"/>
    <mergeCell ref="L141:M141"/>
    <mergeCell ref="N141:O141"/>
    <mergeCell ref="P141:Q141"/>
    <mergeCell ref="R141:S141"/>
    <mergeCell ref="AD140:AE140"/>
    <mergeCell ref="AF140:AG140"/>
    <mergeCell ref="AH140:AI140"/>
    <mergeCell ref="AJ140:AK140"/>
    <mergeCell ref="AL140:AM140"/>
    <mergeCell ref="AN140:AO140"/>
    <mergeCell ref="R140:S140"/>
    <mergeCell ref="T140:U140"/>
    <mergeCell ref="V140:W140"/>
    <mergeCell ref="X140:Y140"/>
    <mergeCell ref="Z140:AA140"/>
    <mergeCell ref="AB140:AC140"/>
    <mergeCell ref="AJ142:AK142"/>
    <mergeCell ref="AL142:AM142"/>
    <mergeCell ref="AN142:AO142"/>
    <mergeCell ref="AD141:AE141"/>
    <mergeCell ref="X144:Y144"/>
    <mergeCell ref="Z144:AA144"/>
    <mergeCell ref="AB144:AC144"/>
    <mergeCell ref="AD144:AE144"/>
    <mergeCell ref="AN143:AO143"/>
    <mergeCell ref="AP138:AQ138"/>
    <mergeCell ref="AR138:AS138"/>
    <mergeCell ref="C139:C140"/>
    <mergeCell ref="AT139:AT140"/>
    <mergeCell ref="F140:G140"/>
    <mergeCell ref="H140:I140"/>
    <mergeCell ref="J140:K140"/>
    <mergeCell ref="L140:M140"/>
    <mergeCell ref="N140:O140"/>
    <mergeCell ref="P140:Q140"/>
    <mergeCell ref="AD138:AE138"/>
    <mergeCell ref="AF138:AG138"/>
    <mergeCell ref="AH138:AI138"/>
    <mergeCell ref="AJ138:AK138"/>
    <mergeCell ref="AL138:AM138"/>
    <mergeCell ref="AN138:AO138"/>
    <mergeCell ref="R138:S138"/>
    <mergeCell ref="T138:U138"/>
    <mergeCell ref="V138:W138"/>
    <mergeCell ref="X138:Y138"/>
    <mergeCell ref="Z138:AA138"/>
    <mergeCell ref="AB138:AC138"/>
    <mergeCell ref="F138:G138"/>
    <mergeCell ref="H138:I138"/>
    <mergeCell ref="J138:K138"/>
    <mergeCell ref="L138:M138"/>
    <mergeCell ref="N138:O138"/>
    <mergeCell ref="P138:Q138"/>
    <mergeCell ref="AP140:AQ140"/>
    <mergeCell ref="AR140:AS140"/>
    <mergeCell ref="AH137:AI137"/>
    <mergeCell ref="AJ137:AK137"/>
    <mergeCell ref="AL137:AM137"/>
    <mergeCell ref="AN137:AO137"/>
    <mergeCell ref="AP137:AQ137"/>
    <mergeCell ref="AR137:AS137"/>
    <mergeCell ref="V137:W137"/>
    <mergeCell ref="X137:Y137"/>
    <mergeCell ref="Z137:AA137"/>
    <mergeCell ref="AB137:AC137"/>
    <mergeCell ref="AD137:AE137"/>
    <mergeCell ref="AF137:AG137"/>
    <mergeCell ref="AP136:AQ136"/>
    <mergeCell ref="AR136:AS136"/>
    <mergeCell ref="F137:G137"/>
    <mergeCell ref="H137:I137"/>
    <mergeCell ref="J137:K137"/>
    <mergeCell ref="L137:M137"/>
    <mergeCell ref="N137:O137"/>
    <mergeCell ref="P137:Q137"/>
    <mergeCell ref="R137:S137"/>
    <mergeCell ref="T137:U137"/>
    <mergeCell ref="AD136:AE136"/>
    <mergeCell ref="AF136:AG136"/>
    <mergeCell ref="AH136:AI136"/>
    <mergeCell ref="AJ136:AK136"/>
    <mergeCell ref="AL136:AM136"/>
    <mergeCell ref="AN136:AO136"/>
    <mergeCell ref="R136:S136"/>
    <mergeCell ref="T136:U136"/>
    <mergeCell ref="V136:W136"/>
    <mergeCell ref="X136:Y136"/>
    <mergeCell ref="Z136:AA136"/>
    <mergeCell ref="AB136:AC136"/>
    <mergeCell ref="AL135:AM135"/>
    <mergeCell ref="AN135:AO135"/>
    <mergeCell ref="AP135:AQ135"/>
    <mergeCell ref="AR135:AS135"/>
    <mergeCell ref="F136:G136"/>
    <mergeCell ref="H136:I136"/>
    <mergeCell ref="J136:K136"/>
    <mergeCell ref="L136:M136"/>
    <mergeCell ref="N136:O136"/>
    <mergeCell ref="P136:Q136"/>
    <mergeCell ref="Z135:AA135"/>
    <mergeCell ref="AB135:AC135"/>
    <mergeCell ref="AD135:AE135"/>
    <mergeCell ref="AF135:AG135"/>
    <mergeCell ref="AH135:AI135"/>
    <mergeCell ref="AJ135:AK135"/>
    <mergeCell ref="N135:O135"/>
    <mergeCell ref="P135:Q135"/>
    <mergeCell ref="R135:S135"/>
    <mergeCell ref="T135:U135"/>
    <mergeCell ref="V135:W135"/>
    <mergeCell ref="X135:Y135"/>
    <mergeCell ref="AH134:AI134"/>
    <mergeCell ref="AT133:AT134"/>
    <mergeCell ref="F134:G134"/>
    <mergeCell ref="H134:I134"/>
    <mergeCell ref="J134:K134"/>
    <mergeCell ref="L134:M134"/>
    <mergeCell ref="N134:O134"/>
    <mergeCell ref="P134:Q134"/>
    <mergeCell ref="R134:S134"/>
    <mergeCell ref="T134:U134"/>
    <mergeCell ref="V134:W134"/>
    <mergeCell ref="AH133:AI133"/>
    <mergeCell ref="AJ133:AK133"/>
    <mergeCell ref="AL133:AM133"/>
    <mergeCell ref="AN133:AO133"/>
    <mergeCell ref="AP133:AQ133"/>
    <mergeCell ref="AR133:AS133"/>
    <mergeCell ref="AR132:AS132"/>
    <mergeCell ref="C133:C134"/>
    <mergeCell ref="F133:G133"/>
    <mergeCell ref="H133:I133"/>
    <mergeCell ref="J133:K133"/>
    <mergeCell ref="L133:M133"/>
    <mergeCell ref="N133:O133"/>
    <mergeCell ref="P133:Q133"/>
    <mergeCell ref="R133:S133"/>
    <mergeCell ref="T133:U133"/>
    <mergeCell ref="AF132:AG132"/>
    <mergeCell ref="AH132:AI132"/>
    <mergeCell ref="AJ132:AK132"/>
    <mergeCell ref="AL132:AM132"/>
    <mergeCell ref="AN132:AO132"/>
    <mergeCell ref="AP132:AQ132"/>
    <mergeCell ref="T132:U132"/>
    <mergeCell ref="V132:W132"/>
    <mergeCell ref="X132:Y132"/>
    <mergeCell ref="Z132:AA132"/>
    <mergeCell ref="AB132:AC132"/>
    <mergeCell ref="AD132:AE132"/>
    <mergeCell ref="AJ134:AK134"/>
    <mergeCell ref="AL134:AM134"/>
    <mergeCell ref="AN134:AO134"/>
    <mergeCell ref="AP134:AQ134"/>
    <mergeCell ref="AR134:AS134"/>
    <mergeCell ref="X134:Y134"/>
    <mergeCell ref="Z134:AA134"/>
    <mergeCell ref="AB134:AC134"/>
    <mergeCell ref="AD134:AE134"/>
    <mergeCell ref="AF134:AG134"/>
    <mergeCell ref="B132:B170"/>
    <mergeCell ref="F132:G132"/>
    <mergeCell ref="H132:I132"/>
    <mergeCell ref="J132:K132"/>
    <mergeCell ref="L132:M132"/>
    <mergeCell ref="N132:O132"/>
    <mergeCell ref="P132:Q132"/>
    <mergeCell ref="R132:S132"/>
    <mergeCell ref="AD130:AE130"/>
    <mergeCell ref="AF130:AG130"/>
    <mergeCell ref="AH130:AI130"/>
    <mergeCell ref="AJ130:AK130"/>
    <mergeCell ref="AL130:AM130"/>
    <mergeCell ref="AN130:AO130"/>
    <mergeCell ref="R130:S130"/>
    <mergeCell ref="T130:U130"/>
    <mergeCell ref="V130:W130"/>
    <mergeCell ref="X130:Y130"/>
    <mergeCell ref="Z130:AA130"/>
    <mergeCell ref="AB130:AC130"/>
    <mergeCell ref="C129:C130"/>
    <mergeCell ref="V133:W133"/>
    <mergeCell ref="X133:Y133"/>
    <mergeCell ref="Z133:AA133"/>
    <mergeCell ref="AB133:AC133"/>
    <mergeCell ref="AD133:AE133"/>
    <mergeCell ref="AF133:AG133"/>
    <mergeCell ref="C135:C138"/>
    <mergeCell ref="F135:G135"/>
    <mergeCell ref="H135:I135"/>
    <mergeCell ref="J135:K135"/>
    <mergeCell ref="L135:M135"/>
    <mergeCell ref="AN129:AO129"/>
    <mergeCell ref="AP129:AQ129"/>
    <mergeCell ref="AR129:AS129"/>
    <mergeCell ref="AT129:AT130"/>
    <mergeCell ref="F130:G130"/>
    <mergeCell ref="H130:I130"/>
    <mergeCell ref="J130:K130"/>
    <mergeCell ref="L130:M130"/>
    <mergeCell ref="N130:O130"/>
    <mergeCell ref="P130:Q130"/>
    <mergeCell ref="AB129:AC129"/>
    <mergeCell ref="AD129:AE129"/>
    <mergeCell ref="AF129:AG129"/>
    <mergeCell ref="AH129:AI129"/>
    <mergeCell ref="AJ129:AK129"/>
    <mergeCell ref="AL129:AM129"/>
    <mergeCell ref="P129:Q129"/>
    <mergeCell ref="R129:S129"/>
    <mergeCell ref="T129:U129"/>
    <mergeCell ref="V129:W129"/>
    <mergeCell ref="X129:Y129"/>
    <mergeCell ref="Z129:AA129"/>
    <mergeCell ref="F129:G129"/>
    <mergeCell ref="H129:I129"/>
    <mergeCell ref="J129:K129"/>
    <mergeCell ref="L129:M129"/>
    <mergeCell ref="N129:O129"/>
    <mergeCell ref="AP130:AQ130"/>
    <mergeCell ref="AR130:AS130"/>
    <mergeCell ref="AN128:AO128"/>
    <mergeCell ref="AP128:AQ128"/>
    <mergeCell ref="AR128:AS128"/>
    <mergeCell ref="V128:W128"/>
    <mergeCell ref="X128:Y128"/>
    <mergeCell ref="Z128:AA128"/>
    <mergeCell ref="AB128:AC128"/>
    <mergeCell ref="AD128:AE128"/>
    <mergeCell ref="AF128:AG128"/>
    <mergeCell ref="AP127:AQ127"/>
    <mergeCell ref="AR127:AS127"/>
    <mergeCell ref="F128:G128"/>
    <mergeCell ref="H128:I128"/>
    <mergeCell ref="J128:K128"/>
    <mergeCell ref="L128:M128"/>
    <mergeCell ref="N128:O128"/>
    <mergeCell ref="P128:Q128"/>
    <mergeCell ref="R128:S128"/>
    <mergeCell ref="T128:U128"/>
    <mergeCell ref="AD127:AE127"/>
    <mergeCell ref="AF127:AG127"/>
    <mergeCell ref="AH127:AI127"/>
    <mergeCell ref="AJ127:AK127"/>
    <mergeCell ref="AL127:AM127"/>
    <mergeCell ref="AN127:AO127"/>
    <mergeCell ref="R127:S127"/>
    <mergeCell ref="T127:U127"/>
    <mergeCell ref="V127:W127"/>
    <mergeCell ref="X127:Y127"/>
    <mergeCell ref="AP125:AQ125"/>
    <mergeCell ref="AR125:AS125"/>
    <mergeCell ref="F126:G126"/>
    <mergeCell ref="H126:I126"/>
    <mergeCell ref="J126:K126"/>
    <mergeCell ref="L126:M126"/>
    <mergeCell ref="N126:O126"/>
    <mergeCell ref="P126:Q126"/>
    <mergeCell ref="R126:S126"/>
    <mergeCell ref="T126:U126"/>
    <mergeCell ref="AD125:AE125"/>
    <mergeCell ref="AF125:AG125"/>
    <mergeCell ref="AH125:AI125"/>
    <mergeCell ref="AJ125:AK125"/>
    <mergeCell ref="AL125:AM125"/>
    <mergeCell ref="AN125:AO125"/>
    <mergeCell ref="R125:S125"/>
    <mergeCell ref="T125:U125"/>
    <mergeCell ref="V125:W125"/>
    <mergeCell ref="X125:Y125"/>
    <mergeCell ref="Z125:AA125"/>
    <mergeCell ref="AB125:AC125"/>
    <mergeCell ref="AH126:AI126"/>
    <mergeCell ref="AJ126:AK126"/>
    <mergeCell ref="AL126:AM126"/>
    <mergeCell ref="AN126:AO126"/>
    <mergeCell ref="AP126:AQ126"/>
    <mergeCell ref="AR126:AS126"/>
    <mergeCell ref="V126:W126"/>
    <mergeCell ref="X126:Y126"/>
    <mergeCell ref="Z126:AA126"/>
    <mergeCell ref="AB126:AC126"/>
    <mergeCell ref="C125:C128"/>
    <mergeCell ref="F125:G125"/>
    <mergeCell ref="H125:I125"/>
    <mergeCell ref="J125:K125"/>
    <mergeCell ref="L125:M125"/>
    <mergeCell ref="N125:O125"/>
    <mergeCell ref="P125:Q125"/>
    <mergeCell ref="AB124:AC124"/>
    <mergeCell ref="AD124:AE124"/>
    <mergeCell ref="AF124:AG124"/>
    <mergeCell ref="AH124:AI124"/>
    <mergeCell ref="AJ124:AK124"/>
    <mergeCell ref="AL124:AM124"/>
    <mergeCell ref="P124:Q124"/>
    <mergeCell ref="R124:S124"/>
    <mergeCell ref="T124:U124"/>
    <mergeCell ref="V124:W124"/>
    <mergeCell ref="X124:Y124"/>
    <mergeCell ref="Z124:AA124"/>
    <mergeCell ref="Z127:AA127"/>
    <mergeCell ref="AB127:AC127"/>
    <mergeCell ref="F127:G127"/>
    <mergeCell ref="H127:I127"/>
    <mergeCell ref="J127:K127"/>
    <mergeCell ref="L127:M127"/>
    <mergeCell ref="N127:O127"/>
    <mergeCell ref="P127:Q127"/>
    <mergeCell ref="AD126:AE126"/>
    <mergeCell ref="AF126:AG126"/>
    <mergeCell ref="AH128:AI128"/>
    <mergeCell ref="AJ128:AK128"/>
    <mergeCell ref="AL128:AM128"/>
    <mergeCell ref="AN122:AO122"/>
    <mergeCell ref="AP122:AQ122"/>
    <mergeCell ref="AR122:AS122"/>
    <mergeCell ref="C123:C124"/>
    <mergeCell ref="AT123:AT124"/>
    <mergeCell ref="F124:G124"/>
    <mergeCell ref="H124:I124"/>
    <mergeCell ref="J124:K124"/>
    <mergeCell ref="L124:M124"/>
    <mergeCell ref="N124:O124"/>
    <mergeCell ref="AB122:AC122"/>
    <mergeCell ref="AD122:AE122"/>
    <mergeCell ref="AF122:AG122"/>
    <mergeCell ref="AH122:AI122"/>
    <mergeCell ref="AJ122:AK122"/>
    <mergeCell ref="AL122:AM122"/>
    <mergeCell ref="P122:Q122"/>
    <mergeCell ref="R122:S122"/>
    <mergeCell ref="T122:U122"/>
    <mergeCell ref="V122:W122"/>
    <mergeCell ref="X122:Y122"/>
    <mergeCell ref="Z122:AA122"/>
    <mergeCell ref="C119:C122"/>
    <mergeCell ref="N119:O119"/>
    <mergeCell ref="AN124:AO124"/>
    <mergeCell ref="AP124:AQ124"/>
    <mergeCell ref="AR124:AS124"/>
    <mergeCell ref="AJ121:AK121"/>
    <mergeCell ref="AL121:AM121"/>
    <mergeCell ref="AN121:AO121"/>
    <mergeCell ref="AP121:AQ121"/>
    <mergeCell ref="AR121:AS121"/>
    <mergeCell ref="F122:G122"/>
    <mergeCell ref="H122:I122"/>
    <mergeCell ref="J122:K122"/>
    <mergeCell ref="L122:M122"/>
    <mergeCell ref="N122:O122"/>
    <mergeCell ref="X121:Y121"/>
    <mergeCell ref="Z121:AA121"/>
    <mergeCell ref="AB121:AC121"/>
    <mergeCell ref="AD121:AE121"/>
    <mergeCell ref="AF121:AG121"/>
    <mergeCell ref="AH121:AI121"/>
    <mergeCell ref="AR120:AS120"/>
    <mergeCell ref="F121:G121"/>
    <mergeCell ref="H121:I121"/>
    <mergeCell ref="J121:K121"/>
    <mergeCell ref="L121:M121"/>
    <mergeCell ref="N121:O121"/>
    <mergeCell ref="P121:Q121"/>
    <mergeCell ref="R121:S121"/>
    <mergeCell ref="T121:U121"/>
    <mergeCell ref="V121:W121"/>
    <mergeCell ref="AF120:AG120"/>
    <mergeCell ref="AH120:AI120"/>
    <mergeCell ref="AJ120:AK120"/>
    <mergeCell ref="AL120:AM120"/>
    <mergeCell ref="AN120:AO120"/>
    <mergeCell ref="AP120:AQ120"/>
    <mergeCell ref="T120:U120"/>
    <mergeCell ref="V120:W120"/>
    <mergeCell ref="X120:Y120"/>
    <mergeCell ref="Z120:AA120"/>
    <mergeCell ref="AB120:AC120"/>
    <mergeCell ref="AD120:AE120"/>
    <mergeCell ref="AN119:AO119"/>
    <mergeCell ref="AP119:AQ119"/>
    <mergeCell ref="AR119:AS119"/>
    <mergeCell ref="F120:G120"/>
    <mergeCell ref="H120:I120"/>
    <mergeCell ref="J120:K120"/>
    <mergeCell ref="L120:M120"/>
    <mergeCell ref="N120:O120"/>
    <mergeCell ref="P120:Q120"/>
    <mergeCell ref="R120:S120"/>
    <mergeCell ref="AB119:AC119"/>
    <mergeCell ref="AD119:AE119"/>
    <mergeCell ref="AF119:AG119"/>
    <mergeCell ref="AH119:AI119"/>
    <mergeCell ref="AJ119:AK119"/>
    <mergeCell ref="AL119:AM119"/>
    <mergeCell ref="P119:Q119"/>
    <mergeCell ref="R119:S119"/>
    <mergeCell ref="T119:U119"/>
    <mergeCell ref="V119:W119"/>
    <mergeCell ref="X119:Y119"/>
    <mergeCell ref="Z119:AA119"/>
    <mergeCell ref="F119:G119"/>
    <mergeCell ref="H119:I119"/>
    <mergeCell ref="J119:K119"/>
    <mergeCell ref="L119:M119"/>
    <mergeCell ref="V118:W118"/>
    <mergeCell ref="X118:Y118"/>
    <mergeCell ref="Z118:AA118"/>
    <mergeCell ref="AB118:AC118"/>
    <mergeCell ref="AD118:AE118"/>
    <mergeCell ref="AF118:AG118"/>
    <mergeCell ref="AP117:AQ117"/>
    <mergeCell ref="AR117:AS117"/>
    <mergeCell ref="F118:G118"/>
    <mergeCell ref="H118:I118"/>
    <mergeCell ref="J118:K118"/>
    <mergeCell ref="L118:M118"/>
    <mergeCell ref="N118:O118"/>
    <mergeCell ref="P118:Q118"/>
    <mergeCell ref="R118:S118"/>
    <mergeCell ref="T118:U118"/>
    <mergeCell ref="AD117:AE117"/>
    <mergeCell ref="AF117:AG117"/>
    <mergeCell ref="AH117:AI117"/>
    <mergeCell ref="AJ117:AK117"/>
    <mergeCell ref="AL117:AM117"/>
    <mergeCell ref="AN117:AO117"/>
    <mergeCell ref="R117:S117"/>
    <mergeCell ref="T117:U117"/>
    <mergeCell ref="V117:W117"/>
    <mergeCell ref="X117:Y117"/>
    <mergeCell ref="Z117:AA117"/>
    <mergeCell ref="AB117:AC117"/>
    <mergeCell ref="AN116:AO116"/>
    <mergeCell ref="AP116:AQ116"/>
    <mergeCell ref="AR116:AS116"/>
    <mergeCell ref="C117:C118"/>
    <mergeCell ref="F117:G117"/>
    <mergeCell ref="H117:I117"/>
    <mergeCell ref="J117:K117"/>
    <mergeCell ref="L117:M117"/>
    <mergeCell ref="N117:O117"/>
    <mergeCell ref="P117:Q117"/>
    <mergeCell ref="AB116:AC116"/>
    <mergeCell ref="AD116:AE116"/>
    <mergeCell ref="AF116:AG116"/>
    <mergeCell ref="AH116:AI116"/>
    <mergeCell ref="AJ116:AK116"/>
    <mergeCell ref="AL116:AM116"/>
    <mergeCell ref="P116:Q116"/>
    <mergeCell ref="R116:S116"/>
    <mergeCell ref="T116:U116"/>
    <mergeCell ref="V116:W116"/>
    <mergeCell ref="X116:Y116"/>
    <mergeCell ref="Z116:AA116"/>
    <mergeCell ref="C113:C116"/>
    <mergeCell ref="N113:O113"/>
    <mergeCell ref="AH118:AI118"/>
    <mergeCell ref="AJ118:AK118"/>
    <mergeCell ref="AL118:AM118"/>
    <mergeCell ref="AN118:AO118"/>
    <mergeCell ref="AP118:AQ118"/>
    <mergeCell ref="AR118:AS118"/>
    <mergeCell ref="AJ115:AK115"/>
    <mergeCell ref="AL115:AM115"/>
    <mergeCell ref="AN115:AO115"/>
    <mergeCell ref="AP115:AQ115"/>
    <mergeCell ref="AR115:AS115"/>
    <mergeCell ref="F116:G116"/>
    <mergeCell ref="H116:I116"/>
    <mergeCell ref="J116:K116"/>
    <mergeCell ref="L116:M116"/>
    <mergeCell ref="N116:O116"/>
    <mergeCell ref="X115:Y115"/>
    <mergeCell ref="Z115:AA115"/>
    <mergeCell ref="AB115:AC115"/>
    <mergeCell ref="AD115:AE115"/>
    <mergeCell ref="AF115:AG115"/>
    <mergeCell ref="AH115:AI115"/>
    <mergeCell ref="AR114:AS114"/>
    <mergeCell ref="F115:G115"/>
    <mergeCell ref="H115:I115"/>
    <mergeCell ref="J115:K115"/>
    <mergeCell ref="L115:M115"/>
    <mergeCell ref="N115:O115"/>
    <mergeCell ref="P115:Q115"/>
    <mergeCell ref="R115:S115"/>
    <mergeCell ref="T115:U115"/>
    <mergeCell ref="V115:W115"/>
    <mergeCell ref="AF114:AG114"/>
    <mergeCell ref="AH114:AI114"/>
    <mergeCell ref="AJ114:AK114"/>
    <mergeCell ref="AL114:AM114"/>
    <mergeCell ref="AN114:AO114"/>
    <mergeCell ref="AP114:AQ114"/>
    <mergeCell ref="T114:U114"/>
    <mergeCell ref="V114:W114"/>
    <mergeCell ref="X114:Y114"/>
    <mergeCell ref="Z114:AA114"/>
    <mergeCell ref="AB114:AC114"/>
    <mergeCell ref="AD114:AE114"/>
    <mergeCell ref="AN113:AO113"/>
    <mergeCell ref="AP113:AQ113"/>
    <mergeCell ref="AR113:AS113"/>
    <mergeCell ref="F114:G114"/>
    <mergeCell ref="H114:I114"/>
    <mergeCell ref="J114:K114"/>
    <mergeCell ref="L114:M114"/>
    <mergeCell ref="N114:O114"/>
    <mergeCell ref="P114:Q114"/>
    <mergeCell ref="R114:S114"/>
    <mergeCell ref="AB113:AC113"/>
    <mergeCell ref="AD113:AE113"/>
    <mergeCell ref="AF113:AG113"/>
    <mergeCell ref="AH113:AI113"/>
    <mergeCell ref="AJ113:AK113"/>
    <mergeCell ref="AL113:AM113"/>
    <mergeCell ref="P113:Q113"/>
    <mergeCell ref="R113:S113"/>
    <mergeCell ref="T113:U113"/>
    <mergeCell ref="V113:W113"/>
    <mergeCell ref="X113:Y113"/>
    <mergeCell ref="Z113:AA113"/>
    <mergeCell ref="F113:G113"/>
    <mergeCell ref="H113:I113"/>
    <mergeCell ref="J113:K113"/>
    <mergeCell ref="L113:M113"/>
    <mergeCell ref="AT111:AT112"/>
    <mergeCell ref="F112:G112"/>
    <mergeCell ref="H112:I112"/>
    <mergeCell ref="J112:K112"/>
    <mergeCell ref="L112:M112"/>
    <mergeCell ref="N112:O112"/>
    <mergeCell ref="P112:Q112"/>
    <mergeCell ref="R112:S112"/>
    <mergeCell ref="T112:U112"/>
    <mergeCell ref="AF111:AG111"/>
    <mergeCell ref="AH111:AI111"/>
    <mergeCell ref="AJ111:AK111"/>
    <mergeCell ref="AL111:AM111"/>
    <mergeCell ref="AN111:AO111"/>
    <mergeCell ref="AP111:AQ111"/>
    <mergeCell ref="T111:U111"/>
    <mergeCell ref="V111:W111"/>
    <mergeCell ref="X111:Y111"/>
    <mergeCell ref="Z111:AA111"/>
    <mergeCell ref="AB111:AC111"/>
    <mergeCell ref="AD111:AE111"/>
    <mergeCell ref="Z110:AA110"/>
    <mergeCell ref="AB110:AC110"/>
    <mergeCell ref="F110:G110"/>
    <mergeCell ref="H110:I110"/>
    <mergeCell ref="J110:K110"/>
    <mergeCell ref="L110:M110"/>
    <mergeCell ref="N110:O110"/>
    <mergeCell ref="P110:Q110"/>
    <mergeCell ref="AH112:AI112"/>
    <mergeCell ref="AJ112:AK112"/>
    <mergeCell ref="AL112:AM112"/>
    <mergeCell ref="AN112:AO112"/>
    <mergeCell ref="AP112:AQ112"/>
    <mergeCell ref="AR112:AS112"/>
    <mergeCell ref="V112:W112"/>
    <mergeCell ref="X112:Y112"/>
    <mergeCell ref="Z112:AA112"/>
    <mergeCell ref="AB112:AC112"/>
    <mergeCell ref="AD112:AE112"/>
    <mergeCell ref="AF112:AG112"/>
    <mergeCell ref="AR111:AS111"/>
    <mergeCell ref="F108:G108"/>
    <mergeCell ref="H108:I108"/>
    <mergeCell ref="J108:K108"/>
    <mergeCell ref="L108:M108"/>
    <mergeCell ref="N108:O108"/>
    <mergeCell ref="P108:Q108"/>
    <mergeCell ref="V109:W109"/>
    <mergeCell ref="X109:Y109"/>
    <mergeCell ref="Z109:AA109"/>
    <mergeCell ref="AB109:AC109"/>
    <mergeCell ref="AD109:AE109"/>
    <mergeCell ref="AF109:AG109"/>
    <mergeCell ref="AP110:AQ110"/>
    <mergeCell ref="AR110:AS110"/>
    <mergeCell ref="C111:C112"/>
    <mergeCell ref="F111:G111"/>
    <mergeCell ref="H111:I111"/>
    <mergeCell ref="J111:K111"/>
    <mergeCell ref="L111:M111"/>
    <mergeCell ref="N111:O111"/>
    <mergeCell ref="P111:Q111"/>
    <mergeCell ref="R111:S111"/>
    <mergeCell ref="AD110:AE110"/>
    <mergeCell ref="AF110:AG110"/>
    <mergeCell ref="AH110:AI110"/>
    <mergeCell ref="AJ110:AK110"/>
    <mergeCell ref="AL110:AM110"/>
    <mergeCell ref="AN110:AO110"/>
    <mergeCell ref="R110:S110"/>
    <mergeCell ref="T110:U110"/>
    <mergeCell ref="V110:W110"/>
    <mergeCell ref="X110:Y110"/>
    <mergeCell ref="AL107:AM107"/>
    <mergeCell ref="AN107:AO107"/>
    <mergeCell ref="AP107:AQ107"/>
    <mergeCell ref="AR107:AS107"/>
    <mergeCell ref="Z107:AA107"/>
    <mergeCell ref="AB107:AC107"/>
    <mergeCell ref="AD107:AE107"/>
    <mergeCell ref="AF107:AG107"/>
    <mergeCell ref="AH107:AI107"/>
    <mergeCell ref="AJ107:AK107"/>
    <mergeCell ref="AP105:AQ105"/>
    <mergeCell ref="Z105:AA105"/>
    <mergeCell ref="AB105:AC105"/>
    <mergeCell ref="AD105:AE105"/>
    <mergeCell ref="F109:G109"/>
    <mergeCell ref="H109:I109"/>
    <mergeCell ref="J109:K109"/>
    <mergeCell ref="L109:M109"/>
    <mergeCell ref="N109:O109"/>
    <mergeCell ref="P109:Q109"/>
    <mergeCell ref="R109:S109"/>
    <mergeCell ref="T109:U109"/>
    <mergeCell ref="AD108:AE108"/>
    <mergeCell ref="AF108:AG108"/>
    <mergeCell ref="AH108:AI108"/>
    <mergeCell ref="AJ108:AK108"/>
    <mergeCell ref="AL108:AM108"/>
    <mergeCell ref="AN108:AO108"/>
    <mergeCell ref="R108:S108"/>
    <mergeCell ref="T108:U108"/>
    <mergeCell ref="V108:W108"/>
    <mergeCell ref="X108:Y108"/>
    <mergeCell ref="N107:O107"/>
    <mergeCell ref="P107:Q107"/>
    <mergeCell ref="R107:S107"/>
    <mergeCell ref="T107:U107"/>
    <mergeCell ref="V107:W107"/>
    <mergeCell ref="X107:Y107"/>
    <mergeCell ref="AP106:AQ106"/>
    <mergeCell ref="AR106:AS106"/>
    <mergeCell ref="C107:C110"/>
    <mergeCell ref="F107:G107"/>
    <mergeCell ref="H107:I107"/>
    <mergeCell ref="J107:K107"/>
    <mergeCell ref="L107:M107"/>
    <mergeCell ref="X106:Y106"/>
    <mergeCell ref="Z106:AA106"/>
    <mergeCell ref="AB106:AC106"/>
    <mergeCell ref="AD106:AE106"/>
    <mergeCell ref="AF106:AG106"/>
    <mergeCell ref="AH106:AI106"/>
    <mergeCell ref="AJ106:AK106"/>
    <mergeCell ref="AL106:AM106"/>
    <mergeCell ref="AN106:AO106"/>
    <mergeCell ref="AH109:AI109"/>
    <mergeCell ref="AJ109:AK109"/>
    <mergeCell ref="AL109:AM109"/>
    <mergeCell ref="AN109:AO109"/>
    <mergeCell ref="AP109:AQ109"/>
    <mergeCell ref="AR109:AS109"/>
    <mergeCell ref="AP108:AQ108"/>
    <mergeCell ref="AR108:AS108"/>
    <mergeCell ref="Z108:AA108"/>
    <mergeCell ref="AB108:AC108"/>
    <mergeCell ref="L104:M104"/>
    <mergeCell ref="C101:C104"/>
    <mergeCell ref="F101:G101"/>
    <mergeCell ref="H101:I101"/>
    <mergeCell ref="J101:K101"/>
    <mergeCell ref="N101:O101"/>
    <mergeCell ref="P101:Q101"/>
    <mergeCell ref="R101:S101"/>
    <mergeCell ref="F103:G103"/>
    <mergeCell ref="H103:I103"/>
    <mergeCell ref="J103:K103"/>
    <mergeCell ref="L103:M103"/>
    <mergeCell ref="N103:O103"/>
    <mergeCell ref="P103:Q103"/>
    <mergeCell ref="AR105:AS105"/>
    <mergeCell ref="F106:G106"/>
    <mergeCell ref="H106:I106"/>
    <mergeCell ref="J106:K106"/>
    <mergeCell ref="L106:M106"/>
    <mergeCell ref="N106:O106"/>
    <mergeCell ref="P106:Q106"/>
    <mergeCell ref="R106:S106"/>
    <mergeCell ref="T106:U106"/>
    <mergeCell ref="V106:W106"/>
    <mergeCell ref="AF105:AG105"/>
    <mergeCell ref="T105:U105"/>
    <mergeCell ref="V105:W105"/>
    <mergeCell ref="X105:Y105"/>
    <mergeCell ref="AH105:AI105"/>
    <mergeCell ref="AJ105:AK105"/>
    <mergeCell ref="AL105:AM105"/>
    <mergeCell ref="AN105:AO105"/>
    <mergeCell ref="AL102:AM102"/>
    <mergeCell ref="AN102:AO102"/>
    <mergeCell ref="R102:S102"/>
    <mergeCell ref="T102:U102"/>
    <mergeCell ref="V102:W102"/>
    <mergeCell ref="X102:Y102"/>
    <mergeCell ref="Z102:AA102"/>
    <mergeCell ref="AB102:AC102"/>
    <mergeCell ref="F102:G102"/>
    <mergeCell ref="H102:I102"/>
    <mergeCell ref="J102:K102"/>
    <mergeCell ref="L102:M102"/>
    <mergeCell ref="N102:O102"/>
    <mergeCell ref="P102:Q102"/>
    <mergeCell ref="C105:C106"/>
    <mergeCell ref="F105:G105"/>
    <mergeCell ref="H105:I105"/>
    <mergeCell ref="J105:K105"/>
    <mergeCell ref="L105:M105"/>
    <mergeCell ref="N105:O105"/>
    <mergeCell ref="P105:Q105"/>
    <mergeCell ref="R105:S105"/>
    <mergeCell ref="AD104:AE104"/>
    <mergeCell ref="R104:S104"/>
    <mergeCell ref="T104:U104"/>
    <mergeCell ref="V104:W104"/>
    <mergeCell ref="X104:Y104"/>
    <mergeCell ref="Z104:AA104"/>
    <mergeCell ref="AB104:AC104"/>
    <mergeCell ref="F104:G104"/>
    <mergeCell ref="H104:I104"/>
    <mergeCell ref="J104:K104"/>
    <mergeCell ref="AH101:AI101"/>
    <mergeCell ref="AJ101:AK101"/>
    <mergeCell ref="L101:M101"/>
    <mergeCell ref="N104:O104"/>
    <mergeCell ref="P104:Q104"/>
    <mergeCell ref="AH103:AI103"/>
    <mergeCell ref="AJ103:AK103"/>
    <mergeCell ref="AL103:AM103"/>
    <mergeCell ref="AN103:AO103"/>
    <mergeCell ref="AP103:AQ103"/>
    <mergeCell ref="AR103:AS103"/>
    <mergeCell ref="V103:W103"/>
    <mergeCell ref="X103:Y103"/>
    <mergeCell ref="Z103:AA103"/>
    <mergeCell ref="AB103:AC103"/>
    <mergeCell ref="AD103:AE103"/>
    <mergeCell ref="AF103:AG103"/>
    <mergeCell ref="AP102:AQ102"/>
    <mergeCell ref="AR102:AS102"/>
    <mergeCell ref="AP104:AQ104"/>
    <mergeCell ref="AR104:AS104"/>
    <mergeCell ref="AF104:AG104"/>
    <mergeCell ref="AH104:AI104"/>
    <mergeCell ref="AJ104:AK104"/>
    <mergeCell ref="AL104:AM104"/>
    <mergeCell ref="AN104:AO104"/>
    <mergeCell ref="R103:S103"/>
    <mergeCell ref="T103:U103"/>
    <mergeCell ref="AD102:AE102"/>
    <mergeCell ref="AF102:AG102"/>
    <mergeCell ref="AH102:AI102"/>
    <mergeCell ref="AJ102:AK102"/>
    <mergeCell ref="AD98:AE98"/>
    <mergeCell ref="AR100:AS100"/>
    <mergeCell ref="F98:G98"/>
    <mergeCell ref="H98:I98"/>
    <mergeCell ref="J98:K98"/>
    <mergeCell ref="L98:M98"/>
    <mergeCell ref="N98:O98"/>
    <mergeCell ref="P98:Q98"/>
    <mergeCell ref="R98:S98"/>
    <mergeCell ref="T101:U101"/>
    <mergeCell ref="AF100:AG100"/>
    <mergeCell ref="AH100:AI100"/>
    <mergeCell ref="AJ100:AK100"/>
    <mergeCell ref="AL100:AM100"/>
    <mergeCell ref="AN100:AO100"/>
    <mergeCell ref="AP100:AQ100"/>
    <mergeCell ref="T100:U100"/>
    <mergeCell ref="V100:W100"/>
    <mergeCell ref="X100:Y100"/>
    <mergeCell ref="Z100:AA100"/>
    <mergeCell ref="AB100:AC100"/>
    <mergeCell ref="AD100:AE100"/>
    <mergeCell ref="AL101:AM101"/>
    <mergeCell ref="AN101:AO101"/>
    <mergeCell ref="AP101:AQ101"/>
    <mergeCell ref="AR101:AS101"/>
    <mergeCell ref="V101:W101"/>
    <mergeCell ref="X101:Y101"/>
    <mergeCell ref="Z101:AA101"/>
    <mergeCell ref="AB101:AC101"/>
    <mergeCell ref="AD101:AE101"/>
    <mergeCell ref="AF101:AG101"/>
    <mergeCell ref="F97:G97"/>
    <mergeCell ref="H97:I97"/>
    <mergeCell ref="J97:K97"/>
    <mergeCell ref="L97:M97"/>
    <mergeCell ref="N97:O97"/>
    <mergeCell ref="X96:Y96"/>
    <mergeCell ref="Z96:AA96"/>
    <mergeCell ref="AB96:AC96"/>
    <mergeCell ref="AD96:AE96"/>
    <mergeCell ref="AF96:AG96"/>
    <mergeCell ref="AH96:AI96"/>
    <mergeCell ref="AR98:AS98"/>
    <mergeCell ref="C99:C100"/>
    <mergeCell ref="AT99:AT100"/>
    <mergeCell ref="F100:G100"/>
    <mergeCell ref="H100:I100"/>
    <mergeCell ref="J100:K100"/>
    <mergeCell ref="L100:M100"/>
    <mergeCell ref="N100:O100"/>
    <mergeCell ref="P100:Q100"/>
    <mergeCell ref="R100:S100"/>
    <mergeCell ref="AF98:AG98"/>
    <mergeCell ref="AH98:AI98"/>
    <mergeCell ref="AJ98:AK98"/>
    <mergeCell ref="AL98:AM98"/>
    <mergeCell ref="AN98:AO98"/>
    <mergeCell ref="AP98:AQ98"/>
    <mergeCell ref="T98:U98"/>
    <mergeCell ref="V98:W98"/>
    <mergeCell ref="X98:Y98"/>
    <mergeCell ref="Z98:AA98"/>
    <mergeCell ref="AB98:AC98"/>
    <mergeCell ref="AN97:AO97"/>
    <mergeCell ref="AP97:AQ97"/>
    <mergeCell ref="AR97:AS97"/>
    <mergeCell ref="T95:U95"/>
    <mergeCell ref="V95:W95"/>
    <mergeCell ref="X95:Y95"/>
    <mergeCell ref="Z95:AA95"/>
    <mergeCell ref="AB95:AC95"/>
    <mergeCell ref="AD95:AE95"/>
    <mergeCell ref="AB97:AC97"/>
    <mergeCell ref="AD97:AE97"/>
    <mergeCell ref="AF97:AG97"/>
    <mergeCell ref="AH97:AI97"/>
    <mergeCell ref="AJ97:AK97"/>
    <mergeCell ref="AL97:AM97"/>
    <mergeCell ref="P97:Q97"/>
    <mergeCell ref="R97:S97"/>
    <mergeCell ref="T97:U97"/>
    <mergeCell ref="V97:W97"/>
    <mergeCell ref="X97:Y97"/>
    <mergeCell ref="Z97:AA97"/>
    <mergeCell ref="AR96:AS96"/>
    <mergeCell ref="C93:C94"/>
    <mergeCell ref="AR95:AS95"/>
    <mergeCell ref="F96:G96"/>
    <mergeCell ref="H96:I96"/>
    <mergeCell ref="J96:K96"/>
    <mergeCell ref="L96:M96"/>
    <mergeCell ref="N96:O96"/>
    <mergeCell ref="P96:Q96"/>
    <mergeCell ref="R96:S96"/>
    <mergeCell ref="T96:U96"/>
    <mergeCell ref="V96:W96"/>
    <mergeCell ref="AF95:AG95"/>
    <mergeCell ref="AH95:AI95"/>
    <mergeCell ref="AJ95:AK95"/>
    <mergeCell ref="AL95:AM95"/>
    <mergeCell ref="AN95:AO95"/>
    <mergeCell ref="AP95:AQ95"/>
    <mergeCell ref="AT93:AT94"/>
    <mergeCell ref="F94:G94"/>
    <mergeCell ref="H94:I94"/>
    <mergeCell ref="J94:K94"/>
    <mergeCell ref="L94:M94"/>
    <mergeCell ref="N94:O94"/>
    <mergeCell ref="P94:Q94"/>
    <mergeCell ref="AB93:AC93"/>
    <mergeCell ref="AD93:AE93"/>
    <mergeCell ref="AF93:AG93"/>
    <mergeCell ref="AH93:AI93"/>
    <mergeCell ref="AJ93:AK93"/>
    <mergeCell ref="AL93:AM93"/>
    <mergeCell ref="P93:Q93"/>
    <mergeCell ref="R93:S93"/>
    <mergeCell ref="T93:U93"/>
    <mergeCell ref="V93:W93"/>
    <mergeCell ref="X93:Y93"/>
    <mergeCell ref="Z93:AA93"/>
    <mergeCell ref="F93:G93"/>
    <mergeCell ref="H93:I93"/>
    <mergeCell ref="J93:K93"/>
    <mergeCell ref="L93:M93"/>
    <mergeCell ref="N93:O93"/>
    <mergeCell ref="AP94:AQ94"/>
    <mergeCell ref="AR94:AS94"/>
    <mergeCell ref="AD94:AE94"/>
    <mergeCell ref="AF94:AG94"/>
    <mergeCell ref="AH94:AI94"/>
    <mergeCell ref="AJ94:AK94"/>
    <mergeCell ref="AL94:AM94"/>
    <mergeCell ref="AN94:AO94"/>
    <mergeCell ref="B92:B130"/>
    <mergeCell ref="F92:G92"/>
    <mergeCell ref="H92:I92"/>
    <mergeCell ref="J92:K92"/>
    <mergeCell ref="L92:M92"/>
    <mergeCell ref="X90:Y90"/>
    <mergeCell ref="Z90:AA90"/>
    <mergeCell ref="AB90:AC90"/>
    <mergeCell ref="AD90:AE90"/>
    <mergeCell ref="AF90:AG90"/>
    <mergeCell ref="AH90:AI90"/>
    <mergeCell ref="AN93:AO93"/>
    <mergeCell ref="AP93:AQ93"/>
    <mergeCell ref="AR93:AS93"/>
    <mergeCell ref="C95:C98"/>
    <mergeCell ref="F95:G95"/>
    <mergeCell ref="H95:I95"/>
    <mergeCell ref="J95:K95"/>
    <mergeCell ref="L95:M95"/>
    <mergeCell ref="N95:O95"/>
    <mergeCell ref="P95:Q95"/>
    <mergeCell ref="R95:S95"/>
    <mergeCell ref="R94:S94"/>
    <mergeCell ref="T94:U94"/>
    <mergeCell ref="V94:W94"/>
    <mergeCell ref="X94:Y94"/>
    <mergeCell ref="Z94:AA94"/>
    <mergeCell ref="AB94:AC94"/>
    <mergeCell ref="AJ96:AK96"/>
    <mergeCell ref="AL96:AM96"/>
    <mergeCell ref="AN96:AO96"/>
    <mergeCell ref="AP96:AQ96"/>
    <mergeCell ref="AL92:AM92"/>
    <mergeCell ref="AN92:AO92"/>
    <mergeCell ref="AP92:AQ92"/>
    <mergeCell ref="AR92:AS92"/>
    <mergeCell ref="V89:W89"/>
    <mergeCell ref="X89:Y89"/>
    <mergeCell ref="Z89:AA89"/>
    <mergeCell ref="AB89:AC89"/>
    <mergeCell ref="AD89:AE89"/>
    <mergeCell ref="AF89:AG89"/>
    <mergeCell ref="Z92:AA92"/>
    <mergeCell ref="AB92:AC92"/>
    <mergeCell ref="AD92:AE92"/>
    <mergeCell ref="AF92:AG92"/>
    <mergeCell ref="AH92:AI92"/>
    <mergeCell ref="AJ92:AK92"/>
    <mergeCell ref="N92:O92"/>
    <mergeCell ref="P92:Q92"/>
    <mergeCell ref="R92:S92"/>
    <mergeCell ref="T92:U92"/>
    <mergeCell ref="V92:W92"/>
    <mergeCell ref="X92:Y92"/>
    <mergeCell ref="AR90:AS90"/>
    <mergeCell ref="AN90:AO90"/>
    <mergeCell ref="AP90:AQ90"/>
    <mergeCell ref="F88:G88"/>
    <mergeCell ref="H88:I88"/>
    <mergeCell ref="J88:K88"/>
    <mergeCell ref="L88:M88"/>
    <mergeCell ref="N88:O88"/>
    <mergeCell ref="P88:Q88"/>
    <mergeCell ref="AT89:AT90"/>
    <mergeCell ref="F90:G90"/>
    <mergeCell ref="H90:I90"/>
    <mergeCell ref="J90:K90"/>
    <mergeCell ref="L90:M90"/>
    <mergeCell ref="N90:O90"/>
    <mergeCell ref="P90:Q90"/>
    <mergeCell ref="R90:S90"/>
    <mergeCell ref="T90:U90"/>
    <mergeCell ref="V90:W90"/>
    <mergeCell ref="AH89:AI89"/>
    <mergeCell ref="AJ89:AK89"/>
    <mergeCell ref="AL89:AM89"/>
    <mergeCell ref="AN89:AO89"/>
    <mergeCell ref="AP89:AQ89"/>
    <mergeCell ref="AR89:AS89"/>
    <mergeCell ref="X86:Y86"/>
    <mergeCell ref="Z86:AA86"/>
    <mergeCell ref="AB86:AC86"/>
    <mergeCell ref="AD86:AE86"/>
    <mergeCell ref="AF86:AG86"/>
    <mergeCell ref="AH86:AI86"/>
    <mergeCell ref="AR88:AS88"/>
    <mergeCell ref="AP86:AQ86"/>
    <mergeCell ref="AR85:AS85"/>
    <mergeCell ref="C89:C90"/>
    <mergeCell ref="F89:G89"/>
    <mergeCell ref="H89:I89"/>
    <mergeCell ref="J89:K89"/>
    <mergeCell ref="L89:M89"/>
    <mergeCell ref="N89:O89"/>
    <mergeCell ref="P89:Q89"/>
    <mergeCell ref="R89:S89"/>
    <mergeCell ref="T89:U89"/>
    <mergeCell ref="AF88:AG88"/>
    <mergeCell ref="AH88:AI88"/>
    <mergeCell ref="AJ88:AK88"/>
    <mergeCell ref="AL88:AM88"/>
    <mergeCell ref="AN88:AO88"/>
    <mergeCell ref="AP88:AQ88"/>
    <mergeCell ref="T88:U88"/>
    <mergeCell ref="V88:W88"/>
    <mergeCell ref="X88:Y88"/>
    <mergeCell ref="Z88:AA88"/>
    <mergeCell ref="AB88:AC88"/>
    <mergeCell ref="AD88:AE88"/>
    <mergeCell ref="AJ90:AK90"/>
    <mergeCell ref="AL90:AM90"/>
    <mergeCell ref="AN85:AO85"/>
    <mergeCell ref="AP85:AQ85"/>
    <mergeCell ref="C85:C88"/>
    <mergeCell ref="F85:G85"/>
    <mergeCell ref="H85:I85"/>
    <mergeCell ref="J85:K85"/>
    <mergeCell ref="L85:M85"/>
    <mergeCell ref="N85:O85"/>
    <mergeCell ref="P85:Q85"/>
    <mergeCell ref="R85:S85"/>
    <mergeCell ref="AP87:AQ87"/>
    <mergeCell ref="AR87:AS87"/>
    <mergeCell ref="T85:U85"/>
    <mergeCell ref="V85:W85"/>
    <mergeCell ref="X85:Y85"/>
    <mergeCell ref="Z85:AA85"/>
    <mergeCell ref="AB85:AC85"/>
    <mergeCell ref="AD85:AE85"/>
    <mergeCell ref="R88:S88"/>
    <mergeCell ref="AB87:AC87"/>
    <mergeCell ref="AD87:AE87"/>
    <mergeCell ref="AF87:AG87"/>
    <mergeCell ref="AH87:AI87"/>
    <mergeCell ref="AJ87:AK87"/>
    <mergeCell ref="AL87:AM87"/>
    <mergeCell ref="P87:Q87"/>
    <mergeCell ref="R87:S87"/>
    <mergeCell ref="T87:U87"/>
    <mergeCell ref="V87:W87"/>
    <mergeCell ref="X87:Y87"/>
    <mergeCell ref="Z87:AA87"/>
    <mergeCell ref="AR86:AS86"/>
    <mergeCell ref="AH84:AI84"/>
    <mergeCell ref="AJ84:AK84"/>
    <mergeCell ref="AL84:AM84"/>
    <mergeCell ref="AN84:AO84"/>
    <mergeCell ref="R84:S84"/>
    <mergeCell ref="T84:U84"/>
    <mergeCell ref="V84:W84"/>
    <mergeCell ref="X84:Y84"/>
    <mergeCell ref="Z84:AA84"/>
    <mergeCell ref="AB84:AC84"/>
    <mergeCell ref="AJ86:AK86"/>
    <mergeCell ref="AL86:AM86"/>
    <mergeCell ref="AN86:AO86"/>
    <mergeCell ref="AN87:AO87"/>
    <mergeCell ref="F87:G87"/>
    <mergeCell ref="H87:I87"/>
    <mergeCell ref="J87:K87"/>
    <mergeCell ref="L87:M87"/>
    <mergeCell ref="N87:O87"/>
    <mergeCell ref="F86:G86"/>
    <mergeCell ref="H86:I86"/>
    <mergeCell ref="J86:K86"/>
    <mergeCell ref="L86:M86"/>
    <mergeCell ref="N86:O86"/>
    <mergeCell ref="P86:Q86"/>
    <mergeCell ref="R86:S86"/>
    <mergeCell ref="T86:U86"/>
    <mergeCell ref="V86:W86"/>
    <mergeCell ref="AF85:AG85"/>
    <mergeCell ref="AH85:AI85"/>
    <mergeCell ref="AJ85:AK85"/>
    <mergeCell ref="AL85:AM85"/>
    <mergeCell ref="AP82:AQ82"/>
    <mergeCell ref="AR82:AS82"/>
    <mergeCell ref="C83:C84"/>
    <mergeCell ref="AT83:AT84"/>
    <mergeCell ref="F84:G84"/>
    <mergeCell ref="H84:I84"/>
    <mergeCell ref="J84:K84"/>
    <mergeCell ref="L84:M84"/>
    <mergeCell ref="N84:O84"/>
    <mergeCell ref="P84:Q84"/>
    <mergeCell ref="AD82:AE82"/>
    <mergeCell ref="AF82:AG82"/>
    <mergeCell ref="AH82:AI82"/>
    <mergeCell ref="AJ82:AK82"/>
    <mergeCell ref="AL82:AM82"/>
    <mergeCell ref="AN82:AO82"/>
    <mergeCell ref="R82:S82"/>
    <mergeCell ref="T82:U82"/>
    <mergeCell ref="V82:W82"/>
    <mergeCell ref="X82:Y82"/>
    <mergeCell ref="Z82:AA82"/>
    <mergeCell ref="AB82:AC82"/>
    <mergeCell ref="F82:G82"/>
    <mergeCell ref="H82:I82"/>
    <mergeCell ref="J82:K82"/>
    <mergeCell ref="L82:M82"/>
    <mergeCell ref="N82:O82"/>
    <mergeCell ref="P82:Q82"/>
    <mergeCell ref="AP84:AQ84"/>
    <mergeCell ref="AR84:AS84"/>
    <mergeCell ref="AD84:AE84"/>
    <mergeCell ref="AF84:AG84"/>
    <mergeCell ref="AH81:AI81"/>
    <mergeCell ref="AJ81:AK81"/>
    <mergeCell ref="AL81:AM81"/>
    <mergeCell ref="AN81:AO81"/>
    <mergeCell ref="AP81:AQ81"/>
    <mergeCell ref="AR81:AS81"/>
    <mergeCell ref="V81:W81"/>
    <mergeCell ref="X81:Y81"/>
    <mergeCell ref="Z81:AA81"/>
    <mergeCell ref="AB81:AC81"/>
    <mergeCell ref="AD81:AE81"/>
    <mergeCell ref="AF81:AG81"/>
    <mergeCell ref="AP80:AQ80"/>
    <mergeCell ref="AR80:AS80"/>
    <mergeCell ref="F81:G81"/>
    <mergeCell ref="H81:I81"/>
    <mergeCell ref="J81:K81"/>
    <mergeCell ref="L81:M81"/>
    <mergeCell ref="N81:O81"/>
    <mergeCell ref="P81:Q81"/>
    <mergeCell ref="R81:S81"/>
    <mergeCell ref="T81:U81"/>
    <mergeCell ref="AD80:AE80"/>
    <mergeCell ref="AF80:AG80"/>
    <mergeCell ref="AH80:AI80"/>
    <mergeCell ref="AJ80:AK80"/>
    <mergeCell ref="AL80:AM80"/>
    <mergeCell ref="AN80:AO80"/>
    <mergeCell ref="R80:S80"/>
    <mergeCell ref="T80:U80"/>
    <mergeCell ref="V80:W80"/>
    <mergeCell ref="X80:Y80"/>
    <mergeCell ref="Z80:AA80"/>
    <mergeCell ref="AB80:AC80"/>
    <mergeCell ref="AL79:AM79"/>
    <mergeCell ref="AN79:AO79"/>
    <mergeCell ref="AP79:AQ79"/>
    <mergeCell ref="AR79:AS79"/>
    <mergeCell ref="F80:G80"/>
    <mergeCell ref="H80:I80"/>
    <mergeCell ref="J80:K80"/>
    <mergeCell ref="L80:M80"/>
    <mergeCell ref="N80:O80"/>
    <mergeCell ref="P80:Q80"/>
    <mergeCell ref="Z79:AA79"/>
    <mergeCell ref="AB79:AC79"/>
    <mergeCell ref="AD79:AE79"/>
    <mergeCell ref="AF79:AG79"/>
    <mergeCell ref="AH79:AI79"/>
    <mergeCell ref="AJ79:AK79"/>
    <mergeCell ref="N79:O79"/>
    <mergeCell ref="P79:Q79"/>
    <mergeCell ref="R79:S79"/>
    <mergeCell ref="T79:U79"/>
    <mergeCell ref="V79:W79"/>
    <mergeCell ref="X79:Y79"/>
    <mergeCell ref="AJ78:AK78"/>
    <mergeCell ref="AL78:AM78"/>
    <mergeCell ref="AN78:AO78"/>
    <mergeCell ref="AP78:AQ78"/>
    <mergeCell ref="AR78:AS78"/>
    <mergeCell ref="C79:C82"/>
    <mergeCell ref="F79:G79"/>
    <mergeCell ref="H79:I79"/>
    <mergeCell ref="J79:K79"/>
    <mergeCell ref="L79:M79"/>
    <mergeCell ref="X78:Y78"/>
    <mergeCell ref="Z78:AA78"/>
    <mergeCell ref="AB78:AC78"/>
    <mergeCell ref="AD78:AE78"/>
    <mergeCell ref="AF78:AG78"/>
    <mergeCell ref="AH78:AI78"/>
    <mergeCell ref="AR77:AS77"/>
    <mergeCell ref="F78:G78"/>
    <mergeCell ref="H78:I78"/>
    <mergeCell ref="J78:K78"/>
    <mergeCell ref="L78:M78"/>
    <mergeCell ref="N78:O78"/>
    <mergeCell ref="P78:Q78"/>
    <mergeCell ref="R78:S78"/>
    <mergeCell ref="T78:U78"/>
    <mergeCell ref="V78:W78"/>
    <mergeCell ref="AF77:AG77"/>
    <mergeCell ref="AH77:AI77"/>
    <mergeCell ref="AJ77:AK77"/>
    <mergeCell ref="AL77:AM77"/>
    <mergeCell ref="AN77:AO77"/>
    <mergeCell ref="AP77:AQ77"/>
    <mergeCell ref="T77:U77"/>
    <mergeCell ref="V77:W77"/>
    <mergeCell ref="X77:Y77"/>
    <mergeCell ref="Z77:AA77"/>
    <mergeCell ref="AB77:AC77"/>
    <mergeCell ref="AD77:AE77"/>
    <mergeCell ref="AP76:AQ76"/>
    <mergeCell ref="AR76:AS76"/>
    <mergeCell ref="C77:C78"/>
    <mergeCell ref="F77:G77"/>
    <mergeCell ref="H77:I77"/>
    <mergeCell ref="J77:K77"/>
    <mergeCell ref="L77:M77"/>
    <mergeCell ref="N77:O77"/>
    <mergeCell ref="P77:Q77"/>
    <mergeCell ref="R77:S77"/>
    <mergeCell ref="AD76:AE76"/>
    <mergeCell ref="AF76:AG76"/>
    <mergeCell ref="AH76:AI76"/>
    <mergeCell ref="AJ76:AK76"/>
    <mergeCell ref="AL76:AM76"/>
    <mergeCell ref="AN76:AO76"/>
    <mergeCell ref="R76:S76"/>
    <mergeCell ref="T76:U76"/>
    <mergeCell ref="V76:W76"/>
    <mergeCell ref="X76:Y76"/>
    <mergeCell ref="Z76:AA76"/>
    <mergeCell ref="AB76:AC76"/>
    <mergeCell ref="F76:G76"/>
    <mergeCell ref="H76:I76"/>
    <mergeCell ref="J76:K76"/>
    <mergeCell ref="L76:M76"/>
    <mergeCell ref="N76:O76"/>
    <mergeCell ref="P76:Q76"/>
    <mergeCell ref="AH75:AI75"/>
    <mergeCell ref="AJ75:AK75"/>
    <mergeCell ref="AL75:AM75"/>
    <mergeCell ref="AN75:AO75"/>
    <mergeCell ref="AP75:AQ75"/>
    <mergeCell ref="AR75:AS75"/>
    <mergeCell ref="V75:W75"/>
    <mergeCell ref="X75:Y75"/>
    <mergeCell ref="Z75:AA75"/>
    <mergeCell ref="AB75:AC75"/>
    <mergeCell ref="AD75:AE75"/>
    <mergeCell ref="AF75:AG75"/>
    <mergeCell ref="AP74:AQ74"/>
    <mergeCell ref="AR74:AS74"/>
    <mergeCell ref="F75:G75"/>
    <mergeCell ref="H75:I75"/>
    <mergeCell ref="J75:K75"/>
    <mergeCell ref="L75:M75"/>
    <mergeCell ref="N75:O75"/>
    <mergeCell ref="P75:Q75"/>
    <mergeCell ref="R75:S75"/>
    <mergeCell ref="T75:U75"/>
    <mergeCell ref="AD74:AE74"/>
    <mergeCell ref="AF74:AG74"/>
    <mergeCell ref="AH74:AI74"/>
    <mergeCell ref="AJ74:AK74"/>
    <mergeCell ref="AL74:AM74"/>
    <mergeCell ref="AN74:AO74"/>
    <mergeCell ref="R74:S74"/>
    <mergeCell ref="T74:U74"/>
    <mergeCell ref="AL73:AM73"/>
    <mergeCell ref="AN73:AO73"/>
    <mergeCell ref="AP73:AQ73"/>
    <mergeCell ref="AR73:AS73"/>
    <mergeCell ref="F74:G74"/>
    <mergeCell ref="H74:I74"/>
    <mergeCell ref="J74:K74"/>
    <mergeCell ref="L74:M74"/>
    <mergeCell ref="N74:O74"/>
    <mergeCell ref="P74:Q74"/>
    <mergeCell ref="Z73:AA73"/>
    <mergeCell ref="AB73:AC73"/>
    <mergeCell ref="AD73:AE73"/>
    <mergeCell ref="AF73:AG73"/>
    <mergeCell ref="AH73:AI73"/>
    <mergeCell ref="AJ73:AK73"/>
    <mergeCell ref="N73:O73"/>
    <mergeCell ref="P73:Q73"/>
    <mergeCell ref="R73:S73"/>
    <mergeCell ref="T73:U73"/>
    <mergeCell ref="V73:W73"/>
    <mergeCell ref="X73:Y73"/>
    <mergeCell ref="AR72:AS72"/>
    <mergeCell ref="C73:C76"/>
    <mergeCell ref="F73:G73"/>
    <mergeCell ref="H73:I73"/>
    <mergeCell ref="J73:K73"/>
    <mergeCell ref="L73:M73"/>
    <mergeCell ref="X72:Y72"/>
    <mergeCell ref="Z72:AA72"/>
    <mergeCell ref="AB72:AC72"/>
    <mergeCell ref="AD72:AE72"/>
    <mergeCell ref="AF72:AG72"/>
    <mergeCell ref="AH72:AI72"/>
    <mergeCell ref="AT71:AT72"/>
    <mergeCell ref="F72:G72"/>
    <mergeCell ref="H72:I72"/>
    <mergeCell ref="J72:K72"/>
    <mergeCell ref="L72:M72"/>
    <mergeCell ref="N72:O72"/>
    <mergeCell ref="P72:Q72"/>
    <mergeCell ref="R72:S72"/>
    <mergeCell ref="T72:U72"/>
    <mergeCell ref="V72:W72"/>
    <mergeCell ref="AH71:AI71"/>
    <mergeCell ref="AJ71:AK71"/>
    <mergeCell ref="AL71:AM71"/>
    <mergeCell ref="AN71:AO71"/>
    <mergeCell ref="AP71:AQ71"/>
    <mergeCell ref="AR71:AS71"/>
    <mergeCell ref="V74:W74"/>
    <mergeCell ref="X74:Y74"/>
    <mergeCell ref="Z74:AA74"/>
    <mergeCell ref="AB74:AC74"/>
    <mergeCell ref="V71:W71"/>
    <mergeCell ref="X71:Y71"/>
    <mergeCell ref="Z71:AA71"/>
    <mergeCell ref="AB71:AC71"/>
    <mergeCell ref="AD71:AE71"/>
    <mergeCell ref="AF71:AG71"/>
    <mergeCell ref="AR70:AS70"/>
    <mergeCell ref="C71:C72"/>
    <mergeCell ref="F71:G71"/>
    <mergeCell ref="H71:I71"/>
    <mergeCell ref="J71:K71"/>
    <mergeCell ref="L71:M71"/>
    <mergeCell ref="N71:O71"/>
    <mergeCell ref="P71:Q71"/>
    <mergeCell ref="R71:S71"/>
    <mergeCell ref="T71:U71"/>
    <mergeCell ref="AF70:AG70"/>
    <mergeCell ref="AH70:AI70"/>
    <mergeCell ref="AJ70:AK70"/>
    <mergeCell ref="AL70:AM70"/>
    <mergeCell ref="AN70:AO70"/>
    <mergeCell ref="AP70:AQ70"/>
    <mergeCell ref="T70:U70"/>
    <mergeCell ref="V70:W70"/>
    <mergeCell ref="X70:Y70"/>
    <mergeCell ref="Z70:AA70"/>
    <mergeCell ref="AB70:AC70"/>
    <mergeCell ref="AD70:AE70"/>
    <mergeCell ref="AJ72:AK72"/>
    <mergeCell ref="AL72:AM72"/>
    <mergeCell ref="AN72:AO72"/>
    <mergeCell ref="AP72:AQ72"/>
    <mergeCell ref="AN69:AO69"/>
    <mergeCell ref="AP69:AQ69"/>
    <mergeCell ref="AR69:AS69"/>
    <mergeCell ref="F70:G70"/>
    <mergeCell ref="H70:I70"/>
    <mergeCell ref="J70:K70"/>
    <mergeCell ref="L70:M70"/>
    <mergeCell ref="N70:O70"/>
    <mergeCell ref="P70:Q70"/>
    <mergeCell ref="R70:S70"/>
    <mergeCell ref="AB69:AC69"/>
    <mergeCell ref="AD69:AE69"/>
    <mergeCell ref="AF69:AG69"/>
    <mergeCell ref="AH69:AI69"/>
    <mergeCell ref="AJ69:AK69"/>
    <mergeCell ref="AL69:AM69"/>
    <mergeCell ref="P69:Q69"/>
    <mergeCell ref="R69:S69"/>
    <mergeCell ref="T69:U69"/>
    <mergeCell ref="V69:W69"/>
    <mergeCell ref="X69:Y69"/>
    <mergeCell ref="Z69:AA69"/>
    <mergeCell ref="AJ68:AK68"/>
    <mergeCell ref="AL68:AM68"/>
    <mergeCell ref="AN68:AO68"/>
    <mergeCell ref="AP68:AQ68"/>
    <mergeCell ref="AR68:AS68"/>
    <mergeCell ref="F69:G69"/>
    <mergeCell ref="H69:I69"/>
    <mergeCell ref="J69:K69"/>
    <mergeCell ref="L69:M69"/>
    <mergeCell ref="N69:O69"/>
    <mergeCell ref="X68:Y68"/>
    <mergeCell ref="Z68:AA68"/>
    <mergeCell ref="AB68:AC68"/>
    <mergeCell ref="AD68:AE68"/>
    <mergeCell ref="AF68:AG68"/>
    <mergeCell ref="AH68:AI68"/>
    <mergeCell ref="AR67:AS67"/>
    <mergeCell ref="F68:G68"/>
    <mergeCell ref="H68:I68"/>
    <mergeCell ref="J68:K68"/>
    <mergeCell ref="L68:M68"/>
    <mergeCell ref="N68:O68"/>
    <mergeCell ref="P68:Q68"/>
    <mergeCell ref="R68:S68"/>
    <mergeCell ref="T68:U68"/>
    <mergeCell ref="V68:W68"/>
    <mergeCell ref="AF67:AG67"/>
    <mergeCell ref="AH67:AI67"/>
    <mergeCell ref="AJ67:AK67"/>
    <mergeCell ref="AL67:AM67"/>
    <mergeCell ref="AN67:AO67"/>
    <mergeCell ref="AP67:AQ67"/>
    <mergeCell ref="T67:U67"/>
    <mergeCell ref="V67:W67"/>
    <mergeCell ref="X67:Y67"/>
    <mergeCell ref="Z67:AA67"/>
    <mergeCell ref="AB67:AC67"/>
    <mergeCell ref="AD67:AE67"/>
    <mergeCell ref="AP66:AQ66"/>
    <mergeCell ref="AR66:AS66"/>
    <mergeCell ref="C67:C70"/>
    <mergeCell ref="F67:G67"/>
    <mergeCell ref="H67:I67"/>
    <mergeCell ref="J67:K67"/>
    <mergeCell ref="L67:M67"/>
    <mergeCell ref="N67:O67"/>
    <mergeCell ref="P67:Q67"/>
    <mergeCell ref="R67:S67"/>
    <mergeCell ref="AD66:AE66"/>
    <mergeCell ref="AF66:AG66"/>
    <mergeCell ref="AH66:AI66"/>
    <mergeCell ref="AJ66:AK66"/>
    <mergeCell ref="AL66:AM66"/>
    <mergeCell ref="AN66:AO66"/>
    <mergeCell ref="R66:S66"/>
    <mergeCell ref="T66:U66"/>
    <mergeCell ref="V66:W66"/>
    <mergeCell ref="X66:Y66"/>
    <mergeCell ref="Z66:AA66"/>
    <mergeCell ref="AB66:AC66"/>
    <mergeCell ref="F66:G66"/>
    <mergeCell ref="H66:I66"/>
    <mergeCell ref="J66:K66"/>
    <mergeCell ref="L66:M66"/>
    <mergeCell ref="N66:O66"/>
    <mergeCell ref="P66:Q66"/>
    <mergeCell ref="AH65:AI65"/>
    <mergeCell ref="AJ65:AK65"/>
    <mergeCell ref="AL65:AM65"/>
    <mergeCell ref="AN65:AO65"/>
    <mergeCell ref="AP65:AQ65"/>
    <mergeCell ref="AR65:AS65"/>
    <mergeCell ref="V65:W65"/>
    <mergeCell ref="X65:Y65"/>
    <mergeCell ref="Z65:AA65"/>
    <mergeCell ref="AB65:AC65"/>
    <mergeCell ref="AD65:AE65"/>
    <mergeCell ref="AF65:AG65"/>
    <mergeCell ref="AR64:AS64"/>
    <mergeCell ref="C65:C66"/>
    <mergeCell ref="F65:G65"/>
    <mergeCell ref="H65:I65"/>
    <mergeCell ref="J65:K65"/>
    <mergeCell ref="L65:M65"/>
    <mergeCell ref="N65:O65"/>
    <mergeCell ref="P65:Q65"/>
    <mergeCell ref="R65:S65"/>
    <mergeCell ref="T65:U65"/>
    <mergeCell ref="AF64:AG64"/>
    <mergeCell ref="AH64:AI64"/>
    <mergeCell ref="AJ64:AK64"/>
    <mergeCell ref="AL64:AM64"/>
    <mergeCell ref="AN64:AO64"/>
    <mergeCell ref="AP64:AQ64"/>
    <mergeCell ref="T64:U64"/>
    <mergeCell ref="V64:W64"/>
    <mergeCell ref="X64:Y64"/>
    <mergeCell ref="Z64:AA64"/>
    <mergeCell ref="AB64:AC64"/>
    <mergeCell ref="AD64:AE64"/>
    <mergeCell ref="AN63:AO63"/>
    <mergeCell ref="AP63:AQ63"/>
    <mergeCell ref="AR63:AS63"/>
    <mergeCell ref="F64:G64"/>
    <mergeCell ref="H64:I64"/>
    <mergeCell ref="J64:K64"/>
    <mergeCell ref="L64:M64"/>
    <mergeCell ref="N64:O64"/>
    <mergeCell ref="P64:Q64"/>
    <mergeCell ref="R64:S64"/>
    <mergeCell ref="AB63:AC63"/>
    <mergeCell ref="AD63:AE63"/>
    <mergeCell ref="AF63:AG63"/>
    <mergeCell ref="AH63:AI63"/>
    <mergeCell ref="AJ63:AK63"/>
    <mergeCell ref="AL63:AM63"/>
    <mergeCell ref="P63:Q63"/>
    <mergeCell ref="R63:S63"/>
    <mergeCell ref="T63:U63"/>
    <mergeCell ref="V63:W63"/>
    <mergeCell ref="X63:Y63"/>
    <mergeCell ref="Z63:AA63"/>
    <mergeCell ref="L63:M63"/>
    <mergeCell ref="N63:O63"/>
    <mergeCell ref="AB62:AC62"/>
    <mergeCell ref="AD62:AE62"/>
    <mergeCell ref="AF62:AG62"/>
    <mergeCell ref="AH62:AI62"/>
    <mergeCell ref="AR61:AS61"/>
    <mergeCell ref="F62:G62"/>
    <mergeCell ref="H62:I62"/>
    <mergeCell ref="J62:K62"/>
    <mergeCell ref="L62:M62"/>
    <mergeCell ref="N62:O62"/>
    <mergeCell ref="P62:Q62"/>
    <mergeCell ref="R62:S62"/>
    <mergeCell ref="T62:U62"/>
    <mergeCell ref="V62:W62"/>
    <mergeCell ref="AF61:AG61"/>
    <mergeCell ref="AH61:AI61"/>
    <mergeCell ref="AJ61:AK61"/>
    <mergeCell ref="AL61:AM61"/>
    <mergeCell ref="AN61:AO61"/>
    <mergeCell ref="AP61:AQ61"/>
    <mergeCell ref="T61:U61"/>
    <mergeCell ref="V61:W61"/>
    <mergeCell ref="X61:Y61"/>
    <mergeCell ref="Z61:AA61"/>
    <mergeCell ref="AB61:AC61"/>
    <mergeCell ref="AD61:AE61"/>
    <mergeCell ref="AP60:AQ60"/>
    <mergeCell ref="AR60:AS60"/>
    <mergeCell ref="C61:C64"/>
    <mergeCell ref="F61:G61"/>
    <mergeCell ref="H61:I61"/>
    <mergeCell ref="J61:K61"/>
    <mergeCell ref="L61:M61"/>
    <mergeCell ref="N61:O61"/>
    <mergeCell ref="P61:Q61"/>
    <mergeCell ref="R61:S61"/>
    <mergeCell ref="AD60:AE60"/>
    <mergeCell ref="AF60:AG60"/>
    <mergeCell ref="AH60:AI60"/>
    <mergeCell ref="AJ60:AK60"/>
    <mergeCell ref="AL60:AM60"/>
    <mergeCell ref="AN60:AO60"/>
    <mergeCell ref="R60:S60"/>
    <mergeCell ref="T60:U60"/>
    <mergeCell ref="V60:W60"/>
    <mergeCell ref="X60:Y60"/>
    <mergeCell ref="Z60:AA60"/>
    <mergeCell ref="AB60:AC60"/>
    <mergeCell ref="AJ62:AK62"/>
    <mergeCell ref="AL62:AM62"/>
    <mergeCell ref="AN62:AO62"/>
    <mergeCell ref="AP62:AQ62"/>
    <mergeCell ref="AR62:AS62"/>
    <mergeCell ref="F63:G63"/>
    <mergeCell ref="H63:I63"/>
    <mergeCell ref="J63:K63"/>
    <mergeCell ref="X62:Y62"/>
    <mergeCell ref="Z62:AA62"/>
    <mergeCell ref="AP58:AQ58"/>
    <mergeCell ref="AR58:AS58"/>
    <mergeCell ref="C59:C60"/>
    <mergeCell ref="AT59:AT60"/>
    <mergeCell ref="F60:G60"/>
    <mergeCell ref="H60:I60"/>
    <mergeCell ref="J60:K60"/>
    <mergeCell ref="L60:M60"/>
    <mergeCell ref="N60:O60"/>
    <mergeCell ref="P60:Q60"/>
    <mergeCell ref="AD58:AE58"/>
    <mergeCell ref="AF58:AG58"/>
    <mergeCell ref="AH58:AI58"/>
    <mergeCell ref="AJ58:AK58"/>
    <mergeCell ref="AL58:AM58"/>
    <mergeCell ref="AN58:AO58"/>
    <mergeCell ref="R58:S58"/>
    <mergeCell ref="T58:U58"/>
    <mergeCell ref="V58:W58"/>
    <mergeCell ref="X58:Y58"/>
    <mergeCell ref="Z58:AA58"/>
    <mergeCell ref="AB58:AC58"/>
    <mergeCell ref="F58:G58"/>
    <mergeCell ref="H58:I58"/>
    <mergeCell ref="J58:K58"/>
    <mergeCell ref="L58:M58"/>
    <mergeCell ref="N58:O58"/>
    <mergeCell ref="P58:Q58"/>
    <mergeCell ref="C55:C58"/>
    <mergeCell ref="F55:G55"/>
    <mergeCell ref="H55:I55"/>
    <mergeCell ref="J55:K55"/>
    <mergeCell ref="F57:G57"/>
    <mergeCell ref="H57:I57"/>
    <mergeCell ref="J57:K57"/>
    <mergeCell ref="L57:M57"/>
    <mergeCell ref="N57:O57"/>
    <mergeCell ref="P57:Q57"/>
    <mergeCell ref="R57:S57"/>
    <mergeCell ref="T57:U57"/>
    <mergeCell ref="AD56:AE56"/>
    <mergeCell ref="AF56:AG56"/>
    <mergeCell ref="AH56:AI56"/>
    <mergeCell ref="AJ56:AK56"/>
    <mergeCell ref="AL56:AM56"/>
    <mergeCell ref="AN56:AO56"/>
    <mergeCell ref="R56:S56"/>
    <mergeCell ref="T56:U56"/>
    <mergeCell ref="V56:W56"/>
    <mergeCell ref="X56:Y56"/>
    <mergeCell ref="F56:G56"/>
    <mergeCell ref="H56:I56"/>
    <mergeCell ref="J56:K56"/>
    <mergeCell ref="L56:M56"/>
    <mergeCell ref="N56:O56"/>
    <mergeCell ref="P56:Q56"/>
    <mergeCell ref="AR55:AS55"/>
    <mergeCell ref="V55:W55"/>
    <mergeCell ref="X55:Y55"/>
    <mergeCell ref="Z55:AA55"/>
    <mergeCell ref="AB55:AC55"/>
    <mergeCell ref="AD55:AE55"/>
    <mergeCell ref="AF55:AG55"/>
    <mergeCell ref="AH57:AI57"/>
    <mergeCell ref="AJ57:AK57"/>
    <mergeCell ref="AL57:AM57"/>
    <mergeCell ref="AN57:AO57"/>
    <mergeCell ref="AP57:AQ57"/>
    <mergeCell ref="AR57:AS57"/>
    <mergeCell ref="V57:W57"/>
    <mergeCell ref="X57:Y57"/>
    <mergeCell ref="Z57:AA57"/>
    <mergeCell ref="AB57:AC57"/>
    <mergeCell ref="AD57:AE57"/>
    <mergeCell ref="AF57:AG57"/>
    <mergeCell ref="AP56:AQ56"/>
    <mergeCell ref="AR56:AS56"/>
    <mergeCell ref="Z56:AA56"/>
    <mergeCell ref="AB56:AC56"/>
    <mergeCell ref="L55:M55"/>
    <mergeCell ref="N55:O55"/>
    <mergeCell ref="P55:Q55"/>
    <mergeCell ref="R55:S55"/>
    <mergeCell ref="T55:U55"/>
    <mergeCell ref="AF54:AG54"/>
    <mergeCell ref="AH54:AI54"/>
    <mergeCell ref="AJ54:AK54"/>
    <mergeCell ref="AL54:AM54"/>
    <mergeCell ref="AN54:AO54"/>
    <mergeCell ref="AP54:AQ54"/>
    <mergeCell ref="T54:U54"/>
    <mergeCell ref="V54:W54"/>
    <mergeCell ref="X54:Y54"/>
    <mergeCell ref="Z54:AA54"/>
    <mergeCell ref="AB54:AC54"/>
    <mergeCell ref="AD54:AE54"/>
    <mergeCell ref="AH55:AI55"/>
    <mergeCell ref="AJ55:AK55"/>
    <mergeCell ref="AL55:AM55"/>
    <mergeCell ref="AN55:AO55"/>
    <mergeCell ref="AP55:AQ55"/>
    <mergeCell ref="AT53:AT54"/>
    <mergeCell ref="F54:G54"/>
    <mergeCell ref="H54:I54"/>
    <mergeCell ref="J54:K54"/>
    <mergeCell ref="L54:M54"/>
    <mergeCell ref="N54:O54"/>
    <mergeCell ref="P54:Q54"/>
    <mergeCell ref="R54:S54"/>
    <mergeCell ref="AD53:AE53"/>
    <mergeCell ref="AF53:AG53"/>
    <mergeCell ref="AH53:AI53"/>
    <mergeCell ref="AJ53:AK53"/>
    <mergeCell ref="AL53:AM53"/>
    <mergeCell ref="AN53:AO53"/>
    <mergeCell ref="R53:S53"/>
    <mergeCell ref="T53:U53"/>
    <mergeCell ref="V53:W53"/>
    <mergeCell ref="X53:Y53"/>
    <mergeCell ref="Z53:AA53"/>
    <mergeCell ref="AB53:AC53"/>
    <mergeCell ref="AR54:AS54"/>
    <mergeCell ref="AR52:AS52"/>
    <mergeCell ref="C53:C54"/>
    <mergeCell ref="F53:G53"/>
    <mergeCell ref="H53:I53"/>
    <mergeCell ref="J53:K53"/>
    <mergeCell ref="L53:M53"/>
    <mergeCell ref="N53:O53"/>
    <mergeCell ref="P53:Q53"/>
    <mergeCell ref="AB52:AC52"/>
    <mergeCell ref="AD52:AE52"/>
    <mergeCell ref="AF52:AG52"/>
    <mergeCell ref="AH52:AI52"/>
    <mergeCell ref="AJ52:AK52"/>
    <mergeCell ref="AL52:AM52"/>
    <mergeCell ref="P52:Q52"/>
    <mergeCell ref="R52:S52"/>
    <mergeCell ref="T52:U52"/>
    <mergeCell ref="V52:W52"/>
    <mergeCell ref="X52:Y52"/>
    <mergeCell ref="Z52:AA52"/>
    <mergeCell ref="AP53:AQ53"/>
    <mergeCell ref="AR53:AS53"/>
    <mergeCell ref="AS172:AT172"/>
    <mergeCell ref="AD173:AG173"/>
    <mergeCell ref="AJ173:AM173"/>
    <mergeCell ref="AP173:AS173"/>
    <mergeCell ref="B52:B90"/>
    <mergeCell ref="F52:G52"/>
    <mergeCell ref="H52:I52"/>
    <mergeCell ref="J52:K52"/>
    <mergeCell ref="L52:M52"/>
    <mergeCell ref="N52:O52"/>
    <mergeCell ref="AG172:AH172"/>
    <mergeCell ref="AI172:AJ172"/>
    <mergeCell ref="AK172:AL172"/>
    <mergeCell ref="AM172:AN172"/>
    <mergeCell ref="AO172:AP172"/>
    <mergeCell ref="AQ172:AR172"/>
    <mergeCell ref="U172:V172"/>
    <mergeCell ref="W172:X172"/>
    <mergeCell ref="Y172:Z172"/>
    <mergeCell ref="AA172:AB172"/>
    <mergeCell ref="AC172:AD172"/>
    <mergeCell ref="AE172:AF172"/>
    <mergeCell ref="E172:F172"/>
    <mergeCell ref="G172:H172"/>
    <mergeCell ref="I172:J172"/>
    <mergeCell ref="K172:L172"/>
    <mergeCell ref="M172:N172"/>
    <mergeCell ref="O172:P172"/>
    <mergeCell ref="Q172:R172"/>
    <mergeCell ref="S172:T172"/>
    <mergeCell ref="AN52:AO52"/>
    <mergeCell ref="AP52:AQ52"/>
    <mergeCell ref="AT49:AT50"/>
    <mergeCell ref="F50:G50"/>
    <mergeCell ref="H50:I50"/>
    <mergeCell ref="J50:K50"/>
    <mergeCell ref="L50:M50"/>
    <mergeCell ref="N50:O50"/>
    <mergeCell ref="P50:Q50"/>
    <mergeCell ref="R50:S50"/>
    <mergeCell ref="T50:U50"/>
    <mergeCell ref="V50:W50"/>
    <mergeCell ref="AH49:AI49"/>
    <mergeCell ref="AJ49:AK49"/>
    <mergeCell ref="AL49:AM49"/>
    <mergeCell ref="AN49:AO49"/>
    <mergeCell ref="AP49:AQ49"/>
    <mergeCell ref="AR49:AS49"/>
    <mergeCell ref="V49:W49"/>
    <mergeCell ref="X49:Y49"/>
    <mergeCell ref="Z49:AA49"/>
    <mergeCell ref="AB49:AC49"/>
    <mergeCell ref="AD49:AE49"/>
    <mergeCell ref="AF49:AG49"/>
    <mergeCell ref="V48:W48"/>
    <mergeCell ref="X48:Y48"/>
    <mergeCell ref="Z48:AA48"/>
    <mergeCell ref="AB48:AC48"/>
    <mergeCell ref="AD48:AE48"/>
    <mergeCell ref="AJ50:AK50"/>
    <mergeCell ref="AL50:AM50"/>
    <mergeCell ref="AN50:AO50"/>
    <mergeCell ref="AP50:AQ50"/>
    <mergeCell ref="AR50:AS50"/>
    <mergeCell ref="X50:Y50"/>
    <mergeCell ref="Z50:AA50"/>
    <mergeCell ref="AB50:AC50"/>
    <mergeCell ref="AD50:AE50"/>
    <mergeCell ref="F48:G48"/>
    <mergeCell ref="AF50:AG50"/>
    <mergeCell ref="AH50:AI50"/>
    <mergeCell ref="AD47:AE47"/>
    <mergeCell ref="AF47:AG47"/>
    <mergeCell ref="AH47:AI47"/>
    <mergeCell ref="AJ47:AK47"/>
    <mergeCell ref="AL47:AM47"/>
    <mergeCell ref="P47:Q47"/>
    <mergeCell ref="R47:S47"/>
    <mergeCell ref="T47:U47"/>
    <mergeCell ref="V47:W47"/>
    <mergeCell ref="X47:Y47"/>
    <mergeCell ref="Z47:AA47"/>
    <mergeCell ref="H47:I47"/>
    <mergeCell ref="J47:K47"/>
    <mergeCell ref="L47:M47"/>
    <mergeCell ref="N47:O47"/>
    <mergeCell ref="AR48:AS48"/>
    <mergeCell ref="C49:C50"/>
    <mergeCell ref="F49:G49"/>
    <mergeCell ref="H49:I49"/>
    <mergeCell ref="J49:K49"/>
    <mergeCell ref="L49:M49"/>
    <mergeCell ref="N49:O49"/>
    <mergeCell ref="P49:Q49"/>
    <mergeCell ref="R49:S49"/>
    <mergeCell ref="T49:U49"/>
    <mergeCell ref="AF48:AG48"/>
    <mergeCell ref="AH48:AI48"/>
    <mergeCell ref="AJ48:AK48"/>
    <mergeCell ref="AL48:AM48"/>
    <mergeCell ref="AN48:AO48"/>
    <mergeCell ref="AP48:AQ48"/>
    <mergeCell ref="T48:U48"/>
    <mergeCell ref="AP47:AQ47"/>
    <mergeCell ref="AR47:AS47"/>
    <mergeCell ref="AD46:AE46"/>
    <mergeCell ref="AF46:AG46"/>
    <mergeCell ref="AH46:AI46"/>
    <mergeCell ref="AR45:AS45"/>
    <mergeCell ref="F46:G46"/>
    <mergeCell ref="H46:I46"/>
    <mergeCell ref="J46:K46"/>
    <mergeCell ref="L46:M46"/>
    <mergeCell ref="N46:O46"/>
    <mergeCell ref="P46:Q46"/>
    <mergeCell ref="R46:S46"/>
    <mergeCell ref="T46:U46"/>
    <mergeCell ref="V46:W46"/>
    <mergeCell ref="AF45:AG45"/>
    <mergeCell ref="AH45:AI45"/>
    <mergeCell ref="AJ45:AK45"/>
    <mergeCell ref="AL45:AM45"/>
    <mergeCell ref="AN45:AO45"/>
    <mergeCell ref="AP45:AQ45"/>
    <mergeCell ref="AL46:AM46"/>
    <mergeCell ref="AN46:AO46"/>
    <mergeCell ref="AP46:AQ46"/>
    <mergeCell ref="AR46:AS46"/>
    <mergeCell ref="T45:U45"/>
    <mergeCell ref="V45:W45"/>
    <mergeCell ref="X45:Y45"/>
    <mergeCell ref="Z45:AA45"/>
    <mergeCell ref="AB45:AC45"/>
    <mergeCell ref="AD45:AE45"/>
    <mergeCell ref="AB47:AC47"/>
    <mergeCell ref="C45:C48"/>
    <mergeCell ref="F45:G45"/>
    <mergeCell ref="H45:I45"/>
    <mergeCell ref="J45:K45"/>
    <mergeCell ref="L45:M45"/>
    <mergeCell ref="N45:O45"/>
    <mergeCell ref="P45:Q45"/>
    <mergeCell ref="R45:S45"/>
    <mergeCell ref="AD44:AE44"/>
    <mergeCell ref="AF44:AG44"/>
    <mergeCell ref="AH44:AI44"/>
    <mergeCell ref="AJ44:AK44"/>
    <mergeCell ref="AL44:AM44"/>
    <mergeCell ref="AN44:AO44"/>
    <mergeCell ref="R44:S44"/>
    <mergeCell ref="T44:U44"/>
    <mergeCell ref="V44:W44"/>
    <mergeCell ref="X44:Y44"/>
    <mergeCell ref="Z44:AA44"/>
    <mergeCell ref="AB44:AC44"/>
    <mergeCell ref="AJ46:AK46"/>
    <mergeCell ref="X46:Y46"/>
    <mergeCell ref="Z46:AA46"/>
    <mergeCell ref="AB46:AC46"/>
    <mergeCell ref="F47:G47"/>
    <mergeCell ref="AN47:AO47"/>
    <mergeCell ref="H48:I48"/>
    <mergeCell ref="J48:K48"/>
    <mergeCell ref="L48:M48"/>
    <mergeCell ref="N48:O48"/>
    <mergeCell ref="P48:Q48"/>
    <mergeCell ref="R48:S48"/>
    <mergeCell ref="AP42:AQ42"/>
    <mergeCell ref="AR42:AS42"/>
    <mergeCell ref="C43:C44"/>
    <mergeCell ref="AT43:AT44"/>
    <mergeCell ref="F44:G44"/>
    <mergeCell ref="H44:I44"/>
    <mergeCell ref="J44:K44"/>
    <mergeCell ref="L44:M44"/>
    <mergeCell ref="N44:O44"/>
    <mergeCell ref="P44:Q44"/>
    <mergeCell ref="AD42:AE42"/>
    <mergeCell ref="AF42:AG42"/>
    <mergeCell ref="AH42:AI42"/>
    <mergeCell ref="AJ42:AK42"/>
    <mergeCell ref="AL42:AM42"/>
    <mergeCell ref="AN42:AO42"/>
    <mergeCell ref="R42:S42"/>
    <mergeCell ref="T42:U42"/>
    <mergeCell ref="V42:W42"/>
    <mergeCell ref="X42:Y42"/>
    <mergeCell ref="Z42:AA42"/>
    <mergeCell ref="AB42:AC42"/>
    <mergeCell ref="F42:G42"/>
    <mergeCell ref="H42:I42"/>
    <mergeCell ref="J42:K42"/>
    <mergeCell ref="L42:M42"/>
    <mergeCell ref="N42:O42"/>
    <mergeCell ref="P42:Q42"/>
    <mergeCell ref="AP44:AQ44"/>
    <mergeCell ref="AR44:AS44"/>
    <mergeCell ref="AH41:AI41"/>
    <mergeCell ref="AJ41:AK41"/>
    <mergeCell ref="AL41:AM41"/>
    <mergeCell ref="AN41:AO41"/>
    <mergeCell ref="AP41:AQ41"/>
    <mergeCell ref="AR41:AS41"/>
    <mergeCell ref="V41:W41"/>
    <mergeCell ref="X41:Y41"/>
    <mergeCell ref="Z41:AA41"/>
    <mergeCell ref="AB41:AC41"/>
    <mergeCell ref="AD41:AE41"/>
    <mergeCell ref="AF41:AG41"/>
    <mergeCell ref="AP40:AQ40"/>
    <mergeCell ref="AR40:AS40"/>
    <mergeCell ref="F41:G41"/>
    <mergeCell ref="H41:I41"/>
    <mergeCell ref="J41:K41"/>
    <mergeCell ref="L41:M41"/>
    <mergeCell ref="N41:O41"/>
    <mergeCell ref="P41:Q41"/>
    <mergeCell ref="R41:S41"/>
    <mergeCell ref="T41:U41"/>
    <mergeCell ref="AD40:AE40"/>
    <mergeCell ref="AF40:AG40"/>
    <mergeCell ref="AH40:AI40"/>
    <mergeCell ref="AJ40:AK40"/>
    <mergeCell ref="AL40:AM40"/>
    <mergeCell ref="AN40:AO40"/>
    <mergeCell ref="R40:S40"/>
    <mergeCell ref="T40:U40"/>
    <mergeCell ref="V40:W40"/>
    <mergeCell ref="X40:Y40"/>
    <mergeCell ref="Z40:AA40"/>
    <mergeCell ref="AB40:AC40"/>
    <mergeCell ref="AL39:AM39"/>
    <mergeCell ref="AN39:AO39"/>
    <mergeCell ref="AP39:AQ39"/>
    <mergeCell ref="AR39:AS39"/>
    <mergeCell ref="F40:G40"/>
    <mergeCell ref="H40:I40"/>
    <mergeCell ref="J40:K40"/>
    <mergeCell ref="L40:M40"/>
    <mergeCell ref="N40:O40"/>
    <mergeCell ref="P40:Q40"/>
    <mergeCell ref="Z39:AA39"/>
    <mergeCell ref="AB39:AC39"/>
    <mergeCell ref="AD39:AE39"/>
    <mergeCell ref="AF39:AG39"/>
    <mergeCell ref="AH39:AI39"/>
    <mergeCell ref="AJ39:AK39"/>
    <mergeCell ref="N39:O39"/>
    <mergeCell ref="P39:Q39"/>
    <mergeCell ref="R39:S39"/>
    <mergeCell ref="T39:U39"/>
    <mergeCell ref="V39:W39"/>
    <mergeCell ref="X39:Y39"/>
    <mergeCell ref="AJ38:AK38"/>
    <mergeCell ref="AL38:AM38"/>
    <mergeCell ref="AN38:AO38"/>
    <mergeCell ref="AP38:AQ38"/>
    <mergeCell ref="AR38:AS38"/>
    <mergeCell ref="C39:C42"/>
    <mergeCell ref="F39:G39"/>
    <mergeCell ref="H39:I39"/>
    <mergeCell ref="J39:K39"/>
    <mergeCell ref="L39:M39"/>
    <mergeCell ref="X38:Y38"/>
    <mergeCell ref="Z38:AA38"/>
    <mergeCell ref="AB38:AC38"/>
    <mergeCell ref="AD38:AE38"/>
    <mergeCell ref="AF38:AG38"/>
    <mergeCell ref="AH38:AI38"/>
    <mergeCell ref="AR37:AS37"/>
    <mergeCell ref="F38:G38"/>
    <mergeCell ref="H38:I38"/>
    <mergeCell ref="J38:K38"/>
    <mergeCell ref="L38:M38"/>
    <mergeCell ref="N38:O38"/>
    <mergeCell ref="P38:Q38"/>
    <mergeCell ref="R38:S38"/>
    <mergeCell ref="T38:U38"/>
    <mergeCell ref="V38:W38"/>
    <mergeCell ref="AF37:AG37"/>
    <mergeCell ref="AH37:AI37"/>
    <mergeCell ref="AJ37:AK37"/>
    <mergeCell ref="AL37:AM37"/>
    <mergeCell ref="AN37:AO37"/>
    <mergeCell ref="AP37:AQ37"/>
    <mergeCell ref="T37:U37"/>
    <mergeCell ref="V37:W37"/>
    <mergeCell ref="X37:Y37"/>
    <mergeCell ref="Z37:AA37"/>
    <mergeCell ref="AB37:AC37"/>
    <mergeCell ref="AD37:AE37"/>
    <mergeCell ref="AP36:AQ36"/>
    <mergeCell ref="AR36:AS36"/>
    <mergeCell ref="C37:C38"/>
    <mergeCell ref="F37:G37"/>
    <mergeCell ref="H37:I37"/>
    <mergeCell ref="J37:K37"/>
    <mergeCell ref="L37:M37"/>
    <mergeCell ref="N37:O37"/>
    <mergeCell ref="P37:Q37"/>
    <mergeCell ref="R37:S37"/>
    <mergeCell ref="AD36:AE36"/>
    <mergeCell ref="AF36:AG36"/>
    <mergeCell ref="AH36:AI36"/>
    <mergeCell ref="AJ36:AK36"/>
    <mergeCell ref="AL36:AM36"/>
    <mergeCell ref="AN36:AO36"/>
    <mergeCell ref="R36:S36"/>
    <mergeCell ref="T36:U36"/>
    <mergeCell ref="V36:W36"/>
    <mergeCell ref="X36:Y36"/>
    <mergeCell ref="Z36:AA36"/>
    <mergeCell ref="AB36:AC36"/>
    <mergeCell ref="F36:G36"/>
    <mergeCell ref="H36:I36"/>
    <mergeCell ref="J36:K36"/>
    <mergeCell ref="L36:M36"/>
    <mergeCell ref="N36:O36"/>
    <mergeCell ref="P36:Q36"/>
    <mergeCell ref="AH35:AI35"/>
    <mergeCell ref="AJ35:AK35"/>
    <mergeCell ref="AL35:AM35"/>
    <mergeCell ref="AN35:AO35"/>
    <mergeCell ref="AP35:AQ35"/>
    <mergeCell ref="AR35:AS35"/>
    <mergeCell ref="V35:W35"/>
    <mergeCell ref="X35:Y35"/>
    <mergeCell ref="Z35:AA35"/>
    <mergeCell ref="AB35:AC35"/>
    <mergeCell ref="AD35:AE35"/>
    <mergeCell ref="AF35:AG35"/>
    <mergeCell ref="AP34:AQ34"/>
    <mergeCell ref="AR34:AS34"/>
    <mergeCell ref="F35:G35"/>
    <mergeCell ref="H35:I35"/>
    <mergeCell ref="J35:K35"/>
    <mergeCell ref="L35:M35"/>
    <mergeCell ref="N35:O35"/>
    <mergeCell ref="P35:Q35"/>
    <mergeCell ref="R35:S35"/>
    <mergeCell ref="T35:U35"/>
    <mergeCell ref="AD34:AE34"/>
    <mergeCell ref="AF34:AG34"/>
    <mergeCell ref="AH34:AI34"/>
    <mergeCell ref="AJ34:AK34"/>
    <mergeCell ref="AL34:AM34"/>
    <mergeCell ref="AN34:AO34"/>
    <mergeCell ref="R34:S34"/>
    <mergeCell ref="T34:U34"/>
    <mergeCell ref="AL33:AM33"/>
    <mergeCell ref="AN33:AO33"/>
    <mergeCell ref="AP33:AQ33"/>
    <mergeCell ref="AR33:AS33"/>
    <mergeCell ref="F34:G34"/>
    <mergeCell ref="H34:I34"/>
    <mergeCell ref="J34:K34"/>
    <mergeCell ref="L34:M34"/>
    <mergeCell ref="N34:O34"/>
    <mergeCell ref="P34:Q34"/>
    <mergeCell ref="Z33:AA33"/>
    <mergeCell ref="AB33:AC33"/>
    <mergeCell ref="AD33:AE33"/>
    <mergeCell ref="AF33:AG33"/>
    <mergeCell ref="AH33:AI33"/>
    <mergeCell ref="AJ33:AK33"/>
    <mergeCell ref="N33:O33"/>
    <mergeCell ref="P33:Q33"/>
    <mergeCell ref="R33:S33"/>
    <mergeCell ref="T33:U33"/>
    <mergeCell ref="V33:W33"/>
    <mergeCell ref="X33:Y33"/>
    <mergeCell ref="AR32:AS32"/>
    <mergeCell ref="C33:C36"/>
    <mergeCell ref="F33:G33"/>
    <mergeCell ref="H33:I33"/>
    <mergeCell ref="J33:K33"/>
    <mergeCell ref="L33:M33"/>
    <mergeCell ref="X32:Y32"/>
    <mergeCell ref="Z32:AA32"/>
    <mergeCell ref="AB32:AC32"/>
    <mergeCell ref="AD32:AE32"/>
    <mergeCell ref="AF32:AG32"/>
    <mergeCell ref="AH32:AI32"/>
    <mergeCell ref="AT31:AT32"/>
    <mergeCell ref="F32:G32"/>
    <mergeCell ref="H32:I32"/>
    <mergeCell ref="J32:K32"/>
    <mergeCell ref="L32:M32"/>
    <mergeCell ref="N32:O32"/>
    <mergeCell ref="P32:Q32"/>
    <mergeCell ref="R32:S32"/>
    <mergeCell ref="T32:U32"/>
    <mergeCell ref="V32:W32"/>
    <mergeCell ref="AH31:AI31"/>
    <mergeCell ref="AJ31:AK31"/>
    <mergeCell ref="AL31:AM31"/>
    <mergeCell ref="AN31:AO31"/>
    <mergeCell ref="AP31:AQ31"/>
    <mergeCell ref="AR31:AS31"/>
    <mergeCell ref="V34:W34"/>
    <mergeCell ref="X34:Y34"/>
    <mergeCell ref="Z34:AA34"/>
    <mergeCell ref="AB34:AC34"/>
    <mergeCell ref="V31:W31"/>
    <mergeCell ref="X31:Y31"/>
    <mergeCell ref="Z31:AA31"/>
    <mergeCell ref="AB31:AC31"/>
    <mergeCell ref="AD31:AE31"/>
    <mergeCell ref="AF31:AG31"/>
    <mergeCell ref="AR30:AS30"/>
    <mergeCell ref="C31:C32"/>
    <mergeCell ref="F31:G31"/>
    <mergeCell ref="H31:I31"/>
    <mergeCell ref="J31:K31"/>
    <mergeCell ref="L31:M31"/>
    <mergeCell ref="N31:O31"/>
    <mergeCell ref="P31:Q31"/>
    <mergeCell ref="R31:S31"/>
    <mergeCell ref="T31:U31"/>
    <mergeCell ref="AF30:AG30"/>
    <mergeCell ref="AH30:AI30"/>
    <mergeCell ref="AJ30:AK30"/>
    <mergeCell ref="AL30:AM30"/>
    <mergeCell ref="AN30:AO30"/>
    <mergeCell ref="AP30:AQ30"/>
    <mergeCell ref="T30:U30"/>
    <mergeCell ref="V30:W30"/>
    <mergeCell ref="X30:Y30"/>
    <mergeCell ref="Z30:AA30"/>
    <mergeCell ref="AB30:AC30"/>
    <mergeCell ref="AD30:AE30"/>
    <mergeCell ref="AJ32:AK32"/>
    <mergeCell ref="AL32:AM32"/>
    <mergeCell ref="AN32:AO32"/>
    <mergeCell ref="AP32:AQ32"/>
    <mergeCell ref="AN29:AO29"/>
    <mergeCell ref="AP29:AQ29"/>
    <mergeCell ref="AR29:AS29"/>
    <mergeCell ref="F30:G30"/>
    <mergeCell ref="H30:I30"/>
    <mergeCell ref="J30:K30"/>
    <mergeCell ref="L30:M30"/>
    <mergeCell ref="N30:O30"/>
    <mergeCell ref="P30:Q30"/>
    <mergeCell ref="R30:S30"/>
    <mergeCell ref="AB29:AC29"/>
    <mergeCell ref="AD29:AE29"/>
    <mergeCell ref="AF29:AG29"/>
    <mergeCell ref="AH29:AI29"/>
    <mergeCell ref="AJ29:AK29"/>
    <mergeCell ref="AL29:AM29"/>
    <mergeCell ref="P29:Q29"/>
    <mergeCell ref="R29:S29"/>
    <mergeCell ref="T29:U29"/>
    <mergeCell ref="V29:W29"/>
    <mergeCell ref="X29:Y29"/>
    <mergeCell ref="Z29:AA29"/>
    <mergeCell ref="AJ28:AK28"/>
    <mergeCell ref="AL28:AM28"/>
    <mergeCell ref="AN28:AO28"/>
    <mergeCell ref="AP28:AQ28"/>
    <mergeCell ref="AR28:AS28"/>
    <mergeCell ref="F29:G29"/>
    <mergeCell ref="H29:I29"/>
    <mergeCell ref="J29:K29"/>
    <mergeCell ref="L29:M29"/>
    <mergeCell ref="N29:O29"/>
    <mergeCell ref="X28:Y28"/>
    <mergeCell ref="Z28:AA28"/>
    <mergeCell ref="AB28:AC28"/>
    <mergeCell ref="AD28:AE28"/>
    <mergeCell ref="AF28:AG28"/>
    <mergeCell ref="AH28:AI28"/>
    <mergeCell ref="AR27:AS27"/>
    <mergeCell ref="F28:G28"/>
    <mergeCell ref="H28:I28"/>
    <mergeCell ref="J28:K28"/>
    <mergeCell ref="L28:M28"/>
    <mergeCell ref="N28:O28"/>
    <mergeCell ref="P28:Q28"/>
    <mergeCell ref="R28:S28"/>
    <mergeCell ref="T28:U28"/>
    <mergeCell ref="V28:W28"/>
    <mergeCell ref="AF27:AG27"/>
    <mergeCell ref="AH27:AI27"/>
    <mergeCell ref="AJ27:AK27"/>
    <mergeCell ref="AL27:AM27"/>
    <mergeCell ref="AN27:AO27"/>
    <mergeCell ref="AP27:AQ27"/>
    <mergeCell ref="T27:U27"/>
    <mergeCell ref="V27:W27"/>
    <mergeCell ref="X27:Y27"/>
    <mergeCell ref="Z27:AA27"/>
    <mergeCell ref="AB27:AC27"/>
    <mergeCell ref="AD27:AE27"/>
    <mergeCell ref="AP26:AQ26"/>
    <mergeCell ref="AR26:AS26"/>
    <mergeCell ref="C27:C30"/>
    <mergeCell ref="F27:G27"/>
    <mergeCell ref="H27:I27"/>
    <mergeCell ref="J27:K27"/>
    <mergeCell ref="L27:M27"/>
    <mergeCell ref="N27:O27"/>
    <mergeCell ref="P27:Q27"/>
    <mergeCell ref="R27:S27"/>
    <mergeCell ref="AD26:AE26"/>
    <mergeCell ref="AF26:AG26"/>
    <mergeCell ref="AH26:AI26"/>
    <mergeCell ref="AJ26:AK26"/>
    <mergeCell ref="AL26:AM26"/>
    <mergeCell ref="AN26:AO26"/>
    <mergeCell ref="R26:S26"/>
    <mergeCell ref="T26:U26"/>
    <mergeCell ref="V26:W26"/>
    <mergeCell ref="X26:Y26"/>
    <mergeCell ref="Z26:AA26"/>
    <mergeCell ref="AB26:AC26"/>
    <mergeCell ref="F26:G26"/>
    <mergeCell ref="H26:I26"/>
    <mergeCell ref="J26:K26"/>
    <mergeCell ref="L26:M26"/>
    <mergeCell ref="N26:O26"/>
    <mergeCell ref="P26:Q26"/>
    <mergeCell ref="AH25:AI25"/>
    <mergeCell ref="AJ25:AK25"/>
    <mergeCell ref="AL25:AM25"/>
    <mergeCell ref="AN25:AO25"/>
    <mergeCell ref="AP25:AQ25"/>
    <mergeCell ref="AR25:AS25"/>
    <mergeCell ref="V25:W25"/>
    <mergeCell ref="X25:Y25"/>
    <mergeCell ref="Z25:AA25"/>
    <mergeCell ref="AB25:AC25"/>
    <mergeCell ref="AD25:AE25"/>
    <mergeCell ref="AF25:AG25"/>
    <mergeCell ref="AR24:AS24"/>
    <mergeCell ref="C25:C26"/>
    <mergeCell ref="F25:G25"/>
    <mergeCell ref="H25:I25"/>
    <mergeCell ref="J25:K25"/>
    <mergeCell ref="L25:M25"/>
    <mergeCell ref="N25:O25"/>
    <mergeCell ref="P25:Q25"/>
    <mergeCell ref="R25:S25"/>
    <mergeCell ref="T25:U25"/>
    <mergeCell ref="AF24:AG24"/>
    <mergeCell ref="AH24:AI24"/>
    <mergeCell ref="AJ24:AK24"/>
    <mergeCell ref="AL24:AM24"/>
    <mergeCell ref="AN24:AO24"/>
    <mergeCell ref="AP24:AQ24"/>
    <mergeCell ref="T24:U24"/>
    <mergeCell ref="V24:W24"/>
    <mergeCell ref="AP23:AQ23"/>
    <mergeCell ref="AR23:AS23"/>
    <mergeCell ref="F24:G24"/>
    <mergeCell ref="H24:I24"/>
    <mergeCell ref="J24:K24"/>
    <mergeCell ref="L24:M24"/>
    <mergeCell ref="N24:O24"/>
    <mergeCell ref="P24:Q24"/>
    <mergeCell ref="R24:S24"/>
    <mergeCell ref="AB23:AC23"/>
    <mergeCell ref="AD23:AE23"/>
    <mergeCell ref="AF23:AG23"/>
    <mergeCell ref="AH23:AI23"/>
    <mergeCell ref="AJ23:AK23"/>
    <mergeCell ref="AL23:AM23"/>
    <mergeCell ref="P23:Q23"/>
    <mergeCell ref="R23:S23"/>
    <mergeCell ref="T23:U23"/>
    <mergeCell ref="V23:W23"/>
    <mergeCell ref="X23:Y23"/>
    <mergeCell ref="Z23:AA23"/>
    <mergeCell ref="L23:M23"/>
    <mergeCell ref="N23:O23"/>
    <mergeCell ref="AP22:AQ22"/>
    <mergeCell ref="AR22:AS22"/>
    <mergeCell ref="F23:G23"/>
    <mergeCell ref="H23:I23"/>
    <mergeCell ref="J23:K23"/>
    <mergeCell ref="X22:Y22"/>
    <mergeCell ref="Z22:AA22"/>
    <mergeCell ref="AB22:AC22"/>
    <mergeCell ref="AD22:AE22"/>
    <mergeCell ref="AF22:AG22"/>
    <mergeCell ref="AH22:AI22"/>
    <mergeCell ref="AR21:AS21"/>
    <mergeCell ref="F22:G22"/>
    <mergeCell ref="H22:I22"/>
    <mergeCell ref="J22:K22"/>
    <mergeCell ref="L22:M22"/>
    <mergeCell ref="N22:O22"/>
    <mergeCell ref="P22:Q22"/>
    <mergeCell ref="R22:S22"/>
    <mergeCell ref="T22:U22"/>
    <mergeCell ref="V22:W22"/>
    <mergeCell ref="AF21:AG21"/>
    <mergeCell ref="AH21:AI21"/>
    <mergeCell ref="AJ21:AK21"/>
    <mergeCell ref="AL21:AM21"/>
    <mergeCell ref="AN21:AO21"/>
    <mergeCell ref="AP21:AQ21"/>
    <mergeCell ref="T21:U21"/>
    <mergeCell ref="V21:W21"/>
    <mergeCell ref="X21:Y21"/>
    <mergeCell ref="Z21:AA21"/>
    <mergeCell ref="AB21:AC21"/>
    <mergeCell ref="C21:C24"/>
    <mergeCell ref="F21:G21"/>
    <mergeCell ref="H21:I21"/>
    <mergeCell ref="J21:K21"/>
    <mergeCell ref="L21:M21"/>
    <mergeCell ref="N21:O21"/>
    <mergeCell ref="P21:Q21"/>
    <mergeCell ref="R21:S21"/>
    <mergeCell ref="AD20:AE20"/>
    <mergeCell ref="AF20:AG20"/>
    <mergeCell ref="AH20:AI20"/>
    <mergeCell ref="AJ20:AK20"/>
    <mergeCell ref="AL20:AM20"/>
    <mergeCell ref="AN20:AO20"/>
    <mergeCell ref="R20:S20"/>
    <mergeCell ref="T20:U20"/>
    <mergeCell ref="V20:W20"/>
    <mergeCell ref="X20:Y20"/>
    <mergeCell ref="Z20:AA20"/>
    <mergeCell ref="AB20:AC20"/>
    <mergeCell ref="AJ22:AK22"/>
    <mergeCell ref="AL22:AM22"/>
    <mergeCell ref="AN22:AO22"/>
    <mergeCell ref="AD21:AE21"/>
    <mergeCell ref="X24:Y24"/>
    <mergeCell ref="Z24:AA24"/>
    <mergeCell ref="AB24:AC24"/>
    <mergeCell ref="AD24:AE24"/>
    <mergeCell ref="AN23:AO23"/>
    <mergeCell ref="AP18:AQ18"/>
    <mergeCell ref="AR18:AS18"/>
    <mergeCell ref="C19:C20"/>
    <mergeCell ref="AT19:AT20"/>
    <mergeCell ref="F20:G20"/>
    <mergeCell ref="H20:I20"/>
    <mergeCell ref="J20:K20"/>
    <mergeCell ref="L20:M20"/>
    <mergeCell ref="N20:O20"/>
    <mergeCell ref="P20:Q20"/>
    <mergeCell ref="AD18:AE18"/>
    <mergeCell ref="AF18:AG18"/>
    <mergeCell ref="AH18:AI18"/>
    <mergeCell ref="AJ18:AK18"/>
    <mergeCell ref="AL18:AM18"/>
    <mergeCell ref="AN18:AO18"/>
    <mergeCell ref="R18:S18"/>
    <mergeCell ref="T18:U18"/>
    <mergeCell ref="V18:W18"/>
    <mergeCell ref="X18:Y18"/>
    <mergeCell ref="Z18:AA18"/>
    <mergeCell ref="AB18:AC18"/>
    <mergeCell ref="F18:G18"/>
    <mergeCell ref="H18:I18"/>
    <mergeCell ref="J18:K18"/>
    <mergeCell ref="L18:M18"/>
    <mergeCell ref="N18:O18"/>
    <mergeCell ref="P18:Q18"/>
    <mergeCell ref="AP20:AQ20"/>
    <mergeCell ref="AR20:AS20"/>
    <mergeCell ref="F17:G17"/>
    <mergeCell ref="H17:I17"/>
    <mergeCell ref="J17:K17"/>
    <mergeCell ref="L17:M17"/>
    <mergeCell ref="N17:O17"/>
    <mergeCell ref="P17:Q17"/>
    <mergeCell ref="R17:S17"/>
    <mergeCell ref="T17:U17"/>
    <mergeCell ref="AD16:AE16"/>
    <mergeCell ref="AF16:AG16"/>
    <mergeCell ref="AH16:AI16"/>
    <mergeCell ref="AJ16:AK16"/>
    <mergeCell ref="AL16:AM16"/>
    <mergeCell ref="AN16:AO16"/>
    <mergeCell ref="R16:S16"/>
    <mergeCell ref="T16:U16"/>
    <mergeCell ref="V16:W16"/>
    <mergeCell ref="X16:Y16"/>
    <mergeCell ref="L16:M16"/>
    <mergeCell ref="N16:O16"/>
    <mergeCell ref="P16:Q16"/>
    <mergeCell ref="AH15:AI15"/>
    <mergeCell ref="AJ15:AK15"/>
    <mergeCell ref="AL15:AM15"/>
    <mergeCell ref="AN15:AO15"/>
    <mergeCell ref="AP15:AQ15"/>
    <mergeCell ref="AR15:AS15"/>
    <mergeCell ref="V15:W15"/>
    <mergeCell ref="X15:Y15"/>
    <mergeCell ref="Z15:AA15"/>
    <mergeCell ref="AB15:AC15"/>
    <mergeCell ref="AD15:AE15"/>
    <mergeCell ref="AF15:AG15"/>
    <mergeCell ref="AH17:AI17"/>
    <mergeCell ref="AJ17:AK17"/>
    <mergeCell ref="AL17:AM17"/>
    <mergeCell ref="AN17:AO17"/>
    <mergeCell ref="AP17:AQ17"/>
    <mergeCell ref="AR17:AS17"/>
    <mergeCell ref="V17:W17"/>
    <mergeCell ref="X17:Y17"/>
    <mergeCell ref="Z17:AA17"/>
    <mergeCell ref="AB17:AC17"/>
    <mergeCell ref="AD17:AE17"/>
    <mergeCell ref="AF17:AG17"/>
    <mergeCell ref="AP16:AQ16"/>
    <mergeCell ref="AR16:AS16"/>
    <mergeCell ref="AT13:AT14"/>
    <mergeCell ref="F14:G14"/>
    <mergeCell ref="H14:I14"/>
    <mergeCell ref="J14:K14"/>
    <mergeCell ref="L14:M14"/>
    <mergeCell ref="N14:O14"/>
    <mergeCell ref="P14:Q14"/>
    <mergeCell ref="R14:S14"/>
    <mergeCell ref="AD13:AE13"/>
    <mergeCell ref="AF13:AG13"/>
    <mergeCell ref="AH13:AI13"/>
    <mergeCell ref="AJ13:AK13"/>
    <mergeCell ref="AL13:AM13"/>
    <mergeCell ref="AN13:AO13"/>
    <mergeCell ref="R13:S13"/>
    <mergeCell ref="T13:U13"/>
    <mergeCell ref="V13:W13"/>
    <mergeCell ref="X13:Y13"/>
    <mergeCell ref="Z13:AA13"/>
    <mergeCell ref="AB13:AC13"/>
    <mergeCell ref="AR14:AS14"/>
    <mergeCell ref="AF14:AG14"/>
    <mergeCell ref="AH14:AI14"/>
    <mergeCell ref="AJ14:AK14"/>
    <mergeCell ref="AL14:AM14"/>
    <mergeCell ref="AN14:AO14"/>
    <mergeCell ref="AP14:AQ14"/>
    <mergeCell ref="T14:U14"/>
    <mergeCell ref="V14:W14"/>
    <mergeCell ref="X14:Y14"/>
    <mergeCell ref="Z14:AA14"/>
    <mergeCell ref="AB14:AC14"/>
    <mergeCell ref="AN12:AO12"/>
    <mergeCell ref="AP12:AQ12"/>
    <mergeCell ref="AR12:AS12"/>
    <mergeCell ref="C13:C14"/>
    <mergeCell ref="F13:G13"/>
    <mergeCell ref="H13:I13"/>
    <mergeCell ref="J13:K13"/>
    <mergeCell ref="L13:M13"/>
    <mergeCell ref="N13:O13"/>
    <mergeCell ref="P13:Q13"/>
    <mergeCell ref="AB12:AC12"/>
    <mergeCell ref="AD12:AE12"/>
    <mergeCell ref="AF12:AG12"/>
    <mergeCell ref="AH12:AI12"/>
    <mergeCell ref="AJ12:AK12"/>
    <mergeCell ref="AL12:AM12"/>
    <mergeCell ref="P12:Q12"/>
    <mergeCell ref="R12:S12"/>
    <mergeCell ref="T12:U12"/>
    <mergeCell ref="V12:W12"/>
    <mergeCell ref="X12:Y12"/>
    <mergeCell ref="Z12:AA12"/>
    <mergeCell ref="AP13:AQ13"/>
    <mergeCell ref="AR13:AS13"/>
    <mergeCell ref="AD14:AE14"/>
    <mergeCell ref="B12:B50"/>
    <mergeCell ref="F12:G12"/>
    <mergeCell ref="H12:I12"/>
    <mergeCell ref="J12:K12"/>
    <mergeCell ref="L12:M12"/>
    <mergeCell ref="N12:O12"/>
    <mergeCell ref="AA11:AB11"/>
    <mergeCell ref="AC11:AD11"/>
    <mergeCell ref="AE11:AF11"/>
    <mergeCell ref="AG11:AH11"/>
    <mergeCell ref="AI11:AJ11"/>
    <mergeCell ref="AK11:AL11"/>
    <mergeCell ref="O11:P11"/>
    <mergeCell ref="Q11:R11"/>
    <mergeCell ref="S11:T11"/>
    <mergeCell ref="U11:V11"/>
    <mergeCell ref="W11:X11"/>
    <mergeCell ref="Y11:Z11"/>
    <mergeCell ref="C15:C18"/>
    <mergeCell ref="F15:G15"/>
    <mergeCell ref="H15:I15"/>
    <mergeCell ref="J15:K15"/>
    <mergeCell ref="L15:M15"/>
    <mergeCell ref="N15:O15"/>
    <mergeCell ref="P15:Q15"/>
    <mergeCell ref="R15:S15"/>
    <mergeCell ref="T15:U15"/>
    <mergeCell ref="Z16:AA16"/>
    <mergeCell ref="AB16:AC16"/>
    <mergeCell ref="F16:G16"/>
    <mergeCell ref="H16:I16"/>
    <mergeCell ref="J16:K16"/>
    <mergeCell ref="AK10:AL10"/>
    <mergeCell ref="AM10:AN10"/>
    <mergeCell ref="AO10:AP10"/>
    <mergeCell ref="AQ10:AR10"/>
    <mergeCell ref="AS10:AT10"/>
    <mergeCell ref="B9:D9"/>
    <mergeCell ref="E9:F9"/>
    <mergeCell ref="G9:H9"/>
    <mergeCell ref="I9:J9"/>
    <mergeCell ref="K9:L9"/>
    <mergeCell ref="B11:D11"/>
    <mergeCell ref="E11:F11"/>
    <mergeCell ref="G11:H11"/>
    <mergeCell ref="I11:J11"/>
    <mergeCell ref="M11:N11"/>
    <mergeCell ref="Y10:Z10"/>
    <mergeCell ref="AA10:AB10"/>
    <mergeCell ref="AC10:AD10"/>
    <mergeCell ref="AE10:AF10"/>
    <mergeCell ref="AG10:AH10"/>
    <mergeCell ref="AI10:AJ10"/>
    <mergeCell ref="M10:N10"/>
    <mergeCell ref="O10:P10"/>
    <mergeCell ref="Q10:R10"/>
    <mergeCell ref="S10:T10"/>
    <mergeCell ref="U10:V10"/>
    <mergeCell ref="W10:X10"/>
    <mergeCell ref="AM11:AN11"/>
    <mergeCell ref="AO11:AP11"/>
    <mergeCell ref="AQ11:AR11"/>
    <mergeCell ref="AS11:AT11"/>
    <mergeCell ref="AK7:AL7"/>
    <mergeCell ref="AM7:AN7"/>
    <mergeCell ref="AO7:AP7"/>
    <mergeCell ref="AQ7:AR7"/>
    <mergeCell ref="AS7:AT7"/>
    <mergeCell ref="AK8:AL8"/>
    <mergeCell ref="AM8:AN8"/>
    <mergeCell ref="AO8:AP8"/>
    <mergeCell ref="AQ8:AR8"/>
    <mergeCell ref="AS8:AT8"/>
    <mergeCell ref="AK9:AL9"/>
    <mergeCell ref="AM9:AN9"/>
    <mergeCell ref="AO9:AP9"/>
    <mergeCell ref="AQ9:AR9"/>
    <mergeCell ref="AS9:AT9"/>
    <mergeCell ref="B10:D10"/>
    <mergeCell ref="E10:F10"/>
    <mergeCell ref="G10:H10"/>
    <mergeCell ref="I10:J10"/>
    <mergeCell ref="K10:L10"/>
    <mergeCell ref="Y9:Z9"/>
    <mergeCell ref="AA9:AB9"/>
    <mergeCell ref="AC9:AD9"/>
    <mergeCell ref="AE9:AF9"/>
    <mergeCell ref="AG9:AH9"/>
    <mergeCell ref="AI9:AJ9"/>
    <mergeCell ref="M9:N9"/>
    <mergeCell ref="O9:P9"/>
    <mergeCell ref="Q9:R9"/>
    <mergeCell ref="S9:T9"/>
    <mergeCell ref="U9:V9"/>
    <mergeCell ref="W9:X9"/>
    <mergeCell ref="B8:D8"/>
    <mergeCell ref="E8:F8"/>
    <mergeCell ref="G8:H8"/>
    <mergeCell ref="I8:J8"/>
    <mergeCell ref="K8:L8"/>
    <mergeCell ref="Y7:Z7"/>
    <mergeCell ref="AA7:AB7"/>
    <mergeCell ref="AC7:AD7"/>
    <mergeCell ref="AE7:AF7"/>
    <mergeCell ref="AG7:AH7"/>
    <mergeCell ref="AI7:AJ7"/>
    <mergeCell ref="M7:N7"/>
    <mergeCell ref="O7:P7"/>
    <mergeCell ref="Q7:R7"/>
    <mergeCell ref="S7:T7"/>
    <mergeCell ref="U7:V7"/>
    <mergeCell ref="W7:X7"/>
    <mergeCell ref="Y8:Z8"/>
    <mergeCell ref="AA8:AB8"/>
    <mergeCell ref="AC8:AD8"/>
    <mergeCell ref="AE8:AF8"/>
    <mergeCell ref="AG8:AH8"/>
    <mergeCell ref="AI8:AJ8"/>
    <mergeCell ref="M8:N8"/>
    <mergeCell ref="O8:P8"/>
    <mergeCell ref="Q8:R8"/>
    <mergeCell ref="S8:T8"/>
    <mergeCell ref="U8:V8"/>
    <mergeCell ref="W8:X8"/>
    <mergeCell ref="L2:W2"/>
    <mergeCell ref="AC2:AJ2"/>
    <mergeCell ref="AK2:AT2"/>
    <mergeCell ref="L4:AC4"/>
    <mergeCell ref="AK4:AT4"/>
    <mergeCell ref="B6:D6"/>
    <mergeCell ref="E6:F6"/>
    <mergeCell ref="G6:H6"/>
    <mergeCell ref="I6:J6"/>
    <mergeCell ref="K6:L6"/>
    <mergeCell ref="AK6:AL6"/>
    <mergeCell ref="AM6:AN6"/>
    <mergeCell ref="AO6:AP6"/>
    <mergeCell ref="AQ6:AR6"/>
    <mergeCell ref="AS6:AT6"/>
    <mergeCell ref="B7:D7"/>
    <mergeCell ref="E7:F7"/>
    <mergeCell ref="G7:H7"/>
    <mergeCell ref="I7:J7"/>
    <mergeCell ref="K7:L7"/>
    <mergeCell ref="Y6:Z6"/>
    <mergeCell ref="AA6:AB6"/>
    <mergeCell ref="AC6:AD6"/>
    <mergeCell ref="AE6:AF6"/>
    <mergeCell ref="AG6:AH6"/>
    <mergeCell ref="AI6:AJ6"/>
    <mergeCell ref="M6:N6"/>
    <mergeCell ref="O6:P6"/>
    <mergeCell ref="Q6:R6"/>
    <mergeCell ref="S6:T6"/>
    <mergeCell ref="U6:V6"/>
    <mergeCell ref="W6:X6"/>
  </mergeCells>
  <pageMargins left="0.70866141732283472" right="0.70866141732283472" top="0.74803149606299213" bottom="0.74803149606299213" header="0.31496062992125984" footer="0.31496062992125984"/>
  <pageSetup paperSize="9" scale="32" fitToHeight="0" orientation="landscape" r:id="rId1"/>
  <headerFooter>
    <oddFooter>&amp;CPage &amp;P of &amp;N</oddFooter>
  </headerFooter>
  <rowBreaks count="2" manualBreakCount="2">
    <brk id="50" min="1" max="45" man="1"/>
    <brk id="130" min="1" max="45"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F0"/>
    <pageSetUpPr autoPageBreaks="0"/>
  </sheetPr>
  <dimension ref="B1:AP55"/>
  <sheetViews>
    <sheetView showZeros="0" zoomScale="80" zoomScaleNormal="80" workbookViewId="0">
      <selection activeCell="Q55" sqref="Q55"/>
    </sheetView>
  </sheetViews>
  <sheetFormatPr defaultColWidth="9.21875" defaultRowHeight="14.4" x14ac:dyDescent="0.3"/>
  <cols>
    <col min="2" max="2" width="7.77734375" bestFit="1" customWidth="1"/>
    <col min="3" max="4" width="13.77734375" customWidth="1"/>
    <col min="5" max="5" width="14.21875" bestFit="1" customWidth="1"/>
    <col min="6" max="6" width="14.5546875" customWidth="1"/>
    <col min="7" max="7" width="19.21875" bestFit="1" customWidth="1"/>
    <col min="8" max="8" width="18.77734375" bestFit="1" customWidth="1"/>
    <col min="9" max="9" width="13.77734375" customWidth="1"/>
    <col min="11" max="11" width="12.77734375" customWidth="1"/>
    <col min="14" max="14" width="15" bestFit="1" customWidth="1"/>
    <col min="15" max="15" width="15.77734375" style="174" customWidth="1"/>
    <col min="16" max="18" width="15.77734375" customWidth="1"/>
    <col min="19" max="29" width="15.77734375" hidden="1" customWidth="1"/>
    <col min="30" max="30" width="13.77734375" customWidth="1"/>
    <col min="40" max="40" width="13.77734375" bestFit="1" customWidth="1"/>
    <col min="42" max="42" width="13.77734375" bestFit="1" customWidth="1"/>
  </cols>
  <sheetData>
    <row r="1" spans="2:42" ht="15" thickBot="1" x14ac:dyDescent="0.35"/>
    <row r="2" spans="2:42" ht="15.6" x14ac:dyDescent="0.3">
      <c r="B2" s="708" t="s">
        <v>55</v>
      </c>
      <c r="C2" s="709"/>
      <c r="D2" s="709"/>
      <c r="E2" s="203" t="s">
        <v>195</v>
      </c>
      <c r="G2" s="175"/>
      <c r="H2" s="710" t="s">
        <v>216</v>
      </c>
      <c r="I2" s="711"/>
      <c r="J2" s="712" t="s">
        <v>206</v>
      </c>
      <c r="K2" s="713"/>
    </row>
    <row r="3" spans="2:42" ht="20.100000000000001" customHeight="1" thickBot="1" x14ac:dyDescent="0.35">
      <c r="B3" s="706" t="s">
        <v>203</v>
      </c>
      <c r="C3" s="707"/>
      <c r="D3" s="707"/>
      <c r="E3" s="204" t="s">
        <v>209</v>
      </c>
      <c r="G3" s="175"/>
      <c r="H3" s="199" t="s">
        <v>204</v>
      </c>
      <c r="I3" s="200">
        <f>C6</f>
        <v>37212</v>
      </c>
      <c r="J3" s="201" t="s">
        <v>205</v>
      </c>
      <c r="K3" s="202">
        <f>MAX(C6:C55)</f>
        <v>39038</v>
      </c>
    </row>
    <row r="4" spans="2:42" ht="20.100000000000001" customHeight="1" thickBot="1" x14ac:dyDescent="0.35">
      <c r="B4" s="175"/>
      <c r="C4" s="175"/>
      <c r="D4" s="175"/>
      <c r="E4" s="175"/>
      <c r="G4" s="175"/>
    </row>
    <row r="5" spans="2:42" ht="29.25" customHeight="1" x14ac:dyDescent="0.3">
      <c r="B5" s="215" t="s">
        <v>198</v>
      </c>
      <c r="C5" s="187" t="s">
        <v>0</v>
      </c>
      <c r="D5" s="187" t="s">
        <v>192</v>
      </c>
      <c r="E5" s="187" t="s">
        <v>193</v>
      </c>
      <c r="F5" s="187" t="s">
        <v>194</v>
      </c>
      <c r="G5" s="187" t="s">
        <v>208</v>
      </c>
      <c r="H5" s="187" t="s">
        <v>213</v>
      </c>
      <c r="I5" s="216" t="s">
        <v>45</v>
      </c>
      <c r="J5" s="216" t="s">
        <v>46</v>
      </c>
      <c r="K5" s="217" t="s">
        <v>200</v>
      </c>
      <c r="L5" s="216" t="s">
        <v>47</v>
      </c>
      <c r="M5" s="216" t="s">
        <v>48</v>
      </c>
      <c r="N5" s="187" t="s">
        <v>19</v>
      </c>
      <c r="O5" s="187" t="s">
        <v>196</v>
      </c>
      <c r="P5" s="187" t="s">
        <v>197</v>
      </c>
      <c r="Q5" s="187" t="s">
        <v>201</v>
      </c>
      <c r="R5" s="187" t="s">
        <v>202</v>
      </c>
      <c r="S5" s="218"/>
      <c r="T5" s="219" t="s">
        <v>211</v>
      </c>
      <c r="U5" s="219" t="s">
        <v>212</v>
      </c>
      <c r="V5" s="219"/>
      <c r="W5" s="219"/>
      <c r="X5" s="219"/>
      <c r="Y5" s="219"/>
      <c r="Z5" s="219"/>
      <c r="AA5" s="219"/>
      <c r="AB5" s="219"/>
      <c r="AC5" s="218" t="s">
        <v>210</v>
      </c>
      <c r="AD5" s="220" t="s">
        <v>199</v>
      </c>
      <c r="AE5" s="176"/>
      <c r="AF5" s="714" t="s">
        <v>207</v>
      </c>
      <c r="AG5" s="715"/>
      <c r="AH5" s="689" t="str">
        <f>B2</f>
        <v>Calorific Value</v>
      </c>
      <c r="AI5" s="692"/>
      <c r="AJ5" s="692"/>
      <c r="AK5" s="693" t="s">
        <v>168</v>
      </c>
      <c r="AL5" s="693"/>
      <c r="AM5" s="693"/>
      <c r="AN5" s="689" t="str">
        <f>J2</f>
        <v>IMP-CAL-01</v>
      </c>
      <c r="AO5" s="689"/>
      <c r="AP5" s="691"/>
    </row>
    <row r="6" spans="2:42" x14ac:dyDescent="0.3">
      <c r="B6" s="188">
        <v>1</v>
      </c>
      <c r="C6" s="205">
        <v>37212</v>
      </c>
      <c r="D6" s="206"/>
      <c r="E6" s="207">
        <v>27.1</v>
      </c>
      <c r="F6" s="207">
        <v>27</v>
      </c>
      <c r="G6" s="183">
        <f t="shared" ref="G6:G55" si="0">IF(AND(E6="",F6=""),NA(),AVERAGE(E6:F6))</f>
        <v>27.05</v>
      </c>
      <c r="H6" s="183">
        <f>IF(AND(E6="",F6=""),NA(),ABS(E6-F6))</f>
        <v>0.10000000000000142</v>
      </c>
      <c r="I6" s="183">
        <f>'Plot Data'!$C$67</f>
        <v>23.43396859798148</v>
      </c>
      <c r="J6" s="183">
        <f>'Plot Data'!$C$65</f>
        <v>23.539766944108866</v>
      </c>
      <c r="K6" s="184">
        <f>'Plot Data'!$C$58</f>
        <v>23.751363636363635</v>
      </c>
      <c r="L6" s="184">
        <f>'Plot Data'!$C$62</f>
        <v>23.962960328618404</v>
      </c>
      <c r="M6" s="184">
        <f>'Plot Data'!$C$64</f>
        <v>24.068758674745791</v>
      </c>
      <c r="N6" s="184">
        <f>'Plot Data'!$C$68</f>
        <v>0.12</v>
      </c>
      <c r="O6" s="177" t="str">
        <f t="shared" ref="O6:O37" si="1">IF(G6&gt;M6,"&gt;+3s",IF(G6&lt;I6,"&lt;-3s","Pass"))</f>
        <v>&gt;+3s</v>
      </c>
      <c r="P6" s="191"/>
      <c r="Q6" s="191"/>
      <c r="R6" s="191"/>
      <c r="S6" s="178"/>
      <c r="T6" s="178"/>
      <c r="U6" s="178"/>
      <c r="V6" s="178"/>
      <c r="W6" s="178"/>
      <c r="X6" s="178"/>
      <c r="Y6" s="178"/>
      <c r="Z6" s="178"/>
      <c r="AA6" s="178"/>
      <c r="AB6" s="178"/>
      <c r="AC6" s="178"/>
      <c r="AD6" s="179" t="str">
        <f>IF(H6="","",IF(H6&gt;N6,"No","Yes"))</f>
        <v>Yes</v>
      </c>
      <c r="AF6" s="682" t="s">
        <v>203</v>
      </c>
      <c r="AG6" s="683"/>
      <c r="AH6" s="683" t="str">
        <f>E3</f>
        <v>034</v>
      </c>
      <c r="AI6" s="683"/>
      <c r="AJ6" s="683"/>
      <c r="AK6" s="696" t="s">
        <v>204</v>
      </c>
      <c r="AL6" s="697"/>
      <c r="AM6" s="698"/>
      <c r="AN6" s="686">
        <f>I3</f>
        <v>37212</v>
      </c>
      <c r="AO6" s="683" t="s">
        <v>205</v>
      </c>
      <c r="AP6" s="680">
        <f>K3</f>
        <v>39038</v>
      </c>
    </row>
    <row r="7" spans="2:42" ht="15" customHeight="1" x14ac:dyDescent="0.3">
      <c r="B7" s="188">
        <v>2</v>
      </c>
      <c r="C7" s="205">
        <v>37577</v>
      </c>
      <c r="D7" s="206"/>
      <c r="E7" s="207">
        <v>26.83</v>
      </c>
      <c r="F7" s="207">
        <v>26.8</v>
      </c>
      <c r="G7" s="183">
        <f t="shared" si="0"/>
        <v>26.814999999999998</v>
      </c>
      <c r="H7" s="183">
        <f t="shared" ref="H7:H55" si="2">IF(AND(E7="",F7=""),NA(),ABS(E7-F7))</f>
        <v>2.9999999999997584E-2</v>
      </c>
      <c r="I7" s="183">
        <f>'Plot Data'!$C$67</f>
        <v>23.43396859798148</v>
      </c>
      <c r="J7" s="183">
        <f>'Plot Data'!$C$65</f>
        <v>23.539766944108866</v>
      </c>
      <c r="K7" s="184">
        <f>'Plot Data'!$C$58</f>
        <v>23.751363636363635</v>
      </c>
      <c r="L7" s="184">
        <f>'Plot Data'!$C$62</f>
        <v>23.962960328618404</v>
      </c>
      <c r="M7" s="184">
        <f>'Plot Data'!$C$64</f>
        <v>24.068758674745791</v>
      </c>
      <c r="N7" s="184">
        <f>'Plot Data'!$C$68</f>
        <v>0.12</v>
      </c>
      <c r="O7" s="177" t="str">
        <f t="shared" si="1"/>
        <v>&gt;+3s</v>
      </c>
      <c r="P7" s="180" t="str">
        <f>IF(AND(G7&gt;L7,G6&gt;L6),"Fail &gt; +2s",IF(AND(G7&lt;J7,G6&lt;J6),"Fail &lt; -2s","Pass"))</f>
        <v>Fail &gt; +2s</v>
      </c>
      <c r="Q7" s="191"/>
      <c r="R7" s="191"/>
      <c r="S7" s="178" t="str">
        <f>IF(E7="","",IF(G7&gt;G6,"+",IF(G7&lt;G6,"-","")))</f>
        <v>-</v>
      </c>
      <c r="T7" s="178"/>
      <c r="U7" s="178"/>
      <c r="V7" s="178"/>
      <c r="W7" s="178"/>
      <c r="X7" s="178"/>
      <c r="Y7" s="178"/>
      <c r="Z7" s="178"/>
      <c r="AA7" s="178"/>
      <c r="AB7" s="178"/>
      <c r="AC7" s="178"/>
      <c r="AD7" s="179" t="str">
        <f t="shared" ref="AD7:AD55" si="3">IF(H7="","",IF(H7&gt;N7,"No","Yes"))</f>
        <v>Yes</v>
      </c>
      <c r="AF7" s="694"/>
      <c r="AG7" s="695"/>
      <c r="AH7" s="695"/>
      <c r="AI7" s="695"/>
      <c r="AJ7" s="695"/>
      <c r="AK7" s="699"/>
      <c r="AL7" s="700"/>
      <c r="AM7" s="701"/>
      <c r="AN7" s="702"/>
      <c r="AO7" s="695"/>
      <c r="AP7" s="688"/>
    </row>
    <row r="8" spans="2:42" x14ac:dyDescent="0.3">
      <c r="B8" s="188">
        <v>3</v>
      </c>
      <c r="C8" s="205">
        <v>37942</v>
      </c>
      <c r="D8" s="206"/>
      <c r="E8" s="207">
        <v>26.93</v>
      </c>
      <c r="F8" s="207">
        <v>27</v>
      </c>
      <c r="G8" s="183">
        <f t="shared" si="0"/>
        <v>26.965</v>
      </c>
      <c r="H8" s="183">
        <f t="shared" si="2"/>
        <v>7.0000000000000284E-2</v>
      </c>
      <c r="I8" s="183">
        <f>'Plot Data'!$C$67</f>
        <v>23.43396859798148</v>
      </c>
      <c r="J8" s="183">
        <f>'Plot Data'!$C$65</f>
        <v>23.539766944108866</v>
      </c>
      <c r="K8" s="184">
        <f>'Plot Data'!$C$58</f>
        <v>23.751363636363635</v>
      </c>
      <c r="L8" s="184">
        <f>'Plot Data'!$C$62</f>
        <v>23.962960328618404</v>
      </c>
      <c r="M8" s="184">
        <f>'Plot Data'!$C$64</f>
        <v>24.068758674745791</v>
      </c>
      <c r="N8" s="184">
        <f>'Plot Data'!$C$68</f>
        <v>0.12</v>
      </c>
      <c r="O8" s="177" t="str">
        <f t="shared" si="1"/>
        <v>&gt;+3s</v>
      </c>
      <c r="P8" s="180" t="str">
        <f t="shared" ref="P8:P55" si="4">IF(AND(G8&gt;L8,G7&gt;L7),"Fail &gt; +2s",IF(AND(G8&gt;L8,G6&gt;L6),"Fail &gt; +2s",IF(AND(G8&lt;J8,G7&lt;J7),"Fail &lt; -2s",IF(AND(G8&lt;J8,G6&lt;J6),"Fail &lt; -2s","Pass"))))</f>
        <v>Fail &gt; +2s</v>
      </c>
      <c r="Q8" s="191"/>
      <c r="R8" s="191"/>
      <c r="S8" s="178" t="str">
        <f t="shared" ref="S8:S55" si="5">IF(E8="","",IF(G8&gt;G7,"+",IF(G8&lt;G7,"-","")))</f>
        <v>+</v>
      </c>
      <c r="T8" s="178"/>
      <c r="U8" s="178"/>
      <c r="V8" s="178"/>
      <c r="W8" s="178"/>
      <c r="X8" s="181">
        <f>AVERAGE(G6:G8)</f>
        <v>26.943333333333332</v>
      </c>
      <c r="Y8" s="181"/>
      <c r="Z8" s="181"/>
      <c r="AA8" s="181"/>
      <c r="AB8" s="181"/>
      <c r="AC8" s="178"/>
      <c r="AD8" s="179" t="str">
        <f t="shared" si="3"/>
        <v>Yes</v>
      </c>
    </row>
    <row r="9" spans="2:42" x14ac:dyDescent="0.3">
      <c r="B9" s="188">
        <v>4</v>
      </c>
      <c r="C9" s="205">
        <v>38308</v>
      </c>
      <c r="D9" s="206"/>
      <c r="E9" s="207">
        <v>27.05</v>
      </c>
      <c r="F9" s="207">
        <v>27.11</v>
      </c>
      <c r="G9" s="183">
        <f t="shared" si="0"/>
        <v>27.08</v>
      </c>
      <c r="H9" s="183">
        <f t="shared" si="2"/>
        <v>5.9999999999998721E-2</v>
      </c>
      <c r="I9" s="183">
        <f>'Plot Data'!$C$67</f>
        <v>23.43396859798148</v>
      </c>
      <c r="J9" s="183">
        <f>'Plot Data'!$C$65</f>
        <v>23.539766944108866</v>
      </c>
      <c r="K9" s="184">
        <f>'Plot Data'!$C$58</f>
        <v>23.751363636363635</v>
      </c>
      <c r="L9" s="184">
        <f>'Plot Data'!$C$62</f>
        <v>23.962960328618404</v>
      </c>
      <c r="M9" s="184">
        <f>'Plot Data'!$C$64</f>
        <v>24.068758674745791</v>
      </c>
      <c r="N9" s="184">
        <f>'Plot Data'!$C$68</f>
        <v>0.12</v>
      </c>
      <c r="O9" s="177" t="str">
        <f t="shared" si="1"/>
        <v>&gt;+3s</v>
      </c>
      <c r="P9" s="180" t="str">
        <f t="shared" si="4"/>
        <v>Fail &gt; +2s</v>
      </c>
      <c r="Q9" s="191"/>
      <c r="R9" s="191"/>
      <c r="S9" s="178" t="str">
        <f t="shared" si="5"/>
        <v>+</v>
      </c>
      <c r="T9" s="178"/>
      <c r="U9" s="178"/>
      <c r="V9" s="178"/>
      <c r="W9" s="178"/>
      <c r="X9" s="181">
        <f t="shared" ref="X9:X17" si="6">AVERAGE(G7:G9)</f>
        <v>26.953333333333333</v>
      </c>
      <c r="Y9" s="181">
        <f>AVERAGE(G6:G9)</f>
        <v>26.977499999999999</v>
      </c>
      <c r="Z9" s="181"/>
      <c r="AA9" s="181"/>
      <c r="AB9" s="181"/>
      <c r="AC9" s="178"/>
      <c r="AD9" s="179" t="str">
        <f t="shared" si="3"/>
        <v>Yes</v>
      </c>
    </row>
    <row r="10" spans="2:42" x14ac:dyDescent="0.3">
      <c r="B10" s="188">
        <v>5</v>
      </c>
      <c r="C10" s="205">
        <v>38673</v>
      </c>
      <c r="D10" s="206"/>
      <c r="E10" s="207">
        <v>26.99</v>
      </c>
      <c r="F10" s="207">
        <v>27.01</v>
      </c>
      <c r="G10" s="183">
        <f t="shared" si="0"/>
        <v>27</v>
      </c>
      <c r="H10" s="183">
        <f t="shared" si="2"/>
        <v>2.0000000000003126E-2</v>
      </c>
      <c r="I10" s="183">
        <f>'Plot Data'!$C$67</f>
        <v>23.43396859798148</v>
      </c>
      <c r="J10" s="183">
        <f>'Plot Data'!$C$65</f>
        <v>23.539766944108866</v>
      </c>
      <c r="K10" s="184">
        <f>'Plot Data'!$C$58</f>
        <v>23.751363636363635</v>
      </c>
      <c r="L10" s="184">
        <f>'Plot Data'!$C$62</f>
        <v>23.962960328618404</v>
      </c>
      <c r="M10" s="184">
        <f>'Plot Data'!$C$64</f>
        <v>24.068758674745791</v>
      </c>
      <c r="N10" s="184">
        <f>'Plot Data'!$C$68</f>
        <v>0.12</v>
      </c>
      <c r="O10" s="177" t="str">
        <f t="shared" si="1"/>
        <v>&gt;+3s</v>
      </c>
      <c r="P10" s="180" t="str">
        <f t="shared" si="4"/>
        <v>Fail &gt; +2s</v>
      </c>
      <c r="Q10" s="191"/>
      <c r="R10" s="191"/>
      <c r="S10" s="178" t="str">
        <f t="shared" si="5"/>
        <v>-</v>
      </c>
      <c r="T10" s="178"/>
      <c r="U10" s="178"/>
      <c r="V10" s="178"/>
      <c r="W10" s="178"/>
      <c r="X10" s="181">
        <f t="shared" si="6"/>
        <v>27.015000000000001</v>
      </c>
      <c r="Y10" s="181">
        <f t="shared" ref="Y10:Y16" si="7">AVERAGE(G7:G10)</f>
        <v>26.965</v>
      </c>
      <c r="Z10" s="181">
        <f>AVERAGE(G6:G10)</f>
        <v>26.981999999999999</v>
      </c>
      <c r="AA10" s="181"/>
      <c r="AB10" s="181"/>
      <c r="AC10" s="178"/>
      <c r="AD10" s="179" t="str">
        <f t="shared" si="3"/>
        <v>Yes</v>
      </c>
    </row>
    <row r="11" spans="2:42" x14ac:dyDescent="0.3">
      <c r="B11" s="188">
        <v>6</v>
      </c>
      <c r="C11" s="205">
        <v>39038</v>
      </c>
      <c r="D11" s="206"/>
      <c r="E11" s="207">
        <v>27.08</v>
      </c>
      <c r="F11" s="207">
        <v>27.08</v>
      </c>
      <c r="G11" s="183">
        <f t="shared" si="0"/>
        <v>27.08</v>
      </c>
      <c r="H11" s="183">
        <f t="shared" si="2"/>
        <v>0</v>
      </c>
      <c r="I11" s="183">
        <f>'Plot Data'!$C$67</f>
        <v>23.43396859798148</v>
      </c>
      <c r="J11" s="183">
        <f>'Plot Data'!$C$65</f>
        <v>23.539766944108866</v>
      </c>
      <c r="K11" s="184">
        <f>'Plot Data'!$C$58</f>
        <v>23.751363636363635</v>
      </c>
      <c r="L11" s="184">
        <f>'Plot Data'!$C$62</f>
        <v>23.962960328618404</v>
      </c>
      <c r="M11" s="184">
        <f>'Plot Data'!$C$64</f>
        <v>24.068758674745791</v>
      </c>
      <c r="N11" s="184">
        <f>'Plot Data'!$C$68</f>
        <v>0.12</v>
      </c>
      <c r="O11" s="177" t="str">
        <f t="shared" si="1"/>
        <v>&gt;+3s</v>
      </c>
      <c r="P11" s="180" t="str">
        <f t="shared" si="4"/>
        <v>Fail &gt; +2s</v>
      </c>
      <c r="Q11" s="191"/>
      <c r="R11" s="191"/>
      <c r="S11" s="178" t="str">
        <f t="shared" si="5"/>
        <v>+</v>
      </c>
      <c r="T11" s="178"/>
      <c r="U11" s="178"/>
      <c r="V11" s="178"/>
      <c r="W11" s="178"/>
      <c r="X11" s="181">
        <f t="shared" si="6"/>
        <v>27.053333333333331</v>
      </c>
      <c r="Y11" s="181">
        <f t="shared" si="7"/>
        <v>27.03125</v>
      </c>
      <c r="Z11" s="181">
        <f t="shared" ref="Z11:Z16" si="8">AVERAGE(G7:G11)</f>
        <v>26.988</v>
      </c>
      <c r="AA11" s="181">
        <f>AVERAGE(G6:G11)</f>
        <v>26.998333333333335</v>
      </c>
      <c r="AB11" s="182"/>
      <c r="AC11" s="178"/>
      <c r="AD11" s="179" t="str">
        <f t="shared" si="3"/>
        <v>Yes</v>
      </c>
    </row>
    <row r="12" spans="2:42" x14ac:dyDescent="0.3">
      <c r="B12" s="188">
        <v>7</v>
      </c>
      <c r="C12" s="205"/>
      <c r="D12" s="206"/>
      <c r="E12" s="207">
        <v>27.03</v>
      </c>
      <c r="F12" s="207">
        <v>27.03</v>
      </c>
      <c r="G12" s="183">
        <f t="shared" si="0"/>
        <v>27.03</v>
      </c>
      <c r="H12" s="183">
        <f t="shared" si="2"/>
        <v>0</v>
      </c>
      <c r="I12" s="183">
        <f>'Plot Data'!$C$67</f>
        <v>23.43396859798148</v>
      </c>
      <c r="J12" s="183">
        <f>'Plot Data'!$C$65</f>
        <v>23.539766944108866</v>
      </c>
      <c r="K12" s="184">
        <f>'Plot Data'!$C$58</f>
        <v>23.751363636363635</v>
      </c>
      <c r="L12" s="184">
        <f>'Plot Data'!$C$62</f>
        <v>23.962960328618404</v>
      </c>
      <c r="M12" s="184">
        <f>'Plot Data'!$C$64</f>
        <v>24.068758674745791</v>
      </c>
      <c r="N12" s="184">
        <f>'Plot Data'!$C$68</f>
        <v>0.12</v>
      </c>
      <c r="O12" s="177" t="str">
        <f t="shared" si="1"/>
        <v>&gt;+3s</v>
      </c>
      <c r="P12" s="180" t="str">
        <f t="shared" si="4"/>
        <v>Fail &gt; +2s</v>
      </c>
      <c r="Q12" s="191"/>
      <c r="R12" s="180" t="str">
        <f>IF(AND(G12&gt;G11,G11&gt;G10,G10&gt;G9,G9&gt;G8,G8&gt;G7,G7&gt;G6),"Fail +ve trend",IF(AND(G12&lt;G11,G11&lt;G10,G10&lt;G9,G9&lt;G8,G8&lt;G7,G7&lt;G6),"Fail -ve trend","Pass"))</f>
        <v>Pass</v>
      </c>
      <c r="S12" s="178" t="str">
        <f t="shared" si="5"/>
        <v>-</v>
      </c>
      <c r="T12" s="178"/>
      <c r="U12" s="178"/>
      <c r="V12" s="178"/>
      <c r="W12" s="178"/>
      <c r="X12" s="181">
        <f t="shared" si="6"/>
        <v>27.036666666666665</v>
      </c>
      <c r="Y12" s="181">
        <f t="shared" si="7"/>
        <v>27.047499999999999</v>
      </c>
      <c r="Z12" s="181">
        <f t="shared" si="8"/>
        <v>27.030999999999999</v>
      </c>
      <c r="AA12" s="181">
        <f t="shared" ref="AA12:AA55" si="9">AVERAGE(G7:G12)</f>
        <v>26.995000000000001</v>
      </c>
      <c r="AB12" s="181"/>
      <c r="AC12" s="178"/>
      <c r="AD12" s="179" t="str">
        <f t="shared" si="3"/>
        <v>Yes</v>
      </c>
    </row>
    <row r="13" spans="2:42" x14ac:dyDescent="0.3">
      <c r="B13" s="188">
        <v>8</v>
      </c>
      <c r="C13" s="205"/>
      <c r="D13" s="206"/>
      <c r="E13" s="207">
        <v>27.1</v>
      </c>
      <c r="F13" s="207">
        <v>27.1</v>
      </c>
      <c r="G13" s="183">
        <f t="shared" si="0"/>
        <v>27.1</v>
      </c>
      <c r="H13" s="183">
        <f t="shared" si="2"/>
        <v>0</v>
      </c>
      <c r="I13" s="183">
        <f>'Plot Data'!$C$67</f>
        <v>23.43396859798148</v>
      </c>
      <c r="J13" s="183">
        <f>'Plot Data'!$C$65</f>
        <v>23.539766944108866</v>
      </c>
      <c r="K13" s="184">
        <f>'Plot Data'!$C$58</f>
        <v>23.751363636363635</v>
      </c>
      <c r="L13" s="184">
        <f>'Plot Data'!$C$62</f>
        <v>23.962960328618404</v>
      </c>
      <c r="M13" s="184">
        <f>'Plot Data'!$C$64</f>
        <v>24.068758674745791</v>
      </c>
      <c r="N13" s="184">
        <f>'Plot Data'!$C$68</f>
        <v>0.12</v>
      </c>
      <c r="O13" s="177" t="str">
        <f t="shared" si="1"/>
        <v>&gt;+3s</v>
      </c>
      <c r="P13" s="180" t="str">
        <f t="shared" si="4"/>
        <v>Fail &gt; +2s</v>
      </c>
      <c r="Q13" s="180" t="str">
        <f t="shared" ref="Q13:Q55" si="10">IF(AND(G13&gt;K13,G12&gt;K13,G11&gt;K13,G10&gt;K13,G9&gt;K13,G8&gt;K13,G7&gt;K13,G6&gt;K13),"Fail +ve bias",IF(AND(G13&lt;K13,G12&lt;K13,G11&lt;K13,G10&lt;K13,G9&lt;K13,G8&lt;K13,G7&lt;K13,G6&lt;K13),"Fail -ve bias","Pass"))</f>
        <v>Fail +ve bias</v>
      </c>
      <c r="R13" s="180" t="str">
        <f t="shared" ref="R13:R55" si="11">IF(AND(G13&gt;G12,G12&gt;G11,G11&gt;G10,G10&gt;G9,G9&gt;G8,G8&gt;G7),"Fail +ve trend",IF(AND(G13&lt;G12,G12&lt;G11,G11&lt;G10,G10&lt;G9,G9&lt;G8,G8&lt;G7),"Fail -ve trend","Pass"))</f>
        <v>Pass</v>
      </c>
      <c r="S13" s="178" t="str">
        <f t="shared" si="5"/>
        <v>+</v>
      </c>
      <c r="T13" s="178"/>
      <c r="U13" s="178"/>
      <c r="V13" s="178"/>
      <c r="W13" s="178"/>
      <c r="X13" s="181">
        <f t="shared" si="6"/>
        <v>27.070000000000004</v>
      </c>
      <c r="Y13" s="181">
        <f t="shared" si="7"/>
        <v>27.052500000000002</v>
      </c>
      <c r="Z13" s="181">
        <f t="shared" si="8"/>
        <v>27.058</v>
      </c>
      <c r="AA13" s="181">
        <f t="shared" si="9"/>
        <v>27.0425</v>
      </c>
      <c r="AB13" s="181"/>
      <c r="AC13" s="178"/>
      <c r="AD13" s="179" t="str">
        <f t="shared" si="3"/>
        <v>Yes</v>
      </c>
    </row>
    <row r="14" spans="2:42" x14ac:dyDescent="0.3">
      <c r="B14" s="188">
        <v>9</v>
      </c>
      <c r="C14" s="205"/>
      <c r="D14" s="206"/>
      <c r="E14" s="207">
        <v>27.06</v>
      </c>
      <c r="F14" s="207">
        <v>27.06</v>
      </c>
      <c r="G14" s="183">
        <f t="shared" si="0"/>
        <v>27.06</v>
      </c>
      <c r="H14" s="183">
        <f t="shared" si="2"/>
        <v>0</v>
      </c>
      <c r="I14" s="183">
        <f>'Plot Data'!$C$67</f>
        <v>23.43396859798148</v>
      </c>
      <c r="J14" s="183">
        <f>'Plot Data'!$C$65</f>
        <v>23.539766944108866</v>
      </c>
      <c r="K14" s="184">
        <f>'Plot Data'!$C$58</f>
        <v>23.751363636363635</v>
      </c>
      <c r="L14" s="184">
        <f>'Plot Data'!$C$62</f>
        <v>23.962960328618404</v>
      </c>
      <c r="M14" s="184">
        <f>'Plot Data'!$C$64</f>
        <v>24.068758674745791</v>
      </c>
      <c r="N14" s="184">
        <f>'Plot Data'!$C$68</f>
        <v>0.12</v>
      </c>
      <c r="O14" s="177" t="str">
        <f t="shared" si="1"/>
        <v>&gt;+3s</v>
      </c>
      <c r="P14" s="180" t="str">
        <f t="shared" si="4"/>
        <v>Fail &gt; +2s</v>
      </c>
      <c r="Q14" s="180" t="str">
        <f t="shared" si="10"/>
        <v>Fail +ve bias</v>
      </c>
      <c r="R14" s="180" t="str">
        <f t="shared" si="11"/>
        <v>Pass</v>
      </c>
      <c r="S14" s="178" t="str">
        <f t="shared" si="5"/>
        <v>-</v>
      </c>
      <c r="T14" s="178"/>
      <c r="U14" s="178"/>
      <c r="V14" s="178"/>
      <c r="W14" s="178"/>
      <c r="X14" s="181">
        <f t="shared" si="6"/>
        <v>27.063333333333333</v>
      </c>
      <c r="Y14" s="181">
        <f t="shared" si="7"/>
        <v>27.067500000000003</v>
      </c>
      <c r="Z14" s="181">
        <f t="shared" si="8"/>
        <v>27.054000000000002</v>
      </c>
      <c r="AA14" s="181">
        <f t="shared" si="9"/>
        <v>27.058333333333334</v>
      </c>
      <c r="AB14" s="181"/>
      <c r="AC14" s="178"/>
      <c r="AD14" s="179" t="str">
        <f t="shared" si="3"/>
        <v>Yes</v>
      </c>
    </row>
    <row r="15" spans="2:42" x14ac:dyDescent="0.3">
      <c r="B15" s="188">
        <v>10</v>
      </c>
      <c r="C15" s="205"/>
      <c r="D15" s="206"/>
      <c r="E15" s="207">
        <v>27.12</v>
      </c>
      <c r="F15" s="207">
        <v>27.2</v>
      </c>
      <c r="G15" s="183">
        <f t="shared" si="0"/>
        <v>27.16</v>
      </c>
      <c r="H15" s="183">
        <f t="shared" si="2"/>
        <v>7.9999999999998295E-2</v>
      </c>
      <c r="I15" s="183">
        <f>'Plot Data'!$C$67</f>
        <v>23.43396859798148</v>
      </c>
      <c r="J15" s="183">
        <f>'Plot Data'!$C$65</f>
        <v>23.539766944108866</v>
      </c>
      <c r="K15" s="184">
        <f>'Plot Data'!$C$58</f>
        <v>23.751363636363635</v>
      </c>
      <c r="L15" s="184">
        <f>'Plot Data'!$C$62</f>
        <v>23.962960328618404</v>
      </c>
      <c r="M15" s="184">
        <f>'Plot Data'!$C$64</f>
        <v>24.068758674745791</v>
      </c>
      <c r="N15" s="184">
        <f>'Plot Data'!$C$68</f>
        <v>0.12</v>
      </c>
      <c r="O15" s="177" t="str">
        <f t="shared" si="1"/>
        <v>&gt;+3s</v>
      </c>
      <c r="P15" s="180" t="str">
        <f t="shared" si="4"/>
        <v>Fail &gt; +2s</v>
      </c>
      <c r="Q15" s="180" t="str">
        <f t="shared" si="10"/>
        <v>Fail +ve bias</v>
      </c>
      <c r="R15" s="180" t="str">
        <f t="shared" si="11"/>
        <v>Pass</v>
      </c>
      <c r="S15" s="178" t="str">
        <f t="shared" si="5"/>
        <v>+</v>
      </c>
      <c r="T15" s="178">
        <f>IF(OR(R6="Fail -ve trend",R7="Fail -ve trend",R8="Fail -ve trend",R9="Fail -ve trend",R10="Fail -ve trend",R11="Fail -ve trend",R12="Fail -ve trend",R13="Fail -ve trend",R14="Fail -ve trend",R15="Fail -ve trend",R6="Fail +ve trend",R7="Fail +ve trend",R8="Fail +ve trend",R9="Fail +ve trend",R10="Fail +ve trend",R11="Fail +ve trend",R12="Fail +ve trend",R13="Fail +ve trend",R14="Fail +ve trend",R15="Fail +ve trend"),"",COUNTIF(S6:S15,"+"))</f>
        <v>5</v>
      </c>
      <c r="U15" s="178">
        <f>IF(OR(R6="Fail -ve trend",R7="Fail -ve trend",R8="Fail -ve trend",R9="Fail -ve trend",R10="Fail -ve trend",R11="Fail -ve trend",R12="Fail -ve trend",R13="Fail -ve trend",R14="Fail -ve trend",R15="Fail -ve trend",R6="Fail +ve trend",R7="Fail +ve trend",R8="Fail +ve trend",R9="Fail +ve trend",R10="Fail +ve trend",R11="Fail +ve trend",R12="Fail +ve trend",R13="Fail +ve trend",R14="Fail +ve trend",R15="Fail +ve trend"),"",COUNTIF(T6:T15,"+"))</f>
        <v>0</v>
      </c>
      <c r="V15" s="178" t="str">
        <f>IF(AND(G10&gt;G7,G7&gt;G4,G4&gt;G1,G9&gt;G5,G5&gt;G1),"Fail +ve",IF(AND(G10&lt;G7,G7&lt;G4,G4&lt;G1,G9&lt;G5,G5&lt;G1),"Fail -ve","Pass"))</f>
        <v>Pass</v>
      </c>
      <c r="W15" s="178"/>
      <c r="X15" s="181">
        <f t="shared" si="6"/>
        <v>27.106666666666666</v>
      </c>
      <c r="Y15" s="181">
        <f t="shared" si="7"/>
        <v>27.087499999999999</v>
      </c>
      <c r="Z15" s="181">
        <f t="shared" si="8"/>
        <v>27.086000000000002</v>
      </c>
      <c r="AA15" s="181">
        <f t="shared" si="9"/>
        <v>27.071666666666669</v>
      </c>
      <c r="AB15" s="181" t="str">
        <f>IF(AND(AA15&gt;AA14,AA14&gt;AA13,AA13&gt;AA12,AA12&gt;AA11),"Fail +ve",IF(AND(AA15&lt;AA14,AA14&lt;AA13,AA13&lt;AA12,AA12&lt;AA11),"Fail -ve","Pass"))</f>
        <v>Pass</v>
      </c>
      <c r="AC15" s="178" t="str">
        <f>IF(T15="","Pass",IF(T15&gt;=7,"Fail +ve",IF(U15&gt;=7,"Fail -ve","Pass")))</f>
        <v>Pass</v>
      </c>
      <c r="AD15" s="179" t="str">
        <f t="shared" si="3"/>
        <v>Yes</v>
      </c>
    </row>
    <row r="16" spans="2:42" x14ac:dyDescent="0.3">
      <c r="B16" s="188">
        <v>11</v>
      </c>
      <c r="C16" s="205"/>
      <c r="D16" s="206"/>
      <c r="E16" s="207">
        <v>27.1</v>
      </c>
      <c r="F16" s="207">
        <v>27.1</v>
      </c>
      <c r="G16" s="183">
        <f t="shared" si="0"/>
        <v>27.1</v>
      </c>
      <c r="H16" s="183">
        <f t="shared" si="2"/>
        <v>0</v>
      </c>
      <c r="I16" s="183">
        <f>'Plot Data'!$C$67</f>
        <v>23.43396859798148</v>
      </c>
      <c r="J16" s="183">
        <f>'Plot Data'!$C$65</f>
        <v>23.539766944108866</v>
      </c>
      <c r="K16" s="184">
        <f>'Plot Data'!$C$58</f>
        <v>23.751363636363635</v>
      </c>
      <c r="L16" s="184">
        <f>'Plot Data'!$C$62</f>
        <v>23.962960328618404</v>
      </c>
      <c r="M16" s="184">
        <f>'Plot Data'!$C$64</f>
        <v>24.068758674745791</v>
      </c>
      <c r="N16" s="184">
        <f>'Plot Data'!$C$68</f>
        <v>0.12</v>
      </c>
      <c r="O16" s="177" t="str">
        <f t="shared" si="1"/>
        <v>&gt;+3s</v>
      </c>
      <c r="P16" s="180" t="str">
        <f t="shared" si="4"/>
        <v>Fail &gt; +2s</v>
      </c>
      <c r="Q16" s="180" t="str">
        <f t="shared" si="10"/>
        <v>Fail +ve bias</v>
      </c>
      <c r="R16" s="180" t="str">
        <f t="shared" si="11"/>
        <v>Pass</v>
      </c>
      <c r="S16" s="178" t="str">
        <f t="shared" si="5"/>
        <v>-</v>
      </c>
      <c r="T16" s="178">
        <f t="shared" ref="T16:T55" si="12">IF(OR(R7="Fail -ve trend",R8="Fail -ve trend",R9="Fail -ve trend",R10="Fail -ve trend",R11="Fail -ve trend",R12="Fail -ve trend",R13="Fail -ve trend",R14="Fail -ve trend",R15="Fail -ve trend",R16="Fail -ve trend",R7="Fail +ve trend",R8="Fail +ve trend",R9="Fail +ve trend",R10="Fail +ve trend",R11="Fail +ve trend",R12="Fail +ve trend",R13="Fail +ve trend",R14="Fail +ve trend",R15="Fail +ve trend",R16="Fail +ve trend"),"",COUNTIF(S7:S16,"+"))</f>
        <v>5</v>
      </c>
      <c r="U16" s="178">
        <f t="shared" ref="U16:U55" si="13">IF(OR(R7="Fail -ve trend",R8="Fail -ve trend",R9="Fail -ve trend",R10="Fail -ve trend",R11="Fail -ve trend",R12="Fail -ve trend",R13="Fail -ve trend",R14="Fail -ve trend",R15="Fail -ve trend",R16="Fail -ve trend",R7="Fail +ve trend",R8="Fail +ve trend",R9="Fail +ve trend",R10="Fail +ve trend",R11="Fail +ve trend",R12="Fail +ve trend",R13="Fail +ve trend",R14="Fail +ve trend",R15="Fail +ve trend",R16="Fail +ve trend"),"",COUNTIF(T7:T16,"+"))</f>
        <v>0</v>
      </c>
      <c r="V16" s="178"/>
      <c r="W16" s="178"/>
      <c r="X16" s="181">
        <f t="shared" si="6"/>
        <v>27.106666666666666</v>
      </c>
      <c r="Y16" s="181">
        <f t="shared" si="7"/>
        <v>27.104999999999997</v>
      </c>
      <c r="Z16" s="181">
        <f t="shared" si="8"/>
        <v>27.089999999999996</v>
      </c>
      <c r="AA16" s="181">
        <f t="shared" si="9"/>
        <v>27.088333333333335</v>
      </c>
      <c r="AB16" s="181" t="str">
        <f t="shared" ref="AB16:AB55" si="14">IF(AND(AA16&gt;AA15,AA15&gt;AA14,AA14&gt;AA13,AA13&gt;AA12),"Fail +ve",IF(AND(AA16&lt;AA15,AA15&lt;AA14,AA14&lt;AA13,AA13&lt;AA12),"Fail -ve","Pass"))</f>
        <v>Fail +ve</v>
      </c>
      <c r="AC16" s="178" t="str">
        <f t="shared" ref="AC16:AC55" si="15">IF(T16="","Pass",IF(T16&gt;=7,"Fail +ve",IF(U16&gt;=7,"Fail -ve","Pass")))</f>
        <v>Pass</v>
      </c>
      <c r="AD16" s="179" t="str">
        <f t="shared" si="3"/>
        <v>Yes</v>
      </c>
    </row>
    <row r="17" spans="2:42" x14ac:dyDescent="0.3">
      <c r="B17" s="188">
        <v>12</v>
      </c>
      <c r="C17" s="205"/>
      <c r="D17" s="206"/>
      <c r="E17" s="207">
        <v>27</v>
      </c>
      <c r="F17" s="207">
        <v>27</v>
      </c>
      <c r="G17" s="183">
        <f t="shared" si="0"/>
        <v>27</v>
      </c>
      <c r="H17" s="183">
        <f t="shared" si="2"/>
        <v>0</v>
      </c>
      <c r="I17" s="183">
        <f>'Plot Data'!$C$67</f>
        <v>23.43396859798148</v>
      </c>
      <c r="J17" s="183">
        <f>'Plot Data'!$C$65</f>
        <v>23.539766944108866</v>
      </c>
      <c r="K17" s="184">
        <f>'Plot Data'!$C$58</f>
        <v>23.751363636363635</v>
      </c>
      <c r="L17" s="184">
        <f>'Plot Data'!$C$62</f>
        <v>23.962960328618404</v>
      </c>
      <c r="M17" s="184">
        <f>'Plot Data'!$C$64</f>
        <v>24.068758674745791</v>
      </c>
      <c r="N17" s="184">
        <f>'Plot Data'!$C$68</f>
        <v>0.12</v>
      </c>
      <c r="O17" s="177" t="str">
        <f t="shared" si="1"/>
        <v>&gt;+3s</v>
      </c>
      <c r="P17" s="180" t="str">
        <f t="shared" si="4"/>
        <v>Fail &gt; +2s</v>
      </c>
      <c r="Q17" s="180" t="str">
        <f t="shared" si="10"/>
        <v>Fail +ve bias</v>
      </c>
      <c r="R17" s="180" t="str">
        <f t="shared" si="11"/>
        <v>Pass</v>
      </c>
      <c r="S17" s="178" t="str">
        <f t="shared" si="5"/>
        <v>-</v>
      </c>
      <c r="T17" s="178">
        <f t="shared" si="12"/>
        <v>5</v>
      </c>
      <c r="U17" s="178">
        <f t="shared" si="13"/>
        <v>0</v>
      </c>
      <c r="V17" s="178"/>
      <c r="W17" s="178"/>
      <c r="X17" s="181">
        <f t="shared" si="6"/>
        <v>27.08666666666667</v>
      </c>
      <c r="Y17" s="181"/>
      <c r="Z17" s="181"/>
      <c r="AA17" s="181">
        <f t="shared" si="9"/>
        <v>27.074999999999999</v>
      </c>
      <c r="AB17" s="181" t="str">
        <f t="shared" si="14"/>
        <v>Pass</v>
      </c>
      <c r="AC17" s="178" t="str">
        <f t="shared" si="15"/>
        <v>Pass</v>
      </c>
      <c r="AD17" s="179" t="str">
        <f t="shared" si="3"/>
        <v>Yes</v>
      </c>
    </row>
    <row r="18" spans="2:42" x14ac:dyDescent="0.3">
      <c r="B18" s="188">
        <v>13</v>
      </c>
      <c r="C18" s="205"/>
      <c r="D18" s="206"/>
      <c r="E18" s="207">
        <v>26.95</v>
      </c>
      <c r="F18" s="207">
        <v>26.95</v>
      </c>
      <c r="G18" s="183">
        <f t="shared" si="0"/>
        <v>26.95</v>
      </c>
      <c r="H18" s="183">
        <f t="shared" si="2"/>
        <v>0</v>
      </c>
      <c r="I18" s="183">
        <f>'Plot Data'!$C$67</f>
        <v>23.43396859798148</v>
      </c>
      <c r="J18" s="183">
        <f>'Plot Data'!$C$65</f>
        <v>23.539766944108866</v>
      </c>
      <c r="K18" s="184">
        <f>'Plot Data'!$C$58</f>
        <v>23.751363636363635</v>
      </c>
      <c r="L18" s="184">
        <f>'Plot Data'!$C$62</f>
        <v>23.962960328618404</v>
      </c>
      <c r="M18" s="184">
        <f>'Plot Data'!$C$64</f>
        <v>24.068758674745791</v>
      </c>
      <c r="N18" s="184">
        <f>'Plot Data'!$C$68</f>
        <v>0.12</v>
      </c>
      <c r="O18" s="177" t="str">
        <f t="shared" si="1"/>
        <v>&gt;+3s</v>
      </c>
      <c r="P18" s="180" t="str">
        <f t="shared" si="4"/>
        <v>Fail &gt; +2s</v>
      </c>
      <c r="Q18" s="180" t="str">
        <f t="shared" si="10"/>
        <v>Fail +ve bias</v>
      </c>
      <c r="R18" s="180" t="str">
        <f t="shared" si="11"/>
        <v>Pass</v>
      </c>
      <c r="S18" s="178" t="str">
        <f t="shared" si="5"/>
        <v>-</v>
      </c>
      <c r="T18" s="178">
        <f t="shared" si="12"/>
        <v>4</v>
      </c>
      <c r="U18" s="178">
        <f t="shared" si="13"/>
        <v>0</v>
      </c>
      <c r="V18" s="178"/>
      <c r="W18" s="178"/>
      <c r="X18" s="178"/>
      <c r="Y18" s="178"/>
      <c r="Z18" s="178"/>
      <c r="AA18" s="181">
        <f t="shared" si="9"/>
        <v>27.061666666666664</v>
      </c>
      <c r="AB18" s="178" t="str">
        <f t="shared" si="14"/>
        <v>Pass</v>
      </c>
      <c r="AC18" s="178" t="str">
        <f t="shared" si="15"/>
        <v>Pass</v>
      </c>
      <c r="AD18" s="179" t="str">
        <f t="shared" si="3"/>
        <v>Yes</v>
      </c>
    </row>
    <row r="19" spans="2:42" x14ac:dyDescent="0.3">
      <c r="B19" s="188">
        <v>14</v>
      </c>
      <c r="C19" s="205"/>
      <c r="D19" s="206"/>
      <c r="E19" s="207">
        <v>27</v>
      </c>
      <c r="F19" s="207">
        <v>27</v>
      </c>
      <c r="G19" s="183">
        <f t="shared" si="0"/>
        <v>27</v>
      </c>
      <c r="H19" s="183">
        <f t="shared" si="2"/>
        <v>0</v>
      </c>
      <c r="I19" s="183">
        <f>'Plot Data'!$C$67</f>
        <v>23.43396859798148</v>
      </c>
      <c r="J19" s="183">
        <f>'Plot Data'!$C$65</f>
        <v>23.539766944108866</v>
      </c>
      <c r="K19" s="184">
        <f>'Plot Data'!$C$58</f>
        <v>23.751363636363635</v>
      </c>
      <c r="L19" s="184">
        <f>'Plot Data'!$C$62</f>
        <v>23.962960328618404</v>
      </c>
      <c r="M19" s="184">
        <f>'Plot Data'!$C$64</f>
        <v>24.068758674745791</v>
      </c>
      <c r="N19" s="184">
        <f>'Plot Data'!$C$68</f>
        <v>0.12</v>
      </c>
      <c r="O19" s="177" t="str">
        <f t="shared" si="1"/>
        <v>&gt;+3s</v>
      </c>
      <c r="P19" s="180" t="str">
        <f t="shared" si="4"/>
        <v>Fail &gt; +2s</v>
      </c>
      <c r="Q19" s="180" t="str">
        <f t="shared" si="10"/>
        <v>Fail +ve bias</v>
      </c>
      <c r="R19" s="180" t="str">
        <f t="shared" si="11"/>
        <v>Pass</v>
      </c>
      <c r="S19" s="178" t="str">
        <f t="shared" si="5"/>
        <v>+</v>
      </c>
      <c r="T19" s="178">
        <f t="shared" si="12"/>
        <v>4</v>
      </c>
      <c r="U19" s="178">
        <f t="shared" si="13"/>
        <v>0</v>
      </c>
      <c r="V19" s="178"/>
      <c r="W19" s="178"/>
      <c r="X19" s="178"/>
      <c r="Y19" s="178"/>
      <c r="Z19" s="178"/>
      <c r="AA19" s="181">
        <f t="shared" si="9"/>
        <v>27.044999999999998</v>
      </c>
      <c r="AB19" s="178" t="str">
        <f t="shared" si="14"/>
        <v>Pass</v>
      </c>
      <c r="AC19" s="178" t="str">
        <f t="shared" si="15"/>
        <v>Pass</v>
      </c>
      <c r="AD19" s="179" t="str">
        <f t="shared" si="3"/>
        <v>Yes</v>
      </c>
    </row>
    <row r="20" spans="2:42" x14ac:dyDescent="0.3">
      <c r="B20" s="188">
        <v>15</v>
      </c>
      <c r="C20" s="205"/>
      <c r="D20" s="206"/>
      <c r="E20" s="207">
        <v>27.04</v>
      </c>
      <c r="F20" s="207">
        <v>27</v>
      </c>
      <c r="G20" s="183">
        <f t="shared" si="0"/>
        <v>27.02</v>
      </c>
      <c r="H20" s="183">
        <f t="shared" si="2"/>
        <v>3.9999999999999147E-2</v>
      </c>
      <c r="I20" s="183">
        <f>'Plot Data'!$C$67</f>
        <v>23.43396859798148</v>
      </c>
      <c r="J20" s="183">
        <f>'Plot Data'!$C$65</f>
        <v>23.539766944108866</v>
      </c>
      <c r="K20" s="184">
        <f>'Plot Data'!$C$58</f>
        <v>23.751363636363635</v>
      </c>
      <c r="L20" s="184">
        <f>'Plot Data'!$C$62</f>
        <v>23.962960328618404</v>
      </c>
      <c r="M20" s="184">
        <f>'Plot Data'!$C$64</f>
        <v>24.068758674745791</v>
      </c>
      <c r="N20" s="184">
        <f>'Plot Data'!$C$68</f>
        <v>0.12</v>
      </c>
      <c r="O20" s="177" t="str">
        <f t="shared" si="1"/>
        <v>&gt;+3s</v>
      </c>
      <c r="P20" s="180" t="str">
        <f t="shared" si="4"/>
        <v>Fail &gt; +2s</v>
      </c>
      <c r="Q20" s="180" t="str">
        <f t="shared" si="10"/>
        <v>Fail +ve bias</v>
      </c>
      <c r="R20" s="180" t="str">
        <f t="shared" si="11"/>
        <v>Pass</v>
      </c>
      <c r="S20" s="178" t="str">
        <f t="shared" si="5"/>
        <v>+</v>
      </c>
      <c r="T20" s="178">
        <f t="shared" si="12"/>
        <v>5</v>
      </c>
      <c r="U20" s="178">
        <f t="shared" si="13"/>
        <v>0</v>
      </c>
      <c r="V20" s="178"/>
      <c r="W20" s="178"/>
      <c r="X20" s="178"/>
      <c r="Y20" s="178"/>
      <c r="Z20" s="178"/>
      <c r="AA20" s="181">
        <f t="shared" si="9"/>
        <v>27.038333333333338</v>
      </c>
      <c r="AB20" s="178" t="str">
        <f t="shared" si="14"/>
        <v>Fail -ve</v>
      </c>
      <c r="AC20" s="178" t="str">
        <f t="shared" si="15"/>
        <v>Pass</v>
      </c>
      <c r="AD20" s="179" t="str">
        <f t="shared" si="3"/>
        <v>Yes</v>
      </c>
    </row>
    <row r="21" spans="2:42" x14ac:dyDescent="0.3">
      <c r="B21" s="188">
        <v>16</v>
      </c>
      <c r="C21" s="205"/>
      <c r="D21" s="206"/>
      <c r="E21" s="207">
        <v>26.9</v>
      </c>
      <c r="F21" s="207">
        <v>26.92</v>
      </c>
      <c r="G21" s="183">
        <f t="shared" si="0"/>
        <v>26.91</v>
      </c>
      <c r="H21" s="183">
        <f t="shared" si="2"/>
        <v>2.0000000000003126E-2</v>
      </c>
      <c r="I21" s="183">
        <f>'Plot Data'!$C$67</f>
        <v>23.43396859798148</v>
      </c>
      <c r="J21" s="183">
        <f>'Plot Data'!$C$65</f>
        <v>23.539766944108866</v>
      </c>
      <c r="K21" s="184">
        <f>'Plot Data'!$C$58</f>
        <v>23.751363636363635</v>
      </c>
      <c r="L21" s="184">
        <f>'Plot Data'!$C$62</f>
        <v>23.962960328618404</v>
      </c>
      <c r="M21" s="184">
        <f>'Plot Data'!$C$64</f>
        <v>24.068758674745791</v>
      </c>
      <c r="N21" s="184">
        <f>'Plot Data'!$C$68</f>
        <v>0.12</v>
      </c>
      <c r="O21" s="177" t="str">
        <f t="shared" si="1"/>
        <v>&gt;+3s</v>
      </c>
      <c r="P21" s="180" t="str">
        <f t="shared" si="4"/>
        <v>Fail &gt; +2s</v>
      </c>
      <c r="Q21" s="180" t="str">
        <f t="shared" si="10"/>
        <v>Fail +ve bias</v>
      </c>
      <c r="R21" s="180" t="str">
        <f t="shared" si="11"/>
        <v>Pass</v>
      </c>
      <c r="S21" s="178" t="str">
        <f t="shared" si="5"/>
        <v>-</v>
      </c>
      <c r="T21" s="178">
        <f t="shared" si="12"/>
        <v>4</v>
      </c>
      <c r="U21" s="178">
        <f t="shared" si="13"/>
        <v>0</v>
      </c>
      <c r="V21" s="178"/>
      <c r="W21" s="178"/>
      <c r="X21" s="178"/>
      <c r="Y21" s="178"/>
      <c r="Z21" s="178"/>
      <c r="AA21" s="181">
        <f t="shared" si="9"/>
        <v>26.996666666666666</v>
      </c>
      <c r="AB21" s="178" t="str">
        <f t="shared" si="14"/>
        <v>Fail -ve</v>
      </c>
      <c r="AC21" s="178" t="str">
        <f t="shared" si="15"/>
        <v>Pass</v>
      </c>
      <c r="AD21" s="179" t="str">
        <f t="shared" si="3"/>
        <v>Yes</v>
      </c>
    </row>
    <row r="22" spans="2:42" x14ac:dyDescent="0.3">
      <c r="B22" s="188">
        <v>17</v>
      </c>
      <c r="C22" s="205"/>
      <c r="D22" s="206"/>
      <c r="E22" s="207">
        <v>26.94</v>
      </c>
      <c r="F22" s="207">
        <v>26.92</v>
      </c>
      <c r="G22" s="183">
        <f t="shared" si="0"/>
        <v>26.93</v>
      </c>
      <c r="H22" s="183">
        <f t="shared" si="2"/>
        <v>1.9999999999999574E-2</v>
      </c>
      <c r="I22" s="183">
        <f>'Plot Data'!$C$67</f>
        <v>23.43396859798148</v>
      </c>
      <c r="J22" s="183">
        <f>'Plot Data'!$C$65</f>
        <v>23.539766944108866</v>
      </c>
      <c r="K22" s="184">
        <f>'Plot Data'!$C$58</f>
        <v>23.751363636363635</v>
      </c>
      <c r="L22" s="184">
        <f>'Plot Data'!$C$62</f>
        <v>23.962960328618404</v>
      </c>
      <c r="M22" s="184">
        <f>'Plot Data'!$C$64</f>
        <v>24.068758674745791</v>
      </c>
      <c r="N22" s="184">
        <f>'Plot Data'!$C$68</f>
        <v>0.12</v>
      </c>
      <c r="O22" s="177" t="str">
        <f t="shared" si="1"/>
        <v>&gt;+3s</v>
      </c>
      <c r="P22" s="180" t="str">
        <f t="shared" si="4"/>
        <v>Fail &gt; +2s</v>
      </c>
      <c r="Q22" s="180" t="str">
        <f t="shared" si="10"/>
        <v>Fail +ve bias</v>
      </c>
      <c r="R22" s="180" t="str">
        <f t="shared" si="11"/>
        <v>Pass</v>
      </c>
      <c r="S22" s="178" t="str">
        <f t="shared" si="5"/>
        <v>+</v>
      </c>
      <c r="T22" s="178">
        <f t="shared" si="12"/>
        <v>5</v>
      </c>
      <c r="U22" s="178">
        <f t="shared" si="13"/>
        <v>0</v>
      </c>
      <c r="V22" s="178"/>
      <c r="W22" s="178"/>
      <c r="X22" s="178"/>
      <c r="Y22" s="178"/>
      <c r="Z22" s="178"/>
      <c r="AA22" s="181">
        <f t="shared" si="9"/>
        <v>26.968333333333334</v>
      </c>
      <c r="AB22" s="178" t="str">
        <f t="shared" si="14"/>
        <v>Fail -ve</v>
      </c>
      <c r="AC22" s="178" t="str">
        <f t="shared" si="15"/>
        <v>Pass</v>
      </c>
      <c r="AD22" s="179" t="str">
        <f t="shared" si="3"/>
        <v>Yes</v>
      </c>
    </row>
    <row r="23" spans="2:42" x14ac:dyDescent="0.3">
      <c r="B23" s="188">
        <v>18</v>
      </c>
      <c r="C23" s="205"/>
      <c r="D23" s="206"/>
      <c r="E23" s="207">
        <v>26.88</v>
      </c>
      <c r="F23" s="207">
        <v>26.87</v>
      </c>
      <c r="G23" s="183">
        <f t="shared" si="0"/>
        <v>26.875</v>
      </c>
      <c r="H23" s="183">
        <f t="shared" si="2"/>
        <v>9.9999999999980105E-3</v>
      </c>
      <c r="I23" s="183">
        <f>'Plot Data'!$C$67</f>
        <v>23.43396859798148</v>
      </c>
      <c r="J23" s="183">
        <f>'Plot Data'!$C$65</f>
        <v>23.539766944108866</v>
      </c>
      <c r="K23" s="184">
        <f>'Plot Data'!$C$58</f>
        <v>23.751363636363635</v>
      </c>
      <c r="L23" s="184">
        <f>'Plot Data'!$C$62</f>
        <v>23.962960328618404</v>
      </c>
      <c r="M23" s="184">
        <f>'Plot Data'!$C$64</f>
        <v>24.068758674745791</v>
      </c>
      <c r="N23" s="184">
        <f>'Plot Data'!$C$68</f>
        <v>0.12</v>
      </c>
      <c r="O23" s="177" t="str">
        <f t="shared" si="1"/>
        <v>&gt;+3s</v>
      </c>
      <c r="P23" s="180" t="str">
        <f t="shared" si="4"/>
        <v>Fail &gt; +2s</v>
      </c>
      <c r="Q23" s="180" t="str">
        <f t="shared" si="10"/>
        <v>Fail +ve bias</v>
      </c>
      <c r="R23" s="180" t="str">
        <f t="shared" si="11"/>
        <v>Pass</v>
      </c>
      <c r="S23" s="178" t="str">
        <f t="shared" si="5"/>
        <v>-</v>
      </c>
      <c r="T23" s="178">
        <f t="shared" si="12"/>
        <v>4</v>
      </c>
      <c r="U23" s="178">
        <f t="shared" si="13"/>
        <v>0</v>
      </c>
      <c r="V23" s="178"/>
      <c r="W23" s="178"/>
      <c r="X23" s="178"/>
      <c r="Y23" s="178"/>
      <c r="Z23" s="178"/>
      <c r="AA23" s="181">
        <f t="shared" si="9"/>
        <v>26.947500000000002</v>
      </c>
      <c r="AB23" s="178" t="str">
        <f t="shared" si="14"/>
        <v>Fail -ve</v>
      </c>
      <c r="AC23" s="178" t="str">
        <f t="shared" si="15"/>
        <v>Pass</v>
      </c>
      <c r="AD23" s="179" t="str">
        <f t="shared" si="3"/>
        <v>Yes</v>
      </c>
    </row>
    <row r="24" spans="2:42" x14ac:dyDescent="0.3">
      <c r="B24" s="188">
        <v>19</v>
      </c>
      <c r="C24" s="205"/>
      <c r="D24" s="206"/>
      <c r="E24" s="207">
        <v>26.85</v>
      </c>
      <c r="F24" s="207">
        <v>26.85</v>
      </c>
      <c r="G24" s="183">
        <f t="shared" si="0"/>
        <v>26.85</v>
      </c>
      <c r="H24" s="183">
        <f t="shared" si="2"/>
        <v>0</v>
      </c>
      <c r="I24" s="183">
        <f>'Plot Data'!$C$67</f>
        <v>23.43396859798148</v>
      </c>
      <c r="J24" s="183">
        <f>'Plot Data'!$C$65</f>
        <v>23.539766944108866</v>
      </c>
      <c r="K24" s="184">
        <f>'Plot Data'!$C$58</f>
        <v>23.751363636363635</v>
      </c>
      <c r="L24" s="184">
        <f>'Plot Data'!$C$62</f>
        <v>23.962960328618404</v>
      </c>
      <c r="M24" s="184">
        <f>'Plot Data'!$C$64</f>
        <v>24.068758674745791</v>
      </c>
      <c r="N24" s="184">
        <f>'Plot Data'!$C$68</f>
        <v>0.12</v>
      </c>
      <c r="O24" s="177" t="str">
        <f t="shared" si="1"/>
        <v>&gt;+3s</v>
      </c>
      <c r="P24" s="180" t="str">
        <f t="shared" si="4"/>
        <v>Fail &gt; +2s</v>
      </c>
      <c r="Q24" s="180" t="str">
        <f t="shared" si="10"/>
        <v>Fail +ve bias</v>
      </c>
      <c r="R24" s="180" t="str">
        <f t="shared" si="11"/>
        <v>Pass</v>
      </c>
      <c r="S24" s="178" t="str">
        <f t="shared" si="5"/>
        <v>-</v>
      </c>
      <c r="T24" s="178">
        <f t="shared" si="12"/>
        <v>4</v>
      </c>
      <c r="U24" s="178">
        <f t="shared" si="13"/>
        <v>0</v>
      </c>
      <c r="V24" s="178"/>
      <c r="W24" s="178"/>
      <c r="X24" s="178"/>
      <c r="Y24" s="178"/>
      <c r="Z24" s="178"/>
      <c r="AA24" s="181">
        <f t="shared" si="9"/>
        <v>26.930833333333329</v>
      </c>
      <c r="AB24" s="178" t="str">
        <f t="shared" si="14"/>
        <v>Fail -ve</v>
      </c>
      <c r="AC24" s="178" t="str">
        <f t="shared" si="15"/>
        <v>Pass</v>
      </c>
      <c r="AD24" s="179" t="str">
        <f t="shared" si="3"/>
        <v>Yes</v>
      </c>
    </row>
    <row r="25" spans="2:42" x14ac:dyDescent="0.3">
      <c r="B25" s="188">
        <v>20</v>
      </c>
      <c r="C25" s="205"/>
      <c r="D25" s="206"/>
      <c r="E25" s="207">
        <v>27</v>
      </c>
      <c r="F25" s="207">
        <v>27.13</v>
      </c>
      <c r="G25" s="183">
        <f t="shared" si="0"/>
        <v>27.064999999999998</v>
      </c>
      <c r="H25" s="183">
        <f t="shared" si="2"/>
        <v>0.12999999999999901</v>
      </c>
      <c r="I25" s="183">
        <f>'Plot Data'!$C$67</f>
        <v>23.43396859798148</v>
      </c>
      <c r="J25" s="183">
        <f>'Plot Data'!$C$65</f>
        <v>23.539766944108866</v>
      </c>
      <c r="K25" s="184">
        <f>'Plot Data'!$C$58</f>
        <v>23.751363636363635</v>
      </c>
      <c r="L25" s="184">
        <f>'Plot Data'!$C$62</f>
        <v>23.962960328618404</v>
      </c>
      <c r="M25" s="184">
        <f>'Plot Data'!$C$64</f>
        <v>24.068758674745791</v>
      </c>
      <c r="N25" s="184">
        <f>'Plot Data'!$C$68</f>
        <v>0.12</v>
      </c>
      <c r="O25" s="177" t="str">
        <f t="shared" si="1"/>
        <v>&gt;+3s</v>
      </c>
      <c r="P25" s="180" t="str">
        <f t="shared" si="4"/>
        <v>Fail &gt; +2s</v>
      </c>
      <c r="Q25" s="180" t="str">
        <f t="shared" si="10"/>
        <v>Fail +ve bias</v>
      </c>
      <c r="R25" s="180" t="str">
        <f t="shared" si="11"/>
        <v>Pass</v>
      </c>
      <c r="S25" s="178" t="str">
        <f t="shared" si="5"/>
        <v>+</v>
      </c>
      <c r="T25" s="178">
        <f t="shared" si="12"/>
        <v>4</v>
      </c>
      <c r="U25" s="178">
        <f t="shared" si="13"/>
        <v>0</v>
      </c>
      <c r="V25" s="178"/>
      <c r="W25" s="178"/>
      <c r="X25" s="178"/>
      <c r="Y25" s="178"/>
      <c r="Z25" s="178"/>
      <c r="AA25" s="181">
        <f t="shared" si="9"/>
        <v>26.941666666666666</v>
      </c>
      <c r="AB25" s="178" t="str">
        <f t="shared" si="14"/>
        <v>Pass</v>
      </c>
      <c r="AC25" s="178" t="str">
        <f t="shared" si="15"/>
        <v>Pass</v>
      </c>
      <c r="AD25" s="179" t="str">
        <f t="shared" si="3"/>
        <v>No</v>
      </c>
    </row>
    <row r="26" spans="2:42" x14ac:dyDescent="0.3">
      <c r="B26" s="188">
        <v>21</v>
      </c>
      <c r="C26" s="205"/>
      <c r="D26" s="206"/>
      <c r="E26" s="207">
        <v>26.88</v>
      </c>
      <c r="F26" s="207">
        <v>26.9</v>
      </c>
      <c r="G26" s="183">
        <f t="shared" si="0"/>
        <v>26.89</v>
      </c>
      <c r="H26" s="183">
        <f t="shared" si="2"/>
        <v>1.9999999999999574E-2</v>
      </c>
      <c r="I26" s="183">
        <f>'Plot Data'!$C$67</f>
        <v>23.43396859798148</v>
      </c>
      <c r="J26" s="183">
        <f>'Plot Data'!$C$65</f>
        <v>23.539766944108866</v>
      </c>
      <c r="K26" s="184">
        <f>'Plot Data'!$C$58</f>
        <v>23.751363636363635</v>
      </c>
      <c r="L26" s="184">
        <f>'Plot Data'!$C$62</f>
        <v>23.962960328618404</v>
      </c>
      <c r="M26" s="184">
        <f>'Plot Data'!$C$64</f>
        <v>24.068758674745791</v>
      </c>
      <c r="N26" s="184">
        <f>'Plot Data'!$C$68</f>
        <v>0.12</v>
      </c>
      <c r="O26" s="177" t="str">
        <f t="shared" si="1"/>
        <v>&gt;+3s</v>
      </c>
      <c r="P26" s="180" t="str">
        <f t="shared" si="4"/>
        <v>Fail &gt; +2s</v>
      </c>
      <c r="Q26" s="180" t="str">
        <f t="shared" si="10"/>
        <v>Fail +ve bias</v>
      </c>
      <c r="R26" s="180" t="str">
        <f t="shared" si="11"/>
        <v>Pass</v>
      </c>
      <c r="S26" s="178" t="str">
        <f t="shared" si="5"/>
        <v>-</v>
      </c>
      <c r="T26" s="178">
        <f t="shared" si="12"/>
        <v>4</v>
      </c>
      <c r="U26" s="178">
        <f t="shared" si="13"/>
        <v>0</v>
      </c>
      <c r="V26" s="178"/>
      <c r="W26" s="178"/>
      <c r="X26" s="178"/>
      <c r="Y26" s="178"/>
      <c r="Z26" s="178"/>
      <c r="AA26" s="181">
        <f t="shared" si="9"/>
        <v>26.919999999999998</v>
      </c>
      <c r="AB26" s="178" t="str">
        <f t="shared" si="14"/>
        <v>Pass</v>
      </c>
      <c r="AC26" s="178" t="str">
        <f t="shared" si="15"/>
        <v>Pass</v>
      </c>
      <c r="AD26" s="179" t="str">
        <f t="shared" si="3"/>
        <v>Yes</v>
      </c>
    </row>
    <row r="27" spans="2:42" x14ac:dyDescent="0.3">
      <c r="B27" s="188">
        <v>22</v>
      </c>
      <c r="C27" s="205"/>
      <c r="D27" s="206"/>
      <c r="E27" s="207">
        <v>26.75</v>
      </c>
      <c r="F27" s="207">
        <v>26.77</v>
      </c>
      <c r="G27" s="183">
        <f t="shared" si="0"/>
        <v>26.759999999999998</v>
      </c>
      <c r="H27" s="183">
        <f t="shared" si="2"/>
        <v>1.9999999999999574E-2</v>
      </c>
      <c r="I27" s="183">
        <f>'Plot Data'!$C$67</f>
        <v>23.43396859798148</v>
      </c>
      <c r="J27" s="183">
        <f>'Plot Data'!$C$65</f>
        <v>23.539766944108866</v>
      </c>
      <c r="K27" s="184">
        <f>'Plot Data'!$C$58</f>
        <v>23.751363636363635</v>
      </c>
      <c r="L27" s="184">
        <f>'Plot Data'!$C$62</f>
        <v>23.962960328618404</v>
      </c>
      <c r="M27" s="184">
        <f>'Plot Data'!$C$64</f>
        <v>24.068758674745791</v>
      </c>
      <c r="N27" s="184">
        <f>'Plot Data'!$C$68</f>
        <v>0.12</v>
      </c>
      <c r="O27" s="177" t="str">
        <f t="shared" si="1"/>
        <v>&gt;+3s</v>
      </c>
      <c r="P27" s="180" t="str">
        <f t="shared" si="4"/>
        <v>Fail &gt; +2s</v>
      </c>
      <c r="Q27" s="180" t="str">
        <f t="shared" si="10"/>
        <v>Fail +ve bias</v>
      </c>
      <c r="R27" s="180" t="str">
        <f t="shared" si="11"/>
        <v>Pass</v>
      </c>
      <c r="S27" s="178" t="str">
        <f t="shared" si="5"/>
        <v>-</v>
      </c>
      <c r="T27" s="178">
        <f t="shared" si="12"/>
        <v>4</v>
      </c>
      <c r="U27" s="178">
        <f t="shared" si="13"/>
        <v>0</v>
      </c>
      <c r="V27" s="178"/>
      <c r="W27" s="178"/>
      <c r="X27" s="178"/>
      <c r="Y27" s="178"/>
      <c r="Z27" s="178"/>
      <c r="AA27" s="181">
        <f t="shared" si="9"/>
        <v>26.895</v>
      </c>
      <c r="AB27" s="178" t="str">
        <f t="shared" si="14"/>
        <v>Pass</v>
      </c>
      <c r="AC27" s="178" t="str">
        <f t="shared" si="15"/>
        <v>Pass</v>
      </c>
      <c r="AD27" s="179" t="str">
        <f t="shared" si="3"/>
        <v>Yes</v>
      </c>
    </row>
    <row r="28" spans="2:42" x14ac:dyDescent="0.3">
      <c r="B28" s="188">
        <v>23</v>
      </c>
      <c r="C28" s="205"/>
      <c r="D28" s="206"/>
      <c r="E28" s="207">
        <v>27.2</v>
      </c>
      <c r="F28" s="207">
        <v>27.26</v>
      </c>
      <c r="G28" s="183">
        <f t="shared" si="0"/>
        <v>27.23</v>
      </c>
      <c r="H28" s="183">
        <f t="shared" si="2"/>
        <v>6.0000000000002274E-2</v>
      </c>
      <c r="I28" s="183">
        <f>'Plot Data'!$C$67</f>
        <v>23.43396859798148</v>
      </c>
      <c r="J28" s="183">
        <f>'Plot Data'!$C$65</f>
        <v>23.539766944108866</v>
      </c>
      <c r="K28" s="184">
        <f>'Plot Data'!$C$58</f>
        <v>23.751363636363635</v>
      </c>
      <c r="L28" s="184">
        <f>'Plot Data'!$C$62</f>
        <v>23.962960328618404</v>
      </c>
      <c r="M28" s="184">
        <f>'Plot Data'!$C$64</f>
        <v>24.068758674745791</v>
      </c>
      <c r="N28" s="184">
        <f>'Plot Data'!$C$68</f>
        <v>0.12</v>
      </c>
      <c r="O28" s="177" t="str">
        <f t="shared" si="1"/>
        <v>&gt;+3s</v>
      </c>
      <c r="P28" s="180" t="str">
        <f t="shared" si="4"/>
        <v>Fail &gt; +2s</v>
      </c>
      <c r="Q28" s="180" t="str">
        <f t="shared" si="10"/>
        <v>Fail +ve bias</v>
      </c>
      <c r="R28" s="180" t="str">
        <f t="shared" si="11"/>
        <v>Pass</v>
      </c>
      <c r="S28" s="178" t="str">
        <f t="shared" si="5"/>
        <v>+</v>
      </c>
      <c r="T28" s="178">
        <f t="shared" si="12"/>
        <v>5</v>
      </c>
      <c r="U28" s="178">
        <f t="shared" si="13"/>
        <v>0</v>
      </c>
      <c r="V28" s="178"/>
      <c r="W28" s="178"/>
      <c r="X28" s="178"/>
      <c r="Y28" s="178"/>
      <c r="Z28" s="178"/>
      <c r="AA28" s="181">
        <f t="shared" si="9"/>
        <v>26.944999999999997</v>
      </c>
      <c r="AB28" s="178" t="str">
        <f t="shared" si="14"/>
        <v>Pass</v>
      </c>
      <c r="AC28" s="178" t="str">
        <f t="shared" si="15"/>
        <v>Pass</v>
      </c>
      <c r="AD28" s="179" t="str">
        <f t="shared" si="3"/>
        <v>Yes</v>
      </c>
    </row>
    <row r="29" spans="2:42" x14ac:dyDescent="0.3">
      <c r="B29" s="188">
        <v>24</v>
      </c>
      <c r="C29" s="205"/>
      <c r="D29" s="206"/>
      <c r="E29" s="207">
        <v>27</v>
      </c>
      <c r="F29" s="207">
        <v>27.1</v>
      </c>
      <c r="G29" s="183">
        <f t="shared" si="0"/>
        <v>27.05</v>
      </c>
      <c r="H29" s="183">
        <f t="shared" si="2"/>
        <v>0.10000000000000142</v>
      </c>
      <c r="I29" s="183">
        <f>'Plot Data'!$C$67</f>
        <v>23.43396859798148</v>
      </c>
      <c r="J29" s="183">
        <f>'Plot Data'!$C$65</f>
        <v>23.539766944108866</v>
      </c>
      <c r="K29" s="184">
        <f>'Plot Data'!$C$58</f>
        <v>23.751363636363635</v>
      </c>
      <c r="L29" s="184">
        <f>'Plot Data'!$C$62</f>
        <v>23.962960328618404</v>
      </c>
      <c r="M29" s="184">
        <f>'Plot Data'!$C$64</f>
        <v>24.068758674745791</v>
      </c>
      <c r="N29" s="184">
        <f>'Plot Data'!$C$68</f>
        <v>0.12</v>
      </c>
      <c r="O29" s="177" t="str">
        <f t="shared" si="1"/>
        <v>&gt;+3s</v>
      </c>
      <c r="P29" s="180" t="str">
        <f t="shared" si="4"/>
        <v>Fail &gt; +2s</v>
      </c>
      <c r="Q29" s="180" t="str">
        <f t="shared" si="10"/>
        <v>Fail +ve bias</v>
      </c>
      <c r="R29" s="180" t="str">
        <f t="shared" si="11"/>
        <v>Pass</v>
      </c>
      <c r="S29" s="178" t="str">
        <f t="shared" si="5"/>
        <v>-</v>
      </c>
      <c r="T29" s="178">
        <f t="shared" si="12"/>
        <v>4</v>
      </c>
      <c r="U29" s="178">
        <f t="shared" si="13"/>
        <v>0</v>
      </c>
      <c r="V29" s="178"/>
      <c r="W29" s="178"/>
      <c r="X29" s="178"/>
      <c r="Y29" s="178"/>
      <c r="Z29" s="178"/>
      <c r="AA29" s="181">
        <f t="shared" si="9"/>
        <v>26.974166666666665</v>
      </c>
      <c r="AB29" s="178" t="str">
        <f t="shared" si="14"/>
        <v>Pass</v>
      </c>
      <c r="AC29" s="178" t="str">
        <f t="shared" si="15"/>
        <v>Pass</v>
      </c>
      <c r="AD29" s="179" t="str">
        <f t="shared" si="3"/>
        <v>Yes</v>
      </c>
    </row>
    <row r="30" spans="2:42" x14ac:dyDescent="0.3">
      <c r="B30" s="188">
        <v>25</v>
      </c>
      <c r="C30" s="205"/>
      <c r="D30" s="206"/>
      <c r="E30" s="207">
        <v>27.18</v>
      </c>
      <c r="F30" s="207">
        <v>27.2</v>
      </c>
      <c r="G30" s="183">
        <f t="shared" si="0"/>
        <v>27.189999999999998</v>
      </c>
      <c r="H30" s="183">
        <f t="shared" si="2"/>
        <v>1.9999999999999574E-2</v>
      </c>
      <c r="I30" s="183">
        <f>'Plot Data'!$C$67</f>
        <v>23.43396859798148</v>
      </c>
      <c r="J30" s="183">
        <f>'Plot Data'!$C$65</f>
        <v>23.539766944108866</v>
      </c>
      <c r="K30" s="184">
        <f>'Plot Data'!$C$58</f>
        <v>23.751363636363635</v>
      </c>
      <c r="L30" s="184">
        <f>'Plot Data'!$C$62</f>
        <v>23.962960328618404</v>
      </c>
      <c r="M30" s="184">
        <f>'Plot Data'!$C$64</f>
        <v>24.068758674745791</v>
      </c>
      <c r="N30" s="184">
        <f>'Plot Data'!$C$68</f>
        <v>0.12</v>
      </c>
      <c r="O30" s="177" t="str">
        <f t="shared" si="1"/>
        <v>&gt;+3s</v>
      </c>
      <c r="P30" s="180" t="str">
        <f t="shared" si="4"/>
        <v>Fail &gt; +2s</v>
      </c>
      <c r="Q30" s="180" t="str">
        <f t="shared" si="10"/>
        <v>Fail +ve bias</v>
      </c>
      <c r="R30" s="180" t="str">
        <f t="shared" si="11"/>
        <v>Pass</v>
      </c>
      <c r="S30" s="178" t="str">
        <f t="shared" si="5"/>
        <v>+</v>
      </c>
      <c r="T30" s="178">
        <f t="shared" si="12"/>
        <v>4</v>
      </c>
      <c r="U30" s="178">
        <f t="shared" si="13"/>
        <v>0</v>
      </c>
      <c r="V30" s="178"/>
      <c r="W30" s="178"/>
      <c r="X30" s="178"/>
      <c r="Y30" s="178"/>
      <c r="Z30" s="178"/>
      <c r="AA30" s="181">
        <f t="shared" si="9"/>
        <v>27.030833333333334</v>
      </c>
      <c r="AB30" s="178" t="str">
        <f t="shared" si="14"/>
        <v>Pass</v>
      </c>
      <c r="AC30" s="178" t="str">
        <f t="shared" si="15"/>
        <v>Pass</v>
      </c>
      <c r="AD30" s="179" t="str">
        <f t="shared" si="3"/>
        <v>Yes</v>
      </c>
    </row>
    <row r="31" spans="2:42" x14ac:dyDescent="0.3">
      <c r="B31" s="188">
        <v>26</v>
      </c>
      <c r="C31" s="205"/>
      <c r="D31" s="206"/>
      <c r="E31" s="207">
        <v>27.18</v>
      </c>
      <c r="F31" s="207">
        <v>27.2</v>
      </c>
      <c r="G31" s="183">
        <f t="shared" si="0"/>
        <v>27.189999999999998</v>
      </c>
      <c r="H31" s="183">
        <f t="shared" si="2"/>
        <v>1.9999999999999574E-2</v>
      </c>
      <c r="I31" s="183">
        <f>'Plot Data'!$C$67</f>
        <v>23.43396859798148</v>
      </c>
      <c r="J31" s="183">
        <f>'Plot Data'!$C$65</f>
        <v>23.539766944108866</v>
      </c>
      <c r="K31" s="184">
        <f>'Plot Data'!$C$58</f>
        <v>23.751363636363635</v>
      </c>
      <c r="L31" s="184">
        <f>'Plot Data'!$C$62</f>
        <v>23.962960328618404</v>
      </c>
      <c r="M31" s="184">
        <f>'Plot Data'!$C$64</f>
        <v>24.068758674745791</v>
      </c>
      <c r="N31" s="184">
        <f>'Plot Data'!$C$68</f>
        <v>0.12</v>
      </c>
      <c r="O31" s="177" t="str">
        <f t="shared" si="1"/>
        <v>&gt;+3s</v>
      </c>
      <c r="P31" s="180" t="str">
        <f t="shared" si="4"/>
        <v>Fail &gt; +2s</v>
      </c>
      <c r="Q31" s="180" t="str">
        <f t="shared" si="10"/>
        <v>Fail +ve bias</v>
      </c>
      <c r="R31" s="180" t="str">
        <f t="shared" si="11"/>
        <v>Pass</v>
      </c>
      <c r="S31" s="178" t="str">
        <f t="shared" si="5"/>
        <v/>
      </c>
      <c r="T31" s="178">
        <f t="shared" si="12"/>
        <v>4</v>
      </c>
      <c r="U31" s="178">
        <f t="shared" si="13"/>
        <v>0</v>
      </c>
      <c r="V31" s="178"/>
      <c r="W31" s="178"/>
      <c r="X31" s="178"/>
      <c r="Y31" s="178"/>
      <c r="Z31" s="178"/>
      <c r="AA31" s="181">
        <f t="shared" si="9"/>
        <v>27.051666666666666</v>
      </c>
      <c r="AB31" s="178" t="str">
        <f t="shared" si="14"/>
        <v>Fail +ve</v>
      </c>
      <c r="AC31" s="178" t="str">
        <f t="shared" si="15"/>
        <v>Pass</v>
      </c>
      <c r="AD31" s="179" t="str">
        <f t="shared" si="3"/>
        <v>Yes</v>
      </c>
      <c r="AF31" s="703"/>
      <c r="AG31" s="703"/>
      <c r="AH31" s="703"/>
      <c r="AI31" s="703"/>
      <c r="AJ31" s="703"/>
      <c r="AK31" s="703"/>
      <c r="AL31" s="703"/>
      <c r="AM31" s="703"/>
      <c r="AN31" s="703"/>
      <c r="AO31" s="703"/>
      <c r="AP31" s="703"/>
    </row>
    <row r="32" spans="2:42" ht="15" thickBot="1" x14ac:dyDescent="0.35">
      <c r="B32" s="188">
        <v>27</v>
      </c>
      <c r="C32" s="205"/>
      <c r="D32" s="206"/>
      <c r="E32" s="207">
        <v>27.18</v>
      </c>
      <c r="F32" s="207">
        <v>27.2</v>
      </c>
      <c r="G32" s="183">
        <f t="shared" si="0"/>
        <v>27.189999999999998</v>
      </c>
      <c r="H32" s="183">
        <f t="shared" si="2"/>
        <v>1.9999999999999574E-2</v>
      </c>
      <c r="I32" s="183">
        <f>'Plot Data'!$C$67</f>
        <v>23.43396859798148</v>
      </c>
      <c r="J32" s="183">
        <f>'Plot Data'!$C$65</f>
        <v>23.539766944108866</v>
      </c>
      <c r="K32" s="184">
        <f>'Plot Data'!$C$58</f>
        <v>23.751363636363635</v>
      </c>
      <c r="L32" s="184">
        <f>'Plot Data'!$C$62</f>
        <v>23.962960328618404</v>
      </c>
      <c r="M32" s="184">
        <f>'Plot Data'!$C$64</f>
        <v>24.068758674745791</v>
      </c>
      <c r="N32" s="184">
        <f>'Plot Data'!$C$68</f>
        <v>0.12</v>
      </c>
      <c r="O32" s="177" t="str">
        <f t="shared" si="1"/>
        <v>&gt;+3s</v>
      </c>
      <c r="P32" s="180" t="str">
        <f t="shared" si="4"/>
        <v>Fail &gt; +2s</v>
      </c>
      <c r="Q32" s="180" t="str">
        <f t="shared" si="10"/>
        <v>Fail +ve bias</v>
      </c>
      <c r="R32" s="180" t="str">
        <f t="shared" si="11"/>
        <v>Pass</v>
      </c>
      <c r="S32" s="178" t="str">
        <f t="shared" si="5"/>
        <v/>
      </c>
      <c r="T32" s="178">
        <f t="shared" si="12"/>
        <v>3</v>
      </c>
      <c r="U32" s="178">
        <f t="shared" si="13"/>
        <v>0</v>
      </c>
      <c r="V32" s="178"/>
      <c r="W32" s="178"/>
      <c r="X32" s="178"/>
      <c r="Y32" s="178"/>
      <c r="Z32" s="178"/>
      <c r="AA32" s="181">
        <f t="shared" si="9"/>
        <v>27.101666666666663</v>
      </c>
      <c r="AB32" s="178" t="str">
        <f t="shared" si="14"/>
        <v>Fail +ve</v>
      </c>
      <c r="AC32" s="178" t="str">
        <f t="shared" si="15"/>
        <v>Pass</v>
      </c>
      <c r="AD32" s="179" t="str">
        <f t="shared" si="3"/>
        <v>Yes</v>
      </c>
      <c r="AF32" s="704"/>
      <c r="AG32" s="704"/>
      <c r="AH32" s="704"/>
      <c r="AI32" s="704"/>
      <c r="AJ32" s="704"/>
      <c r="AK32" s="704"/>
      <c r="AL32" s="704"/>
      <c r="AM32" s="704"/>
      <c r="AN32" s="704"/>
      <c r="AO32" s="704"/>
      <c r="AP32" s="704"/>
    </row>
    <row r="33" spans="2:42" x14ac:dyDescent="0.3">
      <c r="B33" s="188">
        <v>28</v>
      </c>
      <c r="C33" s="205"/>
      <c r="D33" s="206"/>
      <c r="E33" s="207">
        <v>27.18</v>
      </c>
      <c r="F33" s="207">
        <v>27.2</v>
      </c>
      <c r="G33" s="183">
        <f t="shared" si="0"/>
        <v>27.189999999999998</v>
      </c>
      <c r="H33" s="183">
        <f t="shared" si="2"/>
        <v>1.9999999999999574E-2</v>
      </c>
      <c r="I33" s="183">
        <f>'Plot Data'!$C$67</f>
        <v>23.43396859798148</v>
      </c>
      <c r="J33" s="183">
        <f>'Plot Data'!$C$65</f>
        <v>23.539766944108866</v>
      </c>
      <c r="K33" s="184">
        <f>'Plot Data'!$C$58</f>
        <v>23.751363636363635</v>
      </c>
      <c r="L33" s="184">
        <f>'Plot Data'!$C$62</f>
        <v>23.962960328618404</v>
      </c>
      <c r="M33" s="184">
        <f>'Plot Data'!$C$64</f>
        <v>24.068758674745791</v>
      </c>
      <c r="N33" s="184">
        <f>'Plot Data'!$C$68</f>
        <v>0.12</v>
      </c>
      <c r="O33" s="177" t="str">
        <f t="shared" si="1"/>
        <v>&gt;+3s</v>
      </c>
      <c r="P33" s="180" t="str">
        <f t="shared" si="4"/>
        <v>Fail &gt; +2s</v>
      </c>
      <c r="Q33" s="180" t="str">
        <f t="shared" si="10"/>
        <v>Fail +ve bias</v>
      </c>
      <c r="R33" s="180" t="str">
        <f t="shared" si="11"/>
        <v>Pass</v>
      </c>
      <c r="S33" s="178" t="str">
        <f t="shared" si="5"/>
        <v/>
      </c>
      <c r="T33" s="178">
        <f t="shared" si="12"/>
        <v>3</v>
      </c>
      <c r="U33" s="178">
        <f t="shared" si="13"/>
        <v>0</v>
      </c>
      <c r="V33" s="178"/>
      <c r="W33" s="178"/>
      <c r="X33" s="178"/>
      <c r="Y33" s="178"/>
      <c r="Z33" s="178"/>
      <c r="AA33" s="181">
        <f t="shared" si="9"/>
        <v>27.173333333333332</v>
      </c>
      <c r="AB33" s="178" t="str">
        <f t="shared" si="14"/>
        <v>Fail +ve</v>
      </c>
      <c r="AC33" s="178" t="str">
        <f t="shared" si="15"/>
        <v>Pass</v>
      </c>
      <c r="AD33" s="179" t="str">
        <f t="shared" si="3"/>
        <v>Yes</v>
      </c>
      <c r="AF33" s="690" t="s">
        <v>7</v>
      </c>
      <c r="AG33" s="689"/>
      <c r="AH33" s="689" t="str">
        <f>AH5</f>
        <v>Calorific Value</v>
      </c>
      <c r="AI33" s="689"/>
      <c r="AJ33" s="689"/>
      <c r="AK33" s="689" t="s">
        <v>168</v>
      </c>
      <c r="AL33" s="689"/>
      <c r="AM33" s="689"/>
      <c r="AN33" s="689" t="str">
        <f>AN5</f>
        <v>IMP-CAL-01</v>
      </c>
      <c r="AO33" s="689"/>
      <c r="AP33" s="691"/>
    </row>
    <row r="34" spans="2:42" ht="15" customHeight="1" x14ac:dyDescent="0.3">
      <c r="B34" s="188">
        <v>29</v>
      </c>
      <c r="C34" s="205"/>
      <c r="D34" s="206"/>
      <c r="E34" s="207">
        <v>27.18</v>
      </c>
      <c r="F34" s="207">
        <v>27.2</v>
      </c>
      <c r="G34" s="183">
        <f t="shared" si="0"/>
        <v>27.189999999999998</v>
      </c>
      <c r="H34" s="183">
        <f t="shared" si="2"/>
        <v>1.9999999999999574E-2</v>
      </c>
      <c r="I34" s="183">
        <f>'Plot Data'!$C$67</f>
        <v>23.43396859798148</v>
      </c>
      <c r="J34" s="183">
        <f>'Plot Data'!$C$65</f>
        <v>23.539766944108866</v>
      </c>
      <c r="K34" s="184">
        <f>'Plot Data'!$C$58</f>
        <v>23.751363636363635</v>
      </c>
      <c r="L34" s="184">
        <f>'Plot Data'!$C$62</f>
        <v>23.962960328618404</v>
      </c>
      <c r="M34" s="184">
        <f>'Plot Data'!$C$64</f>
        <v>24.068758674745791</v>
      </c>
      <c r="N34" s="184">
        <f>'Plot Data'!$C$68</f>
        <v>0.12</v>
      </c>
      <c r="O34" s="177" t="str">
        <f t="shared" si="1"/>
        <v>&gt;+3s</v>
      </c>
      <c r="P34" s="180" t="str">
        <f t="shared" si="4"/>
        <v>Fail &gt; +2s</v>
      </c>
      <c r="Q34" s="180" t="str">
        <f t="shared" si="10"/>
        <v>Fail +ve bias</v>
      </c>
      <c r="R34" s="180" t="str">
        <f t="shared" si="11"/>
        <v>Pass</v>
      </c>
      <c r="S34" s="178" t="str">
        <f t="shared" si="5"/>
        <v/>
      </c>
      <c r="T34" s="178">
        <f t="shared" si="12"/>
        <v>3</v>
      </c>
      <c r="U34" s="178">
        <f t="shared" si="13"/>
        <v>0</v>
      </c>
      <c r="V34" s="178"/>
      <c r="W34" s="178"/>
      <c r="X34" s="178"/>
      <c r="Y34" s="178"/>
      <c r="Z34" s="178"/>
      <c r="AA34" s="181">
        <f t="shared" si="9"/>
        <v>27.166666666666668</v>
      </c>
      <c r="AB34" s="178" t="str">
        <f t="shared" si="14"/>
        <v>Pass</v>
      </c>
      <c r="AC34" s="178" t="str">
        <f t="shared" si="15"/>
        <v>Pass</v>
      </c>
      <c r="AD34" s="179" t="str">
        <f t="shared" si="3"/>
        <v>Yes</v>
      </c>
      <c r="AF34" s="682"/>
      <c r="AG34" s="683"/>
      <c r="AH34" s="683"/>
      <c r="AI34" s="683"/>
      <c r="AJ34" s="683"/>
      <c r="AK34" s="683"/>
      <c r="AL34" s="683"/>
      <c r="AM34" s="683"/>
      <c r="AN34" s="683"/>
      <c r="AO34" s="683"/>
      <c r="AP34" s="705"/>
    </row>
    <row r="35" spans="2:42" ht="15" customHeight="1" x14ac:dyDescent="0.3">
      <c r="B35" s="188">
        <v>30</v>
      </c>
      <c r="C35" s="205"/>
      <c r="D35" s="206"/>
      <c r="E35" s="207">
        <v>27.18</v>
      </c>
      <c r="F35" s="207">
        <v>27.2</v>
      </c>
      <c r="G35" s="183">
        <f t="shared" si="0"/>
        <v>27.189999999999998</v>
      </c>
      <c r="H35" s="183">
        <f t="shared" si="2"/>
        <v>1.9999999999999574E-2</v>
      </c>
      <c r="I35" s="183">
        <f>'Plot Data'!$C$67</f>
        <v>23.43396859798148</v>
      </c>
      <c r="J35" s="183">
        <f>'Plot Data'!$C$65</f>
        <v>23.539766944108866</v>
      </c>
      <c r="K35" s="184">
        <f>'Plot Data'!$C$58</f>
        <v>23.751363636363635</v>
      </c>
      <c r="L35" s="184">
        <f>'Plot Data'!$C$62</f>
        <v>23.962960328618404</v>
      </c>
      <c r="M35" s="184">
        <f>'Plot Data'!$C$64</f>
        <v>24.068758674745791</v>
      </c>
      <c r="N35" s="184">
        <f>'Plot Data'!$C$68</f>
        <v>0.12</v>
      </c>
      <c r="O35" s="177" t="str">
        <f t="shared" si="1"/>
        <v>&gt;+3s</v>
      </c>
      <c r="P35" s="180" t="str">
        <f t="shared" si="4"/>
        <v>Fail &gt; +2s</v>
      </c>
      <c r="Q35" s="180" t="str">
        <f t="shared" si="10"/>
        <v>Fail +ve bias</v>
      </c>
      <c r="R35" s="180" t="str">
        <f t="shared" si="11"/>
        <v>Pass</v>
      </c>
      <c r="S35" s="178" t="str">
        <f t="shared" si="5"/>
        <v/>
      </c>
      <c r="T35" s="178">
        <f t="shared" si="12"/>
        <v>2</v>
      </c>
      <c r="U35" s="178">
        <f t="shared" si="13"/>
        <v>0</v>
      </c>
      <c r="V35" s="178"/>
      <c r="W35" s="178"/>
      <c r="X35" s="178"/>
      <c r="Y35" s="178"/>
      <c r="Z35" s="178"/>
      <c r="AA35" s="181">
        <f t="shared" si="9"/>
        <v>27.189999999999998</v>
      </c>
      <c r="AB35" s="178" t="str">
        <f t="shared" si="14"/>
        <v>Pass</v>
      </c>
      <c r="AC35" s="178" t="str">
        <f t="shared" si="15"/>
        <v>Pass</v>
      </c>
      <c r="AD35" s="179" t="str">
        <f t="shared" si="3"/>
        <v>Yes</v>
      </c>
      <c r="AF35" s="682" t="s">
        <v>203</v>
      </c>
      <c r="AG35" s="683"/>
      <c r="AH35" s="683" t="str">
        <f>AH6</f>
        <v>034</v>
      </c>
      <c r="AI35" s="683"/>
      <c r="AJ35" s="683"/>
      <c r="AK35" s="683" t="s">
        <v>204</v>
      </c>
      <c r="AL35" s="683"/>
      <c r="AM35" s="683"/>
      <c r="AN35" s="686">
        <f>AN6</f>
        <v>37212</v>
      </c>
      <c r="AO35" s="683" t="s">
        <v>205</v>
      </c>
      <c r="AP35" s="680">
        <f>AP6</f>
        <v>39038</v>
      </c>
    </row>
    <row r="36" spans="2:42" ht="15" customHeight="1" thickBot="1" x14ac:dyDescent="0.35">
      <c r="B36" s="188">
        <v>31</v>
      </c>
      <c r="C36" s="205"/>
      <c r="D36" s="206"/>
      <c r="E36" s="207">
        <v>27.18</v>
      </c>
      <c r="F36" s="207">
        <v>27.2</v>
      </c>
      <c r="G36" s="183">
        <f t="shared" si="0"/>
        <v>27.189999999999998</v>
      </c>
      <c r="H36" s="183">
        <f t="shared" si="2"/>
        <v>1.9999999999999574E-2</v>
      </c>
      <c r="I36" s="183">
        <f>'Plot Data'!$C$67</f>
        <v>23.43396859798148</v>
      </c>
      <c r="J36" s="183">
        <f>'Plot Data'!$C$65</f>
        <v>23.539766944108866</v>
      </c>
      <c r="K36" s="184">
        <f>'Plot Data'!$C$58</f>
        <v>23.751363636363635</v>
      </c>
      <c r="L36" s="184">
        <f>'Plot Data'!$C$62</f>
        <v>23.962960328618404</v>
      </c>
      <c r="M36" s="184">
        <f>'Plot Data'!$C$64</f>
        <v>24.068758674745791</v>
      </c>
      <c r="N36" s="184">
        <f>'Plot Data'!$C$68</f>
        <v>0.12</v>
      </c>
      <c r="O36" s="177" t="str">
        <f t="shared" si="1"/>
        <v>&gt;+3s</v>
      </c>
      <c r="P36" s="180" t="str">
        <f t="shared" si="4"/>
        <v>Fail &gt; +2s</v>
      </c>
      <c r="Q36" s="180" t="str">
        <f t="shared" si="10"/>
        <v>Fail +ve bias</v>
      </c>
      <c r="R36" s="180" t="str">
        <f t="shared" si="11"/>
        <v>Pass</v>
      </c>
      <c r="S36" s="178" t="str">
        <f t="shared" si="5"/>
        <v/>
      </c>
      <c r="T36" s="178">
        <f t="shared" si="12"/>
        <v>2</v>
      </c>
      <c r="U36" s="178">
        <f t="shared" si="13"/>
        <v>0</v>
      </c>
      <c r="V36" s="178"/>
      <c r="W36" s="178"/>
      <c r="X36" s="178"/>
      <c r="Y36" s="178"/>
      <c r="Z36" s="178"/>
      <c r="AA36" s="181">
        <f t="shared" si="9"/>
        <v>27.189999999999998</v>
      </c>
      <c r="AB36" s="178" t="str">
        <f t="shared" si="14"/>
        <v>Pass</v>
      </c>
      <c r="AC36" s="178" t="str">
        <f t="shared" si="15"/>
        <v>Pass</v>
      </c>
      <c r="AD36" s="179" t="str">
        <f t="shared" si="3"/>
        <v>Yes</v>
      </c>
      <c r="AF36" s="684"/>
      <c r="AG36" s="685"/>
      <c r="AH36" s="685"/>
      <c r="AI36" s="685"/>
      <c r="AJ36" s="685"/>
      <c r="AK36" s="685"/>
      <c r="AL36" s="685"/>
      <c r="AM36" s="685"/>
      <c r="AN36" s="687"/>
      <c r="AO36" s="685"/>
      <c r="AP36" s="681"/>
    </row>
    <row r="37" spans="2:42" x14ac:dyDescent="0.3">
      <c r="B37" s="188">
        <v>32</v>
      </c>
      <c r="C37" s="205"/>
      <c r="D37" s="206"/>
      <c r="E37" s="207">
        <v>27.18</v>
      </c>
      <c r="F37" s="207">
        <v>27.2</v>
      </c>
      <c r="G37" s="183">
        <f t="shared" si="0"/>
        <v>27.189999999999998</v>
      </c>
      <c r="H37" s="183">
        <f t="shared" si="2"/>
        <v>1.9999999999999574E-2</v>
      </c>
      <c r="I37" s="183">
        <f>'Plot Data'!$C$67</f>
        <v>23.43396859798148</v>
      </c>
      <c r="J37" s="183">
        <f>'Plot Data'!$C$65</f>
        <v>23.539766944108866</v>
      </c>
      <c r="K37" s="184">
        <f>'Plot Data'!$C$58</f>
        <v>23.751363636363635</v>
      </c>
      <c r="L37" s="184">
        <f>'Plot Data'!$C$62</f>
        <v>23.962960328618404</v>
      </c>
      <c r="M37" s="184">
        <f>'Plot Data'!$C$64</f>
        <v>24.068758674745791</v>
      </c>
      <c r="N37" s="184">
        <f>'Plot Data'!$C$68</f>
        <v>0.12</v>
      </c>
      <c r="O37" s="177" t="str">
        <f t="shared" si="1"/>
        <v>&gt;+3s</v>
      </c>
      <c r="P37" s="180" t="str">
        <f t="shared" si="4"/>
        <v>Fail &gt; +2s</v>
      </c>
      <c r="Q37" s="180" t="str">
        <f t="shared" si="10"/>
        <v>Fail +ve bias</v>
      </c>
      <c r="R37" s="180" t="str">
        <f t="shared" si="11"/>
        <v>Pass</v>
      </c>
      <c r="S37" s="178" t="str">
        <f t="shared" si="5"/>
        <v/>
      </c>
      <c r="T37" s="178">
        <f t="shared" si="12"/>
        <v>2</v>
      </c>
      <c r="U37" s="178">
        <f t="shared" si="13"/>
        <v>0</v>
      </c>
      <c r="V37" s="178"/>
      <c r="W37" s="178"/>
      <c r="X37" s="178"/>
      <c r="Y37" s="178"/>
      <c r="Z37" s="178"/>
      <c r="AA37" s="181">
        <f t="shared" si="9"/>
        <v>27.189999999999998</v>
      </c>
      <c r="AB37" s="178" t="str">
        <f t="shared" si="14"/>
        <v>Pass</v>
      </c>
      <c r="AC37" s="178" t="str">
        <f t="shared" si="15"/>
        <v>Pass</v>
      </c>
      <c r="AD37" s="179" t="str">
        <f t="shared" si="3"/>
        <v>Yes</v>
      </c>
      <c r="AF37" s="211"/>
      <c r="AP37" s="92"/>
    </row>
    <row r="38" spans="2:42" x14ac:dyDescent="0.3">
      <c r="B38" s="188">
        <v>33</v>
      </c>
      <c r="C38" s="205"/>
      <c r="D38" s="206"/>
      <c r="E38" s="207">
        <v>27.16</v>
      </c>
      <c r="F38" s="207">
        <v>27.18</v>
      </c>
      <c r="G38" s="183">
        <f t="shared" si="0"/>
        <v>27.17</v>
      </c>
      <c r="H38" s="183">
        <f t="shared" si="2"/>
        <v>1.9999999999999574E-2</v>
      </c>
      <c r="I38" s="183">
        <f>'Plot Data'!$C$67</f>
        <v>23.43396859798148</v>
      </c>
      <c r="J38" s="183">
        <f>'Plot Data'!$C$65</f>
        <v>23.539766944108866</v>
      </c>
      <c r="K38" s="184">
        <f>'Plot Data'!$C$58</f>
        <v>23.751363636363635</v>
      </c>
      <c r="L38" s="184">
        <f>'Plot Data'!$C$62</f>
        <v>23.962960328618404</v>
      </c>
      <c r="M38" s="184">
        <f>'Plot Data'!$C$64</f>
        <v>24.068758674745791</v>
      </c>
      <c r="N38" s="184">
        <f>'Plot Data'!$C$68</f>
        <v>0.12</v>
      </c>
      <c r="O38" s="177" t="str">
        <f t="shared" ref="O38:O55" si="16">IF(G38&gt;M38,"&gt;+3s",IF(G38&lt;I38,"&lt;-3s","Pass"))</f>
        <v>&gt;+3s</v>
      </c>
      <c r="P38" s="180" t="str">
        <f t="shared" si="4"/>
        <v>Fail &gt; +2s</v>
      </c>
      <c r="Q38" s="180" t="str">
        <f t="shared" si="10"/>
        <v>Fail +ve bias</v>
      </c>
      <c r="R38" s="180" t="str">
        <f t="shared" si="11"/>
        <v>Pass</v>
      </c>
      <c r="S38" s="178" t="str">
        <f t="shared" si="5"/>
        <v>-</v>
      </c>
      <c r="T38" s="178">
        <f t="shared" si="12"/>
        <v>1</v>
      </c>
      <c r="U38" s="178">
        <f t="shared" si="13"/>
        <v>0</v>
      </c>
      <c r="V38" s="178"/>
      <c r="W38" s="178"/>
      <c r="X38" s="178"/>
      <c r="Y38" s="178"/>
      <c r="Z38" s="178"/>
      <c r="AA38" s="181">
        <f t="shared" si="9"/>
        <v>27.186666666666667</v>
      </c>
      <c r="AB38" s="178" t="str">
        <f t="shared" si="14"/>
        <v>Pass</v>
      </c>
      <c r="AC38" s="178" t="str">
        <f t="shared" si="15"/>
        <v>Pass</v>
      </c>
      <c r="AD38" s="179" t="str">
        <f t="shared" si="3"/>
        <v>Yes</v>
      </c>
      <c r="AF38" s="211"/>
      <c r="AP38" s="92"/>
    </row>
    <row r="39" spans="2:42" x14ac:dyDescent="0.3">
      <c r="B39" s="188">
        <v>34</v>
      </c>
      <c r="C39" s="205"/>
      <c r="D39" s="206"/>
      <c r="E39" s="207">
        <v>27.14</v>
      </c>
      <c r="F39" s="207">
        <v>27.14</v>
      </c>
      <c r="G39" s="183">
        <f t="shared" si="0"/>
        <v>27.14</v>
      </c>
      <c r="H39" s="183">
        <f t="shared" si="2"/>
        <v>0</v>
      </c>
      <c r="I39" s="183">
        <f>'Plot Data'!$C$67</f>
        <v>23.43396859798148</v>
      </c>
      <c r="J39" s="183">
        <f>'Plot Data'!$C$65</f>
        <v>23.539766944108866</v>
      </c>
      <c r="K39" s="184">
        <f>'Plot Data'!$C$58</f>
        <v>23.751363636363635</v>
      </c>
      <c r="L39" s="184">
        <f>'Plot Data'!$C$62</f>
        <v>23.962960328618404</v>
      </c>
      <c r="M39" s="184">
        <f>'Plot Data'!$C$64</f>
        <v>24.068758674745791</v>
      </c>
      <c r="N39" s="184">
        <f>'Plot Data'!$C$68</f>
        <v>0.12</v>
      </c>
      <c r="O39" s="177" t="str">
        <f t="shared" si="16"/>
        <v>&gt;+3s</v>
      </c>
      <c r="P39" s="180" t="str">
        <f t="shared" si="4"/>
        <v>Fail &gt; +2s</v>
      </c>
      <c r="Q39" s="180" t="str">
        <f t="shared" si="10"/>
        <v>Fail +ve bias</v>
      </c>
      <c r="R39" s="180" t="str">
        <f t="shared" si="11"/>
        <v>Pass</v>
      </c>
      <c r="S39" s="178" t="str">
        <f t="shared" si="5"/>
        <v>-</v>
      </c>
      <c r="T39" s="178">
        <f t="shared" si="12"/>
        <v>1</v>
      </c>
      <c r="U39" s="178">
        <f t="shared" si="13"/>
        <v>0</v>
      </c>
      <c r="V39" s="178"/>
      <c r="W39" s="178"/>
      <c r="X39" s="178"/>
      <c r="Y39" s="178"/>
      <c r="Z39" s="178"/>
      <c r="AA39" s="181">
        <f t="shared" si="9"/>
        <v>27.178333333333331</v>
      </c>
      <c r="AB39" s="178" t="str">
        <f t="shared" si="14"/>
        <v>Pass</v>
      </c>
      <c r="AC39" s="178" t="str">
        <f t="shared" si="15"/>
        <v>Pass</v>
      </c>
      <c r="AD39" s="179" t="str">
        <f t="shared" si="3"/>
        <v>Yes</v>
      </c>
      <c r="AF39" s="211"/>
      <c r="AP39" s="92"/>
    </row>
    <row r="40" spans="2:42" x14ac:dyDescent="0.3">
      <c r="B40" s="188">
        <v>35</v>
      </c>
      <c r="C40" s="205"/>
      <c r="D40" s="206"/>
      <c r="E40" s="207">
        <v>27.12</v>
      </c>
      <c r="F40" s="207">
        <v>27</v>
      </c>
      <c r="G40" s="183">
        <f t="shared" si="0"/>
        <v>27.060000000000002</v>
      </c>
      <c r="H40" s="183">
        <f t="shared" si="2"/>
        <v>0.12000000000000099</v>
      </c>
      <c r="I40" s="183">
        <f>'Plot Data'!$C$67</f>
        <v>23.43396859798148</v>
      </c>
      <c r="J40" s="183">
        <f>'Plot Data'!$C$65</f>
        <v>23.539766944108866</v>
      </c>
      <c r="K40" s="184">
        <f>'Plot Data'!$C$58</f>
        <v>23.751363636363635</v>
      </c>
      <c r="L40" s="184">
        <f>'Plot Data'!$C$62</f>
        <v>23.962960328618404</v>
      </c>
      <c r="M40" s="184">
        <f>'Plot Data'!$C$64</f>
        <v>24.068758674745791</v>
      </c>
      <c r="N40" s="184">
        <f>'Plot Data'!$C$68</f>
        <v>0.12</v>
      </c>
      <c r="O40" s="177" t="str">
        <f t="shared" si="16"/>
        <v>&gt;+3s</v>
      </c>
      <c r="P40" s="180" t="str">
        <f t="shared" si="4"/>
        <v>Fail &gt; +2s</v>
      </c>
      <c r="Q40" s="180" t="str">
        <f t="shared" si="10"/>
        <v>Fail +ve bias</v>
      </c>
      <c r="R40" s="180" t="str">
        <f t="shared" si="11"/>
        <v>Pass</v>
      </c>
      <c r="S40" s="178" t="str">
        <f t="shared" si="5"/>
        <v>-</v>
      </c>
      <c r="T40" s="178">
        <f t="shared" si="12"/>
        <v>0</v>
      </c>
      <c r="U40" s="178">
        <f t="shared" si="13"/>
        <v>0</v>
      </c>
      <c r="V40" s="178"/>
      <c r="W40" s="178"/>
      <c r="X40" s="178"/>
      <c r="Y40" s="178"/>
      <c r="Z40" s="178"/>
      <c r="AA40" s="181">
        <f t="shared" si="9"/>
        <v>27.156666666666666</v>
      </c>
      <c r="AB40" s="178" t="str">
        <f t="shared" si="14"/>
        <v>Pass</v>
      </c>
      <c r="AC40" s="178" t="str">
        <f t="shared" si="15"/>
        <v>Pass</v>
      </c>
      <c r="AD40" s="179" t="str">
        <f t="shared" si="3"/>
        <v>No</v>
      </c>
      <c r="AF40" s="211"/>
      <c r="AP40" s="92"/>
    </row>
    <row r="41" spans="2:42" x14ac:dyDescent="0.3">
      <c r="B41" s="188">
        <v>36</v>
      </c>
      <c r="C41" s="205"/>
      <c r="D41" s="206"/>
      <c r="E41" s="207">
        <v>26.95</v>
      </c>
      <c r="F41" s="207">
        <v>26.97</v>
      </c>
      <c r="G41" s="183">
        <f t="shared" si="0"/>
        <v>26.96</v>
      </c>
      <c r="H41" s="183">
        <f t="shared" si="2"/>
        <v>1.9999999999999574E-2</v>
      </c>
      <c r="I41" s="183">
        <f>'Plot Data'!$C$67</f>
        <v>23.43396859798148</v>
      </c>
      <c r="J41" s="183">
        <f>'Plot Data'!$C$65</f>
        <v>23.539766944108866</v>
      </c>
      <c r="K41" s="184">
        <f>'Plot Data'!$C$58</f>
        <v>23.751363636363635</v>
      </c>
      <c r="L41" s="184">
        <f>'Plot Data'!$C$62</f>
        <v>23.962960328618404</v>
      </c>
      <c r="M41" s="184">
        <f>'Plot Data'!$C$64</f>
        <v>24.068758674745791</v>
      </c>
      <c r="N41" s="184">
        <f>'Plot Data'!$C$68</f>
        <v>0.12</v>
      </c>
      <c r="O41" s="177" t="str">
        <f t="shared" si="16"/>
        <v>&gt;+3s</v>
      </c>
      <c r="P41" s="180" t="str">
        <f t="shared" si="4"/>
        <v>Fail &gt; +2s</v>
      </c>
      <c r="Q41" s="180" t="str">
        <f t="shared" si="10"/>
        <v>Fail +ve bias</v>
      </c>
      <c r="R41" s="180" t="str">
        <f t="shared" si="11"/>
        <v>Pass</v>
      </c>
      <c r="S41" s="178" t="str">
        <f t="shared" si="5"/>
        <v>-</v>
      </c>
      <c r="T41" s="178">
        <f t="shared" si="12"/>
        <v>0</v>
      </c>
      <c r="U41" s="178">
        <f t="shared" si="13"/>
        <v>0</v>
      </c>
      <c r="V41" s="178"/>
      <c r="W41" s="178"/>
      <c r="X41" s="178"/>
      <c r="Y41" s="178"/>
      <c r="Z41" s="178"/>
      <c r="AA41" s="181">
        <f t="shared" si="9"/>
        <v>27.118333333333336</v>
      </c>
      <c r="AB41" s="178" t="str">
        <f t="shared" si="14"/>
        <v>Fail -ve</v>
      </c>
      <c r="AC41" s="178" t="str">
        <f t="shared" si="15"/>
        <v>Pass</v>
      </c>
      <c r="AD41" s="179" t="str">
        <f t="shared" si="3"/>
        <v>Yes</v>
      </c>
      <c r="AF41" s="211"/>
      <c r="AP41" s="92"/>
    </row>
    <row r="42" spans="2:42" x14ac:dyDescent="0.3">
      <c r="B42" s="188">
        <v>37</v>
      </c>
      <c r="C42" s="205"/>
      <c r="D42" s="206"/>
      <c r="E42" s="207">
        <v>26.95</v>
      </c>
      <c r="F42" s="207">
        <v>26.92</v>
      </c>
      <c r="G42" s="183">
        <f t="shared" si="0"/>
        <v>26.935000000000002</v>
      </c>
      <c r="H42" s="183">
        <f t="shared" si="2"/>
        <v>2.9999999999997584E-2</v>
      </c>
      <c r="I42" s="183">
        <f>'Plot Data'!$C$67</f>
        <v>23.43396859798148</v>
      </c>
      <c r="J42" s="183">
        <f>'Plot Data'!$C$65</f>
        <v>23.539766944108866</v>
      </c>
      <c r="K42" s="184">
        <f>'Plot Data'!$C$58</f>
        <v>23.751363636363635</v>
      </c>
      <c r="L42" s="184">
        <f>'Plot Data'!$C$62</f>
        <v>23.962960328618404</v>
      </c>
      <c r="M42" s="184">
        <f>'Plot Data'!$C$64</f>
        <v>24.068758674745791</v>
      </c>
      <c r="N42" s="184">
        <f>'Plot Data'!$C$68</f>
        <v>0.12</v>
      </c>
      <c r="O42" s="177" t="str">
        <f t="shared" si="16"/>
        <v>&gt;+3s</v>
      </c>
      <c r="P42" s="180" t="str">
        <f t="shared" si="4"/>
        <v>Fail &gt; +2s</v>
      </c>
      <c r="Q42" s="180" t="str">
        <f t="shared" si="10"/>
        <v>Fail +ve bias</v>
      </c>
      <c r="R42" s="180" t="str">
        <f t="shared" si="11"/>
        <v>Pass</v>
      </c>
      <c r="S42" s="178" t="str">
        <f t="shared" si="5"/>
        <v>-</v>
      </c>
      <c r="T42" s="178">
        <f t="shared" si="12"/>
        <v>0</v>
      </c>
      <c r="U42" s="178">
        <f t="shared" si="13"/>
        <v>0</v>
      </c>
      <c r="V42" s="178"/>
      <c r="W42" s="178"/>
      <c r="X42" s="178"/>
      <c r="Y42" s="178"/>
      <c r="Z42" s="178"/>
      <c r="AA42" s="181">
        <f t="shared" si="9"/>
        <v>27.075833333333335</v>
      </c>
      <c r="AB42" s="178" t="str">
        <f t="shared" si="14"/>
        <v>Fail -ve</v>
      </c>
      <c r="AC42" s="178" t="str">
        <f t="shared" si="15"/>
        <v>Pass</v>
      </c>
      <c r="AD42" s="179" t="str">
        <f t="shared" si="3"/>
        <v>Yes</v>
      </c>
      <c r="AF42" s="211"/>
      <c r="AP42" s="92"/>
    </row>
    <row r="43" spans="2:42" x14ac:dyDescent="0.3">
      <c r="B43" s="188">
        <v>38</v>
      </c>
      <c r="C43" s="205"/>
      <c r="D43" s="206"/>
      <c r="E43" s="207">
        <v>26.9</v>
      </c>
      <c r="F43" s="207">
        <v>26.91</v>
      </c>
      <c r="G43" s="183">
        <f t="shared" si="0"/>
        <v>26.905000000000001</v>
      </c>
      <c r="H43" s="183">
        <f t="shared" si="2"/>
        <v>1.0000000000001563E-2</v>
      </c>
      <c r="I43" s="183">
        <f>'Plot Data'!$C$67</f>
        <v>23.43396859798148</v>
      </c>
      <c r="J43" s="183">
        <f>'Plot Data'!$C$65</f>
        <v>23.539766944108866</v>
      </c>
      <c r="K43" s="184">
        <f>'Plot Data'!$C$58</f>
        <v>23.751363636363635</v>
      </c>
      <c r="L43" s="184">
        <f>'Plot Data'!$C$62</f>
        <v>23.962960328618404</v>
      </c>
      <c r="M43" s="184">
        <f>'Plot Data'!$C$64</f>
        <v>24.068758674745791</v>
      </c>
      <c r="N43" s="184">
        <f>'Plot Data'!$C$68</f>
        <v>0.12</v>
      </c>
      <c r="O43" s="177" t="str">
        <f t="shared" si="16"/>
        <v>&gt;+3s</v>
      </c>
      <c r="P43" s="180" t="str">
        <f t="shared" si="4"/>
        <v>Fail &gt; +2s</v>
      </c>
      <c r="Q43" s="180" t="str">
        <f t="shared" si="10"/>
        <v>Fail +ve bias</v>
      </c>
      <c r="R43" s="180" t="str">
        <f t="shared" si="11"/>
        <v>Fail -ve trend</v>
      </c>
      <c r="S43" s="178" t="str">
        <f t="shared" si="5"/>
        <v>-</v>
      </c>
      <c r="T43" s="178" t="str">
        <f t="shared" si="12"/>
        <v/>
      </c>
      <c r="U43" s="178" t="str">
        <f t="shared" si="13"/>
        <v/>
      </c>
      <c r="V43" s="178"/>
      <c r="W43" s="178"/>
      <c r="X43" s="178"/>
      <c r="Y43" s="178"/>
      <c r="Z43" s="178"/>
      <c r="AA43" s="181">
        <f t="shared" si="9"/>
        <v>27.028333333333336</v>
      </c>
      <c r="AB43" s="178" t="str">
        <f t="shared" si="14"/>
        <v>Fail -ve</v>
      </c>
      <c r="AC43" s="178" t="str">
        <f t="shared" si="15"/>
        <v>Pass</v>
      </c>
      <c r="AD43" s="179" t="str">
        <f t="shared" si="3"/>
        <v>Yes</v>
      </c>
      <c r="AF43" s="211"/>
      <c r="AP43" s="92"/>
    </row>
    <row r="44" spans="2:42" x14ac:dyDescent="0.3">
      <c r="B44" s="188">
        <v>39</v>
      </c>
      <c r="C44" s="205"/>
      <c r="D44" s="206"/>
      <c r="E44" s="207">
        <v>26.9</v>
      </c>
      <c r="F44" s="207">
        <v>26.91</v>
      </c>
      <c r="G44" s="183">
        <f t="shared" si="0"/>
        <v>26.905000000000001</v>
      </c>
      <c r="H44" s="183">
        <f t="shared" si="2"/>
        <v>1.0000000000001563E-2</v>
      </c>
      <c r="I44" s="183">
        <f>'Plot Data'!$C$67</f>
        <v>23.43396859798148</v>
      </c>
      <c r="J44" s="183">
        <f>'Plot Data'!$C$65</f>
        <v>23.539766944108866</v>
      </c>
      <c r="K44" s="184">
        <f>'Plot Data'!$C$58</f>
        <v>23.751363636363635</v>
      </c>
      <c r="L44" s="184">
        <f>'Plot Data'!$C$62</f>
        <v>23.962960328618404</v>
      </c>
      <c r="M44" s="184">
        <f>'Plot Data'!$C$64</f>
        <v>24.068758674745791</v>
      </c>
      <c r="N44" s="184">
        <f>'Plot Data'!$C$68</f>
        <v>0.12</v>
      </c>
      <c r="O44" s="190" t="str">
        <f t="shared" si="16"/>
        <v>&gt;+3s</v>
      </c>
      <c r="P44" s="191" t="str">
        <f t="shared" si="4"/>
        <v>Fail &gt; +2s</v>
      </c>
      <c r="Q44" s="191" t="str">
        <f t="shared" si="10"/>
        <v>Fail +ve bias</v>
      </c>
      <c r="R44" s="191" t="str">
        <f t="shared" si="11"/>
        <v>Pass</v>
      </c>
      <c r="S44" s="192" t="str">
        <f t="shared" si="5"/>
        <v/>
      </c>
      <c r="T44" s="192" t="str">
        <f t="shared" si="12"/>
        <v/>
      </c>
      <c r="U44" s="192" t="str">
        <f t="shared" si="13"/>
        <v/>
      </c>
      <c r="V44" s="192"/>
      <c r="W44" s="192"/>
      <c r="X44" s="192"/>
      <c r="Y44" s="192"/>
      <c r="Z44" s="192"/>
      <c r="AA44" s="193">
        <f t="shared" si="9"/>
        <v>26.984166666666667</v>
      </c>
      <c r="AB44" s="192" t="str">
        <f t="shared" si="14"/>
        <v>Fail -ve</v>
      </c>
      <c r="AC44" s="192" t="str">
        <f t="shared" si="15"/>
        <v>Pass</v>
      </c>
      <c r="AD44" s="194" t="str">
        <f t="shared" si="3"/>
        <v>Yes</v>
      </c>
      <c r="AF44" s="211"/>
      <c r="AP44" s="92"/>
    </row>
    <row r="45" spans="2:42" x14ac:dyDescent="0.3">
      <c r="B45" s="188">
        <v>40</v>
      </c>
      <c r="C45" s="205"/>
      <c r="D45" s="206"/>
      <c r="E45" s="207">
        <v>26.9</v>
      </c>
      <c r="F45" s="207">
        <v>26.91</v>
      </c>
      <c r="G45" s="183">
        <f t="shared" si="0"/>
        <v>26.905000000000001</v>
      </c>
      <c r="H45" s="183">
        <f t="shared" si="2"/>
        <v>1.0000000000001563E-2</v>
      </c>
      <c r="I45" s="183">
        <f>'Plot Data'!$C$67</f>
        <v>23.43396859798148</v>
      </c>
      <c r="J45" s="183">
        <f>'Plot Data'!$C$65</f>
        <v>23.539766944108866</v>
      </c>
      <c r="K45" s="184">
        <f>'Plot Data'!$C$58</f>
        <v>23.751363636363635</v>
      </c>
      <c r="L45" s="184">
        <f>'Plot Data'!$C$62</f>
        <v>23.962960328618404</v>
      </c>
      <c r="M45" s="184">
        <f>'Plot Data'!$C$64</f>
        <v>24.068758674745791</v>
      </c>
      <c r="N45" s="184">
        <f>'Plot Data'!$C$68</f>
        <v>0.12</v>
      </c>
      <c r="O45" s="190" t="str">
        <f t="shared" si="16"/>
        <v>&gt;+3s</v>
      </c>
      <c r="P45" s="191" t="str">
        <f t="shared" si="4"/>
        <v>Fail &gt; +2s</v>
      </c>
      <c r="Q45" s="191" t="str">
        <f t="shared" si="10"/>
        <v>Fail +ve bias</v>
      </c>
      <c r="R45" s="191" t="str">
        <f t="shared" si="11"/>
        <v>Pass</v>
      </c>
      <c r="S45" s="192" t="str">
        <f t="shared" si="5"/>
        <v/>
      </c>
      <c r="T45" s="192" t="str">
        <f t="shared" si="12"/>
        <v/>
      </c>
      <c r="U45" s="192" t="str">
        <f t="shared" si="13"/>
        <v/>
      </c>
      <c r="V45" s="192"/>
      <c r="W45" s="192"/>
      <c r="X45" s="192"/>
      <c r="Y45" s="192"/>
      <c r="Z45" s="192"/>
      <c r="AA45" s="193">
        <f t="shared" si="9"/>
        <v>26.945000000000004</v>
      </c>
      <c r="AB45" s="192" t="str">
        <f t="shared" si="14"/>
        <v>Fail -ve</v>
      </c>
      <c r="AC45" s="192" t="str">
        <f t="shared" si="15"/>
        <v>Pass</v>
      </c>
      <c r="AD45" s="194" t="str">
        <f t="shared" si="3"/>
        <v>Yes</v>
      </c>
      <c r="AF45" s="211"/>
      <c r="AP45" s="92"/>
    </row>
    <row r="46" spans="2:42" x14ac:dyDescent="0.3">
      <c r="B46" s="188">
        <v>41</v>
      </c>
      <c r="C46" s="205"/>
      <c r="D46" s="206"/>
      <c r="E46" s="207">
        <v>26.9</v>
      </c>
      <c r="F46" s="207">
        <v>26.91</v>
      </c>
      <c r="G46" s="183">
        <f t="shared" si="0"/>
        <v>26.905000000000001</v>
      </c>
      <c r="H46" s="183">
        <f t="shared" si="2"/>
        <v>1.0000000000001563E-2</v>
      </c>
      <c r="I46" s="183">
        <f>'Plot Data'!$C$67</f>
        <v>23.43396859798148</v>
      </c>
      <c r="J46" s="183">
        <f>'Plot Data'!$C$65</f>
        <v>23.539766944108866</v>
      </c>
      <c r="K46" s="184">
        <f>'Plot Data'!$C$58</f>
        <v>23.751363636363635</v>
      </c>
      <c r="L46" s="184">
        <f>'Plot Data'!$C$62</f>
        <v>23.962960328618404</v>
      </c>
      <c r="M46" s="184">
        <f>'Plot Data'!$C$64</f>
        <v>24.068758674745791</v>
      </c>
      <c r="N46" s="184">
        <f>'Plot Data'!$C$68</f>
        <v>0.12</v>
      </c>
      <c r="O46" s="190" t="str">
        <f t="shared" si="16"/>
        <v>&gt;+3s</v>
      </c>
      <c r="P46" s="191" t="str">
        <f t="shared" si="4"/>
        <v>Fail &gt; +2s</v>
      </c>
      <c r="Q46" s="191" t="str">
        <f t="shared" si="10"/>
        <v>Fail +ve bias</v>
      </c>
      <c r="R46" s="191" t="str">
        <f t="shared" si="11"/>
        <v>Pass</v>
      </c>
      <c r="S46" s="192" t="str">
        <f t="shared" si="5"/>
        <v/>
      </c>
      <c r="T46" s="192" t="str">
        <f t="shared" si="12"/>
        <v/>
      </c>
      <c r="U46" s="192" t="str">
        <f t="shared" si="13"/>
        <v/>
      </c>
      <c r="V46" s="192"/>
      <c r="W46" s="192"/>
      <c r="X46" s="192"/>
      <c r="Y46" s="192"/>
      <c r="Z46" s="192"/>
      <c r="AA46" s="193">
        <f t="shared" si="9"/>
        <v>26.919166666666669</v>
      </c>
      <c r="AB46" s="192" t="str">
        <f t="shared" si="14"/>
        <v>Fail -ve</v>
      </c>
      <c r="AC46" s="192" t="str">
        <f t="shared" si="15"/>
        <v>Pass</v>
      </c>
      <c r="AD46" s="194" t="str">
        <f t="shared" si="3"/>
        <v>Yes</v>
      </c>
      <c r="AF46" s="211"/>
      <c r="AP46" s="92"/>
    </row>
    <row r="47" spans="2:42" x14ac:dyDescent="0.3">
      <c r="B47" s="188">
        <v>42</v>
      </c>
      <c r="C47" s="205"/>
      <c r="D47" s="206"/>
      <c r="E47" s="207">
        <v>26.9</v>
      </c>
      <c r="F47" s="207">
        <v>26.91</v>
      </c>
      <c r="G47" s="183">
        <f t="shared" si="0"/>
        <v>26.905000000000001</v>
      </c>
      <c r="H47" s="183">
        <f t="shared" si="2"/>
        <v>1.0000000000001563E-2</v>
      </c>
      <c r="I47" s="183">
        <f>'Plot Data'!$C$67</f>
        <v>23.43396859798148</v>
      </c>
      <c r="J47" s="183">
        <f>'Plot Data'!$C$65</f>
        <v>23.539766944108866</v>
      </c>
      <c r="K47" s="184">
        <f>'Plot Data'!$C$58</f>
        <v>23.751363636363635</v>
      </c>
      <c r="L47" s="184">
        <f>'Plot Data'!$C$62</f>
        <v>23.962960328618404</v>
      </c>
      <c r="M47" s="184">
        <f>'Plot Data'!$C$64</f>
        <v>24.068758674745791</v>
      </c>
      <c r="N47" s="184">
        <f>'Plot Data'!$C$68</f>
        <v>0.12</v>
      </c>
      <c r="O47" s="190" t="str">
        <f t="shared" si="16"/>
        <v>&gt;+3s</v>
      </c>
      <c r="P47" s="191" t="str">
        <f t="shared" si="4"/>
        <v>Fail &gt; +2s</v>
      </c>
      <c r="Q47" s="191" t="str">
        <f t="shared" si="10"/>
        <v>Fail +ve bias</v>
      </c>
      <c r="R47" s="191" t="str">
        <f t="shared" si="11"/>
        <v>Pass</v>
      </c>
      <c r="S47" s="192" t="str">
        <f t="shared" si="5"/>
        <v/>
      </c>
      <c r="T47" s="192" t="str">
        <f t="shared" si="12"/>
        <v/>
      </c>
      <c r="U47" s="192" t="str">
        <f t="shared" si="13"/>
        <v/>
      </c>
      <c r="V47" s="192"/>
      <c r="W47" s="192"/>
      <c r="X47" s="192"/>
      <c r="Y47" s="192"/>
      <c r="Z47" s="192"/>
      <c r="AA47" s="193">
        <f t="shared" si="9"/>
        <v>26.91</v>
      </c>
      <c r="AB47" s="192" t="str">
        <f t="shared" si="14"/>
        <v>Fail -ve</v>
      </c>
      <c r="AC47" s="192" t="str">
        <f t="shared" si="15"/>
        <v>Pass</v>
      </c>
      <c r="AD47" s="194" t="str">
        <f t="shared" si="3"/>
        <v>Yes</v>
      </c>
      <c r="AF47" s="211"/>
      <c r="AP47" s="92"/>
    </row>
    <row r="48" spans="2:42" x14ac:dyDescent="0.3">
      <c r="B48" s="188">
        <v>43</v>
      </c>
      <c r="C48" s="205"/>
      <c r="D48" s="206"/>
      <c r="E48" s="207">
        <v>26.9</v>
      </c>
      <c r="F48" s="207">
        <v>26.91</v>
      </c>
      <c r="G48" s="183">
        <f t="shared" si="0"/>
        <v>26.905000000000001</v>
      </c>
      <c r="H48" s="183">
        <f t="shared" si="2"/>
        <v>1.0000000000001563E-2</v>
      </c>
      <c r="I48" s="183">
        <f>'Plot Data'!$C$67</f>
        <v>23.43396859798148</v>
      </c>
      <c r="J48" s="183">
        <f>'Plot Data'!$C$65</f>
        <v>23.539766944108866</v>
      </c>
      <c r="K48" s="184">
        <f>'Plot Data'!$C$58</f>
        <v>23.751363636363635</v>
      </c>
      <c r="L48" s="184">
        <f>'Plot Data'!$C$62</f>
        <v>23.962960328618404</v>
      </c>
      <c r="M48" s="184">
        <f>'Plot Data'!$C$64</f>
        <v>24.068758674745791</v>
      </c>
      <c r="N48" s="184">
        <f>'Plot Data'!$C$68</f>
        <v>0.12</v>
      </c>
      <c r="O48" s="190" t="str">
        <f t="shared" si="16"/>
        <v>&gt;+3s</v>
      </c>
      <c r="P48" s="191" t="str">
        <f t="shared" si="4"/>
        <v>Fail &gt; +2s</v>
      </c>
      <c r="Q48" s="191" t="str">
        <f t="shared" si="10"/>
        <v>Fail +ve bias</v>
      </c>
      <c r="R48" s="191" t="str">
        <f t="shared" si="11"/>
        <v>Pass</v>
      </c>
      <c r="S48" s="192" t="str">
        <f t="shared" si="5"/>
        <v/>
      </c>
      <c r="T48" s="192" t="str">
        <f t="shared" si="12"/>
        <v/>
      </c>
      <c r="U48" s="192" t="str">
        <f t="shared" si="13"/>
        <v/>
      </c>
      <c r="V48" s="192"/>
      <c r="W48" s="192"/>
      <c r="X48" s="192"/>
      <c r="Y48" s="192"/>
      <c r="Z48" s="192"/>
      <c r="AA48" s="193">
        <f t="shared" si="9"/>
        <v>26.905000000000001</v>
      </c>
      <c r="AB48" s="192" t="str">
        <f t="shared" si="14"/>
        <v>Fail -ve</v>
      </c>
      <c r="AC48" s="192" t="str">
        <f t="shared" si="15"/>
        <v>Pass</v>
      </c>
      <c r="AD48" s="194" t="str">
        <f t="shared" si="3"/>
        <v>Yes</v>
      </c>
      <c r="AF48" s="211"/>
      <c r="AP48" s="92"/>
    </row>
    <row r="49" spans="2:42" x14ac:dyDescent="0.3">
      <c r="B49" s="188">
        <v>44</v>
      </c>
      <c r="C49" s="205"/>
      <c r="D49" s="206"/>
      <c r="E49" s="207">
        <v>26.9</v>
      </c>
      <c r="F49" s="207">
        <v>26.91</v>
      </c>
      <c r="G49" s="183">
        <f t="shared" si="0"/>
        <v>26.905000000000001</v>
      </c>
      <c r="H49" s="183">
        <f t="shared" si="2"/>
        <v>1.0000000000001563E-2</v>
      </c>
      <c r="I49" s="183">
        <f>'Plot Data'!$C$67</f>
        <v>23.43396859798148</v>
      </c>
      <c r="J49" s="183">
        <f>'Plot Data'!$C$65</f>
        <v>23.539766944108866</v>
      </c>
      <c r="K49" s="184">
        <f>'Plot Data'!$C$58</f>
        <v>23.751363636363635</v>
      </c>
      <c r="L49" s="184">
        <f>'Plot Data'!$C$62</f>
        <v>23.962960328618404</v>
      </c>
      <c r="M49" s="184">
        <f>'Plot Data'!$C$64</f>
        <v>24.068758674745791</v>
      </c>
      <c r="N49" s="184">
        <f>'Plot Data'!$C$68</f>
        <v>0.12</v>
      </c>
      <c r="O49" s="190" t="str">
        <f t="shared" si="16"/>
        <v>&gt;+3s</v>
      </c>
      <c r="P49" s="191" t="str">
        <f t="shared" si="4"/>
        <v>Fail &gt; +2s</v>
      </c>
      <c r="Q49" s="191" t="str">
        <f t="shared" si="10"/>
        <v>Fail +ve bias</v>
      </c>
      <c r="R49" s="191" t="str">
        <f t="shared" si="11"/>
        <v>Pass</v>
      </c>
      <c r="S49" s="192" t="str">
        <f t="shared" si="5"/>
        <v/>
      </c>
      <c r="T49" s="192" t="str">
        <f t="shared" si="12"/>
        <v/>
      </c>
      <c r="U49" s="192" t="str">
        <f t="shared" si="13"/>
        <v/>
      </c>
      <c r="V49" s="192"/>
      <c r="W49" s="192"/>
      <c r="X49" s="192"/>
      <c r="Y49" s="192"/>
      <c r="Z49" s="192"/>
      <c r="AA49" s="193">
        <f t="shared" si="9"/>
        <v>26.905000000000001</v>
      </c>
      <c r="AB49" s="192" t="str">
        <f t="shared" si="14"/>
        <v>Pass</v>
      </c>
      <c r="AC49" s="192" t="str">
        <f t="shared" si="15"/>
        <v>Pass</v>
      </c>
      <c r="AD49" s="194" t="str">
        <f t="shared" si="3"/>
        <v>Yes</v>
      </c>
      <c r="AF49" s="211"/>
      <c r="AP49" s="92"/>
    </row>
    <row r="50" spans="2:42" x14ac:dyDescent="0.3">
      <c r="B50" s="188">
        <v>45</v>
      </c>
      <c r="C50" s="205"/>
      <c r="D50" s="206"/>
      <c r="E50" s="207">
        <v>26.9</v>
      </c>
      <c r="F50" s="207">
        <v>26.91</v>
      </c>
      <c r="G50" s="183">
        <f t="shared" si="0"/>
        <v>26.905000000000001</v>
      </c>
      <c r="H50" s="183">
        <f t="shared" si="2"/>
        <v>1.0000000000001563E-2</v>
      </c>
      <c r="I50" s="183">
        <f>'Plot Data'!$C$67</f>
        <v>23.43396859798148</v>
      </c>
      <c r="J50" s="183">
        <f>'Plot Data'!$C$65</f>
        <v>23.539766944108866</v>
      </c>
      <c r="K50" s="184">
        <f>'Plot Data'!$C$58</f>
        <v>23.751363636363635</v>
      </c>
      <c r="L50" s="184">
        <f>'Plot Data'!$C$62</f>
        <v>23.962960328618404</v>
      </c>
      <c r="M50" s="184">
        <f>'Plot Data'!$C$64</f>
        <v>24.068758674745791</v>
      </c>
      <c r="N50" s="184">
        <f>'Plot Data'!$C$68</f>
        <v>0.12</v>
      </c>
      <c r="O50" s="190" t="str">
        <f t="shared" si="16"/>
        <v>&gt;+3s</v>
      </c>
      <c r="P50" s="191" t="str">
        <f t="shared" si="4"/>
        <v>Fail &gt; +2s</v>
      </c>
      <c r="Q50" s="191" t="str">
        <f t="shared" si="10"/>
        <v>Fail +ve bias</v>
      </c>
      <c r="R50" s="191" t="str">
        <f t="shared" si="11"/>
        <v>Pass</v>
      </c>
      <c r="S50" s="192" t="str">
        <f t="shared" si="5"/>
        <v/>
      </c>
      <c r="T50" s="192" t="str">
        <f t="shared" si="12"/>
        <v/>
      </c>
      <c r="U50" s="192" t="str">
        <f t="shared" si="13"/>
        <v/>
      </c>
      <c r="V50" s="192"/>
      <c r="W50" s="192"/>
      <c r="X50" s="192"/>
      <c r="Y50" s="192"/>
      <c r="Z50" s="192"/>
      <c r="AA50" s="193">
        <f t="shared" si="9"/>
        <v>26.905000000000001</v>
      </c>
      <c r="AB50" s="192" t="str">
        <f t="shared" si="14"/>
        <v>Pass</v>
      </c>
      <c r="AC50" s="192" t="str">
        <f t="shared" si="15"/>
        <v>Pass</v>
      </c>
      <c r="AD50" s="194" t="str">
        <f t="shared" si="3"/>
        <v>Yes</v>
      </c>
      <c r="AF50" s="211"/>
      <c r="AP50" s="92"/>
    </row>
    <row r="51" spans="2:42" x14ac:dyDescent="0.3">
      <c r="B51" s="188">
        <v>46</v>
      </c>
      <c r="C51" s="205"/>
      <c r="D51" s="206"/>
      <c r="E51" s="207"/>
      <c r="F51" s="207"/>
      <c r="G51" s="183" t="e">
        <f t="shared" si="0"/>
        <v>#N/A</v>
      </c>
      <c r="H51" s="183" t="e">
        <f t="shared" si="2"/>
        <v>#N/A</v>
      </c>
      <c r="I51" s="183">
        <f>'Plot Data'!$C$67</f>
        <v>23.43396859798148</v>
      </c>
      <c r="J51" s="183">
        <f>'Plot Data'!$C$65</f>
        <v>23.539766944108866</v>
      </c>
      <c r="K51" s="184">
        <f>'Plot Data'!$C$58</f>
        <v>23.751363636363635</v>
      </c>
      <c r="L51" s="184">
        <f>'Plot Data'!$C$62</f>
        <v>23.962960328618404</v>
      </c>
      <c r="M51" s="184">
        <f>'Plot Data'!$C$64</f>
        <v>24.068758674745791</v>
      </c>
      <c r="N51" s="184">
        <f>'Plot Data'!$C$68</f>
        <v>0.12</v>
      </c>
      <c r="O51" s="190" t="e">
        <f t="shared" si="16"/>
        <v>#N/A</v>
      </c>
      <c r="P51" s="191" t="e">
        <f t="shared" si="4"/>
        <v>#N/A</v>
      </c>
      <c r="Q51" s="191" t="e">
        <f t="shared" si="10"/>
        <v>#N/A</v>
      </c>
      <c r="R51" s="191" t="e">
        <f t="shared" si="11"/>
        <v>#N/A</v>
      </c>
      <c r="S51" s="192" t="str">
        <f t="shared" si="5"/>
        <v/>
      </c>
      <c r="T51" s="192" t="e">
        <f t="shared" si="12"/>
        <v>#N/A</v>
      </c>
      <c r="U51" s="192" t="e">
        <f t="shared" si="13"/>
        <v>#N/A</v>
      </c>
      <c r="V51" s="192"/>
      <c r="W51" s="192"/>
      <c r="X51" s="192"/>
      <c r="Y51" s="192"/>
      <c r="Z51" s="192"/>
      <c r="AA51" s="193" t="e">
        <f t="shared" si="9"/>
        <v>#N/A</v>
      </c>
      <c r="AB51" s="192" t="e">
        <f t="shared" si="14"/>
        <v>#N/A</v>
      </c>
      <c r="AC51" s="192" t="e">
        <f t="shared" si="15"/>
        <v>#N/A</v>
      </c>
      <c r="AD51" s="194" t="e">
        <f t="shared" si="3"/>
        <v>#N/A</v>
      </c>
      <c r="AF51" s="211"/>
      <c r="AP51" s="92"/>
    </row>
    <row r="52" spans="2:42" x14ac:dyDescent="0.3">
      <c r="B52" s="188">
        <v>47</v>
      </c>
      <c r="C52" s="205"/>
      <c r="D52" s="206"/>
      <c r="E52" s="207"/>
      <c r="F52" s="207"/>
      <c r="G52" s="183" t="e">
        <f t="shared" si="0"/>
        <v>#N/A</v>
      </c>
      <c r="H52" s="183" t="e">
        <f t="shared" si="2"/>
        <v>#N/A</v>
      </c>
      <c r="I52" s="183">
        <f>'Plot Data'!$C$67</f>
        <v>23.43396859798148</v>
      </c>
      <c r="J52" s="183">
        <f>'Plot Data'!$C$65</f>
        <v>23.539766944108866</v>
      </c>
      <c r="K52" s="184">
        <f>'Plot Data'!$C$58</f>
        <v>23.751363636363635</v>
      </c>
      <c r="L52" s="184">
        <f>'Plot Data'!$C$62</f>
        <v>23.962960328618404</v>
      </c>
      <c r="M52" s="184">
        <f>'Plot Data'!$C$64</f>
        <v>24.068758674745791</v>
      </c>
      <c r="N52" s="184">
        <f>'Plot Data'!$C$68</f>
        <v>0.12</v>
      </c>
      <c r="O52" s="190" t="e">
        <f t="shared" si="16"/>
        <v>#N/A</v>
      </c>
      <c r="P52" s="191" t="e">
        <f t="shared" si="4"/>
        <v>#N/A</v>
      </c>
      <c r="Q52" s="191" t="e">
        <f t="shared" si="10"/>
        <v>#N/A</v>
      </c>
      <c r="R52" s="191" t="e">
        <f t="shared" si="11"/>
        <v>#N/A</v>
      </c>
      <c r="S52" s="192" t="str">
        <f t="shared" si="5"/>
        <v/>
      </c>
      <c r="T52" s="192" t="e">
        <f t="shared" si="12"/>
        <v>#N/A</v>
      </c>
      <c r="U52" s="192" t="e">
        <f t="shared" si="13"/>
        <v>#N/A</v>
      </c>
      <c r="V52" s="192"/>
      <c r="W52" s="192"/>
      <c r="X52" s="192"/>
      <c r="Y52" s="192"/>
      <c r="Z52" s="192"/>
      <c r="AA52" s="193" t="e">
        <f t="shared" si="9"/>
        <v>#N/A</v>
      </c>
      <c r="AB52" s="192" t="e">
        <f t="shared" si="14"/>
        <v>#N/A</v>
      </c>
      <c r="AC52" s="192" t="e">
        <f t="shared" si="15"/>
        <v>#N/A</v>
      </c>
      <c r="AD52" s="194" t="e">
        <f t="shared" si="3"/>
        <v>#N/A</v>
      </c>
      <c r="AF52" s="211"/>
      <c r="AP52" s="92"/>
    </row>
    <row r="53" spans="2:42" x14ac:dyDescent="0.3">
      <c r="B53" s="188">
        <v>48</v>
      </c>
      <c r="C53" s="205"/>
      <c r="D53" s="206"/>
      <c r="E53" s="207"/>
      <c r="F53" s="207"/>
      <c r="G53" s="183" t="e">
        <f t="shared" si="0"/>
        <v>#N/A</v>
      </c>
      <c r="H53" s="183" t="e">
        <f t="shared" si="2"/>
        <v>#N/A</v>
      </c>
      <c r="I53" s="183">
        <f>'Plot Data'!$C$67</f>
        <v>23.43396859798148</v>
      </c>
      <c r="J53" s="183">
        <f>'Plot Data'!$C$65</f>
        <v>23.539766944108866</v>
      </c>
      <c r="K53" s="184">
        <f>'Plot Data'!$C$58</f>
        <v>23.751363636363635</v>
      </c>
      <c r="L53" s="184">
        <f>'Plot Data'!$C$62</f>
        <v>23.962960328618404</v>
      </c>
      <c r="M53" s="184">
        <f>'Plot Data'!$C$64</f>
        <v>24.068758674745791</v>
      </c>
      <c r="N53" s="184">
        <f>'Plot Data'!$C$68</f>
        <v>0.12</v>
      </c>
      <c r="O53" s="190" t="e">
        <f t="shared" si="16"/>
        <v>#N/A</v>
      </c>
      <c r="P53" s="191" t="e">
        <f t="shared" si="4"/>
        <v>#N/A</v>
      </c>
      <c r="Q53" s="191" t="e">
        <f t="shared" si="10"/>
        <v>#N/A</v>
      </c>
      <c r="R53" s="191" t="e">
        <f t="shared" si="11"/>
        <v>#N/A</v>
      </c>
      <c r="S53" s="192" t="str">
        <f t="shared" si="5"/>
        <v/>
      </c>
      <c r="T53" s="192" t="e">
        <f t="shared" si="12"/>
        <v>#N/A</v>
      </c>
      <c r="U53" s="192" t="e">
        <f t="shared" si="13"/>
        <v>#N/A</v>
      </c>
      <c r="V53" s="192"/>
      <c r="W53" s="192"/>
      <c r="X53" s="192"/>
      <c r="Y53" s="192"/>
      <c r="Z53" s="192"/>
      <c r="AA53" s="193" t="e">
        <f t="shared" si="9"/>
        <v>#N/A</v>
      </c>
      <c r="AB53" s="192" t="e">
        <f t="shared" si="14"/>
        <v>#N/A</v>
      </c>
      <c r="AC53" s="192" t="e">
        <f t="shared" si="15"/>
        <v>#N/A</v>
      </c>
      <c r="AD53" s="194" t="e">
        <f t="shared" si="3"/>
        <v>#N/A</v>
      </c>
      <c r="AF53" s="211"/>
      <c r="AP53" s="92"/>
    </row>
    <row r="54" spans="2:42" x14ac:dyDescent="0.3">
      <c r="B54" s="188">
        <v>49</v>
      </c>
      <c r="C54" s="205"/>
      <c r="D54" s="206"/>
      <c r="E54" s="207"/>
      <c r="F54" s="207"/>
      <c r="G54" s="183" t="e">
        <f t="shared" si="0"/>
        <v>#N/A</v>
      </c>
      <c r="H54" s="183" t="e">
        <f t="shared" si="2"/>
        <v>#N/A</v>
      </c>
      <c r="I54" s="183">
        <f>'Plot Data'!$C$67</f>
        <v>23.43396859798148</v>
      </c>
      <c r="J54" s="183">
        <f>'Plot Data'!$C$65</f>
        <v>23.539766944108866</v>
      </c>
      <c r="K54" s="184">
        <f>'Plot Data'!$C$58</f>
        <v>23.751363636363635</v>
      </c>
      <c r="L54" s="184">
        <f>'Plot Data'!$C$62</f>
        <v>23.962960328618404</v>
      </c>
      <c r="M54" s="184">
        <f>'Plot Data'!$C$64</f>
        <v>24.068758674745791</v>
      </c>
      <c r="N54" s="184">
        <f>'Plot Data'!$C$68</f>
        <v>0.12</v>
      </c>
      <c r="O54" s="190" t="e">
        <f t="shared" si="16"/>
        <v>#N/A</v>
      </c>
      <c r="P54" s="191" t="e">
        <f t="shared" si="4"/>
        <v>#N/A</v>
      </c>
      <c r="Q54" s="191" t="e">
        <f t="shared" si="10"/>
        <v>#N/A</v>
      </c>
      <c r="R54" s="191" t="e">
        <f t="shared" si="11"/>
        <v>#N/A</v>
      </c>
      <c r="S54" s="192" t="str">
        <f t="shared" si="5"/>
        <v/>
      </c>
      <c r="T54" s="192" t="e">
        <f t="shared" si="12"/>
        <v>#N/A</v>
      </c>
      <c r="U54" s="192" t="e">
        <f t="shared" si="13"/>
        <v>#N/A</v>
      </c>
      <c r="V54" s="192"/>
      <c r="W54" s="192"/>
      <c r="X54" s="192"/>
      <c r="Y54" s="192"/>
      <c r="Z54" s="192"/>
      <c r="AA54" s="193" t="e">
        <f t="shared" si="9"/>
        <v>#N/A</v>
      </c>
      <c r="AB54" s="192" t="e">
        <f t="shared" si="14"/>
        <v>#N/A</v>
      </c>
      <c r="AC54" s="192" t="e">
        <f t="shared" si="15"/>
        <v>#N/A</v>
      </c>
      <c r="AD54" s="194" t="e">
        <f t="shared" si="3"/>
        <v>#N/A</v>
      </c>
      <c r="AF54" s="211"/>
      <c r="AP54" s="92"/>
    </row>
    <row r="55" spans="2:42" ht="15" thickBot="1" x14ac:dyDescent="0.35">
      <c r="B55" s="189">
        <v>50</v>
      </c>
      <c r="C55" s="208"/>
      <c r="D55" s="209"/>
      <c r="E55" s="210"/>
      <c r="F55" s="210"/>
      <c r="G55" s="185" t="e">
        <f t="shared" si="0"/>
        <v>#N/A</v>
      </c>
      <c r="H55" s="185" t="e">
        <f t="shared" si="2"/>
        <v>#N/A</v>
      </c>
      <c r="I55" s="185">
        <f>'Plot Data'!$C$67</f>
        <v>23.43396859798148</v>
      </c>
      <c r="J55" s="185">
        <f>'Plot Data'!$C$65</f>
        <v>23.539766944108866</v>
      </c>
      <c r="K55" s="186">
        <f>'Plot Data'!$C$58</f>
        <v>23.751363636363635</v>
      </c>
      <c r="L55" s="186">
        <f>'Plot Data'!$C$62</f>
        <v>23.962960328618404</v>
      </c>
      <c r="M55" s="186">
        <f>'Plot Data'!$C$64</f>
        <v>24.068758674745791</v>
      </c>
      <c r="N55" s="186">
        <f>'Plot Data'!$C$68</f>
        <v>0.12</v>
      </c>
      <c r="O55" s="195" t="e">
        <f t="shared" si="16"/>
        <v>#N/A</v>
      </c>
      <c r="P55" s="196" t="e">
        <f t="shared" si="4"/>
        <v>#N/A</v>
      </c>
      <c r="Q55" s="196" t="e">
        <f t="shared" si="10"/>
        <v>#N/A</v>
      </c>
      <c r="R55" s="196" t="e">
        <f t="shared" si="11"/>
        <v>#N/A</v>
      </c>
      <c r="S55" s="192" t="str">
        <f t="shared" si="5"/>
        <v/>
      </c>
      <c r="T55" s="197" t="e">
        <f t="shared" si="12"/>
        <v>#N/A</v>
      </c>
      <c r="U55" s="197" t="e">
        <f t="shared" si="13"/>
        <v>#N/A</v>
      </c>
      <c r="V55" s="197"/>
      <c r="W55" s="197"/>
      <c r="X55" s="197"/>
      <c r="Y55" s="197"/>
      <c r="Z55" s="197"/>
      <c r="AA55" s="193" t="e">
        <f t="shared" si="9"/>
        <v>#N/A</v>
      </c>
      <c r="AB55" s="197" t="e">
        <f t="shared" si="14"/>
        <v>#N/A</v>
      </c>
      <c r="AC55" s="192" t="e">
        <f t="shared" si="15"/>
        <v>#N/A</v>
      </c>
      <c r="AD55" s="198" t="e">
        <f t="shared" si="3"/>
        <v>#N/A</v>
      </c>
      <c r="AF55" s="212"/>
      <c r="AG55" s="213"/>
      <c r="AH55" s="213"/>
      <c r="AI55" s="213"/>
      <c r="AJ55" s="213"/>
      <c r="AK55" s="213"/>
      <c r="AL55" s="213"/>
      <c r="AM55" s="213"/>
      <c r="AN55" s="213"/>
      <c r="AO55" s="213"/>
      <c r="AP55" s="214"/>
    </row>
  </sheetData>
  <sheetProtection password="B7E1" sheet="1" objects="1" scenarios="1"/>
  <mergeCells count="25">
    <mergeCell ref="B3:D3"/>
    <mergeCell ref="B2:D2"/>
    <mergeCell ref="H2:I2"/>
    <mergeCell ref="J2:K2"/>
    <mergeCell ref="AF5:AG5"/>
    <mergeCell ref="AP6:AP7"/>
    <mergeCell ref="AK33:AM34"/>
    <mergeCell ref="AH33:AJ34"/>
    <mergeCell ref="AF33:AG34"/>
    <mergeCell ref="AN5:AP5"/>
    <mergeCell ref="AH5:AJ5"/>
    <mergeCell ref="AK5:AM5"/>
    <mergeCell ref="AF6:AG7"/>
    <mergeCell ref="AH6:AJ7"/>
    <mergeCell ref="AK6:AM7"/>
    <mergeCell ref="AN6:AN7"/>
    <mergeCell ref="AO6:AO7"/>
    <mergeCell ref="AF31:AP32"/>
    <mergeCell ref="AN33:AP34"/>
    <mergeCell ref="AP35:AP36"/>
    <mergeCell ref="AF35:AG36"/>
    <mergeCell ref="AH35:AJ36"/>
    <mergeCell ref="AK35:AM36"/>
    <mergeCell ref="AN35:AN36"/>
    <mergeCell ref="AO35:AO36"/>
  </mergeCells>
  <conditionalFormatting sqref="O6:O55">
    <cfRule type="cellIs" dxfId="248" priority="17" operator="equal">
      <formula>"Pass"</formula>
    </cfRule>
    <cfRule type="cellIs" dxfId="247" priority="18" operator="equal">
      <formula>"&lt;-3s"</formula>
    </cfRule>
    <cfRule type="cellIs" dxfId="246" priority="19" operator="equal">
      <formula>"&gt;+3s"</formula>
    </cfRule>
  </conditionalFormatting>
  <conditionalFormatting sqref="P7:P55">
    <cfRule type="cellIs" dxfId="245" priority="9" operator="equal">
      <formula>"Pass"</formula>
    </cfRule>
    <cfRule type="cellIs" dxfId="244" priority="14" operator="equal">
      <formula>""</formula>
    </cfRule>
    <cfRule type="cellIs" dxfId="243" priority="15" operator="equal">
      <formula>"Fail &gt; +2s"</formula>
    </cfRule>
    <cfRule type="cellIs" dxfId="242" priority="16" operator="equal">
      <formula>"Fail &lt; -2s"</formula>
    </cfRule>
  </conditionalFormatting>
  <conditionalFormatting sqref="Q13:Q55">
    <cfRule type="cellIs" dxfId="241" priority="5" operator="equal">
      <formula>""</formula>
    </cfRule>
    <cfRule type="cellIs" dxfId="240" priority="6" operator="equal">
      <formula>"Pass"</formula>
    </cfRule>
    <cfRule type="cellIs" dxfId="239" priority="7" operator="equal">
      <formula>"Fail -ve bias"</formula>
    </cfRule>
    <cfRule type="cellIs" dxfId="238" priority="8" operator="equal">
      <formula>"Fail +ve bias"</formula>
    </cfRule>
  </conditionalFormatting>
  <conditionalFormatting sqref="R12:R55">
    <cfRule type="cellIs" dxfId="237" priority="10" operator="equal">
      <formula>""</formula>
    </cfRule>
    <cfRule type="cellIs" dxfId="236" priority="11" operator="equal">
      <formula>"Fail -ve trend"</formula>
    </cfRule>
    <cfRule type="cellIs" dxfId="235" priority="12" operator="equal">
      <formula>"Fail +ve trend"</formula>
    </cfRule>
    <cfRule type="cellIs" dxfId="234" priority="13" operator="equal">
      <formula>"Pass"</formula>
    </cfRule>
  </conditionalFormatting>
  <conditionalFormatting sqref="AC15:AC55">
    <cfRule type="cellIs" dxfId="233" priority="1" operator="equal">
      <formula>"Pass"</formula>
    </cfRule>
    <cfRule type="cellIs" dxfId="232" priority="2" operator="equal">
      <formula>""</formula>
    </cfRule>
    <cfRule type="cellIs" dxfId="231" priority="3" operator="equal">
      <formula>"Fail -ve"</formula>
    </cfRule>
    <cfRule type="cellIs" dxfId="230" priority="4" operator="equal">
      <formula>"Fail +ve"</formula>
    </cfRule>
  </conditionalFormatting>
  <conditionalFormatting sqref="AD6:AD55">
    <cfRule type="cellIs" dxfId="229" priority="20" operator="equal">
      <formula>NA()</formula>
    </cfRule>
    <cfRule type="cellIs" dxfId="228" priority="21" operator="equal">
      <formula>"Yes"</formula>
    </cfRule>
    <cfRule type="cellIs" dxfId="227" priority="22" operator="equal">
      <formula>"No"</formula>
    </cfRule>
  </conditionalFormatting>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F0"/>
    <pageSetUpPr autoPageBreaks="0"/>
  </sheetPr>
  <dimension ref="B1:AP55"/>
  <sheetViews>
    <sheetView showZeros="0" topLeftCell="N1" zoomScale="80" zoomScaleNormal="80" workbookViewId="0">
      <selection activeCell="AE19" sqref="AE19"/>
    </sheetView>
  </sheetViews>
  <sheetFormatPr defaultColWidth="9.21875" defaultRowHeight="14.4" x14ac:dyDescent="0.3"/>
  <cols>
    <col min="2" max="2" width="7.77734375" bestFit="1" customWidth="1"/>
    <col min="3" max="4" width="13.77734375" customWidth="1"/>
    <col min="5" max="5" width="14.21875" bestFit="1" customWidth="1"/>
    <col min="6" max="6" width="14.5546875" customWidth="1"/>
    <col min="7" max="7" width="19.21875" bestFit="1" customWidth="1"/>
    <col min="8" max="8" width="18.77734375" bestFit="1" customWidth="1"/>
    <col min="9" max="9" width="13.77734375" customWidth="1"/>
    <col min="11" max="11" width="12.77734375" customWidth="1"/>
    <col min="14" max="14" width="15" bestFit="1" customWidth="1"/>
    <col min="15" max="15" width="15.77734375" style="174" customWidth="1"/>
    <col min="16" max="18" width="15.77734375" customWidth="1"/>
    <col min="19" max="29" width="15.77734375" hidden="1" customWidth="1"/>
    <col min="30" max="30" width="13.77734375" customWidth="1"/>
    <col min="40" max="40" width="13.77734375" bestFit="1" customWidth="1"/>
    <col min="42" max="42" width="13.77734375" bestFit="1" customWidth="1"/>
  </cols>
  <sheetData>
    <row r="1" spans="2:42" ht="15" thickBot="1" x14ac:dyDescent="0.35"/>
    <row r="2" spans="2:42" ht="15.6" x14ac:dyDescent="0.3">
      <c r="B2" s="708" t="s">
        <v>59</v>
      </c>
      <c r="C2" s="709"/>
      <c r="D2" s="709"/>
      <c r="E2" s="203" t="s">
        <v>214</v>
      </c>
      <c r="G2" s="175"/>
      <c r="H2" s="710" t="s">
        <v>215</v>
      </c>
      <c r="I2" s="711"/>
      <c r="J2" s="712" t="s">
        <v>217</v>
      </c>
      <c r="K2" s="713"/>
    </row>
    <row r="3" spans="2:42" ht="20.100000000000001" customHeight="1" thickBot="1" x14ac:dyDescent="0.35">
      <c r="B3" s="706" t="s">
        <v>203</v>
      </c>
      <c r="C3" s="707"/>
      <c r="D3" s="707"/>
      <c r="E3" s="204" t="s">
        <v>209</v>
      </c>
      <c r="G3" s="175"/>
      <c r="H3" s="199" t="s">
        <v>204</v>
      </c>
      <c r="I3" s="200">
        <f>C6</f>
        <v>37212</v>
      </c>
      <c r="J3" s="201" t="s">
        <v>205</v>
      </c>
      <c r="K3" s="202">
        <f>MAX(C6:C55)</f>
        <v>39038</v>
      </c>
    </row>
    <row r="4" spans="2:42" ht="20.100000000000001" customHeight="1" thickBot="1" x14ac:dyDescent="0.35">
      <c r="B4" s="175"/>
      <c r="C4" s="175"/>
      <c r="D4" s="175"/>
      <c r="E4" s="175"/>
      <c r="G4" s="175"/>
    </row>
    <row r="5" spans="2:42" ht="29.25" customHeight="1" x14ac:dyDescent="0.3">
      <c r="B5" s="215" t="s">
        <v>198</v>
      </c>
      <c r="C5" s="187" t="s">
        <v>0</v>
      </c>
      <c r="D5" s="187" t="s">
        <v>192</v>
      </c>
      <c r="E5" s="187" t="s">
        <v>193</v>
      </c>
      <c r="F5" s="187" t="s">
        <v>194</v>
      </c>
      <c r="G5" s="187" t="s">
        <v>208</v>
      </c>
      <c r="H5" s="187" t="s">
        <v>213</v>
      </c>
      <c r="I5" s="216" t="s">
        <v>45</v>
      </c>
      <c r="J5" s="216" t="s">
        <v>46</v>
      </c>
      <c r="K5" s="217" t="s">
        <v>200</v>
      </c>
      <c r="L5" s="216" t="s">
        <v>47</v>
      </c>
      <c r="M5" s="216" t="s">
        <v>48</v>
      </c>
      <c r="N5" s="187" t="s">
        <v>19</v>
      </c>
      <c r="O5" s="187" t="s">
        <v>196</v>
      </c>
      <c r="P5" s="187" t="s">
        <v>197</v>
      </c>
      <c r="Q5" s="187" t="s">
        <v>201</v>
      </c>
      <c r="R5" s="187" t="s">
        <v>202</v>
      </c>
      <c r="S5" s="218"/>
      <c r="T5" s="219" t="s">
        <v>211</v>
      </c>
      <c r="U5" s="219" t="s">
        <v>212</v>
      </c>
      <c r="V5" s="219"/>
      <c r="W5" s="219"/>
      <c r="X5" s="219"/>
      <c r="Y5" s="219"/>
      <c r="Z5" s="219"/>
      <c r="AA5" s="219"/>
      <c r="AB5" s="219"/>
      <c r="AC5" s="218" t="s">
        <v>210</v>
      </c>
      <c r="AD5" s="220" t="s">
        <v>199</v>
      </c>
      <c r="AE5" s="176"/>
      <c r="AF5" s="714" t="s">
        <v>207</v>
      </c>
      <c r="AG5" s="715"/>
      <c r="AH5" s="689" t="str">
        <f>B2</f>
        <v>Total Sulphur</v>
      </c>
      <c r="AI5" s="692"/>
      <c r="AJ5" s="692"/>
      <c r="AK5" s="693" t="s">
        <v>168</v>
      </c>
      <c r="AL5" s="693"/>
      <c r="AM5" s="693"/>
      <c r="AN5" s="689" t="str">
        <f>J2</f>
        <v>IMP-SULP-01</v>
      </c>
      <c r="AO5" s="689"/>
      <c r="AP5" s="691"/>
    </row>
    <row r="6" spans="2:42" x14ac:dyDescent="0.3">
      <c r="B6" s="188">
        <v>1</v>
      </c>
      <c r="C6" s="205">
        <v>37212</v>
      </c>
      <c r="D6" s="206"/>
      <c r="E6" s="207">
        <v>0.72</v>
      </c>
      <c r="F6" s="207">
        <v>0.71</v>
      </c>
      <c r="G6" s="183">
        <f t="shared" ref="G6:G55" si="0">IF(AND(E6="",F6=""),NA(),AVERAGE(E6:F6))</f>
        <v>0.71499999999999997</v>
      </c>
      <c r="H6" s="183">
        <f>IF(AND(E6="",F6=""),NA(),ABS(E6-F6))</f>
        <v>1.0000000000000009E-2</v>
      </c>
      <c r="I6" s="221">
        <f>'Plot Data'!$D$67</f>
        <v>0.33955658845492881</v>
      </c>
      <c r="J6" s="221">
        <f>'Plot Data'!$D$65</f>
        <v>0.3797043923032859</v>
      </c>
      <c r="K6" s="222">
        <f>'Plot Data'!$D$58</f>
        <v>0.46</v>
      </c>
      <c r="L6" s="222">
        <f>'Plot Data'!$D$62</f>
        <v>0.54029560769671414</v>
      </c>
      <c r="M6" s="222">
        <f>'Plot Data'!$D$64</f>
        <v>0.58044341154507118</v>
      </c>
      <c r="N6" s="222">
        <f>'Plot Data'!$D$68</f>
        <v>3.3799999999999997E-2</v>
      </c>
      <c r="O6" s="177" t="str">
        <f t="shared" ref="O6:O55" si="1">IF(G6&gt;M6,"&gt;+3s",IF(G6&lt;I6,"&lt;-3s","Pass"))</f>
        <v>&gt;+3s</v>
      </c>
      <c r="P6" s="191"/>
      <c r="Q6" s="191"/>
      <c r="R6" s="191"/>
      <c r="S6" s="178"/>
      <c r="T6" s="178"/>
      <c r="U6" s="178"/>
      <c r="V6" s="178"/>
      <c r="W6" s="178"/>
      <c r="X6" s="178"/>
      <c r="Y6" s="178"/>
      <c r="Z6" s="178"/>
      <c r="AA6" s="178"/>
      <c r="AB6" s="178"/>
      <c r="AC6" s="178"/>
      <c r="AD6" s="179" t="str">
        <f>IF(H6="","",IF(H6&gt;N6,"No","Yes"))</f>
        <v>Yes</v>
      </c>
      <c r="AF6" s="682" t="s">
        <v>203</v>
      </c>
      <c r="AG6" s="683"/>
      <c r="AH6" s="683" t="str">
        <f>E3</f>
        <v>034</v>
      </c>
      <c r="AI6" s="683"/>
      <c r="AJ6" s="683"/>
      <c r="AK6" s="696" t="s">
        <v>204</v>
      </c>
      <c r="AL6" s="697"/>
      <c r="AM6" s="698"/>
      <c r="AN6" s="686">
        <f>I3</f>
        <v>37212</v>
      </c>
      <c r="AO6" s="683" t="s">
        <v>205</v>
      </c>
      <c r="AP6" s="680">
        <f>K3</f>
        <v>39038</v>
      </c>
    </row>
    <row r="7" spans="2:42" ht="15" customHeight="1" x14ac:dyDescent="0.3">
      <c r="B7" s="188">
        <v>2</v>
      </c>
      <c r="C7" s="205">
        <v>37577</v>
      </c>
      <c r="D7" s="206"/>
      <c r="E7" s="207">
        <v>0.72</v>
      </c>
      <c r="F7" s="207">
        <v>0.71</v>
      </c>
      <c r="G7" s="183">
        <f t="shared" si="0"/>
        <v>0.71499999999999997</v>
      </c>
      <c r="H7" s="183">
        <f t="shared" ref="H7:H55" si="2">IF(AND(E7="",F7=""),NA(),ABS(E7-F7))</f>
        <v>1.0000000000000009E-2</v>
      </c>
      <c r="I7" s="221">
        <f>'Plot Data'!$D$67</f>
        <v>0.33955658845492881</v>
      </c>
      <c r="J7" s="221">
        <f>'Plot Data'!$D$65</f>
        <v>0.3797043923032859</v>
      </c>
      <c r="K7" s="222">
        <f>'Plot Data'!$D$58</f>
        <v>0.46</v>
      </c>
      <c r="L7" s="222">
        <f>'Plot Data'!$D$62</f>
        <v>0.54029560769671414</v>
      </c>
      <c r="M7" s="222">
        <f>'Plot Data'!$D$64</f>
        <v>0.58044341154507118</v>
      </c>
      <c r="N7" s="222">
        <f>'Plot Data'!$D$68</f>
        <v>3.3799999999999997E-2</v>
      </c>
      <c r="O7" s="177" t="str">
        <f t="shared" si="1"/>
        <v>&gt;+3s</v>
      </c>
      <c r="P7" s="180" t="str">
        <f>IF(AND(G7&gt;L7,G6&gt;L6),"Fail &gt; +2s",IF(AND(G7&lt;J7,G6&lt;J6),"Fail &lt; -2s","Pass"))</f>
        <v>Fail &gt; +2s</v>
      </c>
      <c r="Q7" s="191"/>
      <c r="R7" s="191"/>
      <c r="S7" s="178" t="str">
        <f>IF(E7="","",IF(G7&gt;G6,"+",IF(G7&lt;G6,"-","")))</f>
        <v/>
      </c>
      <c r="T7" s="178"/>
      <c r="U7" s="178"/>
      <c r="V7" s="178"/>
      <c r="W7" s="178"/>
      <c r="X7" s="178"/>
      <c r="Y7" s="178"/>
      <c r="Z7" s="178"/>
      <c r="AA7" s="178"/>
      <c r="AB7" s="178"/>
      <c r="AC7" s="178"/>
      <c r="AD7" s="179" t="str">
        <f t="shared" ref="AD7:AD55" si="3">IF(H7="","",IF(H7&gt;N7,"No","Yes"))</f>
        <v>Yes</v>
      </c>
      <c r="AF7" s="694"/>
      <c r="AG7" s="695"/>
      <c r="AH7" s="695"/>
      <c r="AI7" s="695"/>
      <c r="AJ7" s="695"/>
      <c r="AK7" s="699"/>
      <c r="AL7" s="700"/>
      <c r="AM7" s="701"/>
      <c r="AN7" s="702"/>
      <c r="AO7" s="695"/>
      <c r="AP7" s="688"/>
    </row>
    <row r="8" spans="2:42" x14ac:dyDescent="0.3">
      <c r="B8" s="188">
        <v>3</v>
      </c>
      <c r="C8" s="205">
        <v>37942</v>
      </c>
      <c r="D8" s="206"/>
      <c r="E8" s="207">
        <v>0.72</v>
      </c>
      <c r="F8" s="207">
        <v>0.71</v>
      </c>
      <c r="G8" s="183">
        <f t="shared" si="0"/>
        <v>0.71499999999999997</v>
      </c>
      <c r="H8" s="183">
        <f t="shared" si="2"/>
        <v>1.0000000000000009E-2</v>
      </c>
      <c r="I8" s="221">
        <f>'Plot Data'!$D$67</f>
        <v>0.33955658845492881</v>
      </c>
      <c r="J8" s="221">
        <f>'Plot Data'!$D$65</f>
        <v>0.3797043923032859</v>
      </c>
      <c r="K8" s="222">
        <f>'Plot Data'!$D$58</f>
        <v>0.46</v>
      </c>
      <c r="L8" s="222">
        <f>'Plot Data'!$D$62</f>
        <v>0.54029560769671414</v>
      </c>
      <c r="M8" s="222">
        <f>'Plot Data'!$D$64</f>
        <v>0.58044341154507118</v>
      </c>
      <c r="N8" s="222">
        <f>'Plot Data'!$D$68</f>
        <v>3.3799999999999997E-2</v>
      </c>
      <c r="O8" s="177" t="str">
        <f t="shared" si="1"/>
        <v>&gt;+3s</v>
      </c>
      <c r="P8" s="180" t="str">
        <f t="shared" ref="P8:P55" si="4">IF(AND(G8&gt;L8,G7&gt;L7),"Fail &gt; +2s",IF(AND(G8&gt;L8,G6&gt;L6),"Fail &gt; +2s",IF(AND(G8&lt;J8,G7&lt;J7),"Fail &lt; -2s",IF(AND(G8&lt;J8,G6&lt;J6),"Fail &lt; -2s","Pass"))))</f>
        <v>Fail &gt; +2s</v>
      </c>
      <c r="Q8" s="191"/>
      <c r="R8" s="191"/>
      <c r="S8" s="178" t="str">
        <f t="shared" ref="S8:S55" si="5">IF(E8="","",IF(G8&gt;G7,"+",IF(G8&lt;G7,"-","")))</f>
        <v/>
      </c>
      <c r="T8" s="178"/>
      <c r="U8" s="178"/>
      <c r="V8" s="178"/>
      <c r="W8" s="178"/>
      <c r="X8" s="181">
        <f>AVERAGE(G6:G8)</f>
        <v>0.71499999999999997</v>
      </c>
      <c r="Y8" s="181"/>
      <c r="Z8" s="181"/>
      <c r="AA8" s="181"/>
      <c r="AB8" s="181"/>
      <c r="AC8" s="178"/>
      <c r="AD8" s="179" t="str">
        <f t="shared" si="3"/>
        <v>Yes</v>
      </c>
    </row>
    <row r="9" spans="2:42" x14ac:dyDescent="0.3">
      <c r="B9" s="188">
        <v>4</v>
      </c>
      <c r="C9" s="205">
        <v>38308</v>
      </c>
      <c r="D9" s="206"/>
      <c r="E9" s="207">
        <v>0.72</v>
      </c>
      <c r="F9" s="207">
        <v>0.71</v>
      </c>
      <c r="G9" s="183">
        <f t="shared" si="0"/>
        <v>0.71499999999999997</v>
      </c>
      <c r="H9" s="183">
        <f t="shared" si="2"/>
        <v>1.0000000000000009E-2</v>
      </c>
      <c r="I9" s="221">
        <f>'Plot Data'!$D$67</f>
        <v>0.33955658845492881</v>
      </c>
      <c r="J9" s="221">
        <f>'Plot Data'!$D$65</f>
        <v>0.3797043923032859</v>
      </c>
      <c r="K9" s="222">
        <f>'Plot Data'!$D$58</f>
        <v>0.46</v>
      </c>
      <c r="L9" s="222">
        <f>'Plot Data'!$D$62</f>
        <v>0.54029560769671414</v>
      </c>
      <c r="M9" s="222">
        <f>'Plot Data'!$D$64</f>
        <v>0.58044341154507118</v>
      </c>
      <c r="N9" s="222">
        <f>'Plot Data'!$D$68</f>
        <v>3.3799999999999997E-2</v>
      </c>
      <c r="O9" s="177" t="str">
        <f t="shared" si="1"/>
        <v>&gt;+3s</v>
      </c>
      <c r="P9" s="180" t="str">
        <f t="shared" si="4"/>
        <v>Fail &gt; +2s</v>
      </c>
      <c r="Q9" s="191"/>
      <c r="R9" s="191"/>
      <c r="S9" s="178" t="str">
        <f t="shared" si="5"/>
        <v/>
      </c>
      <c r="T9" s="178"/>
      <c r="U9" s="178"/>
      <c r="V9" s="178"/>
      <c r="W9" s="178"/>
      <c r="X9" s="181">
        <f t="shared" ref="X9:X17" si="6">AVERAGE(G7:G9)</f>
        <v>0.71499999999999997</v>
      </c>
      <c r="Y9" s="181">
        <f>AVERAGE(G6:G9)</f>
        <v>0.71499999999999997</v>
      </c>
      <c r="Z9" s="181"/>
      <c r="AA9" s="181"/>
      <c r="AB9" s="181"/>
      <c r="AC9" s="178"/>
      <c r="AD9" s="179" t="str">
        <f t="shared" si="3"/>
        <v>Yes</v>
      </c>
    </row>
    <row r="10" spans="2:42" x14ac:dyDescent="0.3">
      <c r="B10" s="188">
        <v>5</v>
      </c>
      <c r="C10" s="205">
        <v>38673</v>
      </c>
      <c r="D10" s="206"/>
      <c r="E10" s="207">
        <v>0.72</v>
      </c>
      <c r="F10" s="207">
        <v>0.71</v>
      </c>
      <c r="G10" s="183">
        <f t="shared" si="0"/>
        <v>0.71499999999999997</v>
      </c>
      <c r="H10" s="183">
        <f t="shared" si="2"/>
        <v>1.0000000000000009E-2</v>
      </c>
      <c r="I10" s="221">
        <f>'Plot Data'!$D$67</f>
        <v>0.33955658845492881</v>
      </c>
      <c r="J10" s="221">
        <f>'Plot Data'!$D$65</f>
        <v>0.3797043923032859</v>
      </c>
      <c r="K10" s="222">
        <f>'Plot Data'!$D$58</f>
        <v>0.46</v>
      </c>
      <c r="L10" s="222">
        <f>'Plot Data'!$D$62</f>
        <v>0.54029560769671414</v>
      </c>
      <c r="M10" s="222">
        <f>'Plot Data'!$D$64</f>
        <v>0.58044341154507118</v>
      </c>
      <c r="N10" s="222">
        <f>'Plot Data'!$D$68</f>
        <v>3.3799999999999997E-2</v>
      </c>
      <c r="O10" s="177" t="str">
        <f t="shared" si="1"/>
        <v>&gt;+3s</v>
      </c>
      <c r="P10" s="180" t="str">
        <f t="shared" si="4"/>
        <v>Fail &gt; +2s</v>
      </c>
      <c r="Q10" s="191"/>
      <c r="R10" s="191"/>
      <c r="S10" s="178" t="str">
        <f t="shared" si="5"/>
        <v/>
      </c>
      <c r="T10" s="178"/>
      <c r="U10" s="178"/>
      <c r="V10" s="178"/>
      <c r="W10" s="178"/>
      <c r="X10" s="181">
        <f t="shared" si="6"/>
        <v>0.71499999999999997</v>
      </c>
      <c r="Y10" s="181">
        <f t="shared" ref="Y10:Y16" si="7">AVERAGE(G7:G10)</f>
        <v>0.71499999999999997</v>
      </c>
      <c r="Z10" s="181">
        <f>AVERAGE(G6:G10)</f>
        <v>0.71499999999999997</v>
      </c>
      <c r="AA10" s="181"/>
      <c r="AB10" s="181"/>
      <c r="AC10" s="178"/>
      <c r="AD10" s="179" t="str">
        <f t="shared" si="3"/>
        <v>Yes</v>
      </c>
    </row>
    <row r="11" spans="2:42" x14ac:dyDescent="0.3">
      <c r="B11" s="188">
        <v>6</v>
      </c>
      <c r="C11" s="205">
        <v>39038</v>
      </c>
      <c r="D11" s="206"/>
      <c r="E11" s="207">
        <v>0.72</v>
      </c>
      <c r="F11" s="207">
        <v>0.71</v>
      </c>
      <c r="G11" s="183">
        <f t="shared" si="0"/>
        <v>0.71499999999999997</v>
      </c>
      <c r="H11" s="183">
        <f t="shared" si="2"/>
        <v>1.0000000000000009E-2</v>
      </c>
      <c r="I11" s="221">
        <f>'Plot Data'!$D$67</f>
        <v>0.33955658845492881</v>
      </c>
      <c r="J11" s="221">
        <f>'Plot Data'!$D$65</f>
        <v>0.3797043923032859</v>
      </c>
      <c r="K11" s="222">
        <f>'Plot Data'!$D$58</f>
        <v>0.46</v>
      </c>
      <c r="L11" s="222">
        <f>'Plot Data'!$D$62</f>
        <v>0.54029560769671414</v>
      </c>
      <c r="M11" s="222">
        <f>'Plot Data'!$D$64</f>
        <v>0.58044341154507118</v>
      </c>
      <c r="N11" s="222">
        <f>'Plot Data'!$D$68</f>
        <v>3.3799999999999997E-2</v>
      </c>
      <c r="O11" s="177" t="str">
        <f t="shared" si="1"/>
        <v>&gt;+3s</v>
      </c>
      <c r="P11" s="180" t="str">
        <f t="shared" si="4"/>
        <v>Fail &gt; +2s</v>
      </c>
      <c r="Q11" s="191"/>
      <c r="R11" s="191"/>
      <c r="S11" s="178" t="str">
        <f t="shared" si="5"/>
        <v/>
      </c>
      <c r="T11" s="178"/>
      <c r="U11" s="178"/>
      <c r="V11" s="178"/>
      <c r="W11" s="178"/>
      <c r="X11" s="181">
        <f t="shared" si="6"/>
        <v>0.71499999999999997</v>
      </c>
      <c r="Y11" s="181">
        <f t="shared" si="7"/>
        <v>0.71499999999999997</v>
      </c>
      <c r="Z11" s="181">
        <f t="shared" ref="Z11:Z16" si="8">AVERAGE(G7:G11)</f>
        <v>0.71499999999999997</v>
      </c>
      <c r="AA11" s="181">
        <f>AVERAGE(G6:G11)</f>
        <v>0.71499999999999997</v>
      </c>
      <c r="AB11" s="182"/>
      <c r="AC11" s="178"/>
      <c r="AD11" s="179" t="str">
        <f t="shared" si="3"/>
        <v>Yes</v>
      </c>
    </row>
    <row r="12" spans="2:42" x14ac:dyDescent="0.3">
      <c r="B12" s="188">
        <v>7</v>
      </c>
      <c r="C12" s="205"/>
      <c r="D12" s="206"/>
      <c r="E12" s="207">
        <v>0.72</v>
      </c>
      <c r="F12" s="207">
        <v>0.71</v>
      </c>
      <c r="G12" s="183">
        <f t="shared" si="0"/>
        <v>0.71499999999999997</v>
      </c>
      <c r="H12" s="183">
        <f t="shared" si="2"/>
        <v>1.0000000000000009E-2</v>
      </c>
      <c r="I12" s="221">
        <f>'Plot Data'!$D$67</f>
        <v>0.33955658845492881</v>
      </c>
      <c r="J12" s="221">
        <f>'Plot Data'!$D$65</f>
        <v>0.3797043923032859</v>
      </c>
      <c r="K12" s="222">
        <f>'Plot Data'!$D$58</f>
        <v>0.46</v>
      </c>
      <c r="L12" s="222">
        <f>'Plot Data'!$D$62</f>
        <v>0.54029560769671414</v>
      </c>
      <c r="M12" s="222">
        <f>'Plot Data'!$D$64</f>
        <v>0.58044341154507118</v>
      </c>
      <c r="N12" s="222">
        <f>'Plot Data'!$D$68</f>
        <v>3.3799999999999997E-2</v>
      </c>
      <c r="O12" s="177" t="str">
        <f t="shared" si="1"/>
        <v>&gt;+3s</v>
      </c>
      <c r="P12" s="180" t="str">
        <f t="shared" si="4"/>
        <v>Fail &gt; +2s</v>
      </c>
      <c r="Q12" s="191"/>
      <c r="R12" s="180" t="str">
        <f>IF(AND(G12&gt;G11,G11&gt;G10,G10&gt;G9,G9&gt;G8,G8&gt;G7,G7&gt;G6),"Fail +ve trend",IF(AND(G12&lt;G11,G11&lt;G10,G10&lt;G9,G9&lt;G8,G8&lt;G7,G7&lt;G6),"Fail -ve trend","Pass"))</f>
        <v>Pass</v>
      </c>
      <c r="S12" s="178" t="str">
        <f t="shared" si="5"/>
        <v/>
      </c>
      <c r="T12" s="178"/>
      <c r="U12" s="178"/>
      <c r="V12" s="178"/>
      <c r="W12" s="178"/>
      <c r="X12" s="181">
        <f t="shared" si="6"/>
        <v>0.71499999999999997</v>
      </c>
      <c r="Y12" s="181">
        <f t="shared" si="7"/>
        <v>0.71499999999999997</v>
      </c>
      <c r="Z12" s="181">
        <f t="shared" si="8"/>
        <v>0.71499999999999997</v>
      </c>
      <c r="AA12" s="181">
        <f t="shared" ref="AA12:AA55" si="9">AVERAGE(G7:G12)</f>
        <v>0.71499999999999997</v>
      </c>
      <c r="AB12" s="181"/>
      <c r="AC12" s="178"/>
      <c r="AD12" s="179" t="str">
        <f t="shared" si="3"/>
        <v>Yes</v>
      </c>
    </row>
    <row r="13" spans="2:42" x14ac:dyDescent="0.3">
      <c r="B13" s="188">
        <v>8</v>
      </c>
      <c r="C13" s="205"/>
      <c r="D13" s="206"/>
      <c r="E13" s="207">
        <v>0.73</v>
      </c>
      <c r="F13" s="207">
        <v>0.74</v>
      </c>
      <c r="G13" s="183">
        <f t="shared" si="0"/>
        <v>0.73499999999999999</v>
      </c>
      <c r="H13" s="183">
        <f t="shared" si="2"/>
        <v>1.0000000000000009E-2</v>
      </c>
      <c r="I13" s="221">
        <f>'Plot Data'!$D$67</f>
        <v>0.33955658845492881</v>
      </c>
      <c r="J13" s="221">
        <f>'Plot Data'!$D$65</f>
        <v>0.3797043923032859</v>
      </c>
      <c r="K13" s="222">
        <f>'Plot Data'!$D$58</f>
        <v>0.46</v>
      </c>
      <c r="L13" s="222">
        <f>'Plot Data'!$D$62</f>
        <v>0.54029560769671414</v>
      </c>
      <c r="M13" s="222">
        <f>'Plot Data'!$D$64</f>
        <v>0.58044341154507118</v>
      </c>
      <c r="N13" s="222">
        <f>'Plot Data'!$D$68</f>
        <v>3.3799999999999997E-2</v>
      </c>
      <c r="O13" s="177" t="str">
        <f t="shared" si="1"/>
        <v>&gt;+3s</v>
      </c>
      <c r="P13" s="180" t="str">
        <f t="shared" si="4"/>
        <v>Fail &gt; +2s</v>
      </c>
      <c r="Q13" s="180" t="str">
        <f t="shared" ref="Q13:Q55" si="10">IF(AND(G13&gt;K13,G12&gt;K13,G11&gt;K13,G10&gt;K13,G9&gt;K13,G8&gt;K13,G7&gt;K13,G6&gt;K13),"Fail +ve bias",IF(AND(G13&lt;K13,G12&lt;K13,G11&lt;K13,G10&lt;K13,G9&lt;K13,G8&lt;K13,G7&lt;K13,G6&lt;K13),"Fail -ve bias","Pass"))</f>
        <v>Fail +ve bias</v>
      </c>
      <c r="R13" s="180" t="str">
        <f t="shared" ref="R13:R55" si="11">IF(AND(G13&gt;G12,G12&gt;G11,G11&gt;G10,G10&gt;G9,G9&gt;G8,G8&gt;G7),"Fail +ve trend",IF(AND(G13&lt;G12,G12&lt;G11,G11&lt;G10,G10&lt;G9,G9&lt;G8,G8&lt;G7),"Fail -ve trend","Pass"))</f>
        <v>Pass</v>
      </c>
      <c r="S13" s="178" t="str">
        <f t="shared" si="5"/>
        <v>+</v>
      </c>
      <c r="T13" s="178"/>
      <c r="U13" s="178"/>
      <c r="V13" s="178"/>
      <c r="W13" s="178"/>
      <c r="X13" s="181">
        <f t="shared" si="6"/>
        <v>0.72166666666666668</v>
      </c>
      <c r="Y13" s="181">
        <f t="shared" si="7"/>
        <v>0.72</v>
      </c>
      <c r="Z13" s="181">
        <f t="shared" si="8"/>
        <v>0.71899999999999997</v>
      </c>
      <c r="AA13" s="181">
        <f t="shared" si="9"/>
        <v>0.71833333333333327</v>
      </c>
      <c r="AB13" s="181"/>
      <c r="AC13" s="178"/>
      <c r="AD13" s="179" t="str">
        <f t="shared" si="3"/>
        <v>Yes</v>
      </c>
    </row>
    <row r="14" spans="2:42" x14ac:dyDescent="0.3">
      <c r="B14" s="188">
        <v>9</v>
      </c>
      <c r="C14" s="205"/>
      <c r="D14" s="206"/>
      <c r="E14" s="207">
        <v>0.72</v>
      </c>
      <c r="F14" s="207">
        <v>0.71</v>
      </c>
      <c r="G14" s="183">
        <f t="shared" si="0"/>
        <v>0.71499999999999997</v>
      </c>
      <c r="H14" s="183">
        <f t="shared" si="2"/>
        <v>1.0000000000000009E-2</v>
      </c>
      <c r="I14" s="221">
        <f>'Plot Data'!$D$67</f>
        <v>0.33955658845492881</v>
      </c>
      <c r="J14" s="221">
        <f>'Plot Data'!$D$65</f>
        <v>0.3797043923032859</v>
      </c>
      <c r="K14" s="222">
        <f>'Plot Data'!$D$58</f>
        <v>0.46</v>
      </c>
      <c r="L14" s="222">
        <f>'Plot Data'!$D$62</f>
        <v>0.54029560769671414</v>
      </c>
      <c r="M14" s="222">
        <f>'Plot Data'!$D$64</f>
        <v>0.58044341154507118</v>
      </c>
      <c r="N14" s="222">
        <f>'Plot Data'!$D$68</f>
        <v>3.3799999999999997E-2</v>
      </c>
      <c r="O14" s="177" t="str">
        <f t="shared" si="1"/>
        <v>&gt;+3s</v>
      </c>
      <c r="P14" s="180" t="str">
        <f t="shared" si="4"/>
        <v>Fail &gt; +2s</v>
      </c>
      <c r="Q14" s="180" t="str">
        <f t="shared" si="10"/>
        <v>Fail +ve bias</v>
      </c>
      <c r="R14" s="180" t="str">
        <f t="shared" si="11"/>
        <v>Pass</v>
      </c>
      <c r="S14" s="178" t="str">
        <f t="shared" si="5"/>
        <v>-</v>
      </c>
      <c r="T14" s="178"/>
      <c r="U14" s="178"/>
      <c r="V14" s="178"/>
      <c r="W14" s="178"/>
      <c r="X14" s="181">
        <f t="shared" si="6"/>
        <v>0.72166666666666668</v>
      </c>
      <c r="Y14" s="181">
        <f t="shared" si="7"/>
        <v>0.72</v>
      </c>
      <c r="Z14" s="181">
        <f t="shared" si="8"/>
        <v>0.71899999999999997</v>
      </c>
      <c r="AA14" s="181">
        <f t="shared" si="9"/>
        <v>0.71833333333333327</v>
      </c>
      <c r="AB14" s="181"/>
      <c r="AC14" s="178"/>
      <c r="AD14" s="179" t="str">
        <f t="shared" si="3"/>
        <v>Yes</v>
      </c>
    </row>
    <row r="15" spans="2:42" x14ac:dyDescent="0.3">
      <c r="B15" s="188">
        <v>10</v>
      </c>
      <c r="C15" s="205"/>
      <c r="D15" s="206"/>
      <c r="E15" s="207">
        <v>0.72</v>
      </c>
      <c r="F15" s="207">
        <v>0.71</v>
      </c>
      <c r="G15" s="183">
        <f t="shared" si="0"/>
        <v>0.71499999999999997</v>
      </c>
      <c r="H15" s="183">
        <f t="shared" si="2"/>
        <v>1.0000000000000009E-2</v>
      </c>
      <c r="I15" s="221">
        <f>'Plot Data'!$D$67</f>
        <v>0.33955658845492881</v>
      </c>
      <c r="J15" s="221">
        <f>'Plot Data'!$D$65</f>
        <v>0.3797043923032859</v>
      </c>
      <c r="K15" s="222">
        <f>'Plot Data'!$D$58</f>
        <v>0.46</v>
      </c>
      <c r="L15" s="222">
        <f>'Plot Data'!$D$62</f>
        <v>0.54029560769671414</v>
      </c>
      <c r="M15" s="222">
        <f>'Plot Data'!$D$64</f>
        <v>0.58044341154507118</v>
      </c>
      <c r="N15" s="222">
        <f>'Plot Data'!$D$68</f>
        <v>3.3799999999999997E-2</v>
      </c>
      <c r="O15" s="177" t="str">
        <f t="shared" si="1"/>
        <v>&gt;+3s</v>
      </c>
      <c r="P15" s="180" t="str">
        <f t="shared" si="4"/>
        <v>Fail &gt; +2s</v>
      </c>
      <c r="Q15" s="180" t="str">
        <f t="shared" si="10"/>
        <v>Fail +ve bias</v>
      </c>
      <c r="R15" s="180" t="str">
        <f t="shared" si="11"/>
        <v>Pass</v>
      </c>
      <c r="S15" s="178" t="str">
        <f t="shared" si="5"/>
        <v/>
      </c>
      <c r="T15" s="178">
        <f>IF(OR(R6="Fail -ve trend",R7="Fail -ve trend",R8="Fail -ve trend",R9="Fail -ve trend",R10="Fail -ve trend",R11="Fail -ve trend",R12="Fail -ve trend",R13="Fail -ve trend",R14="Fail -ve trend",R15="Fail -ve trend",R6="Fail +ve trend",R7="Fail +ve trend",R8="Fail +ve trend",R9="Fail +ve trend",R10="Fail +ve trend",R11="Fail +ve trend",R12="Fail +ve trend",R13="Fail +ve trend",R14="Fail +ve trend",R15="Fail +ve trend"),"",COUNTIF(S6:S15,"+"))</f>
        <v>1</v>
      </c>
      <c r="U15" s="178">
        <f>IF(OR(R6="Fail -ve trend",R7="Fail -ve trend",R8="Fail -ve trend",R9="Fail -ve trend",R10="Fail -ve trend",R11="Fail -ve trend",R12="Fail -ve trend",R13="Fail -ve trend",R14="Fail -ve trend",R15="Fail -ve trend",R6="Fail +ve trend",R7="Fail +ve trend",R8="Fail +ve trend",R9="Fail +ve trend",R10="Fail +ve trend",R11="Fail +ve trend",R12="Fail +ve trend",R13="Fail +ve trend",R14="Fail +ve trend",R15="Fail +ve trend"),"",COUNTIF(T6:T15,"+"))</f>
        <v>0</v>
      </c>
      <c r="V15" s="178" t="str">
        <f>IF(AND(G10&gt;G7,G7&gt;G4,G4&gt;G1,G9&gt;G5,G5&gt;G1),"Fail +ve",IF(AND(G10&lt;G7,G7&lt;G4,G4&lt;G1,G9&lt;G5,G5&lt;G1),"Fail -ve","Pass"))</f>
        <v>Pass</v>
      </c>
      <c r="W15" s="178"/>
      <c r="X15" s="181">
        <f t="shared" si="6"/>
        <v>0.72166666666666668</v>
      </c>
      <c r="Y15" s="181">
        <f t="shared" si="7"/>
        <v>0.72</v>
      </c>
      <c r="Z15" s="181">
        <f t="shared" si="8"/>
        <v>0.71899999999999997</v>
      </c>
      <c r="AA15" s="181">
        <f t="shared" si="9"/>
        <v>0.71833333333333327</v>
      </c>
      <c r="AB15" s="181" t="str">
        <f>IF(AND(AA15&gt;AA14,AA14&gt;AA13,AA13&gt;AA12,AA12&gt;AA11),"Fail +ve",IF(AND(AA15&lt;AA14,AA14&lt;AA13,AA13&lt;AA12,AA12&lt;AA11),"Fail -ve","Pass"))</f>
        <v>Pass</v>
      </c>
      <c r="AC15" s="178" t="str">
        <f>IF(T15="","Pass",IF(T15&gt;=7,"Fail +ve",IF(U15&gt;=7,"Fail -ve","Pass")))</f>
        <v>Pass</v>
      </c>
      <c r="AD15" s="179" t="str">
        <f t="shared" si="3"/>
        <v>Yes</v>
      </c>
    </row>
    <row r="16" spans="2:42" x14ac:dyDescent="0.3">
      <c r="B16" s="188">
        <v>11</v>
      </c>
      <c r="C16" s="205"/>
      <c r="D16" s="206"/>
      <c r="E16" s="207">
        <v>0.72</v>
      </c>
      <c r="F16" s="207">
        <v>0.71</v>
      </c>
      <c r="G16" s="183">
        <f t="shared" si="0"/>
        <v>0.71499999999999997</v>
      </c>
      <c r="H16" s="183">
        <f t="shared" si="2"/>
        <v>1.0000000000000009E-2</v>
      </c>
      <c r="I16" s="221">
        <f>'Plot Data'!$D$67</f>
        <v>0.33955658845492881</v>
      </c>
      <c r="J16" s="221">
        <f>'Plot Data'!$D$65</f>
        <v>0.3797043923032859</v>
      </c>
      <c r="K16" s="222">
        <f>'Plot Data'!$D$58</f>
        <v>0.46</v>
      </c>
      <c r="L16" s="222">
        <f>'Plot Data'!$D$62</f>
        <v>0.54029560769671414</v>
      </c>
      <c r="M16" s="222">
        <f>'Plot Data'!$D$64</f>
        <v>0.58044341154507118</v>
      </c>
      <c r="N16" s="222">
        <f>'Plot Data'!$D$68</f>
        <v>3.3799999999999997E-2</v>
      </c>
      <c r="O16" s="177" t="str">
        <f t="shared" si="1"/>
        <v>&gt;+3s</v>
      </c>
      <c r="P16" s="180" t="str">
        <f t="shared" si="4"/>
        <v>Fail &gt; +2s</v>
      </c>
      <c r="Q16" s="180" t="str">
        <f t="shared" si="10"/>
        <v>Fail +ve bias</v>
      </c>
      <c r="R16" s="180" t="str">
        <f t="shared" si="11"/>
        <v>Pass</v>
      </c>
      <c r="S16" s="178" t="str">
        <f t="shared" si="5"/>
        <v/>
      </c>
      <c r="T16" s="178">
        <f t="shared" ref="T16:T55" si="12">IF(OR(R7="Fail -ve trend",R8="Fail -ve trend",R9="Fail -ve trend",R10="Fail -ve trend",R11="Fail -ve trend",R12="Fail -ve trend",R13="Fail -ve trend",R14="Fail -ve trend",R15="Fail -ve trend",R16="Fail -ve trend",R7="Fail +ve trend",R8="Fail +ve trend",R9="Fail +ve trend",R10="Fail +ve trend",R11="Fail +ve trend",R12="Fail +ve trend",R13="Fail +ve trend",R14="Fail +ve trend",R15="Fail +ve trend",R16="Fail +ve trend"),"",COUNTIF(S7:S16,"+"))</f>
        <v>1</v>
      </c>
      <c r="U16" s="178">
        <f t="shared" ref="U16:U55" si="13">IF(OR(R7="Fail -ve trend",R8="Fail -ve trend",R9="Fail -ve trend",R10="Fail -ve trend",R11="Fail -ve trend",R12="Fail -ve trend",R13="Fail -ve trend",R14="Fail -ve trend",R15="Fail -ve trend",R16="Fail -ve trend",R7="Fail +ve trend",R8="Fail +ve trend",R9="Fail +ve trend",R10="Fail +ve trend",R11="Fail +ve trend",R12="Fail +ve trend",R13="Fail +ve trend",R14="Fail +ve trend",R15="Fail +ve trend",R16="Fail +ve trend"),"",COUNTIF(T7:T16,"+"))</f>
        <v>0</v>
      </c>
      <c r="V16" s="178"/>
      <c r="W16" s="178"/>
      <c r="X16" s="181">
        <f t="shared" si="6"/>
        <v>0.71499999999999997</v>
      </c>
      <c r="Y16" s="181">
        <f t="shared" si="7"/>
        <v>0.72</v>
      </c>
      <c r="Z16" s="181">
        <f t="shared" si="8"/>
        <v>0.71899999999999997</v>
      </c>
      <c r="AA16" s="181">
        <f t="shared" si="9"/>
        <v>0.71833333333333327</v>
      </c>
      <c r="AB16" s="181" t="str">
        <f t="shared" ref="AB16:AB55" si="14">IF(AND(AA16&gt;AA15,AA15&gt;AA14,AA14&gt;AA13,AA13&gt;AA12),"Fail +ve",IF(AND(AA16&lt;AA15,AA15&lt;AA14,AA14&lt;AA13,AA13&lt;AA12),"Fail -ve","Pass"))</f>
        <v>Pass</v>
      </c>
      <c r="AC16" s="178" t="str">
        <f t="shared" ref="AC16:AC55" si="15">IF(T16="","Pass",IF(T16&gt;=7,"Fail +ve",IF(U16&gt;=7,"Fail -ve","Pass")))</f>
        <v>Pass</v>
      </c>
      <c r="AD16" s="179" t="str">
        <f t="shared" si="3"/>
        <v>Yes</v>
      </c>
    </row>
    <row r="17" spans="2:42" x14ac:dyDescent="0.3">
      <c r="B17" s="188">
        <v>12</v>
      </c>
      <c r="C17" s="205"/>
      <c r="D17" s="206"/>
      <c r="E17" s="207">
        <v>0.72</v>
      </c>
      <c r="F17" s="207">
        <v>0.71</v>
      </c>
      <c r="G17" s="183">
        <f t="shared" si="0"/>
        <v>0.71499999999999997</v>
      </c>
      <c r="H17" s="183">
        <f t="shared" si="2"/>
        <v>1.0000000000000009E-2</v>
      </c>
      <c r="I17" s="221">
        <f>'Plot Data'!$D$67</f>
        <v>0.33955658845492881</v>
      </c>
      <c r="J17" s="221">
        <f>'Plot Data'!$D$65</f>
        <v>0.3797043923032859</v>
      </c>
      <c r="K17" s="222">
        <f>'Plot Data'!$D$58</f>
        <v>0.46</v>
      </c>
      <c r="L17" s="222">
        <f>'Plot Data'!$D$62</f>
        <v>0.54029560769671414</v>
      </c>
      <c r="M17" s="222">
        <f>'Plot Data'!$D$64</f>
        <v>0.58044341154507118</v>
      </c>
      <c r="N17" s="222">
        <f>'Plot Data'!$D$68</f>
        <v>3.3799999999999997E-2</v>
      </c>
      <c r="O17" s="177" t="str">
        <f t="shared" si="1"/>
        <v>&gt;+3s</v>
      </c>
      <c r="P17" s="180" t="str">
        <f t="shared" si="4"/>
        <v>Fail &gt; +2s</v>
      </c>
      <c r="Q17" s="180" t="str">
        <f t="shared" si="10"/>
        <v>Fail +ve bias</v>
      </c>
      <c r="R17" s="180" t="str">
        <f t="shared" si="11"/>
        <v>Pass</v>
      </c>
      <c r="S17" s="178" t="str">
        <f t="shared" si="5"/>
        <v/>
      </c>
      <c r="T17" s="178">
        <f t="shared" si="12"/>
        <v>1</v>
      </c>
      <c r="U17" s="178">
        <f t="shared" si="13"/>
        <v>0</v>
      </c>
      <c r="V17" s="178"/>
      <c r="W17" s="178"/>
      <c r="X17" s="181">
        <f t="shared" si="6"/>
        <v>0.71499999999999997</v>
      </c>
      <c r="Y17" s="181"/>
      <c r="Z17" s="181"/>
      <c r="AA17" s="181">
        <f t="shared" si="9"/>
        <v>0.71833333333333327</v>
      </c>
      <c r="AB17" s="181" t="str">
        <f t="shared" si="14"/>
        <v>Pass</v>
      </c>
      <c r="AC17" s="178" t="str">
        <f t="shared" si="15"/>
        <v>Pass</v>
      </c>
      <c r="AD17" s="179" t="str">
        <f t="shared" si="3"/>
        <v>Yes</v>
      </c>
    </row>
    <row r="18" spans="2:42" x14ac:dyDescent="0.3">
      <c r="B18" s="188">
        <v>13</v>
      </c>
      <c r="C18" s="205"/>
      <c r="D18" s="206"/>
      <c r="E18" s="207">
        <v>0.72</v>
      </c>
      <c r="F18" s="207">
        <v>0.73</v>
      </c>
      <c r="G18" s="183">
        <f t="shared" si="0"/>
        <v>0.72499999999999998</v>
      </c>
      <c r="H18" s="183">
        <f t="shared" si="2"/>
        <v>1.0000000000000009E-2</v>
      </c>
      <c r="I18" s="221">
        <f>'Plot Data'!$D$67</f>
        <v>0.33955658845492881</v>
      </c>
      <c r="J18" s="221">
        <f>'Plot Data'!$D$65</f>
        <v>0.3797043923032859</v>
      </c>
      <c r="K18" s="222">
        <f>'Plot Data'!$D$58</f>
        <v>0.46</v>
      </c>
      <c r="L18" s="222">
        <f>'Plot Data'!$D$62</f>
        <v>0.54029560769671414</v>
      </c>
      <c r="M18" s="222">
        <f>'Plot Data'!$D$64</f>
        <v>0.58044341154507118</v>
      </c>
      <c r="N18" s="222">
        <f>'Plot Data'!$D$68</f>
        <v>3.3799999999999997E-2</v>
      </c>
      <c r="O18" s="177" t="str">
        <f t="shared" si="1"/>
        <v>&gt;+3s</v>
      </c>
      <c r="P18" s="180" t="str">
        <f t="shared" si="4"/>
        <v>Fail &gt; +2s</v>
      </c>
      <c r="Q18" s="180" t="str">
        <f t="shared" si="10"/>
        <v>Fail +ve bias</v>
      </c>
      <c r="R18" s="180" t="str">
        <f t="shared" si="11"/>
        <v>Pass</v>
      </c>
      <c r="S18" s="178" t="str">
        <f t="shared" si="5"/>
        <v>+</v>
      </c>
      <c r="T18" s="178">
        <f t="shared" si="12"/>
        <v>2</v>
      </c>
      <c r="U18" s="178">
        <f t="shared" si="13"/>
        <v>0</v>
      </c>
      <c r="V18" s="178"/>
      <c r="W18" s="178"/>
      <c r="X18" s="178"/>
      <c r="Y18" s="178"/>
      <c r="Z18" s="178"/>
      <c r="AA18" s="181">
        <f t="shared" si="9"/>
        <v>0.71999999999999986</v>
      </c>
      <c r="AB18" s="178" t="str">
        <f t="shared" si="14"/>
        <v>Pass</v>
      </c>
      <c r="AC18" s="178" t="str">
        <f t="shared" si="15"/>
        <v>Pass</v>
      </c>
      <c r="AD18" s="179" t="str">
        <f t="shared" si="3"/>
        <v>Yes</v>
      </c>
    </row>
    <row r="19" spans="2:42" x14ac:dyDescent="0.3">
      <c r="B19" s="188">
        <v>14</v>
      </c>
      <c r="C19" s="205"/>
      <c r="D19" s="206"/>
      <c r="E19" s="207">
        <v>0.72</v>
      </c>
      <c r="F19" s="207">
        <v>0.75</v>
      </c>
      <c r="G19" s="183">
        <f t="shared" si="0"/>
        <v>0.73499999999999999</v>
      </c>
      <c r="H19" s="183">
        <f t="shared" si="2"/>
        <v>3.0000000000000027E-2</v>
      </c>
      <c r="I19" s="221">
        <f>'Plot Data'!$D$67</f>
        <v>0.33955658845492881</v>
      </c>
      <c r="J19" s="221">
        <f>'Plot Data'!$D$65</f>
        <v>0.3797043923032859</v>
      </c>
      <c r="K19" s="222">
        <f>'Plot Data'!$D$58</f>
        <v>0.46</v>
      </c>
      <c r="L19" s="222">
        <f>'Plot Data'!$D$62</f>
        <v>0.54029560769671414</v>
      </c>
      <c r="M19" s="222">
        <f>'Plot Data'!$D$64</f>
        <v>0.58044341154507118</v>
      </c>
      <c r="N19" s="222">
        <f>'Plot Data'!$D$68</f>
        <v>3.3799999999999997E-2</v>
      </c>
      <c r="O19" s="177" t="str">
        <f t="shared" si="1"/>
        <v>&gt;+3s</v>
      </c>
      <c r="P19" s="180" t="str">
        <f t="shared" si="4"/>
        <v>Fail &gt; +2s</v>
      </c>
      <c r="Q19" s="180" t="str">
        <f t="shared" si="10"/>
        <v>Fail +ve bias</v>
      </c>
      <c r="R19" s="180" t="str">
        <f t="shared" si="11"/>
        <v>Pass</v>
      </c>
      <c r="S19" s="178" t="str">
        <f t="shared" si="5"/>
        <v>+</v>
      </c>
      <c r="T19" s="178">
        <f t="shared" si="12"/>
        <v>3</v>
      </c>
      <c r="U19" s="178">
        <f t="shared" si="13"/>
        <v>0</v>
      </c>
      <c r="V19" s="178"/>
      <c r="W19" s="178"/>
      <c r="X19" s="178"/>
      <c r="Y19" s="178"/>
      <c r="Z19" s="178"/>
      <c r="AA19" s="181">
        <f t="shared" si="9"/>
        <v>0.72000000000000008</v>
      </c>
      <c r="AB19" s="178" t="str">
        <f t="shared" si="14"/>
        <v>Pass</v>
      </c>
      <c r="AC19" s="178" t="str">
        <f t="shared" si="15"/>
        <v>Pass</v>
      </c>
      <c r="AD19" s="179" t="str">
        <f t="shared" si="3"/>
        <v>Yes</v>
      </c>
    </row>
    <row r="20" spans="2:42" x14ac:dyDescent="0.3">
      <c r="B20" s="188">
        <v>15</v>
      </c>
      <c r="C20" s="205"/>
      <c r="D20" s="206"/>
      <c r="E20" s="207">
        <v>0.72</v>
      </c>
      <c r="F20" s="207">
        <v>0.71</v>
      </c>
      <c r="G20" s="183">
        <f t="shared" si="0"/>
        <v>0.71499999999999997</v>
      </c>
      <c r="H20" s="183">
        <f t="shared" si="2"/>
        <v>1.0000000000000009E-2</v>
      </c>
      <c r="I20" s="221">
        <f>'Plot Data'!$D$67</f>
        <v>0.33955658845492881</v>
      </c>
      <c r="J20" s="221">
        <f>'Plot Data'!$D$65</f>
        <v>0.3797043923032859</v>
      </c>
      <c r="K20" s="222">
        <f>'Plot Data'!$D$58</f>
        <v>0.46</v>
      </c>
      <c r="L20" s="222">
        <f>'Plot Data'!$D$62</f>
        <v>0.54029560769671414</v>
      </c>
      <c r="M20" s="222">
        <f>'Plot Data'!$D$64</f>
        <v>0.58044341154507118</v>
      </c>
      <c r="N20" s="222">
        <f>'Plot Data'!$D$68</f>
        <v>3.3799999999999997E-2</v>
      </c>
      <c r="O20" s="177" t="str">
        <f t="shared" si="1"/>
        <v>&gt;+3s</v>
      </c>
      <c r="P20" s="180" t="str">
        <f t="shared" si="4"/>
        <v>Fail &gt; +2s</v>
      </c>
      <c r="Q20" s="180" t="str">
        <f t="shared" si="10"/>
        <v>Fail +ve bias</v>
      </c>
      <c r="R20" s="180" t="str">
        <f t="shared" si="11"/>
        <v>Pass</v>
      </c>
      <c r="S20" s="178" t="str">
        <f t="shared" si="5"/>
        <v>-</v>
      </c>
      <c r="T20" s="178">
        <f t="shared" si="12"/>
        <v>3</v>
      </c>
      <c r="U20" s="178">
        <f t="shared" si="13"/>
        <v>0</v>
      </c>
      <c r="V20" s="178"/>
      <c r="W20" s="178"/>
      <c r="X20" s="178"/>
      <c r="Y20" s="178"/>
      <c r="Z20" s="178"/>
      <c r="AA20" s="181">
        <f t="shared" si="9"/>
        <v>0.72000000000000008</v>
      </c>
      <c r="AB20" s="178" t="str">
        <f t="shared" si="14"/>
        <v>Pass</v>
      </c>
      <c r="AC20" s="178" t="str">
        <f t="shared" si="15"/>
        <v>Pass</v>
      </c>
      <c r="AD20" s="179" t="str">
        <f t="shared" si="3"/>
        <v>Yes</v>
      </c>
    </row>
    <row r="21" spans="2:42" x14ac:dyDescent="0.3">
      <c r="B21" s="188">
        <v>16</v>
      </c>
      <c r="C21" s="205"/>
      <c r="D21" s="206"/>
      <c r="E21" s="207">
        <v>0.72</v>
      </c>
      <c r="F21" s="207">
        <v>0.71</v>
      </c>
      <c r="G21" s="183">
        <f t="shared" si="0"/>
        <v>0.71499999999999997</v>
      </c>
      <c r="H21" s="183">
        <f t="shared" si="2"/>
        <v>1.0000000000000009E-2</v>
      </c>
      <c r="I21" s="221">
        <f>'Plot Data'!$D$67</f>
        <v>0.33955658845492881</v>
      </c>
      <c r="J21" s="221">
        <f>'Plot Data'!$D$65</f>
        <v>0.3797043923032859</v>
      </c>
      <c r="K21" s="222">
        <f>'Plot Data'!$D$58</f>
        <v>0.46</v>
      </c>
      <c r="L21" s="222">
        <f>'Plot Data'!$D$62</f>
        <v>0.54029560769671414</v>
      </c>
      <c r="M21" s="222">
        <f>'Plot Data'!$D$64</f>
        <v>0.58044341154507118</v>
      </c>
      <c r="N21" s="222">
        <f>'Plot Data'!$D$68</f>
        <v>3.3799999999999997E-2</v>
      </c>
      <c r="O21" s="177" t="str">
        <f t="shared" si="1"/>
        <v>&gt;+3s</v>
      </c>
      <c r="P21" s="180" t="str">
        <f t="shared" si="4"/>
        <v>Fail &gt; +2s</v>
      </c>
      <c r="Q21" s="180" t="str">
        <f t="shared" si="10"/>
        <v>Fail +ve bias</v>
      </c>
      <c r="R21" s="180" t="str">
        <f t="shared" si="11"/>
        <v>Pass</v>
      </c>
      <c r="S21" s="178" t="str">
        <f t="shared" si="5"/>
        <v/>
      </c>
      <c r="T21" s="178">
        <f t="shared" si="12"/>
        <v>3</v>
      </c>
      <c r="U21" s="178">
        <f t="shared" si="13"/>
        <v>0</v>
      </c>
      <c r="V21" s="178"/>
      <c r="W21" s="178"/>
      <c r="X21" s="178"/>
      <c r="Y21" s="178"/>
      <c r="Z21" s="178"/>
      <c r="AA21" s="181">
        <f t="shared" si="9"/>
        <v>0.71999999999999986</v>
      </c>
      <c r="AB21" s="178" t="str">
        <f t="shared" si="14"/>
        <v>Pass</v>
      </c>
      <c r="AC21" s="178" t="str">
        <f t="shared" si="15"/>
        <v>Pass</v>
      </c>
      <c r="AD21" s="179" t="str">
        <f t="shared" si="3"/>
        <v>Yes</v>
      </c>
    </row>
    <row r="22" spans="2:42" x14ac:dyDescent="0.3">
      <c r="B22" s="188">
        <v>17</v>
      </c>
      <c r="C22" s="205"/>
      <c r="D22" s="206"/>
      <c r="E22" s="207">
        <v>0.72</v>
      </c>
      <c r="F22" s="207">
        <v>0.71</v>
      </c>
      <c r="G22" s="183">
        <f t="shared" si="0"/>
        <v>0.71499999999999997</v>
      </c>
      <c r="H22" s="183">
        <f t="shared" si="2"/>
        <v>1.0000000000000009E-2</v>
      </c>
      <c r="I22" s="221">
        <f>'Plot Data'!$D$67</f>
        <v>0.33955658845492881</v>
      </c>
      <c r="J22" s="221">
        <f>'Plot Data'!$D$65</f>
        <v>0.3797043923032859</v>
      </c>
      <c r="K22" s="222">
        <f>'Plot Data'!$D$58</f>
        <v>0.46</v>
      </c>
      <c r="L22" s="222">
        <f>'Plot Data'!$D$62</f>
        <v>0.54029560769671414</v>
      </c>
      <c r="M22" s="222">
        <f>'Plot Data'!$D$64</f>
        <v>0.58044341154507118</v>
      </c>
      <c r="N22" s="222">
        <f>'Plot Data'!$D$68</f>
        <v>3.3799999999999997E-2</v>
      </c>
      <c r="O22" s="177" t="str">
        <f t="shared" si="1"/>
        <v>&gt;+3s</v>
      </c>
      <c r="P22" s="180" t="str">
        <f t="shared" si="4"/>
        <v>Fail &gt; +2s</v>
      </c>
      <c r="Q22" s="180" t="str">
        <f t="shared" si="10"/>
        <v>Fail +ve bias</v>
      </c>
      <c r="R22" s="180" t="str">
        <f t="shared" si="11"/>
        <v>Pass</v>
      </c>
      <c r="S22" s="178" t="str">
        <f t="shared" si="5"/>
        <v/>
      </c>
      <c r="T22" s="178">
        <f t="shared" si="12"/>
        <v>3</v>
      </c>
      <c r="U22" s="178">
        <f t="shared" si="13"/>
        <v>0</v>
      </c>
      <c r="V22" s="178"/>
      <c r="W22" s="178"/>
      <c r="X22" s="178"/>
      <c r="Y22" s="178"/>
      <c r="Z22" s="178"/>
      <c r="AA22" s="181">
        <f t="shared" si="9"/>
        <v>0.71999999999999986</v>
      </c>
      <c r="AB22" s="178" t="str">
        <f t="shared" si="14"/>
        <v>Pass</v>
      </c>
      <c r="AC22" s="178" t="str">
        <f t="shared" si="15"/>
        <v>Pass</v>
      </c>
      <c r="AD22" s="179" t="str">
        <f t="shared" si="3"/>
        <v>Yes</v>
      </c>
    </row>
    <row r="23" spans="2:42" x14ac:dyDescent="0.3">
      <c r="B23" s="188">
        <v>18</v>
      </c>
      <c r="C23" s="205"/>
      <c r="D23" s="206"/>
      <c r="E23" s="207">
        <v>0.72</v>
      </c>
      <c r="F23" s="207">
        <v>0.71</v>
      </c>
      <c r="G23" s="183">
        <f t="shared" si="0"/>
        <v>0.71499999999999997</v>
      </c>
      <c r="H23" s="183">
        <f t="shared" si="2"/>
        <v>1.0000000000000009E-2</v>
      </c>
      <c r="I23" s="221">
        <f>'Plot Data'!$D$67</f>
        <v>0.33955658845492881</v>
      </c>
      <c r="J23" s="221">
        <f>'Plot Data'!$D$65</f>
        <v>0.3797043923032859</v>
      </c>
      <c r="K23" s="222">
        <f>'Plot Data'!$D$58</f>
        <v>0.46</v>
      </c>
      <c r="L23" s="222">
        <f>'Plot Data'!$D$62</f>
        <v>0.54029560769671414</v>
      </c>
      <c r="M23" s="222">
        <f>'Plot Data'!$D$64</f>
        <v>0.58044341154507118</v>
      </c>
      <c r="N23" s="222">
        <f>'Plot Data'!$D$68</f>
        <v>3.3799999999999997E-2</v>
      </c>
      <c r="O23" s="177" t="str">
        <f t="shared" si="1"/>
        <v>&gt;+3s</v>
      </c>
      <c r="P23" s="180" t="str">
        <f t="shared" si="4"/>
        <v>Fail &gt; +2s</v>
      </c>
      <c r="Q23" s="180" t="str">
        <f t="shared" si="10"/>
        <v>Fail +ve bias</v>
      </c>
      <c r="R23" s="180" t="str">
        <f t="shared" si="11"/>
        <v>Pass</v>
      </c>
      <c r="S23" s="178" t="str">
        <f t="shared" si="5"/>
        <v/>
      </c>
      <c r="T23" s="178">
        <f t="shared" si="12"/>
        <v>2</v>
      </c>
      <c r="U23" s="178">
        <f t="shared" si="13"/>
        <v>0</v>
      </c>
      <c r="V23" s="178"/>
      <c r="W23" s="178"/>
      <c r="X23" s="178"/>
      <c r="Y23" s="178"/>
      <c r="Z23" s="178"/>
      <c r="AA23" s="181">
        <f t="shared" si="9"/>
        <v>0.71999999999999986</v>
      </c>
      <c r="AB23" s="178" t="str">
        <f t="shared" si="14"/>
        <v>Pass</v>
      </c>
      <c r="AC23" s="178" t="str">
        <f t="shared" si="15"/>
        <v>Pass</v>
      </c>
      <c r="AD23" s="179" t="str">
        <f t="shared" si="3"/>
        <v>Yes</v>
      </c>
    </row>
    <row r="24" spans="2:42" x14ac:dyDescent="0.3">
      <c r="B24" s="188">
        <v>19</v>
      </c>
      <c r="C24" s="205"/>
      <c r="D24" s="206"/>
      <c r="E24" s="207">
        <v>0.72</v>
      </c>
      <c r="F24" s="207">
        <v>0.71</v>
      </c>
      <c r="G24" s="183">
        <f t="shared" si="0"/>
        <v>0.71499999999999997</v>
      </c>
      <c r="H24" s="183">
        <f t="shared" si="2"/>
        <v>1.0000000000000009E-2</v>
      </c>
      <c r="I24" s="221">
        <f>'Plot Data'!$D$67</f>
        <v>0.33955658845492881</v>
      </c>
      <c r="J24" s="221">
        <f>'Plot Data'!$D$65</f>
        <v>0.3797043923032859</v>
      </c>
      <c r="K24" s="222">
        <f>'Plot Data'!$D$58</f>
        <v>0.46</v>
      </c>
      <c r="L24" s="222">
        <f>'Plot Data'!$D$62</f>
        <v>0.54029560769671414</v>
      </c>
      <c r="M24" s="222">
        <f>'Plot Data'!$D$64</f>
        <v>0.58044341154507118</v>
      </c>
      <c r="N24" s="222">
        <f>'Plot Data'!$D$68</f>
        <v>3.3799999999999997E-2</v>
      </c>
      <c r="O24" s="177" t="str">
        <f t="shared" si="1"/>
        <v>&gt;+3s</v>
      </c>
      <c r="P24" s="180" t="str">
        <f t="shared" si="4"/>
        <v>Fail &gt; +2s</v>
      </c>
      <c r="Q24" s="180" t="str">
        <f t="shared" si="10"/>
        <v>Fail +ve bias</v>
      </c>
      <c r="R24" s="180" t="str">
        <f t="shared" si="11"/>
        <v>Pass</v>
      </c>
      <c r="S24" s="178" t="str">
        <f t="shared" si="5"/>
        <v/>
      </c>
      <c r="T24" s="178">
        <f t="shared" si="12"/>
        <v>2</v>
      </c>
      <c r="U24" s="178">
        <f t="shared" si="13"/>
        <v>0</v>
      </c>
      <c r="V24" s="178"/>
      <c r="W24" s="178"/>
      <c r="X24" s="178"/>
      <c r="Y24" s="178"/>
      <c r="Z24" s="178"/>
      <c r="AA24" s="181">
        <f t="shared" si="9"/>
        <v>0.71833333333333327</v>
      </c>
      <c r="AB24" s="178" t="str">
        <f t="shared" si="14"/>
        <v>Pass</v>
      </c>
      <c r="AC24" s="178" t="str">
        <f t="shared" si="15"/>
        <v>Pass</v>
      </c>
      <c r="AD24" s="179" t="str">
        <f t="shared" si="3"/>
        <v>Yes</v>
      </c>
    </row>
    <row r="25" spans="2:42" x14ac:dyDescent="0.3">
      <c r="B25" s="188">
        <v>20</v>
      </c>
      <c r="C25" s="205"/>
      <c r="D25" s="206"/>
      <c r="E25" s="207">
        <v>0.72</v>
      </c>
      <c r="F25" s="207">
        <v>0.71</v>
      </c>
      <c r="G25" s="183">
        <f t="shared" si="0"/>
        <v>0.71499999999999997</v>
      </c>
      <c r="H25" s="183">
        <f t="shared" si="2"/>
        <v>1.0000000000000009E-2</v>
      </c>
      <c r="I25" s="221">
        <f>'Plot Data'!$D$67</f>
        <v>0.33955658845492881</v>
      </c>
      <c r="J25" s="221">
        <f>'Plot Data'!$D$65</f>
        <v>0.3797043923032859</v>
      </c>
      <c r="K25" s="222">
        <f>'Plot Data'!$D$58</f>
        <v>0.46</v>
      </c>
      <c r="L25" s="222">
        <f>'Plot Data'!$D$62</f>
        <v>0.54029560769671414</v>
      </c>
      <c r="M25" s="222">
        <f>'Plot Data'!$D$64</f>
        <v>0.58044341154507118</v>
      </c>
      <c r="N25" s="222">
        <f>'Plot Data'!$D$68</f>
        <v>3.3799999999999997E-2</v>
      </c>
      <c r="O25" s="177" t="str">
        <f t="shared" si="1"/>
        <v>&gt;+3s</v>
      </c>
      <c r="P25" s="180" t="str">
        <f t="shared" si="4"/>
        <v>Fail &gt; +2s</v>
      </c>
      <c r="Q25" s="180" t="str">
        <f t="shared" si="10"/>
        <v>Fail +ve bias</v>
      </c>
      <c r="R25" s="180" t="str">
        <f t="shared" si="11"/>
        <v>Pass</v>
      </c>
      <c r="S25" s="178" t="str">
        <f t="shared" si="5"/>
        <v/>
      </c>
      <c r="T25" s="178">
        <f t="shared" si="12"/>
        <v>2</v>
      </c>
      <c r="U25" s="178">
        <f t="shared" si="13"/>
        <v>0</v>
      </c>
      <c r="V25" s="178"/>
      <c r="W25" s="178"/>
      <c r="X25" s="178"/>
      <c r="Y25" s="178"/>
      <c r="Z25" s="178"/>
      <c r="AA25" s="181">
        <f t="shared" si="9"/>
        <v>0.71499999999999997</v>
      </c>
      <c r="AB25" s="178" t="str">
        <f t="shared" si="14"/>
        <v>Pass</v>
      </c>
      <c r="AC25" s="178" t="str">
        <f t="shared" si="15"/>
        <v>Pass</v>
      </c>
      <c r="AD25" s="179" t="str">
        <f t="shared" si="3"/>
        <v>Yes</v>
      </c>
    </row>
    <row r="26" spans="2:42" x14ac:dyDescent="0.3">
      <c r="B26" s="188">
        <v>21</v>
      </c>
      <c r="C26" s="205"/>
      <c r="D26" s="206"/>
      <c r="E26" s="207">
        <v>0.72</v>
      </c>
      <c r="F26" s="207">
        <v>0.71</v>
      </c>
      <c r="G26" s="183">
        <f t="shared" si="0"/>
        <v>0.71499999999999997</v>
      </c>
      <c r="H26" s="183">
        <f t="shared" si="2"/>
        <v>1.0000000000000009E-2</v>
      </c>
      <c r="I26" s="221">
        <f>'Plot Data'!$D$67</f>
        <v>0.33955658845492881</v>
      </c>
      <c r="J26" s="221">
        <f>'Plot Data'!$D$65</f>
        <v>0.3797043923032859</v>
      </c>
      <c r="K26" s="222">
        <f>'Plot Data'!$D$58</f>
        <v>0.46</v>
      </c>
      <c r="L26" s="222">
        <f>'Plot Data'!$D$62</f>
        <v>0.54029560769671414</v>
      </c>
      <c r="M26" s="222">
        <f>'Plot Data'!$D$64</f>
        <v>0.58044341154507118</v>
      </c>
      <c r="N26" s="222">
        <f>'Plot Data'!$D$68</f>
        <v>3.3799999999999997E-2</v>
      </c>
      <c r="O26" s="177" t="str">
        <f t="shared" si="1"/>
        <v>&gt;+3s</v>
      </c>
      <c r="P26" s="180" t="str">
        <f t="shared" si="4"/>
        <v>Fail &gt; +2s</v>
      </c>
      <c r="Q26" s="180" t="str">
        <f t="shared" si="10"/>
        <v>Fail +ve bias</v>
      </c>
      <c r="R26" s="180" t="str">
        <f t="shared" si="11"/>
        <v>Pass</v>
      </c>
      <c r="S26" s="178" t="str">
        <f t="shared" si="5"/>
        <v/>
      </c>
      <c r="T26" s="178">
        <f t="shared" si="12"/>
        <v>2</v>
      </c>
      <c r="U26" s="178">
        <f t="shared" si="13"/>
        <v>0</v>
      </c>
      <c r="V26" s="178"/>
      <c r="W26" s="178"/>
      <c r="X26" s="178"/>
      <c r="Y26" s="178"/>
      <c r="Z26" s="178"/>
      <c r="AA26" s="181">
        <f t="shared" si="9"/>
        <v>0.71499999999999997</v>
      </c>
      <c r="AB26" s="178" t="str">
        <f t="shared" si="14"/>
        <v>Pass</v>
      </c>
      <c r="AC26" s="178" t="str">
        <f t="shared" si="15"/>
        <v>Pass</v>
      </c>
      <c r="AD26" s="179" t="str">
        <f t="shared" si="3"/>
        <v>Yes</v>
      </c>
    </row>
    <row r="27" spans="2:42" x14ac:dyDescent="0.3">
      <c r="B27" s="188">
        <v>22</v>
      </c>
      <c r="C27" s="205"/>
      <c r="D27" s="206"/>
      <c r="E27" s="207">
        <v>0.72</v>
      </c>
      <c r="F27" s="207">
        <v>0.71</v>
      </c>
      <c r="G27" s="183">
        <f t="shared" si="0"/>
        <v>0.71499999999999997</v>
      </c>
      <c r="H27" s="183">
        <f t="shared" si="2"/>
        <v>1.0000000000000009E-2</v>
      </c>
      <c r="I27" s="221">
        <f>'Plot Data'!$D$67</f>
        <v>0.33955658845492881</v>
      </c>
      <c r="J27" s="221">
        <f>'Plot Data'!$D$65</f>
        <v>0.3797043923032859</v>
      </c>
      <c r="K27" s="222">
        <f>'Plot Data'!$D$58</f>
        <v>0.46</v>
      </c>
      <c r="L27" s="222">
        <f>'Plot Data'!$D$62</f>
        <v>0.54029560769671414</v>
      </c>
      <c r="M27" s="222">
        <f>'Plot Data'!$D$64</f>
        <v>0.58044341154507118</v>
      </c>
      <c r="N27" s="222">
        <f>'Plot Data'!$D$68</f>
        <v>3.3799999999999997E-2</v>
      </c>
      <c r="O27" s="177" t="str">
        <f t="shared" si="1"/>
        <v>&gt;+3s</v>
      </c>
      <c r="P27" s="180" t="str">
        <f t="shared" si="4"/>
        <v>Fail &gt; +2s</v>
      </c>
      <c r="Q27" s="180" t="str">
        <f t="shared" si="10"/>
        <v>Fail +ve bias</v>
      </c>
      <c r="R27" s="180" t="str">
        <f t="shared" si="11"/>
        <v>Pass</v>
      </c>
      <c r="S27" s="178" t="str">
        <f t="shared" si="5"/>
        <v/>
      </c>
      <c r="T27" s="178">
        <f t="shared" si="12"/>
        <v>2</v>
      </c>
      <c r="U27" s="178">
        <f t="shared" si="13"/>
        <v>0</v>
      </c>
      <c r="V27" s="178"/>
      <c r="W27" s="178"/>
      <c r="X27" s="178"/>
      <c r="Y27" s="178"/>
      <c r="Z27" s="178"/>
      <c r="AA27" s="181">
        <f t="shared" si="9"/>
        <v>0.71499999999999997</v>
      </c>
      <c r="AB27" s="178" t="str">
        <f t="shared" si="14"/>
        <v>Pass</v>
      </c>
      <c r="AC27" s="178" t="str">
        <f t="shared" si="15"/>
        <v>Pass</v>
      </c>
      <c r="AD27" s="179" t="str">
        <f t="shared" si="3"/>
        <v>Yes</v>
      </c>
    </row>
    <row r="28" spans="2:42" x14ac:dyDescent="0.3">
      <c r="B28" s="188">
        <v>23</v>
      </c>
      <c r="C28" s="205"/>
      <c r="D28" s="206"/>
      <c r="E28" s="207">
        <v>0.72</v>
      </c>
      <c r="F28" s="207">
        <v>0.71</v>
      </c>
      <c r="G28" s="183">
        <f t="shared" si="0"/>
        <v>0.71499999999999997</v>
      </c>
      <c r="H28" s="183">
        <f t="shared" si="2"/>
        <v>1.0000000000000009E-2</v>
      </c>
      <c r="I28" s="221">
        <f>'Plot Data'!$D$67</f>
        <v>0.33955658845492881</v>
      </c>
      <c r="J28" s="221">
        <f>'Plot Data'!$D$65</f>
        <v>0.3797043923032859</v>
      </c>
      <c r="K28" s="222">
        <f>'Plot Data'!$D$58</f>
        <v>0.46</v>
      </c>
      <c r="L28" s="222">
        <f>'Plot Data'!$D$62</f>
        <v>0.54029560769671414</v>
      </c>
      <c r="M28" s="222">
        <f>'Plot Data'!$D$64</f>
        <v>0.58044341154507118</v>
      </c>
      <c r="N28" s="222">
        <f>'Plot Data'!$D$68</f>
        <v>3.3799999999999997E-2</v>
      </c>
      <c r="O28" s="177" t="str">
        <f t="shared" si="1"/>
        <v>&gt;+3s</v>
      </c>
      <c r="P28" s="180" t="str">
        <f t="shared" si="4"/>
        <v>Fail &gt; +2s</v>
      </c>
      <c r="Q28" s="180" t="str">
        <f t="shared" si="10"/>
        <v>Fail +ve bias</v>
      </c>
      <c r="R28" s="180" t="str">
        <f t="shared" si="11"/>
        <v>Pass</v>
      </c>
      <c r="S28" s="178" t="str">
        <f t="shared" si="5"/>
        <v/>
      </c>
      <c r="T28" s="178">
        <f t="shared" si="12"/>
        <v>1</v>
      </c>
      <c r="U28" s="178">
        <f t="shared" si="13"/>
        <v>0</v>
      </c>
      <c r="V28" s="178"/>
      <c r="W28" s="178"/>
      <c r="X28" s="178"/>
      <c r="Y28" s="178"/>
      <c r="Z28" s="178"/>
      <c r="AA28" s="181">
        <f t="shared" si="9"/>
        <v>0.71499999999999997</v>
      </c>
      <c r="AB28" s="178" t="str">
        <f t="shared" si="14"/>
        <v>Pass</v>
      </c>
      <c r="AC28" s="178" t="str">
        <f t="shared" si="15"/>
        <v>Pass</v>
      </c>
      <c r="AD28" s="179" t="str">
        <f t="shared" si="3"/>
        <v>Yes</v>
      </c>
    </row>
    <row r="29" spans="2:42" x14ac:dyDescent="0.3">
      <c r="B29" s="188">
        <v>24</v>
      </c>
      <c r="C29" s="205"/>
      <c r="D29" s="206"/>
      <c r="E29" s="207">
        <v>0.72</v>
      </c>
      <c r="F29" s="207">
        <v>0.71</v>
      </c>
      <c r="G29" s="183">
        <f t="shared" si="0"/>
        <v>0.71499999999999997</v>
      </c>
      <c r="H29" s="183">
        <f t="shared" si="2"/>
        <v>1.0000000000000009E-2</v>
      </c>
      <c r="I29" s="221">
        <f>'Plot Data'!$D$67</f>
        <v>0.33955658845492881</v>
      </c>
      <c r="J29" s="221">
        <f>'Plot Data'!$D$65</f>
        <v>0.3797043923032859</v>
      </c>
      <c r="K29" s="222">
        <f>'Plot Data'!$D$58</f>
        <v>0.46</v>
      </c>
      <c r="L29" s="222">
        <f>'Plot Data'!$D$62</f>
        <v>0.54029560769671414</v>
      </c>
      <c r="M29" s="222">
        <f>'Plot Data'!$D$64</f>
        <v>0.58044341154507118</v>
      </c>
      <c r="N29" s="222">
        <f>'Plot Data'!$D$68</f>
        <v>3.3799999999999997E-2</v>
      </c>
      <c r="O29" s="177" t="str">
        <f t="shared" si="1"/>
        <v>&gt;+3s</v>
      </c>
      <c r="P29" s="180" t="str">
        <f t="shared" si="4"/>
        <v>Fail &gt; +2s</v>
      </c>
      <c r="Q29" s="180" t="str">
        <f t="shared" si="10"/>
        <v>Fail +ve bias</v>
      </c>
      <c r="R29" s="180" t="str">
        <f t="shared" si="11"/>
        <v>Pass</v>
      </c>
      <c r="S29" s="178" t="str">
        <f t="shared" si="5"/>
        <v/>
      </c>
      <c r="T29" s="178">
        <f t="shared" si="12"/>
        <v>0</v>
      </c>
      <c r="U29" s="178">
        <f t="shared" si="13"/>
        <v>0</v>
      </c>
      <c r="V29" s="178"/>
      <c r="W29" s="178"/>
      <c r="X29" s="178"/>
      <c r="Y29" s="178"/>
      <c r="Z29" s="178"/>
      <c r="AA29" s="181">
        <f t="shared" si="9"/>
        <v>0.71499999999999997</v>
      </c>
      <c r="AB29" s="178" t="str">
        <f t="shared" si="14"/>
        <v>Pass</v>
      </c>
      <c r="AC29" s="178" t="str">
        <f t="shared" si="15"/>
        <v>Pass</v>
      </c>
      <c r="AD29" s="179" t="str">
        <f t="shared" si="3"/>
        <v>Yes</v>
      </c>
    </row>
    <row r="30" spans="2:42" x14ac:dyDescent="0.3">
      <c r="B30" s="188">
        <v>25</v>
      </c>
      <c r="C30" s="205"/>
      <c r="D30" s="206"/>
      <c r="E30" s="207">
        <v>0.72</v>
      </c>
      <c r="F30" s="207">
        <v>0.71</v>
      </c>
      <c r="G30" s="183">
        <f t="shared" si="0"/>
        <v>0.71499999999999997</v>
      </c>
      <c r="H30" s="183">
        <f t="shared" si="2"/>
        <v>1.0000000000000009E-2</v>
      </c>
      <c r="I30" s="221">
        <f>'Plot Data'!$D$67</f>
        <v>0.33955658845492881</v>
      </c>
      <c r="J30" s="221">
        <f>'Plot Data'!$D$65</f>
        <v>0.3797043923032859</v>
      </c>
      <c r="K30" s="222">
        <f>'Plot Data'!$D$58</f>
        <v>0.46</v>
      </c>
      <c r="L30" s="222">
        <f>'Plot Data'!$D$62</f>
        <v>0.54029560769671414</v>
      </c>
      <c r="M30" s="222">
        <f>'Plot Data'!$D$64</f>
        <v>0.58044341154507118</v>
      </c>
      <c r="N30" s="222">
        <f>'Plot Data'!$D$68</f>
        <v>3.3799999999999997E-2</v>
      </c>
      <c r="O30" s="177" t="str">
        <f t="shared" si="1"/>
        <v>&gt;+3s</v>
      </c>
      <c r="P30" s="180" t="str">
        <f t="shared" si="4"/>
        <v>Fail &gt; +2s</v>
      </c>
      <c r="Q30" s="180" t="str">
        <f t="shared" si="10"/>
        <v>Fail +ve bias</v>
      </c>
      <c r="R30" s="180" t="str">
        <f t="shared" si="11"/>
        <v>Pass</v>
      </c>
      <c r="S30" s="178" t="str">
        <f t="shared" si="5"/>
        <v/>
      </c>
      <c r="T30" s="178">
        <f t="shared" si="12"/>
        <v>0</v>
      </c>
      <c r="U30" s="178">
        <f t="shared" si="13"/>
        <v>0</v>
      </c>
      <c r="V30" s="178"/>
      <c r="W30" s="178"/>
      <c r="X30" s="178"/>
      <c r="Y30" s="178"/>
      <c r="Z30" s="178"/>
      <c r="AA30" s="181">
        <f t="shared" si="9"/>
        <v>0.71499999999999997</v>
      </c>
      <c r="AB30" s="178" t="str">
        <f t="shared" si="14"/>
        <v>Pass</v>
      </c>
      <c r="AC30" s="178" t="str">
        <f t="shared" si="15"/>
        <v>Pass</v>
      </c>
      <c r="AD30" s="179" t="str">
        <f t="shared" si="3"/>
        <v>Yes</v>
      </c>
    </row>
    <row r="31" spans="2:42" x14ac:dyDescent="0.3">
      <c r="B31" s="188">
        <v>26</v>
      </c>
      <c r="C31" s="205"/>
      <c r="D31" s="206"/>
      <c r="E31" s="207">
        <v>0.72</v>
      </c>
      <c r="F31" s="207">
        <v>0.71</v>
      </c>
      <c r="G31" s="183">
        <f t="shared" si="0"/>
        <v>0.71499999999999997</v>
      </c>
      <c r="H31" s="183">
        <f t="shared" si="2"/>
        <v>1.0000000000000009E-2</v>
      </c>
      <c r="I31" s="221">
        <f>'Plot Data'!$D$67</f>
        <v>0.33955658845492881</v>
      </c>
      <c r="J31" s="221">
        <f>'Plot Data'!$D$65</f>
        <v>0.3797043923032859</v>
      </c>
      <c r="K31" s="222">
        <f>'Plot Data'!$D$58</f>
        <v>0.46</v>
      </c>
      <c r="L31" s="222">
        <f>'Plot Data'!$D$62</f>
        <v>0.54029560769671414</v>
      </c>
      <c r="M31" s="222">
        <f>'Plot Data'!$D$64</f>
        <v>0.58044341154507118</v>
      </c>
      <c r="N31" s="222">
        <f>'Plot Data'!$D$68</f>
        <v>3.3799999999999997E-2</v>
      </c>
      <c r="O31" s="177" t="str">
        <f t="shared" si="1"/>
        <v>&gt;+3s</v>
      </c>
      <c r="P31" s="180" t="str">
        <f t="shared" si="4"/>
        <v>Fail &gt; +2s</v>
      </c>
      <c r="Q31" s="180" t="str">
        <f t="shared" si="10"/>
        <v>Fail +ve bias</v>
      </c>
      <c r="R31" s="180" t="str">
        <f t="shared" si="11"/>
        <v>Pass</v>
      </c>
      <c r="S31" s="178" t="str">
        <f t="shared" si="5"/>
        <v/>
      </c>
      <c r="T31" s="178">
        <f t="shared" si="12"/>
        <v>0</v>
      </c>
      <c r="U31" s="178">
        <f t="shared" si="13"/>
        <v>0</v>
      </c>
      <c r="V31" s="178"/>
      <c r="W31" s="178"/>
      <c r="X31" s="178"/>
      <c r="Y31" s="178"/>
      <c r="Z31" s="178"/>
      <c r="AA31" s="181">
        <f t="shared" si="9"/>
        <v>0.71499999999999997</v>
      </c>
      <c r="AB31" s="178" t="str">
        <f t="shared" si="14"/>
        <v>Pass</v>
      </c>
      <c r="AC31" s="178" t="str">
        <f t="shared" si="15"/>
        <v>Pass</v>
      </c>
      <c r="AD31" s="179" t="str">
        <f t="shared" si="3"/>
        <v>Yes</v>
      </c>
      <c r="AF31" s="703"/>
      <c r="AG31" s="703"/>
      <c r="AH31" s="703"/>
      <c r="AI31" s="703"/>
      <c r="AJ31" s="703"/>
      <c r="AK31" s="703"/>
      <c r="AL31" s="703"/>
      <c r="AM31" s="703"/>
      <c r="AN31" s="703"/>
      <c r="AO31" s="703"/>
      <c r="AP31" s="703"/>
    </row>
    <row r="32" spans="2:42" ht="15" thickBot="1" x14ac:dyDescent="0.35">
      <c r="B32" s="188">
        <v>27</v>
      </c>
      <c r="C32" s="205"/>
      <c r="D32" s="206"/>
      <c r="E32" s="207">
        <v>0.72</v>
      </c>
      <c r="F32" s="207">
        <v>0.71</v>
      </c>
      <c r="G32" s="183">
        <f t="shared" si="0"/>
        <v>0.71499999999999997</v>
      </c>
      <c r="H32" s="183">
        <f t="shared" si="2"/>
        <v>1.0000000000000009E-2</v>
      </c>
      <c r="I32" s="221">
        <f>'Plot Data'!$D$67</f>
        <v>0.33955658845492881</v>
      </c>
      <c r="J32" s="221">
        <f>'Plot Data'!$D$65</f>
        <v>0.3797043923032859</v>
      </c>
      <c r="K32" s="222">
        <f>'Plot Data'!$D$58</f>
        <v>0.46</v>
      </c>
      <c r="L32" s="222">
        <f>'Plot Data'!$D$62</f>
        <v>0.54029560769671414</v>
      </c>
      <c r="M32" s="222">
        <f>'Plot Data'!$D$64</f>
        <v>0.58044341154507118</v>
      </c>
      <c r="N32" s="222">
        <f>'Plot Data'!$D$68</f>
        <v>3.3799999999999997E-2</v>
      </c>
      <c r="O32" s="177" t="str">
        <f t="shared" si="1"/>
        <v>&gt;+3s</v>
      </c>
      <c r="P32" s="180" t="str">
        <f t="shared" si="4"/>
        <v>Fail &gt; +2s</v>
      </c>
      <c r="Q32" s="180" t="str">
        <f t="shared" si="10"/>
        <v>Fail +ve bias</v>
      </c>
      <c r="R32" s="180" t="str">
        <f t="shared" si="11"/>
        <v>Pass</v>
      </c>
      <c r="S32" s="178" t="str">
        <f t="shared" si="5"/>
        <v/>
      </c>
      <c r="T32" s="178">
        <f t="shared" si="12"/>
        <v>0</v>
      </c>
      <c r="U32" s="178">
        <f t="shared" si="13"/>
        <v>0</v>
      </c>
      <c r="V32" s="178"/>
      <c r="W32" s="178"/>
      <c r="X32" s="178"/>
      <c r="Y32" s="178"/>
      <c r="Z32" s="178"/>
      <c r="AA32" s="181">
        <f t="shared" si="9"/>
        <v>0.71499999999999997</v>
      </c>
      <c r="AB32" s="178" t="str">
        <f t="shared" si="14"/>
        <v>Pass</v>
      </c>
      <c r="AC32" s="178" t="str">
        <f t="shared" si="15"/>
        <v>Pass</v>
      </c>
      <c r="AD32" s="179" t="str">
        <f t="shared" si="3"/>
        <v>Yes</v>
      </c>
      <c r="AF32" s="704"/>
      <c r="AG32" s="704"/>
      <c r="AH32" s="704"/>
      <c r="AI32" s="704"/>
      <c r="AJ32" s="704"/>
      <c r="AK32" s="704"/>
      <c r="AL32" s="704"/>
      <c r="AM32" s="704"/>
      <c r="AN32" s="704"/>
      <c r="AO32" s="704"/>
      <c r="AP32" s="704"/>
    </row>
    <row r="33" spans="2:42" x14ac:dyDescent="0.3">
      <c r="B33" s="188">
        <v>28</v>
      </c>
      <c r="C33" s="205"/>
      <c r="D33" s="206"/>
      <c r="E33" s="207">
        <v>0.72</v>
      </c>
      <c r="F33" s="207">
        <v>0.71</v>
      </c>
      <c r="G33" s="183">
        <f t="shared" si="0"/>
        <v>0.71499999999999997</v>
      </c>
      <c r="H33" s="183">
        <f t="shared" si="2"/>
        <v>1.0000000000000009E-2</v>
      </c>
      <c r="I33" s="221">
        <f>'Plot Data'!$D$67</f>
        <v>0.33955658845492881</v>
      </c>
      <c r="J33" s="221">
        <f>'Plot Data'!$D$65</f>
        <v>0.3797043923032859</v>
      </c>
      <c r="K33" s="222">
        <f>'Plot Data'!$D$58</f>
        <v>0.46</v>
      </c>
      <c r="L33" s="222">
        <f>'Plot Data'!$D$62</f>
        <v>0.54029560769671414</v>
      </c>
      <c r="M33" s="222">
        <f>'Plot Data'!$D$64</f>
        <v>0.58044341154507118</v>
      </c>
      <c r="N33" s="222">
        <f>'Plot Data'!$D$68</f>
        <v>3.3799999999999997E-2</v>
      </c>
      <c r="O33" s="177" t="str">
        <f t="shared" si="1"/>
        <v>&gt;+3s</v>
      </c>
      <c r="P33" s="180" t="str">
        <f t="shared" si="4"/>
        <v>Fail &gt; +2s</v>
      </c>
      <c r="Q33" s="180" t="str">
        <f t="shared" si="10"/>
        <v>Fail +ve bias</v>
      </c>
      <c r="R33" s="180" t="str">
        <f t="shared" si="11"/>
        <v>Pass</v>
      </c>
      <c r="S33" s="178" t="str">
        <f t="shared" si="5"/>
        <v/>
      </c>
      <c r="T33" s="178">
        <f t="shared" si="12"/>
        <v>0</v>
      </c>
      <c r="U33" s="178">
        <f t="shared" si="13"/>
        <v>0</v>
      </c>
      <c r="V33" s="178"/>
      <c r="W33" s="178"/>
      <c r="X33" s="178"/>
      <c r="Y33" s="178"/>
      <c r="Z33" s="178"/>
      <c r="AA33" s="181">
        <f t="shared" si="9"/>
        <v>0.71499999999999997</v>
      </c>
      <c r="AB33" s="178" t="str">
        <f t="shared" si="14"/>
        <v>Pass</v>
      </c>
      <c r="AC33" s="178" t="str">
        <f t="shared" si="15"/>
        <v>Pass</v>
      </c>
      <c r="AD33" s="179" t="str">
        <f t="shared" si="3"/>
        <v>Yes</v>
      </c>
      <c r="AF33" s="690" t="s">
        <v>7</v>
      </c>
      <c r="AG33" s="689"/>
      <c r="AH33" s="689" t="str">
        <f>AH5</f>
        <v>Total Sulphur</v>
      </c>
      <c r="AI33" s="689"/>
      <c r="AJ33" s="689"/>
      <c r="AK33" s="689" t="s">
        <v>168</v>
      </c>
      <c r="AL33" s="689"/>
      <c r="AM33" s="689"/>
      <c r="AN33" s="689" t="str">
        <f>AN5</f>
        <v>IMP-SULP-01</v>
      </c>
      <c r="AO33" s="689"/>
      <c r="AP33" s="691"/>
    </row>
    <row r="34" spans="2:42" ht="15" customHeight="1" x14ac:dyDescent="0.3">
      <c r="B34" s="188">
        <v>29</v>
      </c>
      <c r="C34" s="205"/>
      <c r="D34" s="206"/>
      <c r="E34" s="207">
        <v>0.72</v>
      </c>
      <c r="F34" s="207">
        <v>0.71</v>
      </c>
      <c r="G34" s="183">
        <f t="shared" si="0"/>
        <v>0.71499999999999997</v>
      </c>
      <c r="H34" s="183">
        <f t="shared" si="2"/>
        <v>1.0000000000000009E-2</v>
      </c>
      <c r="I34" s="221">
        <f>'Plot Data'!$D$67</f>
        <v>0.33955658845492881</v>
      </c>
      <c r="J34" s="221">
        <f>'Plot Data'!$D$65</f>
        <v>0.3797043923032859</v>
      </c>
      <c r="K34" s="222">
        <f>'Plot Data'!$D$58</f>
        <v>0.46</v>
      </c>
      <c r="L34" s="222">
        <f>'Plot Data'!$D$62</f>
        <v>0.54029560769671414</v>
      </c>
      <c r="M34" s="222">
        <f>'Plot Data'!$D$64</f>
        <v>0.58044341154507118</v>
      </c>
      <c r="N34" s="222">
        <f>'Plot Data'!$D$68</f>
        <v>3.3799999999999997E-2</v>
      </c>
      <c r="O34" s="177" t="str">
        <f t="shared" si="1"/>
        <v>&gt;+3s</v>
      </c>
      <c r="P34" s="180" t="str">
        <f t="shared" si="4"/>
        <v>Fail &gt; +2s</v>
      </c>
      <c r="Q34" s="180" t="str">
        <f t="shared" si="10"/>
        <v>Fail +ve bias</v>
      </c>
      <c r="R34" s="180" t="str">
        <f t="shared" si="11"/>
        <v>Pass</v>
      </c>
      <c r="S34" s="178" t="str">
        <f t="shared" si="5"/>
        <v/>
      </c>
      <c r="T34" s="178">
        <f t="shared" si="12"/>
        <v>0</v>
      </c>
      <c r="U34" s="178">
        <f t="shared" si="13"/>
        <v>0</v>
      </c>
      <c r="V34" s="178"/>
      <c r="W34" s="178"/>
      <c r="X34" s="178"/>
      <c r="Y34" s="178"/>
      <c r="Z34" s="178"/>
      <c r="AA34" s="181">
        <f t="shared" si="9"/>
        <v>0.71499999999999997</v>
      </c>
      <c r="AB34" s="178" t="str">
        <f t="shared" si="14"/>
        <v>Pass</v>
      </c>
      <c r="AC34" s="178" t="str">
        <f t="shared" si="15"/>
        <v>Pass</v>
      </c>
      <c r="AD34" s="179" t="str">
        <f t="shared" si="3"/>
        <v>Yes</v>
      </c>
      <c r="AF34" s="682"/>
      <c r="AG34" s="683"/>
      <c r="AH34" s="683"/>
      <c r="AI34" s="683"/>
      <c r="AJ34" s="683"/>
      <c r="AK34" s="683"/>
      <c r="AL34" s="683"/>
      <c r="AM34" s="683"/>
      <c r="AN34" s="683"/>
      <c r="AO34" s="683"/>
      <c r="AP34" s="705"/>
    </row>
    <row r="35" spans="2:42" ht="15" customHeight="1" x14ac:dyDescent="0.3">
      <c r="B35" s="188">
        <v>30</v>
      </c>
      <c r="C35" s="205"/>
      <c r="D35" s="206"/>
      <c r="E35" s="207">
        <v>0.72</v>
      </c>
      <c r="F35" s="207">
        <v>0.71</v>
      </c>
      <c r="G35" s="183">
        <f t="shared" si="0"/>
        <v>0.71499999999999997</v>
      </c>
      <c r="H35" s="183">
        <f t="shared" si="2"/>
        <v>1.0000000000000009E-2</v>
      </c>
      <c r="I35" s="221">
        <f>'Plot Data'!$D$67</f>
        <v>0.33955658845492881</v>
      </c>
      <c r="J35" s="221">
        <f>'Plot Data'!$D$65</f>
        <v>0.3797043923032859</v>
      </c>
      <c r="K35" s="222">
        <f>'Plot Data'!$D$58</f>
        <v>0.46</v>
      </c>
      <c r="L35" s="222">
        <f>'Plot Data'!$D$62</f>
        <v>0.54029560769671414</v>
      </c>
      <c r="M35" s="222">
        <f>'Plot Data'!$D$64</f>
        <v>0.58044341154507118</v>
      </c>
      <c r="N35" s="222">
        <f>'Plot Data'!$D$68</f>
        <v>3.3799999999999997E-2</v>
      </c>
      <c r="O35" s="177" t="str">
        <f t="shared" si="1"/>
        <v>&gt;+3s</v>
      </c>
      <c r="P35" s="180" t="str">
        <f t="shared" si="4"/>
        <v>Fail &gt; +2s</v>
      </c>
      <c r="Q35" s="180" t="str">
        <f t="shared" si="10"/>
        <v>Fail +ve bias</v>
      </c>
      <c r="R35" s="180" t="str">
        <f t="shared" si="11"/>
        <v>Pass</v>
      </c>
      <c r="S35" s="178" t="str">
        <f t="shared" si="5"/>
        <v/>
      </c>
      <c r="T35" s="178">
        <f t="shared" si="12"/>
        <v>0</v>
      </c>
      <c r="U35" s="178">
        <f t="shared" si="13"/>
        <v>0</v>
      </c>
      <c r="V35" s="178"/>
      <c r="W35" s="178"/>
      <c r="X35" s="178"/>
      <c r="Y35" s="178"/>
      <c r="Z35" s="178"/>
      <c r="AA35" s="181">
        <f t="shared" si="9"/>
        <v>0.71499999999999997</v>
      </c>
      <c r="AB35" s="178" t="str">
        <f t="shared" si="14"/>
        <v>Pass</v>
      </c>
      <c r="AC35" s="178" t="str">
        <f t="shared" si="15"/>
        <v>Pass</v>
      </c>
      <c r="AD35" s="179" t="str">
        <f t="shared" si="3"/>
        <v>Yes</v>
      </c>
      <c r="AF35" s="682" t="s">
        <v>203</v>
      </c>
      <c r="AG35" s="683"/>
      <c r="AH35" s="683" t="str">
        <f>AH6</f>
        <v>034</v>
      </c>
      <c r="AI35" s="683"/>
      <c r="AJ35" s="683"/>
      <c r="AK35" s="683" t="s">
        <v>204</v>
      </c>
      <c r="AL35" s="683"/>
      <c r="AM35" s="683"/>
      <c r="AN35" s="686">
        <f>AN6</f>
        <v>37212</v>
      </c>
      <c r="AO35" s="683" t="s">
        <v>205</v>
      </c>
      <c r="AP35" s="680">
        <f>AP6</f>
        <v>39038</v>
      </c>
    </row>
    <row r="36" spans="2:42" ht="15" customHeight="1" thickBot="1" x14ac:dyDescent="0.35">
      <c r="B36" s="188">
        <v>31</v>
      </c>
      <c r="C36" s="205"/>
      <c r="D36" s="206"/>
      <c r="E36" s="207">
        <v>0.72</v>
      </c>
      <c r="F36" s="207">
        <v>0.71</v>
      </c>
      <c r="G36" s="183">
        <f t="shared" si="0"/>
        <v>0.71499999999999997</v>
      </c>
      <c r="H36" s="183">
        <f t="shared" si="2"/>
        <v>1.0000000000000009E-2</v>
      </c>
      <c r="I36" s="221">
        <f>'Plot Data'!$D$67</f>
        <v>0.33955658845492881</v>
      </c>
      <c r="J36" s="221">
        <f>'Plot Data'!$D$65</f>
        <v>0.3797043923032859</v>
      </c>
      <c r="K36" s="222">
        <f>'Plot Data'!$D$58</f>
        <v>0.46</v>
      </c>
      <c r="L36" s="222">
        <f>'Plot Data'!$D$62</f>
        <v>0.54029560769671414</v>
      </c>
      <c r="M36" s="222">
        <f>'Plot Data'!$D$64</f>
        <v>0.58044341154507118</v>
      </c>
      <c r="N36" s="222">
        <f>'Plot Data'!$D$68</f>
        <v>3.3799999999999997E-2</v>
      </c>
      <c r="O36" s="177" t="str">
        <f t="shared" si="1"/>
        <v>&gt;+3s</v>
      </c>
      <c r="P36" s="180" t="str">
        <f t="shared" si="4"/>
        <v>Fail &gt; +2s</v>
      </c>
      <c r="Q36" s="180" t="str">
        <f t="shared" si="10"/>
        <v>Fail +ve bias</v>
      </c>
      <c r="R36" s="180" t="str">
        <f t="shared" si="11"/>
        <v>Pass</v>
      </c>
      <c r="S36" s="178" t="str">
        <f t="shared" si="5"/>
        <v/>
      </c>
      <c r="T36" s="178">
        <f t="shared" si="12"/>
        <v>0</v>
      </c>
      <c r="U36" s="178">
        <f t="shared" si="13"/>
        <v>0</v>
      </c>
      <c r="V36" s="178"/>
      <c r="W36" s="178"/>
      <c r="X36" s="178"/>
      <c r="Y36" s="178"/>
      <c r="Z36" s="178"/>
      <c r="AA36" s="181">
        <f t="shared" si="9"/>
        <v>0.71499999999999997</v>
      </c>
      <c r="AB36" s="178" t="str">
        <f t="shared" si="14"/>
        <v>Pass</v>
      </c>
      <c r="AC36" s="178" t="str">
        <f t="shared" si="15"/>
        <v>Pass</v>
      </c>
      <c r="AD36" s="179" t="str">
        <f t="shared" si="3"/>
        <v>Yes</v>
      </c>
      <c r="AF36" s="684"/>
      <c r="AG36" s="685"/>
      <c r="AH36" s="685"/>
      <c r="AI36" s="685"/>
      <c r="AJ36" s="685"/>
      <c r="AK36" s="685"/>
      <c r="AL36" s="685"/>
      <c r="AM36" s="685"/>
      <c r="AN36" s="687"/>
      <c r="AO36" s="685"/>
      <c r="AP36" s="681"/>
    </row>
    <row r="37" spans="2:42" x14ac:dyDescent="0.3">
      <c r="B37" s="188">
        <v>32</v>
      </c>
      <c r="C37" s="205"/>
      <c r="D37" s="206"/>
      <c r="E37" s="207">
        <v>0.72</v>
      </c>
      <c r="F37" s="207">
        <v>0.71</v>
      </c>
      <c r="G37" s="183">
        <f t="shared" si="0"/>
        <v>0.71499999999999997</v>
      </c>
      <c r="H37" s="183">
        <f t="shared" si="2"/>
        <v>1.0000000000000009E-2</v>
      </c>
      <c r="I37" s="221">
        <f>'Plot Data'!$D$67</f>
        <v>0.33955658845492881</v>
      </c>
      <c r="J37" s="221">
        <f>'Plot Data'!$D$65</f>
        <v>0.3797043923032859</v>
      </c>
      <c r="K37" s="222">
        <f>'Plot Data'!$D$58</f>
        <v>0.46</v>
      </c>
      <c r="L37" s="222">
        <f>'Plot Data'!$D$62</f>
        <v>0.54029560769671414</v>
      </c>
      <c r="M37" s="222">
        <f>'Plot Data'!$D$64</f>
        <v>0.58044341154507118</v>
      </c>
      <c r="N37" s="222">
        <f>'Plot Data'!$D$68</f>
        <v>3.3799999999999997E-2</v>
      </c>
      <c r="O37" s="177" t="str">
        <f t="shared" si="1"/>
        <v>&gt;+3s</v>
      </c>
      <c r="P37" s="180" t="str">
        <f t="shared" si="4"/>
        <v>Fail &gt; +2s</v>
      </c>
      <c r="Q37" s="180" t="str">
        <f t="shared" si="10"/>
        <v>Fail +ve bias</v>
      </c>
      <c r="R37" s="180" t="str">
        <f t="shared" si="11"/>
        <v>Pass</v>
      </c>
      <c r="S37" s="178" t="str">
        <f t="shared" si="5"/>
        <v/>
      </c>
      <c r="T37" s="178">
        <f t="shared" si="12"/>
        <v>0</v>
      </c>
      <c r="U37" s="178">
        <f t="shared" si="13"/>
        <v>0</v>
      </c>
      <c r="V37" s="178"/>
      <c r="W37" s="178"/>
      <c r="X37" s="178"/>
      <c r="Y37" s="178"/>
      <c r="Z37" s="178"/>
      <c r="AA37" s="181">
        <f t="shared" si="9"/>
        <v>0.71499999999999997</v>
      </c>
      <c r="AB37" s="178" t="str">
        <f t="shared" si="14"/>
        <v>Pass</v>
      </c>
      <c r="AC37" s="178" t="str">
        <f t="shared" si="15"/>
        <v>Pass</v>
      </c>
      <c r="AD37" s="179" t="str">
        <f t="shared" si="3"/>
        <v>Yes</v>
      </c>
      <c r="AF37" s="211"/>
      <c r="AP37" s="92"/>
    </row>
    <row r="38" spans="2:42" x14ac:dyDescent="0.3">
      <c r="B38" s="188">
        <v>33</v>
      </c>
      <c r="C38" s="205"/>
      <c r="D38" s="206"/>
      <c r="E38" s="207">
        <v>0.72</v>
      </c>
      <c r="F38" s="207">
        <v>0.71</v>
      </c>
      <c r="G38" s="183">
        <f t="shared" si="0"/>
        <v>0.71499999999999997</v>
      </c>
      <c r="H38" s="183">
        <f t="shared" si="2"/>
        <v>1.0000000000000009E-2</v>
      </c>
      <c r="I38" s="221">
        <f>'Plot Data'!$D$67</f>
        <v>0.33955658845492881</v>
      </c>
      <c r="J38" s="221">
        <f>'Plot Data'!$D$65</f>
        <v>0.3797043923032859</v>
      </c>
      <c r="K38" s="222">
        <f>'Plot Data'!$D$58</f>
        <v>0.46</v>
      </c>
      <c r="L38" s="222">
        <f>'Plot Data'!$D$62</f>
        <v>0.54029560769671414</v>
      </c>
      <c r="M38" s="222">
        <f>'Plot Data'!$D$64</f>
        <v>0.58044341154507118</v>
      </c>
      <c r="N38" s="222">
        <f>'Plot Data'!$D$68</f>
        <v>3.3799999999999997E-2</v>
      </c>
      <c r="O38" s="177" t="str">
        <f t="shared" si="1"/>
        <v>&gt;+3s</v>
      </c>
      <c r="P38" s="180" t="str">
        <f t="shared" si="4"/>
        <v>Fail &gt; +2s</v>
      </c>
      <c r="Q38" s="180" t="str">
        <f t="shared" si="10"/>
        <v>Fail +ve bias</v>
      </c>
      <c r="R38" s="180" t="str">
        <f t="shared" si="11"/>
        <v>Pass</v>
      </c>
      <c r="S38" s="178" t="str">
        <f t="shared" si="5"/>
        <v/>
      </c>
      <c r="T38" s="178">
        <f t="shared" si="12"/>
        <v>0</v>
      </c>
      <c r="U38" s="178">
        <f t="shared" si="13"/>
        <v>0</v>
      </c>
      <c r="V38" s="178"/>
      <c r="W38" s="178"/>
      <c r="X38" s="178"/>
      <c r="Y38" s="178"/>
      <c r="Z38" s="178"/>
      <c r="AA38" s="181">
        <f t="shared" si="9"/>
        <v>0.71499999999999997</v>
      </c>
      <c r="AB38" s="178" t="str">
        <f t="shared" si="14"/>
        <v>Pass</v>
      </c>
      <c r="AC38" s="178" t="str">
        <f t="shared" si="15"/>
        <v>Pass</v>
      </c>
      <c r="AD38" s="179" t="str">
        <f t="shared" si="3"/>
        <v>Yes</v>
      </c>
      <c r="AF38" s="211"/>
      <c r="AP38" s="92"/>
    </row>
    <row r="39" spans="2:42" x14ac:dyDescent="0.3">
      <c r="B39" s="188">
        <v>34</v>
      </c>
      <c r="C39" s="205"/>
      <c r="D39" s="206"/>
      <c r="E39" s="207">
        <v>0.72</v>
      </c>
      <c r="F39" s="207">
        <v>0.71</v>
      </c>
      <c r="G39" s="183">
        <f t="shared" si="0"/>
        <v>0.71499999999999997</v>
      </c>
      <c r="H39" s="183">
        <f t="shared" si="2"/>
        <v>1.0000000000000009E-2</v>
      </c>
      <c r="I39" s="221">
        <f>'Plot Data'!$D$67</f>
        <v>0.33955658845492881</v>
      </c>
      <c r="J39" s="221">
        <f>'Plot Data'!$D$65</f>
        <v>0.3797043923032859</v>
      </c>
      <c r="K39" s="222">
        <f>'Plot Data'!$D$58</f>
        <v>0.46</v>
      </c>
      <c r="L39" s="222">
        <f>'Plot Data'!$D$62</f>
        <v>0.54029560769671414</v>
      </c>
      <c r="M39" s="222">
        <f>'Plot Data'!$D$64</f>
        <v>0.58044341154507118</v>
      </c>
      <c r="N39" s="222">
        <f>'Plot Data'!$D$68</f>
        <v>3.3799999999999997E-2</v>
      </c>
      <c r="O39" s="177" t="str">
        <f t="shared" si="1"/>
        <v>&gt;+3s</v>
      </c>
      <c r="P39" s="180" t="str">
        <f t="shared" si="4"/>
        <v>Fail &gt; +2s</v>
      </c>
      <c r="Q39" s="180" t="str">
        <f t="shared" si="10"/>
        <v>Fail +ve bias</v>
      </c>
      <c r="R39" s="180" t="str">
        <f t="shared" si="11"/>
        <v>Pass</v>
      </c>
      <c r="S39" s="178" t="str">
        <f t="shared" si="5"/>
        <v/>
      </c>
      <c r="T39" s="178">
        <f t="shared" si="12"/>
        <v>0</v>
      </c>
      <c r="U39" s="178">
        <f t="shared" si="13"/>
        <v>0</v>
      </c>
      <c r="V39" s="178"/>
      <c r="W39" s="178"/>
      <c r="X39" s="178"/>
      <c r="Y39" s="178"/>
      <c r="Z39" s="178"/>
      <c r="AA39" s="181">
        <f t="shared" si="9"/>
        <v>0.71499999999999997</v>
      </c>
      <c r="AB39" s="178" t="str">
        <f t="shared" si="14"/>
        <v>Pass</v>
      </c>
      <c r="AC39" s="178" t="str">
        <f t="shared" si="15"/>
        <v>Pass</v>
      </c>
      <c r="AD39" s="179" t="str">
        <f t="shared" si="3"/>
        <v>Yes</v>
      </c>
      <c r="AF39" s="211"/>
      <c r="AP39" s="92"/>
    </row>
    <row r="40" spans="2:42" x14ac:dyDescent="0.3">
      <c r="B40" s="188">
        <v>35</v>
      </c>
      <c r="C40" s="205"/>
      <c r="D40" s="206"/>
      <c r="E40" s="207">
        <v>0.72</v>
      </c>
      <c r="F40" s="207">
        <v>0.71</v>
      </c>
      <c r="G40" s="183">
        <f t="shared" si="0"/>
        <v>0.71499999999999997</v>
      </c>
      <c r="H40" s="183">
        <f t="shared" si="2"/>
        <v>1.0000000000000009E-2</v>
      </c>
      <c r="I40" s="221">
        <f>'Plot Data'!$D$67</f>
        <v>0.33955658845492881</v>
      </c>
      <c r="J40" s="221">
        <f>'Plot Data'!$D$65</f>
        <v>0.3797043923032859</v>
      </c>
      <c r="K40" s="222">
        <f>'Plot Data'!$D$58</f>
        <v>0.46</v>
      </c>
      <c r="L40" s="222">
        <f>'Plot Data'!$D$62</f>
        <v>0.54029560769671414</v>
      </c>
      <c r="M40" s="222">
        <f>'Plot Data'!$D$64</f>
        <v>0.58044341154507118</v>
      </c>
      <c r="N40" s="222">
        <f>'Plot Data'!$D$68</f>
        <v>3.3799999999999997E-2</v>
      </c>
      <c r="O40" s="177" t="str">
        <f t="shared" si="1"/>
        <v>&gt;+3s</v>
      </c>
      <c r="P40" s="180" t="str">
        <f t="shared" si="4"/>
        <v>Fail &gt; +2s</v>
      </c>
      <c r="Q40" s="180" t="str">
        <f t="shared" si="10"/>
        <v>Fail +ve bias</v>
      </c>
      <c r="R40" s="180" t="str">
        <f t="shared" si="11"/>
        <v>Pass</v>
      </c>
      <c r="S40" s="178" t="str">
        <f t="shared" si="5"/>
        <v/>
      </c>
      <c r="T40" s="178">
        <f t="shared" si="12"/>
        <v>0</v>
      </c>
      <c r="U40" s="178">
        <f t="shared" si="13"/>
        <v>0</v>
      </c>
      <c r="V40" s="178"/>
      <c r="W40" s="178"/>
      <c r="X40" s="178"/>
      <c r="Y40" s="178"/>
      <c r="Z40" s="178"/>
      <c r="AA40" s="181">
        <f t="shared" si="9"/>
        <v>0.71499999999999997</v>
      </c>
      <c r="AB40" s="178" t="str">
        <f t="shared" si="14"/>
        <v>Pass</v>
      </c>
      <c r="AC40" s="178" t="str">
        <f t="shared" si="15"/>
        <v>Pass</v>
      </c>
      <c r="AD40" s="179" t="str">
        <f t="shared" si="3"/>
        <v>Yes</v>
      </c>
      <c r="AF40" s="211"/>
      <c r="AP40" s="92"/>
    </row>
    <row r="41" spans="2:42" x14ac:dyDescent="0.3">
      <c r="B41" s="188">
        <v>36</v>
      </c>
      <c r="C41" s="205"/>
      <c r="D41" s="206"/>
      <c r="E41" s="207">
        <v>0.72</v>
      </c>
      <c r="F41" s="207">
        <v>0.71</v>
      </c>
      <c r="G41" s="183">
        <f t="shared" si="0"/>
        <v>0.71499999999999997</v>
      </c>
      <c r="H41" s="183">
        <f t="shared" si="2"/>
        <v>1.0000000000000009E-2</v>
      </c>
      <c r="I41" s="221">
        <f>'Plot Data'!$D$67</f>
        <v>0.33955658845492881</v>
      </c>
      <c r="J41" s="221">
        <f>'Plot Data'!$D$65</f>
        <v>0.3797043923032859</v>
      </c>
      <c r="K41" s="222">
        <f>'Plot Data'!$D$58</f>
        <v>0.46</v>
      </c>
      <c r="L41" s="222">
        <f>'Plot Data'!$D$62</f>
        <v>0.54029560769671414</v>
      </c>
      <c r="M41" s="222">
        <f>'Plot Data'!$D$64</f>
        <v>0.58044341154507118</v>
      </c>
      <c r="N41" s="222">
        <f>'Plot Data'!$D$68</f>
        <v>3.3799999999999997E-2</v>
      </c>
      <c r="O41" s="177" t="str">
        <f t="shared" si="1"/>
        <v>&gt;+3s</v>
      </c>
      <c r="P41" s="180" t="str">
        <f t="shared" si="4"/>
        <v>Fail &gt; +2s</v>
      </c>
      <c r="Q41" s="180" t="str">
        <f t="shared" si="10"/>
        <v>Fail +ve bias</v>
      </c>
      <c r="R41" s="180" t="str">
        <f t="shared" si="11"/>
        <v>Pass</v>
      </c>
      <c r="S41" s="178" t="str">
        <f t="shared" si="5"/>
        <v/>
      </c>
      <c r="T41" s="178">
        <f t="shared" si="12"/>
        <v>0</v>
      </c>
      <c r="U41" s="178">
        <f t="shared" si="13"/>
        <v>0</v>
      </c>
      <c r="V41" s="178"/>
      <c r="W41" s="178"/>
      <c r="X41" s="178"/>
      <c r="Y41" s="178"/>
      <c r="Z41" s="178"/>
      <c r="AA41" s="181">
        <f t="shared" si="9"/>
        <v>0.71499999999999997</v>
      </c>
      <c r="AB41" s="178" t="str">
        <f t="shared" si="14"/>
        <v>Pass</v>
      </c>
      <c r="AC41" s="178" t="str">
        <f t="shared" si="15"/>
        <v>Pass</v>
      </c>
      <c r="AD41" s="179" t="str">
        <f t="shared" si="3"/>
        <v>Yes</v>
      </c>
      <c r="AF41" s="211"/>
      <c r="AP41" s="92"/>
    </row>
    <row r="42" spans="2:42" x14ac:dyDescent="0.3">
      <c r="B42" s="188">
        <v>37</v>
      </c>
      <c r="C42" s="205"/>
      <c r="D42" s="206"/>
      <c r="E42" s="207">
        <v>0.72</v>
      </c>
      <c r="F42" s="207">
        <v>0.71</v>
      </c>
      <c r="G42" s="183">
        <f t="shared" si="0"/>
        <v>0.71499999999999997</v>
      </c>
      <c r="H42" s="183">
        <f t="shared" si="2"/>
        <v>1.0000000000000009E-2</v>
      </c>
      <c r="I42" s="221">
        <f>'Plot Data'!$D$67</f>
        <v>0.33955658845492881</v>
      </c>
      <c r="J42" s="221">
        <f>'Plot Data'!$D$65</f>
        <v>0.3797043923032859</v>
      </c>
      <c r="K42" s="222">
        <f>'Plot Data'!$D$58</f>
        <v>0.46</v>
      </c>
      <c r="L42" s="222">
        <f>'Plot Data'!$D$62</f>
        <v>0.54029560769671414</v>
      </c>
      <c r="M42" s="222">
        <f>'Plot Data'!$D$64</f>
        <v>0.58044341154507118</v>
      </c>
      <c r="N42" s="222">
        <f>'Plot Data'!$D$68</f>
        <v>3.3799999999999997E-2</v>
      </c>
      <c r="O42" s="177" t="str">
        <f t="shared" si="1"/>
        <v>&gt;+3s</v>
      </c>
      <c r="P42" s="180" t="str">
        <f t="shared" si="4"/>
        <v>Fail &gt; +2s</v>
      </c>
      <c r="Q42" s="180" t="str">
        <f t="shared" si="10"/>
        <v>Fail +ve bias</v>
      </c>
      <c r="R42" s="180" t="str">
        <f t="shared" si="11"/>
        <v>Pass</v>
      </c>
      <c r="S42" s="178" t="str">
        <f t="shared" si="5"/>
        <v/>
      </c>
      <c r="T42" s="178">
        <f t="shared" si="12"/>
        <v>0</v>
      </c>
      <c r="U42" s="178">
        <f t="shared" si="13"/>
        <v>0</v>
      </c>
      <c r="V42" s="178"/>
      <c r="W42" s="178"/>
      <c r="X42" s="178"/>
      <c r="Y42" s="178"/>
      <c r="Z42" s="178"/>
      <c r="AA42" s="181">
        <f t="shared" si="9"/>
        <v>0.71499999999999997</v>
      </c>
      <c r="AB42" s="178" t="str">
        <f t="shared" si="14"/>
        <v>Pass</v>
      </c>
      <c r="AC42" s="178" t="str">
        <f t="shared" si="15"/>
        <v>Pass</v>
      </c>
      <c r="AD42" s="179" t="str">
        <f t="shared" si="3"/>
        <v>Yes</v>
      </c>
      <c r="AF42" s="211"/>
      <c r="AP42" s="92"/>
    </row>
    <row r="43" spans="2:42" x14ac:dyDescent="0.3">
      <c r="B43" s="188">
        <v>38</v>
      </c>
      <c r="C43" s="205"/>
      <c r="D43" s="206"/>
      <c r="E43" s="207">
        <v>0.72</v>
      </c>
      <c r="F43" s="207">
        <v>0.71</v>
      </c>
      <c r="G43" s="183">
        <f t="shared" si="0"/>
        <v>0.71499999999999997</v>
      </c>
      <c r="H43" s="183">
        <f t="shared" si="2"/>
        <v>1.0000000000000009E-2</v>
      </c>
      <c r="I43" s="221">
        <f>'Plot Data'!$D$67</f>
        <v>0.33955658845492881</v>
      </c>
      <c r="J43" s="221">
        <f>'Plot Data'!$D$65</f>
        <v>0.3797043923032859</v>
      </c>
      <c r="K43" s="222">
        <f>'Plot Data'!$D$58</f>
        <v>0.46</v>
      </c>
      <c r="L43" s="222">
        <f>'Plot Data'!$D$62</f>
        <v>0.54029560769671414</v>
      </c>
      <c r="M43" s="222">
        <f>'Plot Data'!$D$64</f>
        <v>0.58044341154507118</v>
      </c>
      <c r="N43" s="222">
        <f>'Plot Data'!$D$68</f>
        <v>3.3799999999999997E-2</v>
      </c>
      <c r="O43" s="177" t="str">
        <f t="shared" si="1"/>
        <v>&gt;+3s</v>
      </c>
      <c r="P43" s="180" t="str">
        <f t="shared" si="4"/>
        <v>Fail &gt; +2s</v>
      </c>
      <c r="Q43" s="180" t="str">
        <f t="shared" si="10"/>
        <v>Fail +ve bias</v>
      </c>
      <c r="R43" s="180" t="str">
        <f t="shared" si="11"/>
        <v>Pass</v>
      </c>
      <c r="S43" s="178" t="str">
        <f t="shared" si="5"/>
        <v/>
      </c>
      <c r="T43" s="178">
        <f t="shared" si="12"/>
        <v>0</v>
      </c>
      <c r="U43" s="178">
        <f t="shared" si="13"/>
        <v>0</v>
      </c>
      <c r="V43" s="178"/>
      <c r="W43" s="178"/>
      <c r="X43" s="178"/>
      <c r="Y43" s="178"/>
      <c r="Z43" s="178"/>
      <c r="AA43" s="181">
        <f t="shared" si="9"/>
        <v>0.71499999999999997</v>
      </c>
      <c r="AB43" s="178" t="str">
        <f t="shared" si="14"/>
        <v>Pass</v>
      </c>
      <c r="AC43" s="178" t="str">
        <f t="shared" si="15"/>
        <v>Pass</v>
      </c>
      <c r="AD43" s="179" t="str">
        <f t="shared" si="3"/>
        <v>Yes</v>
      </c>
      <c r="AF43" s="211"/>
      <c r="AP43" s="92"/>
    </row>
    <row r="44" spans="2:42" x14ac:dyDescent="0.3">
      <c r="B44" s="188">
        <v>39</v>
      </c>
      <c r="C44" s="205"/>
      <c r="D44" s="206"/>
      <c r="E44" s="207"/>
      <c r="F44" s="207"/>
      <c r="G44" s="183" t="e">
        <f t="shared" si="0"/>
        <v>#N/A</v>
      </c>
      <c r="H44" s="183" t="e">
        <f t="shared" si="2"/>
        <v>#N/A</v>
      </c>
      <c r="I44" s="221">
        <f>'Plot Data'!$D$67</f>
        <v>0.33955658845492881</v>
      </c>
      <c r="J44" s="221">
        <f>'Plot Data'!$D$65</f>
        <v>0.3797043923032859</v>
      </c>
      <c r="K44" s="222">
        <f>'Plot Data'!$D$58</f>
        <v>0.46</v>
      </c>
      <c r="L44" s="222">
        <f>'Plot Data'!$D$62</f>
        <v>0.54029560769671414</v>
      </c>
      <c r="M44" s="222">
        <f>'Plot Data'!$D$64</f>
        <v>0.58044341154507118</v>
      </c>
      <c r="N44" s="222">
        <f>'Plot Data'!$D$68</f>
        <v>3.3799999999999997E-2</v>
      </c>
      <c r="O44" s="190" t="e">
        <f t="shared" si="1"/>
        <v>#N/A</v>
      </c>
      <c r="P44" s="191" t="e">
        <f t="shared" si="4"/>
        <v>#N/A</v>
      </c>
      <c r="Q44" s="191" t="e">
        <f t="shared" si="10"/>
        <v>#N/A</v>
      </c>
      <c r="R44" s="191" t="e">
        <f t="shared" si="11"/>
        <v>#N/A</v>
      </c>
      <c r="S44" s="192" t="str">
        <f t="shared" si="5"/>
        <v/>
      </c>
      <c r="T44" s="192" t="e">
        <f t="shared" si="12"/>
        <v>#N/A</v>
      </c>
      <c r="U44" s="192" t="e">
        <f t="shared" si="13"/>
        <v>#N/A</v>
      </c>
      <c r="V44" s="192"/>
      <c r="W44" s="192"/>
      <c r="X44" s="192"/>
      <c r="Y44" s="192"/>
      <c r="Z44" s="192"/>
      <c r="AA44" s="193" t="e">
        <f t="shared" si="9"/>
        <v>#N/A</v>
      </c>
      <c r="AB44" s="192" t="e">
        <f t="shared" si="14"/>
        <v>#N/A</v>
      </c>
      <c r="AC44" s="192" t="e">
        <f t="shared" si="15"/>
        <v>#N/A</v>
      </c>
      <c r="AD44" s="194" t="e">
        <f t="shared" si="3"/>
        <v>#N/A</v>
      </c>
      <c r="AF44" s="211"/>
      <c r="AP44" s="92"/>
    </row>
    <row r="45" spans="2:42" x14ac:dyDescent="0.3">
      <c r="B45" s="188">
        <v>40</v>
      </c>
      <c r="C45" s="205"/>
      <c r="D45" s="206"/>
      <c r="E45" s="207"/>
      <c r="F45" s="207"/>
      <c r="G45" s="183" t="e">
        <f t="shared" si="0"/>
        <v>#N/A</v>
      </c>
      <c r="H45" s="183" t="e">
        <f t="shared" si="2"/>
        <v>#N/A</v>
      </c>
      <c r="I45" s="221">
        <f>'Plot Data'!$D$67</f>
        <v>0.33955658845492881</v>
      </c>
      <c r="J45" s="221">
        <f>'Plot Data'!$D$65</f>
        <v>0.3797043923032859</v>
      </c>
      <c r="K45" s="222">
        <f>'Plot Data'!$D$58</f>
        <v>0.46</v>
      </c>
      <c r="L45" s="222">
        <f>'Plot Data'!$D$62</f>
        <v>0.54029560769671414</v>
      </c>
      <c r="M45" s="222">
        <f>'Plot Data'!$D$64</f>
        <v>0.58044341154507118</v>
      </c>
      <c r="N45" s="222">
        <f>'Plot Data'!$D$68</f>
        <v>3.3799999999999997E-2</v>
      </c>
      <c r="O45" s="190" t="e">
        <f t="shared" si="1"/>
        <v>#N/A</v>
      </c>
      <c r="P45" s="191" t="e">
        <f t="shared" si="4"/>
        <v>#N/A</v>
      </c>
      <c r="Q45" s="191" t="e">
        <f t="shared" si="10"/>
        <v>#N/A</v>
      </c>
      <c r="R45" s="191" t="e">
        <f t="shared" si="11"/>
        <v>#N/A</v>
      </c>
      <c r="S45" s="192" t="str">
        <f t="shared" si="5"/>
        <v/>
      </c>
      <c r="T45" s="192" t="e">
        <f t="shared" si="12"/>
        <v>#N/A</v>
      </c>
      <c r="U45" s="192" t="e">
        <f t="shared" si="13"/>
        <v>#N/A</v>
      </c>
      <c r="V45" s="192"/>
      <c r="W45" s="192"/>
      <c r="X45" s="192"/>
      <c r="Y45" s="192"/>
      <c r="Z45" s="192"/>
      <c r="AA45" s="193" t="e">
        <f t="shared" si="9"/>
        <v>#N/A</v>
      </c>
      <c r="AB45" s="192" t="e">
        <f t="shared" si="14"/>
        <v>#N/A</v>
      </c>
      <c r="AC45" s="192" t="e">
        <f t="shared" si="15"/>
        <v>#N/A</v>
      </c>
      <c r="AD45" s="194" t="e">
        <f t="shared" si="3"/>
        <v>#N/A</v>
      </c>
      <c r="AF45" s="211"/>
      <c r="AP45" s="92"/>
    </row>
    <row r="46" spans="2:42" x14ac:dyDescent="0.3">
      <c r="B46" s="188">
        <v>41</v>
      </c>
      <c r="C46" s="205"/>
      <c r="D46" s="206"/>
      <c r="E46" s="207"/>
      <c r="F46" s="207"/>
      <c r="G46" s="183" t="e">
        <f t="shared" si="0"/>
        <v>#N/A</v>
      </c>
      <c r="H46" s="183" t="e">
        <f t="shared" si="2"/>
        <v>#N/A</v>
      </c>
      <c r="I46" s="221">
        <f>'Plot Data'!$D$67</f>
        <v>0.33955658845492881</v>
      </c>
      <c r="J46" s="221">
        <f>'Plot Data'!$D$65</f>
        <v>0.3797043923032859</v>
      </c>
      <c r="K46" s="222">
        <f>'Plot Data'!$D$58</f>
        <v>0.46</v>
      </c>
      <c r="L46" s="222">
        <f>'Plot Data'!$D$62</f>
        <v>0.54029560769671414</v>
      </c>
      <c r="M46" s="222">
        <f>'Plot Data'!$D$64</f>
        <v>0.58044341154507118</v>
      </c>
      <c r="N46" s="222">
        <f>'Plot Data'!$D$68</f>
        <v>3.3799999999999997E-2</v>
      </c>
      <c r="O46" s="190" t="e">
        <f t="shared" si="1"/>
        <v>#N/A</v>
      </c>
      <c r="P46" s="191" t="e">
        <f t="shared" si="4"/>
        <v>#N/A</v>
      </c>
      <c r="Q46" s="191" t="e">
        <f t="shared" si="10"/>
        <v>#N/A</v>
      </c>
      <c r="R46" s="191" t="e">
        <f t="shared" si="11"/>
        <v>#N/A</v>
      </c>
      <c r="S46" s="192" t="str">
        <f t="shared" si="5"/>
        <v/>
      </c>
      <c r="T46" s="192" t="e">
        <f t="shared" si="12"/>
        <v>#N/A</v>
      </c>
      <c r="U46" s="192" t="e">
        <f t="shared" si="13"/>
        <v>#N/A</v>
      </c>
      <c r="V46" s="192"/>
      <c r="W46" s="192"/>
      <c r="X46" s="192"/>
      <c r="Y46" s="192"/>
      <c r="Z46" s="192"/>
      <c r="AA46" s="193" t="e">
        <f t="shared" si="9"/>
        <v>#N/A</v>
      </c>
      <c r="AB46" s="192" t="e">
        <f t="shared" si="14"/>
        <v>#N/A</v>
      </c>
      <c r="AC46" s="192" t="e">
        <f t="shared" si="15"/>
        <v>#N/A</v>
      </c>
      <c r="AD46" s="194" t="e">
        <f t="shared" si="3"/>
        <v>#N/A</v>
      </c>
      <c r="AF46" s="211"/>
      <c r="AP46" s="92"/>
    </row>
    <row r="47" spans="2:42" x14ac:dyDescent="0.3">
      <c r="B47" s="188">
        <v>42</v>
      </c>
      <c r="C47" s="205"/>
      <c r="D47" s="206"/>
      <c r="E47" s="207"/>
      <c r="F47" s="207"/>
      <c r="G47" s="183" t="e">
        <f t="shared" si="0"/>
        <v>#N/A</v>
      </c>
      <c r="H47" s="183" t="e">
        <f t="shared" si="2"/>
        <v>#N/A</v>
      </c>
      <c r="I47" s="221">
        <f>'Plot Data'!$D$67</f>
        <v>0.33955658845492881</v>
      </c>
      <c r="J47" s="221">
        <f>'Plot Data'!$D$65</f>
        <v>0.3797043923032859</v>
      </c>
      <c r="K47" s="222">
        <f>'Plot Data'!$D$58</f>
        <v>0.46</v>
      </c>
      <c r="L47" s="222">
        <f>'Plot Data'!$D$62</f>
        <v>0.54029560769671414</v>
      </c>
      <c r="M47" s="222">
        <f>'Plot Data'!$D$64</f>
        <v>0.58044341154507118</v>
      </c>
      <c r="N47" s="222">
        <f>'Plot Data'!$D$68</f>
        <v>3.3799999999999997E-2</v>
      </c>
      <c r="O47" s="190" t="e">
        <f t="shared" si="1"/>
        <v>#N/A</v>
      </c>
      <c r="P47" s="191" t="e">
        <f t="shared" si="4"/>
        <v>#N/A</v>
      </c>
      <c r="Q47" s="191" t="e">
        <f t="shared" si="10"/>
        <v>#N/A</v>
      </c>
      <c r="R47" s="191" t="e">
        <f t="shared" si="11"/>
        <v>#N/A</v>
      </c>
      <c r="S47" s="192" t="str">
        <f t="shared" si="5"/>
        <v/>
      </c>
      <c r="T47" s="192" t="e">
        <f t="shared" si="12"/>
        <v>#N/A</v>
      </c>
      <c r="U47" s="192" t="e">
        <f t="shared" si="13"/>
        <v>#N/A</v>
      </c>
      <c r="V47" s="192"/>
      <c r="W47" s="192"/>
      <c r="X47" s="192"/>
      <c r="Y47" s="192"/>
      <c r="Z47" s="192"/>
      <c r="AA47" s="193" t="e">
        <f t="shared" si="9"/>
        <v>#N/A</v>
      </c>
      <c r="AB47" s="192" t="e">
        <f t="shared" si="14"/>
        <v>#N/A</v>
      </c>
      <c r="AC47" s="192" t="e">
        <f t="shared" si="15"/>
        <v>#N/A</v>
      </c>
      <c r="AD47" s="194" t="e">
        <f t="shared" si="3"/>
        <v>#N/A</v>
      </c>
      <c r="AF47" s="211"/>
      <c r="AP47" s="92"/>
    </row>
    <row r="48" spans="2:42" x14ac:dyDescent="0.3">
      <c r="B48" s="188">
        <v>43</v>
      </c>
      <c r="C48" s="205"/>
      <c r="D48" s="206"/>
      <c r="E48" s="207"/>
      <c r="F48" s="207"/>
      <c r="G48" s="183" t="e">
        <f t="shared" si="0"/>
        <v>#N/A</v>
      </c>
      <c r="H48" s="183" t="e">
        <f t="shared" si="2"/>
        <v>#N/A</v>
      </c>
      <c r="I48" s="221">
        <f>'Plot Data'!$D$67</f>
        <v>0.33955658845492881</v>
      </c>
      <c r="J48" s="221">
        <f>'Plot Data'!$D$65</f>
        <v>0.3797043923032859</v>
      </c>
      <c r="K48" s="222">
        <f>'Plot Data'!$D$58</f>
        <v>0.46</v>
      </c>
      <c r="L48" s="222">
        <f>'Plot Data'!$D$62</f>
        <v>0.54029560769671414</v>
      </c>
      <c r="M48" s="222">
        <f>'Plot Data'!$D$64</f>
        <v>0.58044341154507118</v>
      </c>
      <c r="N48" s="222">
        <f>'Plot Data'!$D$68</f>
        <v>3.3799999999999997E-2</v>
      </c>
      <c r="O48" s="190" t="e">
        <f t="shared" si="1"/>
        <v>#N/A</v>
      </c>
      <c r="P48" s="191" t="e">
        <f t="shared" si="4"/>
        <v>#N/A</v>
      </c>
      <c r="Q48" s="191" t="e">
        <f t="shared" si="10"/>
        <v>#N/A</v>
      </c>
      <c r="R48" s="191" t="e">
        <f t="shared" si="11"/>
        <v>#N/A</v>
      </c>
      <c r="S48" s="192" t="str">
        <f t="shared" si="5"/>
        <v/>
      </c>
      <c r="T48" s="192" t="e">
        <f t="shared" si="12"/>
        <v>#N/A</v>
      </c>
      <c r="U48" s="192" t="e">
        <f t="shared" si="13"/>
        <v>#N/A</v>
      </c>
      <c r="V48" s="192"/>
      <c r="W48" s="192"/>
      <c r="X48" s="192"/>
      <c r="Y48" s="192"/>
      <c r="Z48" s="192"/>
      <c r="AA48" s="193" t="e">
        <f t="shared" si="9"/>
        <v>#N/A</v>
      </c>
      <c r="AB48" s="192" t="e">
        <f t="shared" si="14"/>
        <v>#N/A</v>
      </c>
      <c r="AC48" s="192" t="e">
        <f t="shared" si="15"/>
        <v>#N/A</v>
      </c>
      <c r="AD48" s="194" t="e">
        <f t="shared" si="3"/>
        <v>#N/A</v>
      </c>
      <c r="AF48" s="211"/>
      <c r="AP48" s="92"/>
    </row>
    <row r="49" spans="2:42" x14ac:dyDescent="0.3">
      <c r="B49" s="188">
        <v>44</v>
      </c>
      <c r="C49" s="205"/>
      <c r="D49" s="206"/>
      <c r="E49" s="207"/>
      <c r="F49" s="207"/>
      <c r="G49" s="183" t="e">
        <f t="shared" si="0"/>
        <v>#N/A</v>
      </c>
      <c r="H49" s="183" t="e">
        <f t="shared" si="2"/>
        <v>#N/A</v>
      </c>
      <c r="I49" s="221">
        <f>'Plot Data'!$D$67</f>
        <v>0.33955658845492881</v>
      </c>
      <c r="J49" s="221">
        <f>'Plot Data'!$D$65</f>
        <v>0.3797043923032859</v>
      </c>
      <c r="K49" s="222">
        <f>'Plot Data'!$D$58</f>
        <v>0.46</v>
      </c>
      <c r="L49" s="222">
        <f>'Plot Data'!$D$62</f>
        <v>0.54029560769671414</v>
      </c>
      <c r="M49" s="222">
        <f>'Plot Data'!$D$64</f>
        <v>0.58044341154507118</v>
      </c>
      <c r="N49" s="222">
        <f>'Plot Data'!$D$68</f>
        <v>3.3799999999999997E-2</v>
      </c>
      <c r="O49" s="190" t="e">
        <f t="shared" si="1"/>
        <v>#N/A</v>
      </c>
      <c r="P49" s="191" t="e">
        <f t="shared" si="4"/>
        <v>#N/A</v>
      </c>
      <c r="Q49" s="191" t="e">
        <f t="shared" si="10"/>
        <v>#N/A</v>
      </c>
      <c r="R49" s="191" t="e">
        <f t="shared" si="11"/>
        <v>#N/A</v>
      </c>
      <c r="S49" s="192" t="str">
        <f t="shared" si="5"/>
        <v/>
      </c>
      <c r="T49" s="192" t="e">
        <f t="shared" si="12"/>
        <v>#N/A</v>
      </c>
      <c r="U49" s="192" t="e">
        <f t="shared" si="13"/>
        <v>#N/A</v>
      </c>
      <c r="V49" s="192"/>
      <c r="W49" s="192"/>
      <c r="X49" s="192"/>
      <c r="Y49" s="192"/>
      <c r="Z49" s="192"/>
      <c r="AA49" s="193" t="e">
        <f t="shared" si="9"/>
        <v>#N/A</v>
      </c>
      <c r="AB49" s="192" t="e">
        <f t="shared" si="14"/>
        <v>#N/A</v>
      </c>
      <c r="AC49" s="192" t="e">
        <f t="shared" si="15"/>
        <v>#N/A</v>
      </c>
      <c r="AD49" s="194" t="e">
        <f t="shared" si="3"/>
        <v>#N/A</v>
      </c>
      <c r="AF49" s="211"/>
      <c r="AP49" s="92"/>
    </row>
    <row r="50" spans="2:42" x14ac:dyDescent="0.3">
      <c r="B50" s="188">
        <v>45</v>
      </c>
      <c r="C50" s="205"/>
      <c r="D50" s="206"/>
      <c r="E50" s="207"/>
      <c r="F50" s="207"/>
      <c r="G50" s="183" t="e">
        <f t="shared" si="0"/>
        <v>#N/A</v>
      </c>
      <c r="H50" s="183" t="e">
        <f t="shared" si="2"/>
        <v>#N/A</v>
      </c>
      <c r="I50" s="221">
        <f>'Plot Data'!$D$67</f>
        <v>0.33955658845492881</v>
      </c>
      <c r="J50" s="221">
        <f>'Plot Data'!$D$65</f>
        <v>0.3797043923032859</v>
      </c>
      <c r="K50" s="222">
        <f>'Plot Data'!$D$58</f>
        <v>0.46</v>
      </c>
      <c r="L50" s="222">
        <f>'Plot Data'!$D$62</f>
        <v>0.54029560769671414</v>
      </c>
      <c r="M50" s="222">
        <f>'Plot Data'!$D$64</f>
        <v>0.58044341154507118</v>
      </c>
      <c r="N50" s="222">
        <f>'Plot Data'!$D$68</f>
        <v>3.3799999999999997E-2</v>
      </c>
      <c r="O50" s="190" t="e">
        <f t="shared" si="1"/>
        <v>#N/A</v>
      </c>
      <c r="P50" s="191" t="e">
        <f t="shared" si="4"/>
        <v>#N/A</v>
      </c>
      <c r="Q50" s="191" t="e">
        <f t="shared" si="10"/>
        <v>#N/A</v>
      </c>
      <c r="R50" s="191" t="e">
        <f t="shared" si="11"/>
        <v>#N/A</v>
      </c>
      <c r="S50" s="192" t="str">
        <f t="shared" si="5"/>
        <v/>
      </c>
      <c r="T50" s="192" t="e">
        <f t="shared" si="12"/>
        <v>#N/A</v>
      </c>
      <c r="U50" s="192" t="e">
        <f t="shared" si="13"/>
        <v>#N/A</v>
      </c>
      <c r="V50" s="192"/>
      <c r="W50" s="192"/>
      <c r="X50" s="192"/>
      <c r="Y50" s="192"/>
      <c r="Z50" s="192"/>
      <c r="AA50" s="193" t="e">
        <f t="shared" si="9"/>
        <v>#N/A</v>
      </c>
      <c r="AB50" s="192" t="e">
        <f t="shared" si="14"/>
        <v>#N/A</v>
      </c>
      <c r="AC50" s="192" t="e">
        <f t="shared" si="15"/>
        <v>#N/A</v>
      </c>
      <c r="AD50" s="194" t="e">
        <f t="shared" si="3"/>
        <v>#N/A</v>
      </c>
      <c r="AF50" s="211"/>
      <c r="AP50" s="92"/>
    </row>
    <row r="51" spans="2:42" x14ac:dyDescent="0.3">
      <c r="B51" s="188">
        <v>46</v>
      </c>
      <c r="C51" s="205"/>
      <c r="D51" s="206"/>
      <c r="E51" s="207"/>
      <c r="F51" s="207"/>
      <c r="G51" s="183" t="e">
        <f t="shared" si="0"/>
        <v>#N/A</v>
      </c>
      <c r="H51" s="183" t="e">
        <f t="shared" si="2"/>
        <v>#N/A</v>
      </c>
      <c r="I51" s="221">
        <f>'Plot Data'!$D$67</f>
        <v>0.33955658845492881</v>
      </c>
      <c r="J51" s="221">
        <f>'Plot Data'!$D$65</f>
        <v>0.3797043923032859</v>
      </c>
      <c r="K51" s="222">
        <f>'Plot Data'!$D$58</f>
        <v>0.46</v>
      </c>
      <c r="L51" s="222">
        <f>'Plot Data'!$D$62</f>
        <v>0.54029560769671414</v>
      </c>
      <c r="M51" s="222">
        <f>'Plot Data'!$D$64</f>
        <v>0.58044341154507118</v>
      </c>
      <c r="N51" s="222">
        <f>'Plot Data'!$D$68</f>
        <v>3.3799999999999997E-2</v>
      </c>
      <c r="O51" s="190" t="e">
        <f t="shared" si="1"/>
        <v>#N/A</v>
      </c>
      <c r="P51" s="191" t="e">
        <f t="shared" si="4"/>
        <v>#N/A</v>
      </c>
      <c r="Q51" s="191" t="e">
        <f t="shared" si="10"/>
        <v>#N/A</v>
      </c>
      <c r="R51" s="191" t="e">
        <f t="shared" si="11"/>
        <v>#N/A</v>
      </c>
      <c r="S51" s="192" t="str">
        <f t="shared" si="5"/>
        <v/>
      </c>
      <c r="T51" s="192" t="e">
        <f t="shared" si="12"/>
        <v>#N/A</v>
      </c>
      <c r="U51" s="192" t="e">
        <f t="shared" si="13"/>
        <v>#N/A</v>
      </c>
      <c r="V51" s="192"/>
      <c r="W51" s="192"/>
      <c r="X51" s="192"/>
      <c r="Y51" s="192"/>
      <c r="Z51" s="192"/>
      <c r="AA51" s="193" t="e">
        <f t="shared" si="9"/>
        <v>#N/A</v>
      </c>
      <c r="AB51" s="192" t="e">
        <f t="shared" si="14"/>
        <v>#N/A</v>
      </c>
      <c r="AC51" s="192" t="e">
        <f t="shared" si="15"/>
        <v>#N/A</v>
      </c>
      <c r="AD51" s="194" t="e">
        <f t="shared" si="3"/>
        <v>#N/A</v>
      </c>
      <c r="AF51" s="211"/>
      <c r="AP51" s="92"/>
    </row>
    <row r="52" spans="2:42" x14ac:dyDescent="0.3">
      <c r="B52" s="188">
        <v>47</v>
      </c>
      <c r="C52" s="205"/>
      <c r="D52" s="206"/>
      <c r="E52" s="207"/>
      <c r="F52" s="207"/>
      <c r="G52" s="183" t="e">
        <f t="shared" si="0"/>
        <v>#N/A</v>
      </c>
      <c r="H52" s="183" t="e">
        <f t="shared" si="2"/>
        <v>#N/A</v>
      </c>
      <c r="I52" s="221">
        <f>'Plot Data'!$D$67</f>
        <v>0.33955658845492881</v>
      </c>
      <c r="J52" s="221">
        <f>'Plot Data'!$D$65</f>
        <v>0.3797043923032859</v>
      </c>
      <c r="K52" s="222">
        <f>'Plot Data'!$D$58</f>
        <v>0.46</v>
      </c>
      <c r="L52" s="222">
        <f>'Plot Data'!$D$62</f>
        <v>0.54029560769671414</v>
      </c>
      <c r="M52" s="222">
        <f>'Plot Data'!$D$64</f>
        <v>0.58044341154507118</v>
      </c>
      <c r="N52" s="222">
        <f>'Plot Data'!$D$68</f>
        <v>3.3799999999999997E-2</v>
      </c>
      <c r="O52" s="190" t="e">
        <f t="shared" si="1"/>
        <v>#N/A</v>
      </c>
      <c r="P52" s="191" t="e">
        <f t="shared" si="4"/>
        <v>#N/A</v>
      </c>
      <c r="Q52" s="191" t="e">
        <f t="shared" si="10"/>
        <v>#N/A</v>
      </c>
      <c r="R52" s="191" t="e">
        <f t="shared" si="11"/>
        <v>#N/A</v>
      </c>
      <c r="S52" s="192" t="str">
        <f t="shared" si="5"/>
        <v/>
      </c>
      <c r="T52" s="192" t="e">
        <f t="shared" si="12"/>
        <v>#N/A</v>
      </c>
      <c r="U52" s="192" t="e">
        <f t="shared" si="13"/>
        <v>#N/A</v>
      </c>
      <c r="V52" s="192"/>
      <c r="W52" s="192"/>
      <c r="X52" s="192"/>
      <c r="Y52" s="192"/>
      <c r="Z52" s="192"/>
      <c r="AA52" s="193" t="e">
        <f t="shared" si="9"/>
        <v>#N/A</v>
      </c>
      <c r="AB52" s="192" t="e">
        <f t="shared" si="14"/>
        <v>#N/A</v>
      </c>
      <c r="AC52" s="192" t="e">
        <f t="shared" si="15"/>
        <v>#N/A</v>
      </c>
      <c r="AD52" s="194" t="e">
        <f t="shared" si="3"/>
        <v>#N/A</v>
      </c>
      <c r="AF52" s="211"/>
      <c r="AP52" s="92"/>
    </row>
    <row r="53" spans="2:42" x14ac:dyDescent="0.3">
      <c r="B53" s="188">
        <v>48</v>
      </c>
      <c r="C53" s="205"/>
      <c r="D53" s="206"/>
      <c r="E53" s="207"/>
      <c r="F53" s="207"/>
      <c r="G53" s="183" t="e">
        <f t="shared" si="0"/>
        <v>#N/A</v>
      </c>
      <c r="H53" s="183" t="e">
        <f t="shared" si="2"/>
        <v>#N/A</v>
      </c>
      <c r="I53" s="221">
        <f>'Plot Data'!$D$67</f>
        <v>0.33955658845492881</v>
      </c>
      <c r="J53" s="221">
        <f>'Plot Data'!$D$65</f>
        <v>0.3797043923032859</v>
      </c>
      <c r="K53" s="222">
        <f>'Plot Data'!$D$58</f>
        <v>0.46</v>
      </c>
      <c r="L53" s="222">
        <f>'Plot Data'!$D$62</f>
        <v>0.54029560769671414</v>
      </c>
      <c r="M53" s="222">
        <f>'Plot Data'!$D$64</f>
        <v>0.58044341154507118</v>
      </c>
      <c r="N53" s="222">
        <f>'Plot Data'!$D$68</f>
        <v>3.3799999999999997E-2</v>
      </c>
      <c r="O53" s="190" t="e">
        <f t="shared" si="1"/>
        <v>#N/A</v>
      </c>
      <c r="P53" s="191" t="e">
        <f t="shared" si="4"/>
        <v>#N/A</v>
      </c>
      <c r="Q53" s="191" t="e">
        <f t="shared" si="10"/>
        <v>#N/A</v>
      </c>
      <c r="R53" s="191" t="e">
        <f t="shared" si="11"/>
        <v>#N/A</v>
      </c>
      <c r="S53" s="192" t="str">
        <f t="shared" si="5"/>
        <v/>
      </c>
      <c r="T53" s="192" t="e">
        <f t="shared" si="12"/>
        <v>#N/A</v>
      </c>
      <c r="U53" s="192" t="e">
        <f t="shared" si="13"/>
        <v>#N/A</v>
      </c>
      <c r="V53" s="192"/>
      <c r="W53" s="192"/>
      <c r="X53" s="192"/>
      <c r="Y53" s="192"/>
      <c r="Z53" s="192"/>
      <c r="AA53" s="193" t="e">
        <f t="shared" si="9"/>
        <v>#N/A</v>
      </c>
      <c r="AB53" s="192" t="e">
        <f t="shared" si="14"/>
        <v>#N/A</v>
      </c>
      <c r="AC53" s="192" t="e">
        <f t="shared" si="15"/>
        <v>#N/A</v>
      </c>
      <c r="AD53" s="194" t="e">
        <f t="shared" si="3"/>
        <v>#N/A</v>
      </c>
      <c r="AF53" s="211"/>
      <c r="AP53" s="92"/>
    </row>
    <row r="54" spans="2:42" x14ac:dyDescent="0.3">
      <c r="B54" s="188">
        <v>49</v>
      </c>
      <c r="C54" s="205"/>
      <c r="D54" s="206"/>
      <c r="E54" s="207"/>
      <c r="F54" s="207"/>
      <c r="G54" s="183" t="e">
        <f t="shared" si="0"/>
        <v>#N/A</v>
      </c>
      <c r="H54" s="183" t="e">
        <f t="shared" si="2"/>
        <v>#N/A</v>
      </c>
      <c r="I54" s="221">
        <f>'Plot Data'!$D$67</f>
        <v>0.33955658845492881</v>
      </c>
      <c r="J54" s="221">
        <f>'Plot Data'!$D$65</f>
        <v>0.3797043923032859</v>
      </c>
      <c r="K54" s="222">
        <f>'Plot Data'!$D$58</f>
        <v>0.46</v>
      </c>
      <c r="L54" s="222">
        <f>'Plot Data'!$D$62</f>
        <v>0.54029560769671414</v>
      </c>
      <c r="M54" s="222">
        <f>'Plot Data'!$D$64</f>
        <v>0.58044341154507118</v>
      </c>
      <c r="N54" s="222">
        <f>'Plot Data'!$D$68</f>
        <v>3.3799999999999997E-2</v>
      </c>
      <c r="O54" s="190" t="e">
        <f t="shared" si="1"/>
        <v>#N/A</v>
      </c>
      <c r="P54" s="191" t="e">
        <f t="shared" si="4"/>
        <v>#N/A</v>
      </c>
      <c r="Q54" s="191" t="e">
        <f t="shared" si="10"/>
        <v>#N/A</v>
      </c>
      <c r="R54" s="191" t="e">
        <f t="shared" si="11"/>
        <v>#N/A</v>
      </c>
      <c r="S54" s="192" t="str">
        <f t="shared" si="5"/>
        <v/>
      </c>
      <c r="T54" s="192" t="e">
        <f t="shared" si="12"/>
        <v>#N/A</v>
      </c>
      <c r="U54" s="192" t="e">
        <f t="shared" si="13"/>
        <v>#N/A</v>
      </c>
      <c r="V54" s="192"/>
      <c r="W54" s="192"/>
      <c r="X54" s="192"/>
      <c r="Y54" s="192"/>
      <c r="Z54" s="192"/>
      <c r="AA54" s="193" t="e">
        <f t="shared" si="9"/>
        <v>#N/A</v>
      </c>
      <c r="AB54" s="192" t="e">
        <f t="shared" si="14"/>
        <v>#N/A</v>
      </c>
      <c r="AC54" s="192" t="e">
        <f t="shared" si="15"/>
        <v>#N/A</v>
      </c>
      <c r="AD54" s="194" t="e">
        <f t="shared" si="3"/>
        <v>#N/A</v>
      </c>
      <c r="AF54" s="211"/>
      <c r="AP54" s="92"/>
    </row>
    <row r="55" spans="2:42" ht="15" thickBot="1" x14ac:dyDescent="0.35">
      <c r="B55" s="189">
        <v>50</v>
      </c>
      <c r="C55" s="208"/>
      <c r="D55" s="209"/>
      <c r="E55" s="210"/>
      <c r="F55" s="210"/>
      <c r="G55" s="185" t="e">
        <f t="shared" si="0"/>
        <v>#N/A</v>
      </c>
      <c r="H55" s="185" t="e">
        <f t="shared" si="2"/>
        <v>#N/A</v>
      </c>
      <c r="I55" s="223">
        <f>'Plot Data'!$D$67</f>
        <v>0.33955658845492881</v>
      </c>
      <c r="J55" s="223">
        <f>'Plot Data'!$D$65</f>
        <v>0.3797043923032859</v>
      </c>
      <c r="K55" s="224">
        <f>'Plot Data'!$D$58</f>
        <v>0.46</v>
      </c>
      <c r="L55" s="224">
        <f>'Plot Data'!$D$62</f>
        <v>0.54029560769671414</v>
      </c>
      <c r="M55" s="224">
        <f>'Plot Data'!$D$64</f>
        <v>0.58044341154507118</v>
      </c>
      <c r="N55" s="224">
        <f>'Plot Data'!$D$68</f>
        <v>3.3799999999999997E-2</v>
      </c>
      <c r="O55" s="195" t="e">
        <f t="shared" si="1"/>
        <v>#N/A</v>
      </c>
      <c r="P55" s="196" t="e">
        <f t="shared" si="4"/>
        <v>#N/A</v>
      </c>
      <c r="Q55" s="196" t="e">
        <f t="shared" si="10"/>
        <v>#N/A</v>
      </c>
      <c r="R55" s="196" t="e">
        <f t="shared" si="11"/>
        <v>#N/A</v>
      </c>
      <c r="S55" s="192" t="str">
        <f t="shared" si="5"/>
        <v/>
      </c>
      <c r="T55" s="197" t="e">
        <f t="shared" si="12"/>
        <v>#N/A</v>
      </c>
      <c r="U55" s="197" t="e">
        <f t="shared" si="13"/>
        <v>#N/A</v>
      </c>
      <c r="V55" s="197"/>
      <c r="W55" s="197"/>
      <c r="X55" s="197"/>
      <c r="Y55" s="197"/>
      <c r="Z55" s="197"/>
      <c r="AA55" s="193" t="e">
        <f t="shared" si="9"/>
        <v>#N/A</v>
      </c>
      <c r="AB55" s="197" t="e">
        <f t="shared" si="14"/>
        <v>#N/A</v>
      </c>
      <c r="AC55" s="192" t="e">
        <f t="shared" si="15"/>
        <v>#N/A</v>
      </c>
      <c r="AD55" s="198" t="e">
        <f t="shared" si="3"/>
        <v>#N/A</v>
      </c>
      <c r="AF55" s="212"/>
      <c r="AG55" s="213"/>
      <c r="AH55" s="213"/>
      <c r="AI55" s="213"/>
      <c r="AJ55" s="213"/>
      <c r="AK55" s="213"/>
      <c r="AL55" s="213"/>
      <c r="AM55" s="213"/>
      <c r="AN55" s="213"/>
      <c r="AO55" s="213"/>
      <c r="AP55" s="214"/>
    </row>
  </sheetData>
  <sheetProtection password="B7E1" sheet="1" objects="1" scenarios="1"/>
  <mergeCells count="25">
    <mergeCell ref="B2:D2"/>
    <mergeCell ref="H2:I2"/>
    <mergeCell ref="J2:K2"/>
    <mergeCell ref="B3:D3"/>
    <mergeCell ref="AF5:AG5"/>
    <mergeCell ref="AK5:AM5"/>
    <mergeCell ref="AN5:AP5"/>
    <mergeCell ref="AF6:AG7"/>
    <mergeCell ref="AH6:AJ7"/>
    <mergeCell ref="AK6:AM7"/>
    <mergeCell ref="AN6:AN7"/>
    <mergeCell ref="AO6:AO7"/>
    <mergeCell ref="AP6:AP7"/>
    <mergeCell ref="AH5:AJ5"/>
    <mergeCell ref="AP35:AP36"/>
    <mergeCell ref="AF31:AP32"/>
    <mergeCell ref="AF33:AG34"/>
    <mergeCell ref="AH33:AJ34"/>
    <mergeCell ref="AK33:AM34"/>
    <mergeCell ref="AN33:AP34"/>
    <mergeCell ref="AF35:AG36"/>
    <mergeCell ref="AH35:AJ36"/>
    <mergeCell ref="AK35:AM36"/>
    <mergeCell ref="AN35:AN36"/>
    <mergeCell ref="AO35:AO36"/>
  </mergeCells>
  <conditionalFormatting sqref="O6:O55">
    <cfRule type="cellIs" dxfId="226" priority="17" operator="equal">
      <formula>"Pass"</formula>
    </cfRule>
    <cfRule type="cellIs" dxfId="225" priority="18" operator="equal">
      <formula>"&lt;-3s"</formula>
    </cfRule>
    <cfRule type="cellIs" dxfId="224" priority="19" operator="equal">
      <formula>"&gt;+3s"</formula>
    </cfRule>
  </conditionalFormatting>
  <conditionalFormatting sqref="P7:P55">
    <cfRule type="cellIs" dxfId="223" priority="9" operator="equal">
      <formula>"Pass"</formula>
    </cfRule>
    <cfRule type="cellIs" dxfId="222" priority="14" operator="equal">
      <formula>""</formula>
    </cfRule>
    <cfRule type="cellIs" dxfId="221" priority="15" operator="equal">
      <formula>"Fail &gt; +2s"</formula>
    </cfRule>
    <cfRule type="cellIs" dxfId="220" priority="16" operator="equal">
      <formula>"Fail &lt; -2s"</formula>
    </cfRule>
  </conditionalFormatting>
  <conditionalFormatting sqref="Q13:Q55">
    <cfRule type="cellIs" dxfId="219" priority="5" operator="equal">
      <formula>""</formula>
    </cfRule>
    <cfRule type="cellIs" dxfId="218" priority="6" operator="equal">
      <formula>"Pass"</formula>
    </cfRule>
    <cfRule type="cellIs" dxfId="217" priority="7" operator="equal">
      <formula>"Fail -ve bias"</formula>
    </cfRule>
    <cfRule type="cellIs" dxfId="216" priority="8" operator="equal">
      <formula>"Fail +ve bias"</formula>
    </cfRule>
  </conditionalFormatting>
  <conditionalFormatting sqref="R12:R55">
    <cfRule type="cellIs" dxfId="215" priority="10" operator="equal">
      <formula>""</formula>
    </cfRule>
    <cfRule type="cellIs" dxfId="214" priority="11" operator="equal">
      <formula>"Fail -ve trend"</formula>
    </cfRule>
    <cfRule type="cellIs" dxfId="213" priority="12" operator="equal">
      <formula>"Fail +ve trend"</formula>
    </cfRule>
    <cfRule type="cellIs" dxfId="212" priority="13" operator="equal">
      <formula>"Pass"</formula>
    </cfRule>
  </conditionalFormatting>
  <conditionalFormatting sqref="AC15:AC55">
    <cfRule type="cellIs" dxfId="211" priority="1" operator="equal">
      <formula>"Pass"</formula>
    </cfRule>
    <cfRule type="cellIs" dxfId="210" priority="2" operator="equal">
      <formula>""</formula>
    </cfRule>
    <cfRule type="cellIs" dxfId="209" priority="3" operator="equal">
      <formula>"Fail -ve"</formula>
    </cfRule>
    <cfRule type="cellIs" dxfId="208" priority="4" operator="equal">
      <formula>"Fail +ve"</formula>
    </cfRule>
  </conditionalFormatting>
  <conditionalFormatting sqref="AD6:AD55">
    <cfRule type="cellIs" dxfId="207" priority="20" operator="equal">
      <formula>NA()</formula>
    </cfRule>
    <cfRule type="cellIs" dxfId="206" priority="21" operator="equal">
      <formula>"Yes"</formula>
    </cfRule>
    <cfRule type="cellIs" dxfId="205" priority="22" operator="equal">
      <formula>"No"</formula>
    </cfRule>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F0"/>
    <pageSetUpPr autoPageBreaks="0"/>
  </sheetPr>
  <dimension ref="B1:AP55"/>
  <sheetViews>
    <sheetView showZeros="0" topLeftCell="M1" zoomScale="80" zoomScaleNormal="80" workbookViewId="0">
      <selection activeCell="O15" sqref="O15"/>
    </sheetView>
  </sheetViews>
  <sheetFormatPr defaultColWidth="9.21875" defaultRowHeight="14.4" x14ac:dyDescent="0.3"/>
  <cols>
    <col min="2" max="2" width="7.77734375" bestFit="1" customWidth="1"/>
    <col min="3" max="4" width="13.77734375" customWidth="1"/>
    <col min="5" max="5" width="14.21875" bestFit="1" customWidth="1"/>
    <col min="6" max="6" width="14.5546875" customWidth="1"/>
    <col min="7" max="7" width="19.21875" bestFit="1" customWidth="1"/>
    <col min="8" max="8" width="18.77734375" bestFit="1" customWidth="1"/>
    <col min="9" max="9" width="13.77734375" customWidth="1"/>
    <col min="11" max="11" width="12.77734375" customWidth="1"/>
    <col min="14" max="14" width="15" bestFit="1" customWidth="1"/>
    <col min="15" max="15" width="15.77734375" style="174" customWidth="1"/>
    <col min="16" max="18" width="15.77734375" customWidth="1"/>
    <col min="19" max="29" width="15.77734375" hidden="1" customWidth="1"/>
    <col min="30" max="30" width="13.77734375" customWidth="1"/>
    <col min="40" max="40" width="13.77734375" bestFit="1" customWidth="1"/>
    <col min="42" max="42" width="13.77734375" bestFit="1" customWidth="1"/>
  </cols>
  <sheetData>
    <row r="1" spans="2:42" ht="15" thickBot="1" x14ac:dyDescent="0.35"/>
    <row r="2" spans="2:42" ht="15.6" x14ac:dyDescent="0.3">
      <c r="B2" s="708" t="s">
        <v>60</v>
      </c>
      <c r="C2" s="709"/>
      <c r="D2" s="709"/>
      <c r="E2" s="203" t="s">
        <v>214</v>
      </c>
      <c r="G2" s="175"/>
      <c r="H2" s="710" t="s">
        <v>219</v>
      </c>
      <c r="I2" s="711"/>
      <c r="J2" s="712" t="s">
        <v>218</v>
      </c>
      <c r="K2" s="713"/>
    </row>
    <row r="3" spans="2:42" ht="20.100000000000001" customHeight="1" thickBot="1" x14ac:dyDescent="0.35">
      <c r="B3" s="706" t="s">
        <v>203</v>
      </c>
      <c r="C3" s="707"/>
      <c r="D3" s="707"/>
      <c r="E3" s="204" t="s">
        <v>209</v>
      </c>
      <c r="G3" s="175"/>
      <c r="H3" s="199" t="s">
        <v>204</v>
      </c>
      <c r="I3" s="200">
        <f>C6</f>
        <v>37212</v>
      </c>
      <c r="J3" s="201" t="s">
        <v>205</v>
      </c>
      <c r="K3" s="202">
        <f>MAX(C6:C55)</f>
        <v>39038</v>
      </c>
    </row>
    <row r="4" spans="2:42" ht="20.100000000000001" customHeight="1" thickBot="1" x14ac:dyDescent="0.35">
      <c r="B4" s="175"/>
      <c r="C4" s="175"/>
      <c r="D4" s="175"/>
      <c r="E4" s="175"/>
      <c r="G4" s="175"/>
    </row>
    <row r="5" spans="2:42" ht="29.25" customHeight="1" x14ac:dyDescent="0.3">
      <c r="B5" s="215" t="s">
        <v>198</v>
      </c>
      <c r="C5" s="187" t="s">
        <v>0</v>
      </c>
      <c r="D5" s="187" t="s">
        <v>192</v>
      </c>
      <c r="E5" s="187" t="s">
        <v>193</v>
      </c>
      <c r="F5" s="187" t="s">
        <v>194</v>
      </c>
      <c r="G5" s="187" t="s">
        <v>208</v>
      </c>
      <c r="H5" s="187" t="s">
        <v>213</v>
      </c>
      <c r="I5" s="216" t="s">
        <v>45</v>
      </c>
      <c r="J5" s="216" t="s">
        <v>46</v>
      </c>
      <c r="K5" s="217" t="s">
        <v>200</v>
      </c>
      <c r="L5" s="216" t="s">
        <v>47</v>
      </c>
      <c r="M5" s="216" t="s">
        <v>48</v>
      </c>
      <c r="N5" s="187" t="s">
        <v>19</v>
      </c>
      <c r="O5" s="187" t="s">
        <v>196</v>
      </c>
      <c r="P5" s="187" t="s">
        <v>197</v>
      </c>
      <c r="Q5" s="187" t="s">
        <v>201</v>
      </c>
      <c r="R5" s="187" t="s">
        <v>202</v>
      </c>
      <c r="S5" s="218"/>
      <c r="T5" s="219" t="s">
        <v>211</v>
      </c>
      <c r="U5" s="219" t="s">
        <v>212</v>
      </c>
      <c r="V5" s="219"/>
      <c r="W5" s="219"/>
      <c r="X5" s="219"/>
      <c r="Y5" s="219"/>
      <c r="Z5" s="219"/>
      <c r="AA5" s="219"/>
      <c r="AB5" s="219"/>
      <c r="AC5" s="218" t="s">
        <v>210</v>
      </c>
      <c r="AD5" s="220" t="s">
        <v>199</v>
      </c>
      <c r="AE5" s="176"/>
      <c r="AF5" s="714" t="s">
        <v>207</v>
      </c>
      <c r="AG5" s="715"/>
      <c r="AH5" s="689" t="str">
        <f>B2</f>
        <v>MIAS</v>
      </c>
      <c r="AI5" s="692"/>
      <c r="AJ5" s="692"/>
      <c r="AK5" s="693" t="s">
        <v>168</v>
      </c>
      <c r="AL5" s="693"/>
      <c r="AM5" s="693"/>
      <c r="AN5" s="689" t="str">
        <f>J2</f>
        <v>IMP-MOI-01</v>
      </c>
      <c r="AO5" s="689"/>
      <c r="AP5" s="691"/>
    </row>
    <row r="6" spans="2:42" x14ac:dyDescent="0.3">
      <c r="B6" s="188">
        <v>1</v>
      </c>
      <c r="C6" s="205">
        <v>37212</v>
      </c>
      <c r="D6" s="206"/>
      <c r="E6" s="207">
        <v>2.5</v>
      </c>
      <c r="F6" s="207">
        <v>2.4500000000000002</v>
      </c>
      <c r="G6" s="183">
        <f t="shared" ref="G6:G55" si="0">IF(AND(E6="",F6=""),NA(),AVERAGE(E6:F6))</f>
        <v>2.4750000000000001</v>
      </c>
      <c r="H6" s="183">
        <f>IF(AND(E6="",F6=""),NA(),ABS(E6-F6))</f>
        <v>4.9999999999999822E-2</v>
      </c>
      <c r="I6" s="221">
        <f>'Plot Data'!$E$67</f>
        <v>3.2071499393601659</v>
      </c>
      <c r="J6" s="221">
        <f>'Plot Data'!$E$65</f>
        <v>3.358356369829854</v>
      </c>
      <c r="K6" s="222">
        <f>'Plot Data'!$E$58</f>
        <v>3.6607692307692301</v>
      </c>
      <c r="L6" s="222">
        <f>'Plot Data'!$E$62</f>
        <v>3.9631820917086062</v>
      </c>
      <c r="M6" s="222">
        <f>'Plot Data'!$E$64</f>
        <v>4.1143885221782943</v>
      </c>
      <c r="N6" s="222">
        <f>'Plot Data'!$E$68</f>
        <v>0.1</v>
      </c>
      <c r="O6" s="177" t="str">
        <f t="shared" ref="O6:O55" si="1">IF(G6&gt;M6,"&gt;+3s",IF(G6&lt;I6,"&lt;-3s","Pass"))</f>
        <v>&lt;-3s</v>
      </c>
      <c r="P6" s="191"/>
      <c r="Q6" s="191"/>
      <c r="R6" s="191"/>
      <c r="S6" s="178"/>
      <c r="T6" s="178"/>
      <c r="U6" s="178"/>
      <c r="V6" s="178"/>
      <c r="W6" s="178"/>
      <c r="X6" s="178"/>
      <c r="Y6" s="178"/>
      <c r="Z6" s="178"/>
      <c r="AA6" s="178"/>
      <c r="AB6" s="178"/>
      <c r="AC6" s="178"/>
      <c r="AD6" s="179" t="str">
        <f>IF(H6="","",IF(H6&gt;N6,"No","Yes"))</f>
        <v>Yes</v>
      </c>
      <c r="AF6" s="682" t="s">
        <v>203</v>
      </c>
      <c r="AG6" s="683"/>
      <c r="AH6" s="683" t="str">
        <f>E3</f>
        <v>034</v>
      </c>
      <c r="AI6" s="683"/>
      <c r="AJ6" s="683"/>
      <c r="AK6" s="696" t="s">
        <v>204</v>
      </c>
      <c r="AL6" s="697"/>
      <c r="AM6" s="698"/>
      <c r="AN6" s="686">
        <f>I3</f>
        <v>37212</v>
      </c>
      <c r="AO6" s="683" t="s">
        <v>205</v>
      </c>
      <c r="AP6" s="680">
        <f>K3</f>
        <v>39038</v>
      </c>
    </row>
    <row r="7" spans="2:42" ht="15" customHeight="1" x14ac:dyDescent="0.3">
      <c r="B7" s="188">
        <v>2</v>
      </c>
      <c r="C7" s="205">
        <v>37577</v>
      </c>
      <c r="D7" s="206"/>
      <c r="E7" s="207">
        <v>2.6</v>
      </c>
      <c r="F7" s="207">
        <v>2.5</v>
      </c>
      <c r="G7" s="183">
        <f t="shared" si="0"/>
        <v>2.5499999999999998</v>
      </c>
      <c r="H7" s="183">
        <f t="shared" ref="H7:H55" si="2">IF(AND(E7="",F7=""),NA(),ABS(E7-F7))</f>
        <v>0.10000000000000009</v>
      </c>
      <c r="I7" s="221">
        <f>'Plot Data'!$E$67</f>
        <v>3.2071499393601659</v>
      </c>
      <c r="J7" s="221">
        <f>'Plot Data'!$E$65</f>
        <v>3.358356369829854</v>
      </c>
      <c r="K7" s="222">
        <f>'Plot Data'!$E$58</f>
        <v>3.6607692307692301</v>
      </c>
      <c r="L7" s="222">
        <f>'Plot Data'!$E$62</f>
        <v>3.9631820917086062</v>
      </c>
      <c r="M7" s="222">
        <f>'Plot Data'!$E$64</f>
        <v>4.1143885221782943</v>
      </c>
      <c r="N7" s="222">
        <f>'Plot Data'!$E$68</f>
        <v>0.1</v>
      </c>
      <c r="O7" s="177" t="str">
        <f t="shared" si="1"/>
        <v>&lt;-3s</v>
      </c>
      <c r="P7" s="180" t="str">
        <f>IF(AND(G7&gt;L7,G6&gt;L6),"Fail &gt; +2s",IF(AND(G7&lt;J7,G6&lt;J6),"Fail &lt; -2s","Pass"))</f>
        <v>Fail &lt; -2s</v>
      </c>
      <c r="Q7" s="191"/>
      <c r="R7" s="191"/>
      <c r="S7" s="178" t="str">
        <f>IF(E7="","",IF(G7&gt;G6,"+",IF(G7&lt;G6,"-","")))</f>
        <v>+</v>
      </c>
      <c r="T7" s="178"/>
      <c r="U7" s="178"/>
      <c r="V7" s="178"/>
      <c r="W7" s="178"/>
      <c r="X7" s="178"/>
      <c r="Y7" s="178"/>
      <c r="Z7" s="178"/>
      <c r="AA7" s="178"/>
      <c r="AB7" s="178"/>
      <c r="AC7" s="178"/>
      <c r="AD7" s="179" t="str">
        <f t="shared" ref="AD7:AD55" si="3">IF(H7="","",IF(H7&gt;N7,"No","Yes"))</f>
        <v>Yes</v>
      </c>
      <c r="AF7" s="694"/>
      <c r="AG7" s="695"/>
      <c r="AH7" s="695"/>
      <c r="AI7" s="695"/>
      <c r="AJ7" s="695"/>
      <c r="AK7" s="699"/>
      <c r="AL7" s="700"/>
      <c r="AM7" s="701"/>
      <c r="AN7" s="702"/>
      <c r="AO7" s="695"/>
      <c r="AP7" s="688"/>
    </row>
    <row r="8" spans="2:42" x14ac:dyDescent="0.3">
      <c r="B8" s="188">
        <v>3</v>
      </c>
      <c r="C8" s="205">
        <v>37942</v>
      </c>
      <c r="D8" s="206"/>
      <c r="E8" s="207">
        <v>2.5499999999999998</v>
      </c>
      <c r="F8" s="207">
        <v>2.6</v>
      </c>
      <c r="G8" s="183">
        <f t="shared" si="0"/>
        <v>2.5750000000000002</v>
      </c>
      <c r="H8" s="183">
        <f t="shared" si="2"/>
        <v>5.0000000000000266E-2</v>
      </c>
      <c r="I8" s="221">
        <f>'Plot Data'!$E$67</f>
        <v>3.2071499393601659</v>
      </c>
      <c r="J8" s="221">
        <f>'Plot Data'!$E$65</f>
        <v>3.358356369829854</v>
      </c>
      <c r="K8" s="222">
        <f>'Plot Data'!$E$58</f>
        <v>3.6607692307692301</v>
      </c>
      <c r="L8" s="222">
        <f>'Plot Data'!$E$62</f>
        <v>3.9631820917086062</v>
      </c>
      <c r="M8" s="222">
        <f>'Plot Data'!$E$64</f>
        <v>4.1143885221782943</v>
      </c>
      <c r="N8" s="222">
        <f>'Plot Data'!$E$68</f>
        <v>0.1</v>
      </c>
      <c r="O8" s="177" t="str">
        <f t="shared" si="1"/>
        <v>&lt;-3s</v>
      </c>
      <c r="P8" s="180" t="str">
        <f t="shared" ref="P8:P55" si="4">IF(AND(G8&gt;L8,G7&gt;L7),"Fail &gt; +2s",IF(AND(G8&gt;L8,G6&gt;L6),"Fail &gt; +2s",IF(AND(G8&lt;J8,G7&lt;J7),"Fail &lt; -2s",IF(AND(G8&lt;J8,G6&lt;J6),"Fail &lt; -2s","Pass"))))</f>
        <v>Fail &lt; -2s</v>
      </c>
      <c r="Q8" s="191"/>
      <c r="R8" s="191"/>
      <c r="S8" s="178" t="str">
        <f t="shared" ref="S8:S55" si="5">IF(E8="","",IF(G8&gt;G7,"+",IF(G8&lt;G7,"-","")))</f>
        <v>+</v>
      </c>
      <c r="T8" s="178"/>
      <c r="U8" s="178"/>
      <c r="V8" s="178"/>
      <c r="W8" s="178"/>
      <c r="X8" s="181">
        <f>AVERAGE(G6:G8)</f>
        <v>2.5333333333333337</v>
      </c>
      <c r="Y8" s="181"/>
      <c r="Z8" s="181"/>
      <c r="AA8" s="181"/>
      <c r="AB8" s="181"/>
      <c r="AC8" s="178"/>
      <c r="AD8" s="179" t="str">
        <f t="shared" si="3"/>
        <v>Yes</v>
      </c>
    </row>
    <row r="9" spans="2:42" x14ac:dyDescent="0.3">
      <c r="B9" s="188">
        <v>4</v>
      </c>
      <c r="C9" s="205">
        <v>38308</v>
      </c>
      <c r="D9" s="206"/>
      <c r="E9" s="207">
        <v>2.5</v>
      </c>
      <c r="F9" s="207">
        <v>2.4500000000000002</v>
      </c>
      <c r="G9" s="183">
        <f t="shared" si="0"/>
        <v>2.4750000000000001</v>
      </c>
      <c r="H9" s="183">
        <f t="shared" si="2"/>
        <v>4.9999999999999822E-2</v>
      </c>
      <c r="I9" s="221">
        <f>'Plot Data'!$E$67</f>
        <v>3.2071499393601659</v>
      </c>
      <c r="J9" s="221">
        <f>'Plot Data'!$E$65</f>
        <v>3.358356369829854</v>
      </c>
      <c r="K9" s="222">
        <f>'Plot Data'!$E$58</f>
        <v>3.6607692307692301</v>
      </c>
      <c r="L9" s="222">
        <f>'Plot Data'!$E$62</f>
        <v>3.9631820917086062</v>
      </c>
      <c r="M9" s="222">
        <f>'Plot Data'!$E$64</f>
        <v>4.1143885221782943</v>
      </c>
      <c r="N9" s="222">
        <f>'Plot Data'!$E$68</f>
        <v>0.1</v>
      </c>
      <c r="O9" s="177" t="str">
        <f t="shared" si="1"/>
        <v>&lt;-3s</v>
      </c>
      <c r="P9" s="180" t="str">
        <f t="shared" si="4"/>
        <v>Fail &lt; -2s</v>
      </c>
      <c r="Q9" s="191"/>
      <c r="R9" s="191"/>
      <c r="S9" s="178" t="str">
        <f t="shared" si="5"/>
        <v>-</v>
      </c>
      <c r="T9" s="178"/>
      <c r="U9" s="178"/>
      <c r="V9" s="178"/>
      <c r="W9" s="178"/>
      <c r="X9" s="181">
        <f t="shared" ref="X9:X17" si="6">AVERAGE(G7:G9)</f>
        <v>2.5333333333333332</v>
      </c>
      <c r="Y9" s="181">
        <f>AVERAGE(G6:G9)</f>
        <v>2.5187500000000003</v>
      </c>
      <c r="Z9" s="181"/>
      <c r="AA9" s="181"/>
      <c r="AB9" s="181"/>
      <c r="AC9" s="178"/>
      <c r="AD9" s="179" t="str">
        <f t="shared" si="3"/>
        <v>Yes</v>
      </c>
    </row>
    <row r="10" spans="2:42" x14ac:dyDescent="0.3">
      <c r="B10" s="188">
        <v>5</v>
      </c>
      <c r="C10" s="205">
        <v>38673</v>
      </c>
      <c r="D10" s="206"/>
      <c r="E10" s="207">
        <v>2.46</v>
      </c>
      <c r="F10" s="207">
        <v>2.5499999999999998</v>
      </c>
      <c r="G10" s="183">
        <f t="shared" si="0"/>
        <v>2.5049999999999999</v>
      </c>
      <c r="H10" s="183">
        <f t="shared" si="2"/>
        <v>8.9999999999999858E-2</v>
      </c>
      <c r="I10" s="221">
        <f>'Plot Data'!$E$67</f>
        <v>3.2071499393601659</v>
      </c>
      <c r="J10" s="221">
        <f>'Plot Data'!$E$65</f>
        <v>3.358356369829854</v>
      </c>
      <c r="K10" s="222">
        <f>'Plot Data'!$E$58</f>
        <v>3.6607692307692301</v>
      </c>
      <c r="L10" s="222">
        <f>'Plot Data'!$E$62</f>
        <v>3.9631820917086062</v>
      </c>
      <c r="M10" s="222">
        <f>'Plot Data'!$E$64</f>
        <v>4.1143885221782943</v>
      </c>
      <c r="N10" s="222">
        <f>'Plot Data'!$E$68</f>
        <v>0.1</v>
      </c>
      <c r="O10" s="177" t="str">
        <f t="shared" si="1"/>
        <v>&lt;-3s</v>
      </c>
      <c r="P10" s="180" t="str">
        <f t="shared" si="4"/>
        <v>Fail &lt; -2s</v>
      </c>
      <c r="Q10" s="191"/>
      <c r="R10" s="191"/>
      <c r="S10" s="178" t="str">
        <f t="shared" si="5"/>
        <v>+</v>
      </c>
      <c r="T10" s="178"/>
      <c r="U10" s="178"/>
      <c r="V10" s="178"/>
      <c r="W10" s="178"/>
      <c r="X10" s="181">
        <f t="shared" si="6"/>
        <v>2.5183333333333335</v>
      </c>
      <c r="Y10" s="181">
        <f t="shared" ref="Y10:Y16" si="7">AVERAGE(G7:G10)</f>
        <v>2.5262500000000001</v>
      </c>
      <c r="Z10" s="181">
        <f>AVERAGE(G6:G10)</f>
        <v>2.5160000000000005</v>
      </c>
      <c r="AA10" s="181"/>
      <c r="AB10" s="181"/>
      <c r="AC10" s="178"/>
      <c r="AD10" s="179" t="str">
        <f t="shared" si="3"/>
        <v>Yes</v>
      </c>
    </row>
    <row r="11" spans="2:42" x14ac:dyDescent="0.3">
      <c r="B11" s="188">
        <v>6</v>
      </c>
      <c r="C11" s="205">
        <v>39038</v>
      </c>
      <c r="D11" s="206"/>
      <c r="E11" s="207">
        <v>2.4</v>
      </c>
      <c r="F11" s="207">
        <v>2.36</v>
      </c>
      <c r="G11" s="183">
        <f t="shared" si="0"/>
        <v>2.38</v>
      </c>
      <c r="H11" s="183">
        <f t="shared" si="2"/>
        <v>4.0000000000000036E-2</v>
      </c>
      <c r="I11" s="221">
        <f>'Plot Data'!$E$67</f>
        <v>3.2071499393601659</v>
      </c>
      <c r="J11" s="221">
        <f>'Plot Data'!$E$65</f>
        <v>3.358356369829854</v>
      </c>
      <c r="K11" s="222">
        <f>'Plot Data'!$E$58</f>
        <v>3.6607692307692301</v>
      </c>
      <c r="L11" s="222">
        <f>'Plot Data'!$E$62</f>
        <v>3.9631820917086062</v>
      </c>
      <c r="M11" s="222">
        <f>'Plot Data'!$E$64</f>
        <v>4.1143885221782943</v>
      </c>
      <c r="N11" s="222">
        <f>'Plot Data'!$E$68</f>
        <v>0.1</v>
      </c>
      <c r="O11" s="177" t="str">
        <f t="shared" si="1"/>
        <v>&lt;-3s</v>
      </c>
      <c r="P11" s="180" t="str">
        <f t="shared" si="4"/>
        <v>Fail &lt; -2s</v>
      </c>
      <c r="Q11" s="191"/>
      <c r="R11" s="191"/>
      <c r="S11" s="178" t="str">
        <f t="shared" si="5"/>
        <v>-</v>
      </c>
      <c r="T11" s="178"/>
      <c r="U11" s="178"/>
      <c r="V11" s="178"/>
      <c r="W11" s="178"/>
      <c r="X11" s="181">
        <f t="shared" si="6"/>
        <v>2.4533333333333336</v>
      </c>
      <c r="Y11" s="181">
        <f t="shared" si="7"/>
        <v>2.4837500000000001</v>
      </c>
      <c r="Z11" s="181">
        <f t="shared" ref="Z11:Z16" si="8">AVERAGE(G7:G11)</f>
        <v>2.4969999999999999</v>
      </c>
      <c r="AA11" s="181">
        <f>AVERAGE(G6:G11)</f>
        <v>2.4933333333333336</v>
      </c>
      <c r="AB11" s="182"/>
      <c r="AC11" s="178"/>
      <c r="AD11" s="179" t="str">
        <f t="shared" si="3"/>
        <v>Yes</v>
      </c>
    </row>
    <row r="12" spans="2:42" x14ac:dyDescent="0.3">
      <c r="B12" s="188">
        <v>7</v>
      </c>
      <c r="C12" s="205"/>
      <c r="D12" s="206"/>
      <c r="E12" s="207">
        <v>2.4</v>
      </c>
      <c r="F12" s="207">
        <v>2.42</v>
      </c>
      <c r="G12" s="183">
        <f t="shared" si="0"/>
        <v>2.41</v>
      </c>
      <c r="H12" s="183">
        <f t="shared" si="2"/>
        <v>2.0000000000000018E-2</v>
      </c>
      <c r="I12" s="221">
        <f>'Plot Data'!$E$67</f>
        <v>3.2071499393601659</v>
      </c>
      <c r="J12" s="221">
        <f>'Plot Data'!$E$65</f>
        <v>3.358356369829854</v>
      </c>
      <c r="K12" s="222">
        <f>'Plot Data'!$E$58</f>
        <v>3.6607692307692301</v>
      </c>
      <c r="L12" s="222">
        <f>'Plot Data'!$E$62</f>
        <v>3.9631820917086062</v>
      </c>
      <c r="M12" s="222">
        <f>'Plot Data'!$E$64</f>
        <v>4.1143885221782943</v>
      </c>
      <c r="N12" s="222">
        <f>'Plot Data'!$E$68</f>
        <v>0.1</v>
      </c>
      <c r="O12" s="177" t="str">
        <f t="shared" si="1"/>
        <v>&lt;-3s</v>
      </c>
      <c r="P12" s="180" t="str">
        <f t="shared" si="4"/>
        <v>Fail &lt; -2s</v>
      </c>
      <c r="Q12" s="191"/>
      <c r="R12" s="180" t="str">
        <f>IF(AND(G12&gt;G11,G11&gt;G10,G10&gt;G9,G9&gt;G8,G8&gt;G7,G7&gt;G6),"Fail +ve trend",IF(AND(G12&lt;G11,G11&lt;G10,G10&lt;G9,G9&lt;G8,G8&lt;G7,G7&lt;G6),"Fail -ve trend","Pass"))</f>
        <v>Pass</v>
      </c>
      <c r="S12" s="178" t="str">
        <f t="shared" si="5"/>
        <v>+</v>
      </c>
      <c r="T12" s="178"/>
      <c r="U12" s="178"/>
      <c r="V12" s="178"/>
      <c r="W12" s="178"/>
      <c r="X12" s="181">
        <f t="shared" si="6"/>
        <v>2.4316666666666666</v>
      </c>
      <c r="Y12" s="181">
        <f t="shared" si="7"/>
        <v>2.4424999999999999</v>
      </c>
      <c r="Z12" s="181">
        <f t="shared" si="8"/>
        <v>2.4690000000000003</v>
      </c>
      <c r="AA12" s="181">
        <f t="shared" ref="AA12:AA55" si="9">AVERAGE(G7:G12)</f>
        <v>2.4824999999999999</v>
      </c>
      <c r="AB12" s="181"/>
      <c r="AC12" s="178"/>
      <c r="AD12" s="179" t="str">
        <f t="shared" si="3"/>
        <v>Yes</v>
      </c>
    </row>
    <row r="13" spans="2:42" x14ac:dyDescent="0.3">
      <c r="B13" s="188">
        <v>8</v>
      </c>
      <c r="C13" s="205"/>
      <c r="D13" s="206"/>
      <c r="E13" s="207">
        <v>2.36</v>
      </c>
      <c r="F13" s="207">
        <v>2.38</v>
      </c>
      <c r="G13" s="183">
        <f t="shared" si="0"/>
        <v>2.37</v>
      </c>
      <c r="H13" s="183">
        <f t="shared" si="2"/>
        <v>2.0000000000000018E-2</v>
      </c>
      <c r="I13" s="221">
        <f>'Plot Data'!$E$67</f>
        <v>3.2071499393601659</v>
      </c>
      <c r="J13" s="221">
        <f>'Plot Data'!$E$65</f>
        <v>3.358356369829854</v>
      </c>
      <c r="K13" s="222">
        <f>'Plot Data'!$E$58</f>
        <v>3.6607692307692301</v>
      </c>
      <c r="L13" s="222">
        <f>'Plot Data'!$E$62</f>
        <v>3.9631820917086062</v>
      </c>
      <c r="M13" s="222">
        <f>'Plot Data'!$E$64</f>
        <v>4.1143885221782943</v>
      </c>
      <c r="N13" s="222">
        <f>'Plot Data'!$E$68</f>
        <v>0.1</v>
      </c>
      <c r="O13" s="177" t="str">
        <f t="shared" si="1"/>
        <v>&lt;-3s</v>
      </c>
      <c r="P13" s="180" t="str">
        <f t="shared" si="4"/>
        <v>Fail &lt; -2s</v>
      </c>
      <c r="Q13" s="180" t="str">
        <f t="shared" ref="Q13:Q55" si="10">IF(AND(G13&gt;K13,G12&gt;K13,G11&gt;K13,G10&gt;K13,G9&gt;K13,G8&gt;K13,G7&gt;K13,G6&gt;K13),"Fail +ve bias",IF(AND(G13&lt;K13,G12&lt;K13,G11&lt;K13,G10&lt;K13,G9&lt;K13,G8&lt;K13,G7&lt;K13,G6&lt;K13),"Fail -ve bias","Pass"))</f>
        <v>Fail -ve bias</v>
      </c>
      <c r="R13" s="180" t="str">
        <f t="shared" ref="R13:R55" si="11">IF(AND(G13&gt;G12,G12&gt;G11,G11&gt;G10,G10&gt;G9,G9&gt;G8,G8&gt;G7),"Fail +ve trend",IF(AND(G13&lt;G12,G12&lt;G11,G11&lt;G10,G10&lt;G9,G9&lt;G8,G8&lt;G7),"Fail -ve trend","Pass"))</f>
        <v>Pass</v>
      </c>
      <c r="S13" s="178" t="str">
        <f t="shared" si="5"/>
        <v>-</v>
      </c>
      <c r="T13" s="178"/>
      <c r="U13" s="178"/>
      <c r="V13" s="178"/>
      <c r="W13" s="178"/>
      <c r="X13" s="181">
        <f t="shared" si="6"/>
        <v>2.3866666666666667</v>
      </c>
      <c r="Y13" s="181">
        <f t="shared" si="7"/>
        <v>2.4162499999999998</v>
      </c>
      <c r="Z13" s="181">
        <f t="shared" si="8"/>
        <v>2.4279999999999999</v>
      </c>
      <c r="AA13" s="181">
        <f t="shared" si="9"/>
        <v>2.4525000000000001</v>
      </c>
      <c r="AB13" s="181"/>
      <c r="AC13" s="178"/>
      <c r="AD13" s="179" t="str">
        <f t="shared" si="3"/>
        <v>Yes</v>
      </c>
    </row>
    <row r="14" spans="2:42" x14ac:dyDescent="0.3">
      <c r="B14" s="188">
        <v>9</v>
      </c>
      <c r="C14" s="205"/>
      <c r="D14" s="206"/>
      <c r="E14" s="207">
        <v>2.4500000000000002</v>
      </c>
      <c r="F14" s="207">
        <v>2.56</v>
      </c>
      <c r="G14" s="183">
        <f t="shared" si="0"/>
        <v>2.5049999999999999</v>
      </c>
      <c r="H14" s="183">
        <f t="shared" si="2"/>
        <v>0.10999999999999988</v>
      </c>
      <c r="I14" s="221">
        <f>'Plot Data'!$E$67</f>
        <v>3.2071499393601659</v>
      </c>
      <c r="J14" s="221">
        <f>'Plot Data'!$E$65</f>
        <v>3.358356369829854</v>
      </c>
      <c r="K14" s="222">
        <f>'Plot Data'!$E$58</f>
        <v>3.6607692307692301</v>
      </c>
      <c r="L14" s="222">
        <f>'Plot Data'!$E$62</f>
        <v>3.9631820917086062</v>
      </c>
      <c r="M14" s="222">
        <f>'Plot Data'!$E$64</f>
        <v>4.1143885221782943</v>
      </c>
      <c r="N14" s="222">
        <f>'Plot Data'!$E$68</f>
        <v>0.1</v>
      </c>
      <c r="O14" s="177" t="str">
        <f t="shared" si="1"/>
        <v>&lt;-3s</v>
      </c>
      <c r="P14" s="180" t="str">
        <f t="shared" si="4"/>
        <v>Fail &lt; -2s</v>
      </c>
      <c r="Q14" s="180" t="str">
        <f t="shared" si="10"/>
        <v>Fail -ve bias</v>
      </c>
      <c r="R14" s="180" t="str">
        <f t="shared" si="11"/>
        <v>Pass</v>
      </c>
      <c r="S14" s="178" t="str">
        <f t="shared" si="5"/>
        <v>+</v>
      </c>
      <c r="T14" s="178"/>
      <c r="U14" s="178"/>
      <c r="V14" s="178"/>
      <c r="W14" s="178"/>
      <c r="X14" s="181">
        <f t="shared" si="6"/>
        <v>2.4283333333333332</v>
      </c>
      <c r="Y14" s="181">
        <f t="shared" si="7"/>
        <v>2.4162499999999998</v>
      </c>
      <c r="Z14" s="181">
        <f t="shared" si="8"/>
        <v>2.4339999999999997</v>
      </c>
      <c r="AA14" s="181">
        <f t="shared" si="9"/>
        <v>2.4408333333333334</v>
      </c>
      <c r="AB14" s="181"/>
      <c r="AC14" s="178"/>
      <c r="AD14" s="179" t="str">
        <f t="shared" si="3"/>
        <v>No</v>
      </c>
    </row>
    <row r="15" spans="2:42" x14ac:dyDescent="0.3">
      <c r="B15" s="188">
        <v>10</v>
      </c>
      <c r="C15" s="205"/>
      <c r="D15" s="206"/>
      <c r="E15" s="207"/>
      <c r="F15" s="207"/>
      <c r="G15" s="183" t="e">
        <f t="shared" si="0"/>
        <v>#N/A</v>
      </c>
      <c r="H15" s="183" t="e">
        <f t="shared" si="2"/>
        <v>#N/A</v>
      </c>
      <c r="I15" s="221">
        <f>'Plot Data'!$E$67</f>
        <v>3.2071499393601659</v>
      </c>
      <c r="J15" s="221">
        <f>'Plot Data'!$E$65</f>
        <v>3.358356369829854</v>
      </c>
      <c r="K15" s="222">
        <f>'Plot Data'!$E$58</f>
        <v>3.6607692307692301</v>
      </c>
      <c r="L15" s="222">
        <f>'Plot Data'!$E$62</f>
        <v>3.9631820917086062</v>
      </c>
      <c r="M15" s="222">
        <f>'Plot Data'!$E$64</f>
        <v>4.1143885221782943</v>
      </c>
      <c r="N15" s="222">
        <f>'Plot Data'!$E$68</f>
        <v>0.1</v>
      </c>
      <c r="O15" s="177" t="e">
        <f t="shared" si="1"/>
        <v>#N/A</v>
      </c>
      <c r="P15" s="180" t="e">
        <f t="shared" si="4"/>
        <v>#N/A</v>
      </c>
      <c r="Q15" s="180" t="e">
        <f t="shared" si="10"/>
        <v>#N/A</v>
      </c>
      <c r="R15" s="180" t="e">
        <f t="shared" si="11"/>
        <v>#N/A</v>
      </c>
      <c r="S15" s="178" t="str">
        <f t="shared" si="5"/>
        <v/>
      </c>
      <c r="T15" s="178" t="e">
        <f>IF(OR(R6="Fail -ve trend",R7="Fail -ve trend",R8="Fail -ve trend",R9="Fail -ve trend",R10="Fail -ve trend",R11="Fail -ve trend",R12="Fail -ve trend",R13="Fail -ve trend",R14="Fail -ve trend",R15="Fail -ve trend",R6="Fail +ve trend",R7="Fail +ve trend",R8="Fail +ve trend",R9="Fail +ve trend",R10="Fail +ve trend",R11="Fail +ve trend",R12="Fail +ve trend",R13="Fail +ve trend",R14="Fail +ve trend",R15="Fail +ve trend"),"",COUNTIF(S6:S15,"+"))</f>
        <v>#N/A</v>
      </c>
      <c r="U15" s="178" t="e">
        <f>IF(OR(R6="Fail -ve trend",R7="Fail -ve trend",R8="Fail -ve trend",R9="Fail -ve trend",R10="Fail -ve trend",R11="Fail -ve trend",R12="Fail -ve trend",R13="Fail -ve trend",R14="Fail -ve trend",R15="Fail -ve trend",R6="Fail +ve trend",R7="Fail +ve trend",R8="Fail +ve trend",R9="Fail +ve trend",R10="Fail +ve trend",R11="Fail +ve trend",R12="Fail +ve trend",R13="Fail +ve trend",R14="Fail +ve trend",R15="Fail +ve trend"),"",COUNTIF(T6:T15,"+"))</f>
        <v>#N/A</v>
      </c>
      <c r="V15" s="178" t="str">
        <f>IF(AND(G10&gt;G7,G7&gt;G4,G4&gt;G1,G9&gt;G5,G5&gt;G1),"Fail +ve",IF(AND(G10&lt;G7,G7&lt;G4,G4&lt;G1,G9&lt;G5,G5&lt;G1),"Fail -ve","Pass"))</f>
        <v>Pass</v>
      </c>
      <c r="W15" s="178"/>
      <c r="X15" s="181" t="e">
        <f t="shared" si="6"/>
        <v>#N/A</v>
      </c>
      <c r="Y15" s="181" t="e">
        <f t="shared" si="7"/>
        <v>#N/A</v>
      </c>
      <c r="Z15" s="181" t="e">
        <f t="shared" si="8"/>
        <v>#N/A</v>
      </c>
      <c r="AA15" s="181" t="e">
        <f t="shared" si="9"/>
        <v>#N/A</v>
      </c>
      <c r="AB15" s="181" t="e">
        <f>IF(AND(AA15&gt;AA14,AA14&gt;AA13,AA13&gt;AA12,AA12&gt;AA11),"Fail +ve",IF(AND(AA15&lt;AA14,AA14&lt;AA13,AA13&lt;AA12,AA12&lt;AA11),"Fail -ve","Pass"))</f>
        <v>#N/A</v>
      </c>
      <c r="AC15" s="178" t="e">
        <f>IF(T15="","Pass",IF(T15&gt;=7,"Fail +ve",IF(U15&gt;=7,"Fail -ve","Pass")))</f>
        <v>#N/A</v>
      </c>
      <c r="AD15" s="179" t="e">
        <f t="shared" si="3"/>
        <v>#N/A</v>
      </c>
    </row>
    <row r="16" spans="2:42" x14ac:dyDescent="0.3">
      <c r="B16" s="188">
        <v>11</v>
      </c>
      <c r="C16" s="205"/>
      <c r="D16" s="206"/>
      <c r="E16" s="207"/>
      <c r="F16" s="207"/>
      <c r="G16" s="183" t="e">
        <f t="shared" si="0"/>
        <v>#N/A</v>
      </c>
      <c r="H16" s="183" t="e">
        <f t="shared" si="2"/>
        <v>#N/A</v>
      </c>
      <c r="I16" s="221">
        <f>'Plot Data'!$E$67</f>
        <v>3.2071499393601659</v>
      </c>
      <c r="J16" s="221">
        <f>'Plot Data'!$E$65</f>
        <v>3.358356369829854</v>
      </c>
      <c r="K16" s="222">
        <f>'Plot Data'!$E$58</f>
        <v>3.6607692307692301</v>
      </c>
      <c r="L16" s="222">
        <f>'Plot Data'!$E$62</f>
        <v>3.9631820917086062</v>
      </c>
      <c r="M16" s="222">
        <f>'Plot Data'!$E$64</f>
        <v>4.1143885221782943</v>
      </c>
      <c r="N16" s="222">
        <f>'Plot Data'!$E$68</f>
        <v>0.1</v>
      </c>
      <c r="O16" s="177" t="e">
        <f t="shared" si="1"/>
        <v>#N/A</v>
      </c>
      <c r="P16" s="180" t="e">
        <f t="shared" si="4"/>
        <v>#N/A</v>
      </c>
      <c r="Q16" s="180" t="e">
        <f t="shared" si="10"/>
        <v>#N/A</v>
      </c>
      <c r="R16" s="180" t="e">
        <f t="shared" si="11"/>
        <v>#N/A</v>
      </c>
      <c r="S16" s="178" t="str">
        <f t="shared" si="5"/>
        <v/>
      </c>
      <c r="T16" s="178" t="e">
        <f t="shared" ref="T16:T55" si="12">IF(OR(R7="Fail -ve trend",R8="Fail -ve trend",R9="Fail -ve trend",R10="Fail -ve trend",R11="Fail -ve trend",R12="Fail -ve trend",R13="Fail -ve trend",R14="Fail -ve trend",R15="Fail -ve trend",R16="Fail -ve trend",R7="Fail +ve trend",R8="Fail +ve trend",R9="Fail +ve trend",R10="Fail +ve trend",R11="Fail +ve trend",R12="Fail +ve trend",R13="Fail +ve trend",R14="Fail +ve trend",R15="Fail +ve trend",R16="Fail +ve trend"),"",COUNTIF(S7:S16,"+"))</f>
        <v>#N/A</v>
      </c>
      <c r="U16" s="178" t="e">
        <f t="shared" ref="U16:U55" si="13">IF(OR(R7="Fail -ve trend",R8="Fail -ve trend",R9="Fail -ve trend",R10="Fail -ve trend",R11="Fail -ve trend",R12="Fail -ve trend",R13="Fail -ve trend",R14="Fail -ve trend",R15="Fail -ve trend",R16="Fail -ve trend",R7="Fail +ve trend",R8="Fail +ve trend",R9="Fail +ve trend",R10="Fail +ve trend",R11="Fail +ve trend",R12="Fail +ve trend",R13="Fail +ve trend",R14="Fail +ve trend",R15="Fail +ve trend",R16="Fail +ve trend"),"",COUNTIF(T7:T16,"+"))</f>
        <v>#N/A</v>
      </c>
      <c r="V16" s="178"/>
      <c r="W16" s="178"/>
      <c r="X16" s="181" t="e">
        <f t="shared" si="6"/>
        <v>#N/A</v>
      </c>
      <c r="Y16" s="181" t="e">
        <f t="shared" si="7"/>
        <v>#N/A</v>
      </c>
      <c r="Z16" s="181" t="e">
        <f t="shared" si="8"/>
        <v>#N/A</v>
      </c>
      <c r="AA16" s="181" t="e">
        <f t="shared" si="9"/>
        <v>#N/A</v>
      </c>
      <c r="AB16" s="181" t="e">
        <f t="shared" ref="AB16:AB55" si="14">IF(AND(AA16&gt;AA15,AA15&gt;AA14,AA14&gt;AA13,AA13&gt;AA12),"Fail +ve",IF(AND(AA16&lt;AA15,AA15&lt;AA14,AA14&lt;AA13,AA13&lt;AA12),"Fail -ve","Pass"))</f>
        <v>#N/A</v>
      </c>
      <c r="AC16" s="178" t="e">
        <f t="shared" ref="AC16:AC55" si="15">IF(T16="","Pass",IF(T16&gt;=7,"Fail +ve",IF(U16&gt;=7,"Fail -ve","Pass")))</f>
        <v>#N/A</v>
      </c>
      <c r="AD16" s="179" t="e">
        <f t="shared" si="3"/>
        <v>#N/A</v>
      </c>
    </row>
    <row r="17" spans="2:42" x14ac:dyDescent="0.3">
      <c r="B17" s="188">
        <v>12</v>
      </c>
      <c r="C17" s="205"/>
      <c r="D17" s="206"/>
      <c r="E17" s="207"/>
      <c r="F17" s="207"/>
      <c r="G17" s="183" t="e">
        <f t="shared" si="0"/>
        <v>#N/A</v>
      </c>
      <c r="H17" s="183" t="e">
        <f t="shared" si="2"/>
        <v>#N/A</v>
      </c>
      <c r="I17" s="221">
        <f>'Plot Data'!$E$67</f>
        <v>3.2071499393601659</v>
      </c>
      <c r="J17" s="221">
        <f>'Plot Data'!$E$65</f>
        <v>3.358356369829854</v>
      </c>
      <c r="K17" s="222">
        <f>'Plot Data'!$E$58</f>
        <v>3.6607692307692301</v>
      </c>
      <c r="L17" s="222">
        <f>'Plot Data'!$E$62</f>
        <v>3.9631820917086062</v>
      </c>
      <c r="M17" s="222">
        <f>'Plot Data'!$E$64</f>
        <v>4.1143885221782943</v>
      </c>
      <c r="N17" s="222">
        <f>'Plot Data'!$E$68</f>
        <v>0.1</v>
      </c>
      <c r="O17" s="177" t="e">
        <f t="shared" si="1"/>
        <v>#N/A</v>
      </c>
      <c r="P17" s="180" t="e">
        <f t="shared" si="4"/>
        <v>#N/A</v>
      </c>
      <c r="Q17" s="180" t="e">
        <f t="shared" si="10"/>
        <v>#N/A</v>
      </c>
      <c r="R17" s="180" t="e">
        <f t="shared" si="11"/>
        <v>#N/A</v>
      </c>
      <c r="S17" s="178" t="str">
        <f t="shared" si="5"/>
        <v/>
      </c>
      <c r="T17" s="178" t="e">
        <f t="shared" si="12"/>
        <v>#N/A</v>
      </c>
      <c r="U17" s="178" t="e">
        <f t="shared" si="13"/>
        <v>#N/A</v>
      </c>
      <c r="V17" s="178"/>
      <c r="W17" s="178"/>
      <c r="X17" s="181" t="e">
        <f t="shared" si="6"/>
        <v>#N/A</v>
      </c>
      <c r="Y17" s="181"/>
      <c r="Z17" s="181"/>
      <c r="AA17" s="181" t="e">
        <f t="shared" si="9"/>
        <v>#N/A</v>
      </c>
      <c r="AB17" s="181" t="e">
        <f t="shared" si="14"/>
        <v>#N/A</v>
      </c>
      <c r="AC17" s="178" t="e">
        <f t="shared" si="15"/>
        <v>#N/A</v>
      </c>
      <c r="AD17" s="179" t="e">
        <f t="shared" si="3"/>
        <v>#N/A</v>
      </c>
    </row>
    <row r="18" spans="2:42" x14ac:dyDescent="0.3">
      <c r="B18" s="188">
        <v>13</v>
      </c>
      <c r="C18" s="205"/>
      <c r="D18" s="206"/>
      <c r="E18" s="207"/>
      <c r="F18" s="207"/>
      <c r="G18" s="183" t="e">
        <f t="shared" si="0"/>
        <v>#N/A</v>
      </c>
      <c r="H18" s="183" t="e">
        <f t="shared" si="2"/>
        <v>#N/A</v>
      </c>
      <c r="I18" s="221">
        <f>'Plot Data'!$E$67</f>
        <v>3.2071499393601659</v>
      </c>
      <c r="J18" s="221">
        <f>'Plot Data'!$E$65</f>
        <v>3.358356369829854</v>
      </c>
      <c r="K18" s="222">
        <f>'Plot Data'!$E$58</f>
        <v>3.6607692307692301</v>
      </c>
      <c r="L18" s="222">
        <f>'Plot Data'!$E$62</f>
        <v>3.9631820917086062</v>
      </c>
      <c r="M18" s="222">
        <f>'Plot Data'!$E$64</f>
        <v>4.1143885221782943</v>
      </c>
      <c r="N18" s="222">
        <f>'Plot Data'!$E$68</f>
        <v>0.1</v>
      </c>
      <c r="O18" s="177" t="e">
        <f t="shared" si="1"/>
        <v>#N/A</v>
      </c>
      <c r="P18" s="180" t="e">
        <f t="shared" si="4"/>
        <v>#N/A</v>
      </c>
      <c r="Q18" s="180" t="e">
        <f t="shared" si="10"/>
        <v>#N/A</v>
      </c>
      <c r="R18" s="180" t="e">
        <f t="shared" si="11"/>
        <v>#N/A</v>
      </c>
      <c r="S18" s="178" t="str">
        <f t="shared" si="5"/>
        <v/>
      </c>
      <c r="T18" s="178" t="e">
        <f t="shared" si="12"/>
        <v>#N/A</v>
      </c>
      <c r="U18" s="178" t="e">
        <f t="shared" si="13"/>
        <v>#N/A</v>
      </c>
      <c r="V18" s="178"/>
      <c r="W18" s="178"/>
      <c r="X18" s="178"/>
      <c r="Y18" s="178"/>
      <c r="Z18" s="178"/>
      <c r="AA18" s="181" t="e">
        <f t="shared" si="9"/>
        <v>#N/A</v>
      </c>
      <c r="AB18" s="178" t="e">
        <f t="shared" si="14"/>
        <v>#N/A</v>
      </c>
      <c r="AC18" s="178" t="e">
        <f t="shared" si="15"/>
        <v>#N/A</v>
      </c>
      <c r="AD18" s="179" t="e">
        <f t="shared" si="3"/>
        <v>#N/A</v>
      </c>
    </row>
    <row r="19" spans="2:42" x14ac:dyDescent="0.3">
      <c r="B19" s="188">
        <v>14</v>
      </c>
      <c r="C19" s="205"/>
      <c r="D19" s="206"/>
      <c r="E19" s="207"/>
      <c r="F19" s="207"/>
      <c r="G19" s="183" t="e">
        <f t="shared" si="0"/>
        <v>#N/A</v>
      </c>
      <c r="H19" s="183" t="e">
        <f t="shared" si="2"/>
        <v>#N/A</v>
      </c>
      <c r="I19" s="221">
        <f>'Plot Data'!$E$67</f>
        <v>3.2071499393601659</v>
      </c>
      <c r="J19" s="221">
        <f>'Plot Data'!$E$65</f>
        <v>3.358356369829854</v>
      </c>
      <c r="K19" s="222">
        <f>'Plot Data'!$E$58</f>
        <v>3.6607692307692301</v>
      </c>
      <c r="L19" s="222">
        <f>'Plot Data'!$E$62</f>
        <v>3.9631820917086062</v>
      </c>
      <c r="M19" s="222">
        <f>'Plot Data'!$E$64</f>
        <v>4.1143885221782943</v>
      </c>
      <c r="N19" s="222">
        <f>'Plot Data'!$E$68</f>
        <v>0.1</v>
      </c>
      <c r="O19" s="177" t="e">
        <f t="shared" si="1"/>
        <v>#N/A</v>
      </c>
      <c r="P19" s="180" t="e">
        <f t="shared" si="4"/>
        <v>#N/A</v>
      </c>
      <c r="Q19" s="180" t="e">
        <f t="shared" si="10"/>
        <v>#N/A</v>
      </c>
      <c r="R19" s="180" t="e">
        <f t="shared" si="11"/>
        <v>#N/A</v>
      </c>
      <c r="S19" s="178" t="str">
        <f t="shared" si="5"/>
        <v/>
      </c>
      <c r="T19" s="178" t="e">
        <f t="shared" si="12"/>
        <v>#N/A</v>
      </c>
      <c r="U19" s="178" t="e">
        <f t="shared" si="13"/>
        <v>#N/A</v>
      </c>
      <c r="V19" s="178"/>
      <c r="W19" s="178"/>
      <c r="X19" s="178"/>
      <c r="Y19" s="178"/>
      <c r="Z19" s="178"/>
      <c r="AA19" s="181" t="e">
        <f t="shared" si="9"/>
        <v>#N/A</v>
      </c>
      <c r="AB19" s="178" t="e">
        <f t="shared" si="14"/>
        <v>#N/A</v>
      </c>
      <c r="AC19" s="178" t="e">
        <f t="shared" si="15"/>
        <v>#N/A</v>
      </c>
      <c r="AD19" s="179" t="e">
        <f t="shared" si="3"/>
        <v>#N/A</v>
      </c>
    </row>
    <row r="20" spans="2:42" x14ac:dyDescent="0.3">
      <c r="B20" s="188">
        <v>15</v>
      </c>
      <c r="C20" s="205"/>
      <c r="D20" s="206"/>
      <c r="E20" s="207"/>
      <c r="F20" s="207"/>
      <c r="G20" s="183" t="e">
        <f t="shared" si="0"/>
        <v>#N/A</v>
      </c>
      <c r="H20" s="183" t="e">
        <f t="shared" si="2"/>
        <v>#N/A</v>
      </c>
      <c r="I20" s="221">
        <f>'Plot Data'!$E$67</f>
        <v>3.2071499393601659</v>
      </c>
      <c r="J20" s="221">
        <f>'Plot Data'!$E$65</f>
        <v>3.358356369829854</v>
      </c>
      <c r="K20" s="222">
        <f>'Plot Data'!$E$58</f>
        <v>3.6607692307692301</v>
      </c>
      <c r="L20" s="222">
        <f>'Plot Data'!$E$62</f>
        <v>3.9631820917086062</v>
      </c>
      <c r="M20" s="222">
        <f>'Plot Data'!$E$64</f>
        <v>4.1143885221782943</v>
      </c>
      <c r="N20" s="222">
        <f>'Plot Data'!$E$68</f>
        <v>0.1</v>
      </c>
      <c r="O20" s="177" t="e">
        <f t="shared" si="1"/>
        <v>#N/A</v>
      </c>
      <c r="P20" s="180" t="e">
        <f t="shared" si="4"/>
        <v>#N/A</v>
      </c>
      <c r="Q20" s="180" t="e">
        <f t="shared" si="10"/>
        <v>#N/A</v>
      </c>
      <c r="R20" s="180" t="e">
        <f t="shared" si="11"/>
        <v>#N/A</v>
      </c>
      <c r="S20" s="178" t="str">
        <f t="shared" si="5"/>
        <v/>
      </c>
      <c r="T20" s="178" t="e">
        <f t="shared" si="12"/>
        <v>#N/A</v>
      </c>
      <c r="U20" s="178" t="e">
        <f t="shared" si="13"/>
        <v>#N/A</v>
      </c>
      <c r="V20" s="178"/>
      <c r="W20" s="178"/>
      <c r="X20" s="178"/>
      <c r="Y20" s="178"/>
      <c r="Z20" s="178"/>
      <c r="AA20" s="181" t="e">
        <f t="shared" si="9"/>
        <v>#N/A</v>
      </c>
      <c r="AB20" s="178" t="e">
        <f t="shared" si="14"/>
        <v>#N/A</v>
      </c>
      <c r="AC20" s="178" t="e">
        <f t="shared" si="15"/>
        <v>#N/A</v>
      </c>
      <c r="AD20" s="179" t="e">
        <f t="shared" si="3"/>
        <v>#N/A</v>
      </c>
    </row>
    <row r="21" spans="2:42" x14ac:dyDescent="0.3">
      <c r="B21" s="188">
        <v>16</v>
      </c>
      <c r="C21" s="205"/>
      <c r="D21" s="206"/>
      <c r="E21" s="207"/>
      <c r="F21" s="207"/>
      <c r="G21" s="183" t="e">
        <f t="shared" si="0"/>
        <v>#N/A</v>
      </c>
      <c r="H21" s="183" t="e">
        <f t="shared" si="2"/>
        <v>#N/A</v>
      </c>
      <c r="I21" s="221">
        <f>'Plot Data'!$E$67</f>
        <v>3.2071499393601659</v>
      </c>
      <c r="J21" s="221">
        <f>'Plot Data'!$E$65</f>
        <v>3.358356369829854</v>
      </c>
      <c r="K21" s="222">
        <f>'Plot Data'!$E$58</f>
        <v>3.6607692307692301</v>
      </c>
      <c r="L21" s="222">
        <f>'Plot Data'!$E$62</f>
        <v>3.9631820917086062</v>
      </c>
      <c r="M21" s="222">
        <f>'Plot Data'!$E$64</f>
        <v>4.1143885221782943</v>
      </c>
      <c r="N21" s="222">
        <f>'Plot Data'!$E$68</f>
        <v>0.1</v>
      </c>
      <c r="O21" s="177" t="e">
        <f t="shared" si="1"/>
        <v>#N/A</v>
      </c>
      <c r="P21" s="180" t="e">
        <f t="shared" si="4"/>
        <v>#N/A</v>
      </c>
      <c r="Q21" s="180" t="e">
        <f t="shared" si="10"/>
        <v>#N/A</v>
      </c>
      <c r="R21" s="180" t="e">
        <f t="shared" si="11"/>
        <v>#N/A</v>
      </c>
      <c r="S21" s="178" t="str">
        <f t="shared" si="5"/>
        <v/>
      </c>
      <c r="T21" s="178" t="e">
        <f t="shared" si="12"/>
        <v>#N/A</v>
      </c>
      <c r="U21" s="178" t="e">
        <f t="shared" si="13"/>
        <v>#N/A</v>
      </c>
      <c r="V21" s="178"/>
      <c r="W21" s="178"/>
      <c r="X21" s="178"/>
      <c r="Y21" s="178"/>
      <c r="Z21" s="178"/>
      <c r="AA21" s="181" t="e">
        <f t="shared" si="9"/>
        <v>#N/A</v>
      </c>
      <c r="AB21" s="178" t="e">
        <f t="shared" si="14"/>
        <v>#N/A</v>
      </c>
      <c r="AC21" s="178" t="e">
        <f t="shared" si="15"/>
        <v>#N/A</v>
      </c>
      <c r="AD21" s="179" t="e">
        <f t="shared" si="3"/>
        <v>#N/A</v>
      </c>
    </row>
    <row r="22" spans="2:42" x14ac:dyDescent="0.3">
      <c r="B22" s="188">
        <v>17</v>
      </c>
      <c r="C22" s="205"/>
      <c r="D22" s="206"/>
      <c r="E22" s="207"/>
      <c r="F22" s="207"/>
      <c r="G22" s="183" t="e">
        <f t="shared" si="0"/>
        <v>#N/A</v>
      </c>
      <c r="H22" s="183" t="e">
        <f t="shared" si="2"/>
        <v>#N/A</v>
      </c>
      <c r="I22" s="221">
        <f>'Plot Data'!$E$67</f>
        <v>3.2071499393601659</v>
      </c>
      <c r="J22" s="221">
        <f>'Plot Data'!$E$65</f>
        <v>3.358356369829854</v>
      </c>
      <c r="K22" s="222">
        <f>'Plot Data'!$E$58</f>
        <v>3.6607692307692301</v>
      </c>
      <c r="L22" s="222">
        <f>'Plot Data'!$E$62</f>
        <v>3.9631820917086062</v>
      </c>
      <c r="M22" s="222">
        <f>'Plot Data'!$E$64</f>
        <v>4.1143885221782943</v>
      </c>
      <c r="N22" s="222">
        <f>'Plot Data'!$E$68</f>
        <v>0.1</v>
      </c>
      <c r="O22" s="177" t="e">
        <f t="shared" si="1"/>
        <v>#N/A</v>
      </c>
      <c r="P22" s="180" t="e">
        <f t="shared" si="4"/>
        <v>#N/A</v>
      </c>
      <c r="Q22" s="180" t="e">
        <f t="shared" si="10"/>
        <v>#N/A</v>
      </c>
      <c r="R22" s="180" t="e">
        <f t="shared" si="11"/>
        <v>#N/A</v>
      </c>
      <c r="S22" s="178" t="str">
        <f t="shared" si="5"/>
        <v/>
      </c>
      <c r="T22" s="178" t="e">
        <f t="shared" si="12"/>
        <v>#N/A</v>
      </c>
      <c r="U22" s="178" t="e">
        <f t="shared" si="13"/>
        <v>#N/A</v>
      </c>
      <c r="V22" s="178"/>
      <c r="W22" s="178"/>
      <c r="X22" s="178"/>
      <c r="Y22" s="178"/>
      <c r="Z22" s="178"/>
      <c r="AA22" s="181" t="e">
        <f t="shared" si="9"/>
        <v>#N/A</v>
      </c>
      <c r="AB22" s="178" t="e">
        <f t="shared" si="14"/>
        <v>#N/A</v>
      </c>
      <c r="AC22" s="178" t="e">
        <f t="shared" si="15"/>
        <v>#N/A</v>
      </c>
      <c r="AD22" s="179" t="e">
        <f t="shared" si="3"/>
        <v>#N/A</v>
      </c>
    </row>
    <row r="23" spans="2:42" x14ac:dyDescent="0.3">
      <c r="B23" s="188">
        <v>18</v>
      </c>
      <c r="C23" s="205"/>
      <c r="D23" s="206"/>
      <c r="E23" s="207"/>
      <c r="F23" s="207"/>
      <c r="G23" s="183" t="e">
        <f t="shared" si="0"/>
        <v>#N/A</v>
      </c>
      <c r="H23" s="183" t="e">
        <f t="shared" si="2"/>
        <v>#N/A</v>
      </c>
      <c r="I23" s="221">
        <f>'Plot Data'!$E$67</f>
        <v>3.2071499393601659</v>
      </c>
      <c r="J23" s="221">
        <f>'Plot Data'!$E$65</f>
        <v>3.358356369829854</v>
      </c>
      <c r="K23" s="222">
        <f>'Plot Data'!$E$58</f>
        <v>3.6607692307692301</v>
      </c>
      <c r="L23" s="222">
        <f>'Plot Data'!$E$62</f>
        <v>3.9631820917086062</v>
      </c>
      <c r="M23" s="222">
        <f>'Plot Data'!$E$64</f>
        <v>4.1143885221782943</v>
      </c>
      <c r="N23" s="222">
        <f>'Plot Data'!$E$68</f>
        <v>0.1</v>
      </c>
      <c r="O23" s="177" t="e">
        <f t="shared" si="1"/>
        <v>#N/A</v>
      </c>
      <c r="P23" s="180" t="e">
        <f t="shared" si="4"/>
        <v>#N/A</v>
      </c>
      <c r="Q23" s="180" t="e">
        <f t="shared" si="10"/>
        <v>#N/A</v>
      </c>
      <c r="R23" s="180" t="e">
        <f t="shared" si="11"/>
        <v>#N/A</v>
      </c>
      <c r="S23" s="178" t="str">
        <f t="shared" si="5"/>
        <v/>
      </c>
      <c r="T23" s="178" t="e">
        <f t="shared" si="12"/>
        <v>#N/A</v>
      </c>
      <c r="U23" s="178" t="e">
        <f t="shared" si="13"/>
        <v>#N/A</v>
      </c>
      <c r="V23" s="178"/>
      <c r="W23" s="178"/>
      <c r="X23" s="178"/>
      <c r="Y23" s="178"/>
      <c r="Z23" s="178"/>
      <c r="AA23" s="181" t="e">
        <f t="shared" si="9"/>
        <v>#N/A</v>
      </c>
      <c r="AB23" s="178" t="e">
        <f t="shared" si="14"/>
        <v>#N/A</v>
      </c>
      <c r="AC23" s="178" t="e">
        <f t="shared" si="15"/>
        <v>#N/A</v>
      </c>
      <c r="AD23" s="179" t="e">
        <f t="shared" si="3"/>
        <v>#N/A</v>
      </c>
    </row>
    <row r="24" spans="2:42" x14ac:dyDescent="0.3">
      <c r="B24" s="188">
        <v>19</v>
      </c>
      <c r="C24" s="205"/>
      <c r="D24" s="206"/>
      <c r="E24" s="207"/>
      <c r="F24" s="207"/>
      <c r="G24" s="183" t="e">
        <f t="shared" si="0"/>
        <v>#N/A</v>
      </c>
      <c r="H24" s="183" t="e">
        <f t="shared" si="2"/>
        <v>#N/A</v>
      </c>
      <c r="I24" s="221">
        <f>'Plot Data'!$E$67</f>
        <v>3.2071499393601659</v>
      </c>
      <c r="J24" s="221">
        <f>'Plot Data'!$E$65</f>
        <v>3.358356369829854</v>
      </c>
      <c r="K24" s="222">
        <f>'Plot Data'!$E$58</f>
        <v>3.6607692307692301</v>
      </c>
      <c r="L24" s="222">
        <f>'Plot Data'!$E$62</f>
        <v>3.9631820917086062</v>
      </c>
      <c r="M24" s="222">
        <f>'Plot Data'!$E$64</f>
        <v>4.1143885221782943</v>
      </c>
      <c r="N24" s="222">
        <f>'Plot Data'!$E$68</f>
        <v>0.1</v>
      </c>
      <c r="O24" s="177" t="e">
        <f t="shared" si="1"/>
        <v>#N/A</v>
      </c>
      <c r="P24" s="180" t="e">
        <f t="shared" si="4"/>
        <v>#N/A</v>
      </c>
      <c r="Q24" s="180" t="e">
        <f t="shared" si="10"/>
        <v>#N/A</v>
      </c>
      <c r="R24" s="180" t="e">
        <f t="shared" si="11"/>
        <v>#N/A</v>
      </c>
      <c r="S24" s="178" t="str">
        <f t="shared" si="5"/>
        <v/>
      </c>
      <c r="T24" s="178" t="e">
        <f t="shared" si="12"/>
        <v>#N/A</v>
      </c>
      <c r="U24" s="178" t="e">
        <f t="shared" si="13"/>
        <v>#N/A</v>
      </c>
      <c r="V24" s="178"/>
      <c r="W24" s="178"/>
      <c r="X24" s="178"/>
      <c r="Y24" s="178"/>
      <c r="Z24" s="178"/>
      <c r="AA24" s="181" t="e">
        <f t="shared" si="9"/>
        <v>#N/A</v>
      </c>
      <c r="AB24" s="178" t="e">
        <f t="shared" si="14"/>
        <v>#N/A</v>
      </c>
      <c r="AC24" s="178" t="e">
        <f t="shared" si="15"/>
        <v>#N/A</v>
      </c>
      <c r="AD24" s="179" t="e">
        <f t="shared" si="3"/>
        <v>#N/A</v>
      </c>
    </row>
    <row r="25" spans="2:42" x14ac:dyDescent="0.3">
      <c r="B25" s="188">
        <v>20</v>
      </c>
      <c r="C25" s="205"/>
      <c r="D25" s="206"/>
      <c r="E25" s="207"/>
      <c r="F25" s="207"/>
      <c r="G25" s="183" t="e">
        <f t="shared" si="0"/>
        <v>#N/A</v>
      </c>
      <c r="H25" s="183" t="e">
        <f t="shared" si="2"/>
        <v>#N/A</v>
      </c>
      <c r="I25" s="221">
        <f>'Plot Data'!$E$67</f>
        <v>3.2071499393601659</v>
      </c>
      <c r="J25" s="221">
        <f>'Plot Data'!$E$65</f>
        <v>3.358356369829854</v>
      </c>
      <c r="K25" s="222">
        <f>'Plot Data'!$E$58</f>
        <v>3.6607692307692301</v>
      </c>
      <c r="L25" s="222">
        <f>'Plot Data'!$E$62</f>
        <v>3.9631820917086062</v>
      </c>
      <c r="M25" s="222">
        <f>'Plot Data'!$E$64</f>
        <v>4.1143885221782943</v>
      </c>
      <c r="N25" s="222">
        <f>'Plot Data'!$E$68</f>
        <v>0.1</v>
      </c>
      <c r="O25" s="177" t="e">
        <f t="shared" si="1"/>
        <v>#N/A</v>
      </c>
      <c r="P25" s="180" t="e">
        <f t="shared" si="4"/>
        <v>#N/A</v>
      </c>
      <c r="Q25" s="180" t="e">
        <f t="shared" si="10"/>
        <v>#N/A</v>
      </c>
      <c r="R25" s="180" t="e">
        <f t="shared" si="11"/>
        <v>#N/A</v>
      </c>
      <c r="S25" s="178" t="str">
        <f t="shared" si="5"/>
        <v/>
      </c>
      <c r="T25" s="178" t="e">
        <f t="shared" si="12"/>
        <v>#N/A</v>
      </c>
      <c r="U25" s="178" t="e">
        <f t="shared" si="13"/>
        <v>#N/A</v>
      </c>
      <c r="V25" s="178"/>
      <c r="W25" s="178"/>
      <c r="X25" s="178"/>
      <c r="Y25" s="178"/>
      <c r="Z25" s="178"/>
      <c r="AA25" s="181" t="e">
        <f t="shared" si="9"/>
        <v>#N/A</v>
      </c>
      <c r="AB25" s="178" t="e">
        <f t="shared" si="14"/>
        <v>#N/A</v>
      </c>
      <c r="AC25" s="178" t="e">
        <f t="shared" si="15"/>
        <v>#N/A</v>
      </c>
      <c r="AD25" s="179" t="e">
        <f t="shared" si="3"/>
        <v>#N/A</v>
      </c>
    </row>
    <row r="26" spans="2:42" x14ac:dyDescent="0.3">
      <c r="B26" s="188">
        <v>21</v>
      </c>
      <c r="C26" s="205"/>
      <c r="D26" s="206"/>
      <c r="E26" s="207"/>
      <c r="F26" s="207"/>
      <c r="G26" s="183" t="e">
        <f t="shared" si="0"/>
        <v>#N/A</v>
      </c>
      <c r="H26" s="183" t="e">
        <f t="shared" si="2"/>
        <v>#N/A</v>
      </c>
      <c r="I26" s="221">
        <f>'Plot Data'!$E$67</f>
        <v>3.2071499393601659</v>
      </c>
      <c r="J26" s="221">
        <f>'Plot Data'!$E$65</f>
        <v>3.358356369829854</v>
      </c>
      <c r="K26" s="222">
        <f>'Plot Data'!$E$58</f>
        <v>3.6607692307692301</v>
      </c>
      <c r="L26" s="222">
        <f>'Plot Data'!$E$62</f>
        <v>3.9631820917086062</v>
      </c>
      <c r="M26" s="222">
        <f>'Plot Data'!$E$64</f>
        <v>4.1143885221782943</v>
      </c>
      <c r="N26" s="222">
        <f>'Plot Data'!$E$68</f>
        <v>0.1</v>
      </c>
      <c r="O26" s="177" t="e">
        <f t="shared" si="1"/>
        <v>#N/A</v>
      </c>
      <c r="P26" s="180" t="e">
        <f t="shared" si="4"/>
        <v>#N/A</v>
      </c>
      <c r="Q26" s="180" t="e">
        <f t="shared" si="10"/>
        <v>#N/A</v>
      </c>
      <c r="R26" s="180" t="e">
        <f t="shared" si="11"/>
        <v>#N/A</v>
      </c>
      <c r="S26" s="178" t="str">
        <f t="shared" si="5"/>
        <v/>
      </c>
      <c r="T26" s="178" t="e">
        <f t="shared" si="12"/>
        <v>#N/A</v>
      </c>
      <c r="U26" s="178" t="e">
        <f t="shared" si="13"/>
        <v>#N/A</v>
      </c>
      <c r="V26" s="178"/>
      <c r="W26" s="178"/>
      <c r="X26" s="178"/>
      <c r="Y26" s="178"/>
      <c r="Z26" s="178"/>
      <c r="AA26" s="181" t="e">
        <f t="shared" si="9"/>
        <v>#N/A</v>
      </c>
      <c r="AB26" s="178" t="e">
        <f t="shared" si="14"/>
        <v>#N/A</v>
      </c>
      <c r="AC26" s="178" t="e">
        <f t="shared" si="15"/>
        <v>#N/A</v>
      </c>
      <c r="AD26" s="179" t="e">
        <f t="shared" si="3"/>
        <v>#N/A</v>
      </c>
    </row>
    <row r="27" spans="2:42" x14ac:dyDescent="0.3">
      <c r="B27" s="188">
        <v>22</v>
      </c>
      <c r="C27" s="205"/>
      <c r="D27" s="206"/>
      <c r="E27" s="207"/>
      <c r="F27" s="207"/>
      <c r="G27" s="183" t="e">
        <f t="shared" si="0"/>
        <v>#N/A</v>
      </c>
      <c r="H27" s="183" t="e">
        <f t="shared" si="2"/>
        <v>#N/A</v>
      </c>
      <c r="I27" s="221">
        <f>'Plot Data'!$E$67</f>
        <v>3.2071499393601659</v>
      </c>
      <c r="J27" s="221">
        <f>'Plot Data'!$E$65</f>
        <v>3.358356369829854</v>
      </c>
      <c r="K27" s="222">
        <f>'Plot Data'!$E$58</f>
        <v>3.6607692307692301</v>
      </c>
      <c r="L27" s="222">
        <f>'Plot Data'!$E$62</f>
        <v>3.9631820917086062</v>
      </c>
      <c r="M27" s="222">
        <f>'Plot Data'!$E$64</f>
        <v>4.1143885221782943</v>
      </c>
      <c r="N27" s="222">
        <f>'Plot Data'!$E$68</f>
        <v>0.1</v>
      </c>
      <c r="O27" s="177" t="e">
        <f t="shared" si="1"/>
        <v>#N/A</v>
      </c>
      <c r="P27" s="180" t="e">
        <f t="shared" si="4"/>
        <v>#N/A</v>
      </c>
      <c r="Q27" s="180" t="e">
        <f t="shared" si="10"/>
        <v>#N/A</v>
      </c>
      <c r="R27" s="180" t="e">
        <f t="shared" si="11"/>
        <v>#N/A</v>
      </c>
      <c r="S27" s="178" t="str">
        <f t="shared" si="5"/>
        <v/>
      </c>
      <c r="T27" s="178" t="e">
        <f t="shared" si="12"/>
        <v>#N/A</v>
      </c>
      <c r="U27" s="178" t="e">
        <f t="shared" si="13"/>
        <v>#N/A</v>
      </c>
      <c r="V27" s="178"/>
      <c r="W27" s="178"/>
      <c r="X27" s="178"/>
      <c r="Y27" s="178"/>
      <c r="Z27" s="178"/>
      <c r="AA27" s="181" t="e">
        <f t="shared" si="9"/>
        <v>#N/A</v>
      </c>
      <c r="AB27" s="178" t="e">
        <f t="shared" si="14"/>
        <v>#N/A</v>
      </c>
      <c r="AC27" s="178" t="e">
        <f t="shared" si="15"/>
        <v>#N/A</v>
      </c>
      <c r="AD27" s="179" t="e">
        <f t="shared" si="3"/>
        <v>#N/A</v>
      </c>
    </row>
    <row r="28" spans="2:42" x14ac:dyDescent="0.3">
      <c r="B28" s="188">
        <v>23</v>
      </c>
      <c r="C28" s="205"/>
      <c r="D28" s="206"/>
      <c r="E28" s="207"/>
      <c r="F28" s="207"/>
      <c r="G28" s="183" t="e">
        <f t="shared" si="0"/>
        <v>#N/A</v>
      </c>
      <c r="H28" s="183" t="e">
        <f t="shared" si="2"/>
        <v>#N/A</v>
      </c>
      <c r="I28" s="221">
        <f>'Plot Data'!$E$67</f>
        <v>3.2071499393601659</v>
      </c>
      <c r="J28" s="221">
        <f>'Plot Data'!$E$65</f>
        <v>3.358356369829854</v>
      </c>
      <c r="K28" s="222">
        <f>'Plot Data'!$E$58</f>
        <v>3.6607692307692301</v>
      </c>
      <c r="L28" s="222">
        <f>'Plot Data'!$E$62</f>
        <v>3.9631820917086062</v>
      </c>
      <c r="M28" s="222">
        <f>'Plot Data'!$E$64</f>
        <v>4.1143885221782943</v>
      </c>
      <c r="N28" s="222">
        <f>'Plot Data'!$E$68</f>
        <v>0.1</v>
      </c>
      <c r="O28" s="177" t="e">
        <f t="shared" si="1"/>
        <v>#N/A</v>
      </c>
      <c r="P28" s="180" t="e">
        <f t="shared" si="4"/>
        <v>#N/A</v>
      </c>
      <c r="Q28" s="180" t="e">
        <f t="shared" si="10"/>
        <v>#N/A</v>
      </c>
      <c r="R28" s="180" t="e">
        <f t="shared" si="11"/>
        <v>#N/A</v>
      </c>
      <c r="S28" s="178" t="str">
        <f t="shared" si="5"/>
        <v/>
      </c>
      <c r="T28" s="178" t="e">
        <f t="shared" si="12"/>
        <v>#N/A</v>
      </c>
      <c r="U28" s="178" t="e">
        <f t="shared" si="13"/>
        <v>#N/A</v>
      </c>
      <c r="V28" s="178"/>
      <c r="W28" s="178"/>
      <c r="X28" s="178"/>
      <c r="Y28" s="178"/>
      <c r="Z28" s="178"/>
      <c r="AA28" s="181" t="e">
        <f t="shared" si="9"/>
        <v>#N/A</v>
      </c>
      <c r="AB28" s="178" t="e">
        <f t="shared" si="14"/>
        <v>#N/A</v>
      </c>
      <c r="AC28" s="178" t="e">
        <f t="shared" si="15"/>
        <v>#N/A</v>
      </c>
      <c r="AD28" s="179" t="e">
        <f t="shared" si="3"/>
        <v>#N/A</v>
      </c>
    </row>
    <row r="29" spans="2:42" x14ac:dyDescent="0.3">
      <c r="B29" s="188">
        <v>24</v>
      </c>
      <c r="C29" s="205"/>
      <c r="D29" s="206"/>
      <c r="E29" s="207"/>
      <c r="F29" s="207"/>
      <c r="G29" s="183" t="e">
        <f t="shared" si="0"/>
        <v>#N/A</v>
      </c>
      <c r="H29" s="183" t="e">
        <f t="shared" si="2"/>
        <v>#N/A</v>
      </c>
      <c r="I29" s="221">
        <f>'Plot Data'!$E$67</f>
        <v>3.2071499393601659</v>
      </c>
      <c r="J29" s="221">
        <f>'Plot Data'!$E$65</f>
        <v>3.358356369829854</v>
      </c>
      <c r="K29" s="222">
        <f>'Plot Data'!$E$58</f>
        <v>3.6607692307692301</v>
      </c>
      <c r="L29" s="222">
        <f>'Plot Data'!$E$62</f>
        <v>3.9631820917086062</v>
      </c>
      <c r="M29" s="222">
        <f>'Plot Data'!$E$64</f>
        <v>4.1143885221782943</v>
      </c>
      <c r="N29" s="222">
        <f>'Plot Data'!$E$68</f>
        <v>0.1</v>
      </c>
      <c r="O29" s="177" t="e">
        <f t="shared" si="1"/>
        <v>#N/A</v>
      </c>
      <c r="P29" s="180" t="e">
        <f t="shared" si="4"/>
        <v>#N/A</v>
      </c>
      <c r="Q29" s="180" t="e">
        <f t="shared" si="10"/>
        <v>#N/A</v>
      </c>
      <c r="R29" s="180" t="e">
        <f t="shared" si="11"/>
        <v>#N/A</v>
      </c>
      <c r="S29" s="178" t="str">
        <f t="shared" si="5"/>
        <v/>
      </c>
      <c r="T29" s="178" t="e">
        <f t="shared" si="12"/>
        <v>#N/A</v>
      </c>
      <c r="U29" s="178" t="e">
        <f t="shared" si="13"/>
        <v>#N/A</v>
      </c>
      <c r="V29" s="178"/>
      <c r="W29" s="178"/>
      <c r="X29" s="178"/>
      <c r="Y29" s="178"/>
      <c r="Z29" s="178"/>
      <c r="AA29" s="181" t="e">
        <f t="shared" si="9"/>
        <v>#N/A</v>
      </c>
      <c r="AB29" s="178" t="e">
        <f t="shared" si="14"/>
        <v>#N/A</v>
      </c>
      <c r="AC29" s="178" t="e">
        <f t="shared" si="15"/>
        <v>#N/A</v>
      </c>
      <c r="AD29" s="179" t="e">
        <f t="shared" si="3"/>
        <v>#N/A</v>
      </c>
    </row>
    <row r="30" spans="2:42" x14ac:dyDescent="0.3">
      <c r="B30" s="188">
        <v>25</v>
      </c>
      <c r="C30" s="205"/>
      <c r="D30" s="206"/>
      <c r="E30" s="207"/>
      <c r="F30" s="207"/>
      <c r="G30" s="183" t="e">
        <f t="shared" si="0"/>
        <v>#N/A</v>
      </c>
      <c r="H30" s="183" t="e">
        <f t="shared" si="2"/>
        <v>#N/A</v>
      </c>
      <c r="I30" s="221">
        <f>'Plot Data'!$E$67</f>
        <v>3.2071499393601659</v>
      </c>
      <c r="J30" s="221">
        <f>'Plot Data'!$E$65</f>
        <v>3.358356369829854</v>
      </c>
      <c r="K30" s="222">
        <f>'Plot Data'!$E$58</f>
        <v>3.6607692307692301</v>
      </c>
      <c r="L30" s="222">
        <f>'Plot Data'!$E$62</f>
        <v>3.9631820917086062</v>
      </c>
      <c r="M30" s="222">
        <f>'Plot Data'!$E$64</f>
        <v>4.1143885221782943</v>
      </c>
      <c r="N30" s="222">
        <f>'Plot Data'!$E$68</f>
        <v>0.1</v>
      </c>
      <c r="O30" s="177" t="e">
        <f t="shared" si="1"/>
        <v>#N/A</v>
      </c>
      <c r="P30" s="180" t="e">
        <f t="shared" si="4"/>
        <v>#N/A</v>
      </c>
      <c r="Q30" s="180" t="e">
        <f t="shared" si="10"/>
        <v>#N/A</v>
      </c>
      <c r="R30" s="180" t="e">
        <f t="shared" si="11"/>
        <v>#N/A</v>
      </c>
      <c r="S30" s="178" t="str">
        <f t="shared" si="5"/>
        <v/>
      </c>
      <c r="T30" s="178" t="e">
        <f t="shared" si="12"/>
        <v>#N/A</v>
      </c>
      <c r="U30" s="178" t="e">
        <f t="shared" si="13"/>
        <v>#N/A</v>
      </c>
      <c r="V30" s="178"/>
      <c r="W30" s="178"/>
      <c r="X30" s="178"/>
      <c r="Y30" s="178"/>
      <c r="Z30" s="178"/>
      <c r="AA30" s="181" t="e">
        <f t="shared" si="9"/>
        <v>#N/A</v>
      </c>
      <c r="AB30" s="178" t="e">
        <f t="shared" si="14"/>
        <v>#N/A</v>
      </c>
      <c r="AC30" s="178" t="e">
        <f t="shared" si="15"/>
        <v>#N/A</v>
      </c>
      <c r="AD30" s="179" t="e">
        <f t="shared" si="3"/>
        <v>#N/A</v>
      </c>
    </row>
    <row r="31" spans="2:42" x14ac:dyDescent="0.3">
      <c r="B31" s="188">
        <v>26</v>
      </c>
      <c r="C31" s="205"/>
      <c r="D31" s="206"/>
      <c r="E31" s="207"/>
      <c r="F31" s="207"/>
      <c r="G31" s="183" t="e">
        <f t="shared" si="0"/>
        <v>#N/A</v>
      </c>
      <c r="H31" s="183" t="e">
        <f t="shared" si="2"/>
        <v>#N/A</v>
      </c>
      <c r="I31" s="221">
        <f>'Plot Data'!$E$67</f>
        <v>3.2071499393601659</v>
      </c>
      <c r="J31" s="221">
        <f>'Plot Data'!$E$65</f>
        <v>3.358356369829854</v>
      </c>
      <c r="K31" s="222">
        <f>'Plot Data'!$E$58</f>
        <v>3.6607692307692301</v>
      </c>
      <c r="L31" s="222">
        <f>'Plot Data'!$E$62</f>
        <v>3.9631820917086062</v>
      </c>
      <c r="M31" s="222">
        <f>'Plot Data'!$E$64</f>
        <v>4.1143885221782943</v>
      </c>
      <c r="N31" s="222">
        <f>'Plot Data'!$E$68</f>
        <v>0.1</v>
      </c>
      <c r="O31" s="177" t="e">
        <f t="shared" si="1"/>
        <v>#N/A</v>
      </c>
      <c r="P31" s="180" t="e">
        <f t="shared" si="4"/>
        <v>#N/A</v>
      </c>
      <c r="Q31" s="180" t="e">
        <f t="shared" si="10"/>
        <v>#N/A</v>
      </c>
      <c r="R31" s="180" t="e">
        <f t="shared" si="11"/>
        <v>#N/A</v>
      </c>
      <c r="S31" s="178" t="str">
        <f t="shared" si="5"/>
        <v/>
      </c>
      <c r="T31" s="178" t="e">
        <f t="shared" si="12"/>
        <v>#N/A</v>
      </c>
      <c r="U31" s="178" t="e">
        <f t="shared" si="13"/>
        <v>#N/A</v>
      </c>
      <c r="V31" s="178"/>
      <c r="W31" s="178"/>
      <c r="X31" s="178"/>
      <c r="Y31" s="178"/>
      <c r="Z31" s="178"/>
      <c r="AA31" s="181" t="e">
        <f t="shared" si="9"/>
        <v>#N/A</v>
      </c>
      <c r="AB31" s="178" t="e">
        <f t="shared" si="14"/>
        <v>#N/A</v>
      </c>
      <c r="AC31" s="178" t="e">
        <f t="shared" si="15"/>
        <v>#N/A</v>
      </c>
      <c r="AD31" s="179" t="e">
        <f t="shared" si="3"/>
        <v>#N/A</v>
      </c>
      <c r="AF31" s="703"/>
      <c r="AG31" s="703"/>
      <c r="AH31" s="703"/>
      <c r="AI31" s="703"/>
      <c r="AJ31" s="703"/>
      <c r="AK31" s="703"/>
      <c r="AL31" s="703"/>
      <c r="AM31" s="703"/>
      <c r="AN31" s="703"/>
      <c r="AO31" s="703"/>
      <c r="AP31" s="703"/>
    </row>
    <row r="32" spans="2:42" ht="15" thickBot="1" x14ac:dyDescent="0.35">
      <c r="B32" s="188">
        <v>27</v>
      </c>
      <c r="C32" s="205"/>
      <c r="D32" s="206"/>
      <c r="E32" s="207"/>
      <c r="F32" s="207"/>
      <c r="G32" s="183" t="e">
        <f t="shared" si="0"/>
        <v>#N/A</v>
      </c>
      <c r="H32" s="183" t="e">
        <f t="shared" si="2"/>
        <v>#N/A</v>
      </c>
      <c r="I32" s="221">
        <f>'Plot Data'!$E$67</f>
        <v>3.2071499393601659</v>
      </c>
      <c r="J32" s="221">
        <f>'Plot Data'!$E$65</f>
        <v>3.358356369829854</v>
      </c>
      <c r="K32" s="222">
        <f>'Plot Data'!$E$58</f>
        <v>3.6607692307692301</v>
      </c>
      <c r="L32" s="222">
        <f>'Plot Data'!$E$62</f>
        <v>3.9631820917086062</v>
      </c>
      <c r="M32" s="222">
        <f>'Plot Data'!$E$64</f>
        <v>4.1143885221782943</v>
      </c>
      <c r="N32" s="222">
        <f>'Plot Data'!$E$68</f>
        <v>0.1</v>
      </c>
      <c r="O32" s="177" t="e">
        <f t="shared" si="1"/>
        <v>#N/A</v>
      </c>
      <c r="P32" s="180" t="e">
        <f t="shared" si="4"/>
        <v>#N/A</v>
      </c>
      <c r="Q32" s="180" t="e">
        <f t="shared" si="10"/>
        <v>#N/A</v>
      </c>
      <c r="R32" s="180" t="e">
        <f t="shared" si="11"/>
        <v>#N/A</v>
      </c>
      <c r="S32" s="178" t="str">
        <f t="shared" si="5"/>
        <v/>
      </c>
      <c r="T32" s="178" t="e">
        <f t="shared" si="12"/>
        <v>#N/A</v>
      </c>
      <c r="U32" s="178" t="e">
        <f t="shared" si="13"/>
        <v>#N/A</v>
      </c>
      <c r="V32" s="178"/>
      <c r="W32" s="178"/>
      <c r="X32" s="178"/>
      <c r="Y32" s="178"/>
      <c r="Z32" s="178"/>
      <c r="AA32" s="181" t="e">
        <f t="shared" si="9"/>
        <v>#N/A</v>
      </c>
      <c r="AB32" s="178" t="e">
        <f t="shared" si="14"/>
        <v>#N/A</v>
      </c>
      <c r="AC32" s="178" t="e">
        <f t="shared" si="15"/>
        <v>#N/A</v>
      </c>
      <c r="AD32" s="179" t="e">
        <f t="shared" si="3"/>
        <v>#N/A</v>
      </c>
      <c r="AF32" s="704"/>
      <c r="AG32" s="704"/>
      <c r="AH32" s="704"/>
      <c r="AI32" s="704"/>
      <c r="AJ32" s="704"/>
      <c r="AK32" s="704"/>
      <c r="AL32" s="704"/>
      <c r="AM32" s="704"/>
      <c r="AN32" s="704"/>
      <c r="AO32" s="704"/>
      <c r="AP32" s="704"/>
    </row>
    <row r="33" spans="2:42" x14ac:dyDescent="0.3">
      <c r="B33" s="188">
        <v>28</v>
      </c>
      <c r="C33" s="205"/>
      <c r="D33" s="206"/>
      <c r="E33" s="207"/>
      <c r="F33" s="207"/>
      <c r="G33" s="183" t="e">
        <f t="shared" si="0"/>
        <v>#N/A</v>
      </c>
      <c r="H33" s="183" t="e">
        <f t="shared" si="2"/>
        <v>#N/A</v>
      </c>
      <c r="I33" s="221">
        <f>'Plot Data'!$E$67</f>
        <v>3.2071499393601659</v>
      </c>
      <c r="J33" s="221">
        <f>'Plot Data'!$E$65</f>
        <v>3.358356369829854</v>
      </c>
      <c r="K33" s="222">
        <f>'Plot Data'!$E$58</f>
        <v>3.6607692307692301</v>
      </c>
      <c r="L33" s="222">
        <f>'Plot Data'!$E$62</f>
        <v>3.9631820917086062</v>
      </c>
      <c r="M33" s="222">
        <f>'Plot Data'!$E$64</f>
        <v>4.1143885221782943</v>
      </c>
      <c r="N33" s="222">
        <f>'Plot Data'!$E$68</f>
        <v>0.1</v>
      </c>
      <c r="O33" s="177" t="e">
        <f t="shared" si="1"/>
        <v>#N/A</v>
      </c>
      <c r="P33" s="180" t="e">
        <f t="shared" si="4"/>
        <v>#N/A</v>
      </c>
      <c r="Q33" s="180" t="e">
        <f t="shared" si="10"/>
        <v>#N/A</v>
      </c>
      <c r="R33" s="180" t="e">
        <f t="shared" si="11"/>
        <v>#N/A</v>
      </c>
      <c r="S33" s="178" t="str">
        <f t="shared" si="5"/>
        <v/>
      </c>
      <c r="T33" s="178" t="e">
        <f t="shared" si="12"/>
        <v>#N/A</v>
      </c>
      <c r="U33" s="178" t="e">
        <f t="shared" si="13"/>
        <v>#N/A</v>
      </c>
      <c r="V33" s="178"/>
      <c r="W33" s="178"/>
      <c r="X33" s="178"/>
      <c r="Y33" s="178"/>
      <c r="Z33" s="178"/>
      <c r="AA33" s="181" t="e">
        <f t="shared" si="9"/>
        <v>#N/A</v>
      </c>
      <c r="AB33" s="178" t="e">
        <f t="shared" si="14"/>
        <v>#N/A</v>
      </c>
      <c r="AC33" s="178" t="e">
        <f t="shared" si="15"/>
        <v>#N/A</v>
      </c>
      <c r="AD33" s="179" t="e">
        <f t="shared" si="3"/>
        <v>#N/A</v>
      </c>
      <c r="AF33" s="690" t="s">
        <v>7</v>
      </c>
      <c r="AG33" s="689"/>
      <c r="AH33" s="689" t="str">
        <f>AH5</f>
        <v>MIAS</v>
      </c>
      <c r="AI33" s="689"/>
      <c r="AJ33" s="689"/>
      <c r="AK33" s="689" t="s">
        <v>168</v>
      </c>
      <c r="AL33" s="689"/>
      <c r="AM33" s="689"/>
      <c r="AN33" s="689" t="str">
        <f>AN5</f>
        <v>IMP-MOI-01</v>
      </c>
      <c r="AO33" s="689"/>
      <c r="AP33" s="691"/>
    </row>
    <row r="34" spans="2:42" ht="15" customHeight="1" x14ac:dyDescent="0.3">
      <c r="B34" s="188">
        <v>29</v>
      </c>
      <c r="C34" s="205"/>
      <c r="D34" s="206"/>
      <c r="E34" s="207"/>
      <c r="F34" s="207"/>
      <c r="G34" s="183" t="e">
        <f t="shared" si="0"/>
        <v>#N/A</v>
      </c>
      <c r="H34" s="183" t="e">
        <f t="shared" si="2"/>
        <v>#N/A</v>
      </c>
      <c r="I34" s="221">
        <f>'Plot Data'!$E$67</f>
        <v>3.2071499393601659</v>
      </c>
      <c r="J34" s="221">
        <f>'Plot Data'!$E$65</f>
        <v>3.358356369829854</v>
      </c>
      <c r="K34" s="222">
        <f>'Plot Data'!$E$58</f>
        <v>3.6607692307692301</v>
      </c>
      <c r="L34" s="222">
        <f>'Plot Data'!$E$62</f>
        <v>3.9631820917086062</v>
      </c>
      <c r="M34" s="222">
        <f>'Plot Data'!$E$64</f>
        <v>4.1143885221782943</v>
      </c>
      <c r="N34" s="222">
        <f>'Plot Data'!$E$68</f>
        <v>0.1</v>
      </c>
      <c r="O34" s="177" t="e">
        <f t="shared" si="1"/>
        <v>#N/A</v>
      </c>
      <c r="P34" s="180" t="e">
        <f t="shared" si="4"/>
        <v>#N/A</v>
      </c>
      <c r="Q34" s="180" t="e">
        <f t="shared" si="10"/>
        <v>#N/A</v>
      </c>
      <c r="R34" s="180" t="e">
        <f t="shared" si="11"/>
        <v>#N/A</v>
      </c>
      <c r="S34" s="178" t="str">
        <f t="shared" si="5"/>
        <v/>
      </c>
      <c r="T34" s="178" t="e">
        <f t="shared" si="12"/>
        <v>#N/A</v>
      </c>
      <c r="U34" s="178" t="e">
        <f t="shared" si="13"/>
        <v>#N/A</v>
      </c>
      <c r="V34" s="178"/>
      <c r="W34" s="178"/>
      <c r="X34" s="178"/>
      <c r="Y34" s="178"/>
      <c r="Z34" s="178"/>
      <c r="AA34" s="181" t="e">
        <f t="shared" si="9"/>
        <v>#N/A</v>
      </c>
      <c r="AB34" s="178" t="e">
        <f t="shared" si="14"/>
        <v>#N/A</v>
      </c>
      <c r="AC34" s="178" t="e">
        <f t="shared" si="15"/>
        <v>#N/A</v>
      </c>
      <c r="AD34" s="179" t="e">
        <f t="shared" si="3"/>
        <v>#N/A</v>
      </c>
      <c r="AF34" s="682"/>
      <c r="AG34" s="683"/>
      <c r="AH34" s="683"/>
      <c r="AI34" s="683"/>
      <c r="AJ34" s="683"/>
      <c r="AK34" s="683"/>
      <c r="AL34" s="683"/>
      <c r="AM34" s="683"/>
      <c r="AN34" s="683"/>
      <c r="AO34" s="683"/>
      <c r="AP34" s="705"/>
    </row>
    <row r="35" spans="2:42" ht="15" customHeight="1" x14ac:dyDescent="0.3">
      <c r="B35" s="188">
        <v>30</v>
      </c>
      <c r="C35" s="205"/>
      <c r="D35" s="206"/>
      <c r="E35" s="207"/>
      <c r="F35" s="207"/>
      <c r="G35" s="183" t="e">
        <f t="shared" si="0"/>
        <v>#N/A</v>
      </c>
      <c r="H35" s="183" t="e">
        <f t="shared" si="2"/>
        <v>#N/A</v>
      </c>
      <c r="I35" s="221">
        <f>'Plot Data'!$E$67</f>
        <v>3.2071499393601659</v>
      </c>
      <c r="J35" s="221">
        <f>'Plot Data'!$E$65</f>
        <v>3.358356369829854</v>
      </c>
      <c r="K35" s="222">
        <f>'Plot Data'!$E$58</f>
        <v>3.6607692307692301</v>
      </c>
      <c r="L35" s="222">
        <f>'Plot Data'!$E$62</f>
        <v>3.9631820917086062</v>
      </c>
      <c r="M35" s="222">
        <f>'Plot Data'!$E$64</f>
        <v>4.1143885221782943</v>
      </c>
      <c r="N35" s="222">
        <f>'Plot Data'!$E$68</f>
        <v>0.1</v>
      </c>
      <c r="O35" s="177" t="e">
        <f t="shared" si="1"/>
        <v>#N/A</v>
      </c>
      <c r="P35" s="180" t="e">
        <f t="shared" si="4"/>
        <v>#N/A</v>
      </c>
      <c r="Q35" s="180" t="e">
        <f t="shared" si="10"/>
        <v>#N/A</v>
      </c>
      <c r="R35" s="180" t="e">
        <f t="shared" si="11"/>
        <v>#N/A</v>
      </c>
      <c r="S35" s="178" t="str">
        <f t="shared" si="5"/>
        <v/>
      </c>
      <c r="T35" s="178" t="e">
        <f t="shared" si="12"/>
        <v>#N/A</v>
      </c>
      <c r="U35" s="178" t="e">
        <f t="shared" si="13"/>
        <v>#N/A</v>
      </c>
      <c r="V35" s="178"/>
      <c r="W35" s="178"/>
      <c r="X35" s="178"/>
      <c r="Y35" s="178"/>
      <c r="Z35" s="178"/>
      <c r="AA35" s="181" t="e">
        <f t="shared" si="9"/>
        <v>#N/A</v>
      </c>
      <c r="AB35" s="178" t="e">
        <f t="shared" si="14"/>
        <v>#N/A</v>
      </c>
      <c r="AC35" s="178" t="e">
        <f t="shared" si="15"/>
        <v>#N/A</v>
      </c>
      <c r="AD35" s="179" t="e">
        <f t="shared" si="3"/>
        <v>#N/A</v>
      </c>
      <c r="AF35" s="682" t="s">
        <v>203</v>
      </c>
      <c r="AG35" s="683"/>
      <c r="AH35" s="683" t="str">
        <f>AH6</f>
        <v>034</v>
      </c>
      <c r="AI35" s="683"/>
      <c r="AJ35" s="683"/>
      <c r="AK35" s="683" t="s">
        <v>204</v>
      </c>
      <c r="AL35" s="683"/>
      <c r="AM35" s="683"/>
      <c r="AN35" s="686">
        <f>AN6</f>
        <v>37212</v>
      </c>
      <c r="AO35" s="683" t="s">
        <v>205</v>
      </c>
      <c r="AP35" s="680">
        <f>AP6</f>
        <v>39038</v>
      </c>
    </row>
    <row r="36" spans="2:42" ht="15" customHeight="1" thickBot="1" x14ac:dyDescent="0.35">
      <c r="B36" s="188">
        <v>31</v>
      </c>
      <c r="C36" s="205"/>
      <c r="D36" s="206"/>
      <c r="E36" s="207"/>
      <c r="F36" s="207"/>
      <c r="G36" s="183" t="e">
        <f t="shared" si="0"/>
        <v>#N/A</v>
      </c>
      <c r="H36" s="183" t="e">
        <f t="shared" si="2"/>
        <v>#N/A</v>
      </c>
      <c r="I36" s="221">
        <f>'Plot Data'!$E$67</f>
        <v>3.2071499393601659</v>
      </c>
      <c r="J36" s="221">
        <f>'Plot Data'!$E$65</f>
        <v>3.358356369829854</v>
      </c>
      <c r="K36" s="222">
        <f>'Plot Data'!$E$58</f>
        <v>3.6607692307692301</v>
      </c>
      <c r="L36" s="222">
        <f>'Plot Data'!$E$62</f>
        <v>3.9631820917086062</v>
      </c>
      <c r="M36" s="222">
        <f>'Plot Data'!$E$64</f>
        <v>4.1143885221782943</v>
      </c>
      <c r="N36" s="222">
        <f>'Plot Data'!$E$68</f>
        <v>0.1</v>
      </c>
      <c r="O36" s="177" t="e">
        <f t="shared" si="1"/>
        <v>#N/A</v>
      </c>
      <c r="P36" s="180" t="e">
        <f t="shared" si="4"/>
        <v>#N/A</v>
      </c>
      <c r="Q36" s="180" t="e">
        <f t="shared" si="10"/>
        <v>#N/A</v>
      </c>
      <c r="R36" s="180" t="e">
        <f t="shared" si="11"/>
        <v>#N/A</v>
      </c>
      <c r="S36" s="178" t="str">
        <f t="shared" si="5"/>
        <v/>
      </c>
      <c r="T36" s="178" t="e">
        <f t="shared" si="12"/>
        <v>#N/A</v>
      </c>
      <c r="U36" s="178" t="e">
        <f t="shared" si="13"/>
        <v>#N/A</v>
      </c>
      <c r="V36" s="178"/>
      <c r="W36" s="178"/>
      <c r="X36" s="178"/>
      <c r="Y36" s="178"/>
      <c r="Z36" s="178"/>
      <c r="AA36" s="181" t="e">
        <f t="shared" si="9"/>
        <v>#N/A</v>
      </c>
      <c r="AB36" s="178" t="e">
        <f t="shared" si="14"/>
        <v>#N/A</v>
      </c>
      <c r="AC36" s="178" t="e">
        <f t="shared" si="15"/>
        <v>#N/A</v>
      </c>
      <c r="AD36" s="179" t="e">
        <f t="shared" si="3"/>
        <v>#N/A</v>
      </c>
      <c r="AF36" s="684"/>
      <c r="AG36" s="685"/>
      <c r="AH36" s="685"/>
      <c r="AI36" s="685"/>
      <c r="AJ36" s="685"/>
      <c r="AK36" s="685"/>
      <c r="AL36" s="685"/>
      <c r="AM36" s="685"/>
      <c r="AN36" s="687"/>
      <c r="AO36" s="685"/>
      <c r="AP36" s="681"/>
    </row>
    <row r="37" spans="2:42" x14ac:dyDescent="0.3">
      <c r="B37" s="188">
        <v>32</v>
      </c>
      <c r="C37" s="205"/>
      <c r="D37" s="206"/>
      <c r="E37" s="207"/>
      <c r="F37" s="207"/>
      <c r="G37" s="183" t="e">
        <f t="shared" si="0"/>
        <v>#N/A</v>
      </c>
      <c r="H37" s="183" t="e">
        <f t="shared" si="2"/>
        <v>#N/A</v>
      </c>
      <c r="I37" s="221">
        <f>'Plot Data'!$E$67</f>
        <v>3.2071499393601659</v>
      </c>
      <c r="J37" s="221">
        <f>'Plot Data'!$E$65</f>
        <v>3.358356369829854</v>
      </c>
      <c r="K37" s="222">
        <f>'Plot Data'!$E$58</f>
        <v>3.6607692307692301</v>
      </c>
      <c r="L37" s="222">
        <f>'Plot Data'!$E$62</f>
        <v>3.9631820917086062</v>
      </c>
      <c r="M37" s="222">
        <f>'Plot Data'!$E$64</f>
        <v>4.1143885221782943</v>
      </c>
      <c r="N37" s="222">
        <f>'Plot Data'!$E$68</f>
        <v>0.1</v>
      </c>
      <c r="O37" s="177" t="e">
        <f t="shared" si="1"/>
        <v>#N/A</v>
      </c>
      <c r="P37" s="180" t="e">
        <f t="shared" si="4"/>
        <v>#N/A</v>
      </c>
      <c r="Q37" s="180" t="e">
        <f t="shared" si="10"/>
        <v>#N/A</v>
      </c>
      <c r="R37" s="180" t="e">
        <f t="shared" si="11"/>
        <v>#N/A</v>
      </c>
      <c r="S37" s="178" t="str">
        <f t="shared" si="5"/>
        <v/>
      </c>
      <c r="T37" s="178" t="e">
        <f t="shared" si="12"/>
        <v>#N/A</v>
      </c>
      <c r="U37" s="178" t="e">
        <f t="shared" si="13"/>
        <v>#N/A</v>
      </c>
      <c r="V37" s="178"/>
      <c r="W37" s="178"/>
      <c r="X37" s="178"/>
      <c r="Y37" s="178"/>
      <c r="Z37" s="178"/>
      <c r="AA37" s="181" t="e">
        <f t="shared" si="9"/>
        <v>#N/A</v>
      </c>
      <c r="AB37" s="178" t="e">
        <f t="shared" si="14"/>
        <v>#N/A</v>
      </c>
      <c r="AC37" s="178" t="e">
        <f t="shared" si="15"/>
        <v>#N/A</v>
      </c>
      <c r="AD37" s="179" t="e">
        <f t="shared" si="3"/>
        <v>#N/A</v>
      </c>
      <c r="AF37" s="211"/>
      <c r="AP37" s="92"/>
    </row>
    <row r="38" spans="2:42" x14ac:dyDescent="0.3">
      <c r="B38" s="188">
        <v>33</v>
      </c>
      <c r="C38" s="205"/>
      <c r="D38" s="206"/>
      <c r="E38" s="207"/>
      <c r="F38" s="207"/>
      <c r="G38" s="183" t="e">
        <f t="shared" si="0"/>
        <v>#N/A</v>
      </c>
      <c r="H38" s="183" t="e">
        <f t="shared" si="2"/>
        <v>#N/A</v>
      </c>
      <c r="I38" s="221">
        <f>'Plot Data'!$E$67</f>
        <v>3.2071499393601659</v>
      </c>
      <c r="J38" s="221">
        <f>'Plot Data'!$E$65</f>
        <v>3.358356369829854</v>
      </c>
      <c r="K38" s="222">
        <f>'Plot Data'!$E$58</f>
        <v>3.6607692307692301</v>
      </c>
      <c r="L38" s="222">
        <f>'Plot Data'!$E$62</f>
        <v>3.9631820917086062</v>
      </c>
      <c r="M38" s="222">
        <f>'Plot Data'!$E$64</f>
        <v>4.1143885221782943</v>
      </c>
      <c r="N38" s="222">
        <f>'Plot Data'!$E$68</f>
        <v>0.1</v>
      </c>
      <c r="O38" s="177" t="e">
        <f t="shared" si="1"/>
        <v>#N/A</v>
      </c>
      <c r="P38" s="180" t="e">
        <f t="shared" si="4"/>
        <v>#N/A</v>
      </c>
      <c r="Q38" s="180" t="e">
        <f t="shared" si="10"/>
        <v>#N/A</v>
      </c>
      <c r="R38" s="180" t="e">
        <f t="shared" si="11"/>
        <v>#N/A</v>
      </c>
      <c r="S38" s="178" t="str">
        <f t="shared" si="5"/>
        <v/>
      </c>
      <c r="T38" s="178" t="e">
        <f t="shared" si="12"/>
        <v>#N/A</v>
      </c>
      <c r="U38" s="178" t="e">
        <f t="shared" si="13"/>
        <v>#N/A</v>
      </c>
      <c r="V38" s="178"/>
      <c r="W38" s="178"/>
      <c r="X38" s="178"/>
      <c r="Y38" s="178"/>
      <c r="Z38" s="178"/>
      <c r="AA38" s="181" t="e">
        <f t="shared" si="9"/>
        <v>#N/A</v>
      </c>
      <c r="AB38" s="178" t="e">
        <f t="shared" si="14"/>
        <v>#N/A</v>
      </c>
      <c r="AC38" s="178" t="e">
        <f t="shared" si="15"/>
        <v>#N/A</v>
      </c>
      <c r="AD38" s="179" t="e">
        <f t="shared" si="3"/>
        <v>#N/A</v>
      </c>
      <c r="AF38" s="211"/>
      <c r="AP38" s="92"/>
    </row>
    <row r="39" spans="2:42" x14ac:dyDescent="0.3">
      <c r="B39" s="188">
        <v>34</v>
      </c>
      <c r="C39" s="205"/>
      <c r="D39" s="206"/>
      <c r="E39" s="207"/>
      <c r="F39" s="207"/>
      <c r="G39" s="183" t="e">
        <f t="shared" si="0"/>
        <v>#N/A</v>
      </c>
      <c r="H39" s="183" t="e">
        <f t="shared" si="2"/>
        <v>#N/A</v>
      </c>
      <c r="I39" s="221">
        <f>'Plot Data'!$E$67</f>
        <v>3.2071499393601659</v>
      </c>
      <c r="J39" s="221">
        <f>'Plot Data'!$E$65</f>
        <v>3.358356369829854</v>
      </c>
      <c r="K39" s="222">
        <f>'Plot Data'!$E$58</f>
        <v>3.6607692307692301</v>
      </c>
      <c r="L39" s="222">
        <f>'Plot Data'!$E$62</f>
        <v>3.9631820917086062</v>
      </c>
      <c r="M39" s="222">
        <f>'Plot Data'!$E$64</f>
        <v>4.1143885221782943</v>
      </c>
      <c r="N39" s="222">
        <f>'Plot Data'!$E$68</f>
        <v>0.1</v>
      </c>
      <c r="O39" s="177" t="e">
        <f t="shared" si="1"/>
        <v>#N/A</v>
      </c>
      <c r="P39" s="180" t="e">
        <f t="shared" si="4"/>
        <v>#N/A</v>
      </c>
      <c r="Q39" s="180" t="e">
        <f t="shared" si="10"/>
        <v>#N/A</v>
      </c>
      <c r="R39" s="180" t="e">
        <f t="shared" si="11"/>
        <v>#N/A</v>
      </c>
      <c r="S39" s="178" t="str">
        <f t="shared" si="5"/>
        <v/>
      </c>
      <c r="T39" s="178" t="e">
        <f t="shared" si="12"/>
        <v>#N/A</v>
      </c>
      <c r="U39" s="178" t="e">
        <f t="shared" si="13"/>
        <v>#N/A</v>
      </c>
      <c r="V39" s="178"/>
      <c r="W39" s="178"/>
      <c r="X39" s="178"/>
      <c r="Y39" s="178"/>
      <c r="Z39" s="178"/>
      <c r="AA39" s="181" t="e">
        <f t="shared" si="9"/>
        <v>#N/A</v>
      </c>
      <c r="AB39" s="178" t="e">
        <f t="shared" si="14"/>
        <v>#N/A</v>
      </c>
      <c r="AC39" s="178" t="e">
        <f t="shared" si="15"/>
        <v>#N/A</v>
      </c>
      <c r="AD39" s="179" t="e">
        <f t="shared" si="3"/>
        <v>#N/A</v>
      </c>
      <c r="AF39" s="211"/>
      <c r="AP39" s="92"/>
    </row>
    <row r="40" spans="2:42" x14ac:dyDescent="0.3">
      <c r="B40" s="188">
        <v>35</v>
      </c>
      <c r="C40" s="205"/>
      <c r="D40" s="206"/>
      <c r="E40" s="207"/>
      <c r="F40" s="207"/>
      <c r="G40" s="183" t="e">
        <f t="shared" si="0"/>
        <v>#N/A</v>
      </c>
      <c r="H40" s="183" t="e">
        <f t="shared" si="2"/>
        <v>#N/A</v>
      </c>
      <c r="I40" s="221">
        <f>'Plot Data'!$E$67</f>
        <v>3.2071499393601659</v>
      </c>
      <c r="J40" s="221">
        <f>'Plot Data'!$E$65</f>
        <v>3.358356369829854</v>
      </c>
      <c r="K40" s="222">
        <f>'Plot Data'!$E$58</f>
        <v>3.6607692307692301</v>
      </c>
      <c r="L40" s="222">
        <f>'Plot Data'!$E$62</f>
        <v>3.9631820917086062</v>
      </c>
      <c r="M40" s="222">
        <f>'Plot Data'!$E$64</f>
        <v>4.1143885221782943</v>
      </c>
      <c r="N40" s="222">
        <f>'Plot Data'!$E$68</f>
        <v>0.1</v>
      </c>
      <c r="O40" s="177" t="e">
        <f t="shared" si="1"/>
        <v>#N/A</v>
      </c>
      <c r="P40" s="180" t="e">
        <f t="shared" si="4"/>
        <v>#N/A</v>
      </c>
      <c r="Q40" s="180" t="e">
        <f t="shared" si="10"/>
        <v>#N/A</v>
      </c>
      <c r="R40" s="180" t="e">
        <f t="shared" si="11"/>
        <v>#N/A</v>
      </c>
      <c r="S40" s="178" t="str">
        <f t="shared" si="5"/>
        <v/>
      </c>
      <c r="T40" s="178" t="e">
        <f t="shared" si="12"/>
        <v>#N/A</v>
      </c>
      <c r="U40" s="178" t="e">
        <f t="shared" si="13"/>
        <v>#N/A</v>
      </c>
      <c r="V40" s="178"/>
      <c r="W40" s="178"/>
      <c r="X40" s="178"/>
      <c r="Y40" s="178"/>
      <c r="Z40" s="178"/>
      <c r="AA40" s="181" t="e">
        <f t="shared" si="9"/>
        <v>#N/A</v>
      </c>
      <c r="AB40" s="178" t="e">
        <f t="shared" si="14"/>
        <v>#N/A</v>
      </c>
      <c r="AC40" s="178" t="e">
        <f t="shared" si="15"/>
        <v>#N/A</v>
      </c>
      <c r="AD40" s="179" t="e">
        <f t="shared" si="3"/>
        <v>#N/A</v>
      </c>
      <c r="AF40" s="211"/>
      <c r="AP40" s="92"/>
    </row>
    <row r="41" spans="2:42" x14ac:dyDescent="0.3">
      <c r="B41" s="188">
        <v>36</v>
      </c>
      <c r="C41" s="205"/>
      <c r="D41" s="206"/>
      <c r="E41" s="207"/>
      <c r="F41" s="207"/>
      <c r="G41" s="183" t="e">
        <f t="shared" si="0"/>
        <v>#N/A</v>
      </c>
      <c r="H41" s="183" t="e">
        <f t="shared" si="2"/>
        <v>#N/A</v>
      </c>
      <c r="I41" s="221">
        <f>'Plot Data'!$E$67</f>
        <v>3.2071499393601659</v>
      </c>
      <c r="J41" s="221">
        <f>'Plot Data'!$E$65</f>
        <v>3.358356369829854</v>
      </c>
      <c r="K41" s="222">
        <f>'Plot Data'!$E$58</f>
        <v>3.6607692307692301</v>
      </c>
      <c r="L41" s="222">
        <f>'Plot Data'!$E$62</f>
        <v>3.9631820917086062</v>
      </c>
      <c r="M41" s="222">
        <f>'Plot Data'!$E$64</f>
        <v>4.1143885221782943</v>
      </c>
      <c r="N41" s="222">
        <f>'Plot Data'!$E$68</f>
        <v>0.1</v>
      </c>
      <c r="O41" s="177" t="e">
        <f t="shared" si="1"/>
        <v>#N/A</v>
      </c>
      <c r="P41" s="180" t="e">
        <f t="shared" si="4"/>
        <v>#N/A</v>
      </c>
      <c r="Q41" s="180" t="e">
        <f t="shared" si="10"/>
        <v>#N/A</v>
      </c>
      <c r="R41" s="180" t="e">
        <f t="shared" si="11"/>
        <v>#N/A</v>
      </c>
      <c r="S41" s="178" t="str">
        <f t="shared" si="5"/>
        <v/>
      </c>
      <c r="T41" s="178" t="e">
        <f t="shared" si="12"/>
        <v>#N/A</v>
      </c>
      <c r="U41" s="178" t="e">
        <f t="shared" si="13"/>
        <v>#N/A</v>
      </c>
      <c r="V41" s="178"/>
      <c r="W41" s="178"/>
      <c r="X41" s="178"/>
      <c r="Y41" s="178"/>
      <c r="Z41" s="178"/>
      <c r="AA41" s="181" t="e">
        <f t="shared" si="9"/>
        <v>#N/A</v>
      </c>
      <c r="AB41" s="178" t="e">
        <f t="shared" si="14"/>
        <v>#N/A</v>
      </c>
      <c r="AC41" s="178" t="e">
        <f t="shared" si="15"/>
        <v>#N/A</v>
      </c>
      <c r="AD41" s="179" t="e">
        <f t="shared" si="3"/>
        <v>#N/A</v>
      </c>
      <c r="AF41" s="211"/>
      <c r="AP41" s="92"/>
    </row>
    <row r="42" spans="2:42" x14ac:dyDescent="0.3">
      <c r="B42" s="188">
        <v>37</v>
      </c>
      <c r="C42" s="205"/>
      <c r="D42" s="206"/>
      <c r="E42" s="207"/>
      <c r="F42" s="207"/>
      <c r="G42" s="183" t="e">
        <f t="shared" si="0"/>
        <v>#N/A</v>
      </c>
      <c r="H42" s="183" t="e">
        <f t="shared" si="2"/>
        <v>#N/A</v>
      </c>
      <c r="I42" s="221">
        <f>'Plot Data'!$E$67</f>
        <v>3.2071499393601659</v>
      </c>
      <c r="J42" s="221">
        <f>'Plot Data'!$E$65</f>
        <v>3.358356369829854</v>
      </c>
      <c r="K42" s="222">
        <f>'Plot Data'!$E$58</f>
        <v>3.6607692307692301</v>
      </c>
      <c r="L42" s="222">
        <f>'Plot Data'!$E$62</f>
        <v>3.9631820917086062</v>
      </c>
      <c r="M42" s="222">
        <f>'Plot Data'!$E$64</f>
        <v>4.1143885221782943</v>
      </c>
      <c r="N42" s="222">
        <f>'Plot Data'!$E$68</f>
        <v>0.1</v>
      </c>
      <c r="O42" s="177" t="e">
        <f t="shared" si="1"/>
        <v>#N/A</v>
      </c>
      <c r="P42" s="180" t="e">
        <f t="shared" si="4"/>
        <v>#N/A</v>
      </c>
      <c r="Q42" s="180" t="e">
        <f t="shared" si="10"/>
        <v>#N/A</v>
      </c>
      <c r="R42" s="180" t="e">
        <f t="shared" si="11"/>
        <v>#N/A</v>
      </c>
      <c r="S42" s="178" t="str">
        <f t="shared" si="5"/>
        <v/>
      </c>
      <c r="T42" s="178" t="e">
        <f t="shared" si="12"/>
        <v>#N/A</v>
      </c>
      <c r="U42" s="178" t="e">
        <f t="shared" si="13"/>
        <v>#N/A</v>
      </c>
      <c r="V42" s="178"/>
      <c r="W42" s="178"/>
      <c r="X42" s="178"/>
      <c r="Y42" s="178"/>
      <c r="Z42" s="178"/>
      <c r="AA42" s="181" t="e">
        <f t="shared" si="9"/>
        <v>#N/A</v>
      </c>
      <c r="AB42" s="178" t="e">
        <f t="shared" si="14"/>
        <v>#N/A</v>
      </c>
      <c r="AC42" s="178" t="e">
        <f t="shared" si="15"/>
        <v>#N/A</v>
      </c>
      <c r="AD42" s="179" t="e">
        <f t="shared" si="3"/>
        <v>#N/A</v>
      </c>
      <c r="AF42" s="211"/>
      <c r="AP42" s="92"/>
    </row>
    <row r="43" spans="2:42" x14ac:dyDescent="0.3">
      <c r="B43" s="188">
        <v>38</v>
      </c>
      <c r="C43" s="205"/>
      <c r="D43" s="206"/>
      <c r="E43" s="207"/>
      <c r="F43" s="207"/>
      <c r="G43" s="183" t="e">
        <f t="shared" si="0"/>
        <v>#N/A</v>
      </c>
      <c r="H43" s="183" t="e">
        <f t="shared" si="2"/>
        <v>#N/A</v>
      </c>
      <c r="I43" s="221">
        <f>'Plot Data'!$E$67</f>
        <v>3.2071499393601659</v>
      </c>
      <c r="J43" s="221">
        <f>'Plot Data'!$E$65</f>
        <v>3.358356369829854</v>
      </c>
      <c r="K43" s="222">
        <f>'Plot Data'!$E$58</f>
        <v>3.6607692307692301</v>
      </c>
      <c r="L43" s="222">
        <f>'Plot Data'!$E$62</f>
        <v>3.9631820917086062</v>
      </c>
      <c r="M43" s="222">
        <f>'Plot Data'!$E$64</f>
        <v>4.1143885221782943</v>
      </c>
      <c r="N43" s="222">
        <f>'Plot Data'!$E$68</f>
        <v>0.1</v>
      </c>
      <c r="O43" s="177" t="e">
        <f t="shared" si="1"/>
        <v>#N/A</v>
      </c>
      <c r="P43" s="180" t="e">
        <f t="shared" si="4"/>
        <v>#N/A</v>
      </c>
      <c r="Q43" s="180" t="e">
        <f t="shared" si="10"/>
        <v>#N/A</v>
      </c>
      <c r="R43" s="180" t="e">
        <f t="shared" si="11"/>
        <v>#N/A</v>
      </c>
      <c r="S43" s="178" t="str">
        <f t="shared" si="5"/>
        <v/>
      </c>
      <c r="T43" s="178" t="e">
        <f t="shared" si="12"/>
        <v>#N/A</v>
      </c>
      <c r="U43" s="178" t="e">
        <f t="shared" si="13"/>
        <v>#N/A</v>
      </c>
      <c r="V43" s="178"/>
      <c r="W43" s="178"/>
      <c r="X43" s="178"/>
      <c r="Y43" s="178"/>
      <c r="Z43" s="178"/>
      <c r="AA43" s="181" t="e">
        <f t="shared" si="9"/>
        <v>#N/A</v>
      </c>
      <c r="AB43" s="178" t="e">
        <f t="shared" si="14"/>
        <v>#N/A</v>
      </c>
      <c r="AC43" s="178" t="e">
        <f t="shared" si="15"/>
        <v>#N/A</v>
      </c>
      <c r="AD43" s="179" t="e">
        <f t="shared" si="3"/>
        <v>#N/A</v>
      </c>
      <c r="AF43" s="211"/>
      <c r="AP43" s="92"/>
    </row>
    <row r="44" spans="2:42" x14ac:dyDescent="0.3">
      <c r="B44" s="188">
        <v>39</v>
      </c>
      <c r="C44" s="205"/>
      <c r="D44" s="206"/>
      <c r="E44" s="207"/>
      <c r="F44" s="207"/>
      <c r="G44" s="183" t="e">
        <f t="shared" si="0"/>
        <v>#N/A</v>
      </c>
      <c r="H44" s="183" t="e">
        <f t="shared" si="2"/>
        <v>#N/A</v>
      </c>
      <c r="I44" s="221">
        <f>'Plot Data'!$E$67</f>
        <v>3.2071499393601659</v>
      </c>
      <c r="J44" s="221">
        <f>'Plot Data'!$E$65</f>
        <v>3.358356369829854</v>
      </c>
      <c r="K44" s="222">
        <f>'Plot Data'!$E$58</f>
        <v>3.6607692307692301</v>
      </c>
      <c r="L44" s="222">
        <f>'Plot Data'!$E$62</f>
        <v>3.9631820917086062</v>
      </c>
      <c r="M44" s="222">
        <f>'Plot Data'!$E$64</f>
        <v>4.1143885221782943</v>
      </c>
      <c r="N44" s="222">
        <f>'Plot Data'!$E$68</f>
        <v>0.1</v>
      </c>
      <c r="O44" s="190" t="e">
        <f t="shared" si="1"/>
        <v>#N/A</v>
      </c>
      <c r="P44" s="191" t="e">
        <f t="shared" si="4"/>
        <v>#N/A</v>
      </c>
      <c r="Q44" s="191" t="e">
        <f t="shared" si="10"/>
        <v>#N/A</v>
      </c>
      <c r="R44" s="191" t="e">
        <f t="shared" si="11"/>
        <v>#N/A</v>
      </c>
      <c r="S44" s="192" t="str">
        <f t="shared" si="5"/>
        <v/>
      </c>
      <c r="T44" s="192" t="e">
        <f t="shared" si="12"/>
        <v>#N/A</v>
      </c>
      <c r="U44" s="192" t="e">
        <f t="shared" si="13"/>
        <v>#N/A</v>
      </c>
      <c r="V44" s="192"/>
      <c r="W44" s="192"/>
      <c r="X44" s="192"/>
      <c r="Y44" s="192"/>
      <c r="Z44" s="192"/>
      <c r="AA44" s="193" t="e">
        <f t="shared" si="9"/>
        <v>#N/A</v>
      </c>
      <c r="AB44" s="192" t="e">
        <f t="shared" si="14"/>
        <v>#N/A</v>
      </c>
      <c r="AC44" s="192" t="e">
        <f t="shared" si="15"/>
        <v>#N/A</v>
      </c>
      <c r="AD44" s="194" t="e">
        <f t="shared" si="3"/>
        <v>#N/A</v>
      </c>
      <c r="AF44" s="211"/>
      <c r="AP44" s="92"/>
    </row>
    <row r="45" spans="2:42" x14ac:dyDescent="0.3">
      <c r="B45" s="188">
        <v>40</v>
      </c>
      <c r="C45" s="205"/>
      <c r="D45" s="206"/>
      <c r="E45" s="207"/>
      <c r="F45" s="207"/>
      <c r="G45" s="183" t="e">
        <f t="shared" si="0"/>
        <v>#N/A</v>
      </c>
      <c r="H45" s="183" t="e">
        <f t="shared" si="2"/>
        <v>#N/A</v>
      </c>
      <c r="I45" s="221">
        <f>'Plot Data'!$E$67</f>
        <v>3.2071499393601659</v>
      </c>
      <c r="J45" s="221">
        <f>'Plot Data'!$E$65</f>
        <v>3.358356369829854</v>
      </c>
      <c r="K45" s="222">
        <f>'Plot Data'!$E$58</f>
        <v>3.6607692307692301</v>
      </c>
      <c r="L45" s="222">
        <f>'Plot Data'!$E$62</f>
        <v>3.9631820917086062</v>
      </c>
      <c r="M45" s="222">
        <f>'Plot Data'!$E$64</f>
        <v>4.1143885221782943</v>
      </c>
      <c r="N45" s="222">
        <f>'Plot Data'!$E$68</f>
        <v>0.1</v>
      </c>
      <c r="O45" s="190" t="e">
        <f t="shared" si="1"/>
        <v>#N/A</v>
      </c>
      <c r="P45" s="191" t="e">
        <f t="shared" si="4"/>
        <v>#N/A</v>
      </c>
      <c r="Q45" s="191" t="e">
        <f t="shared" si="10"/>
        <v>#N/A</v>
      </c>
      <c r="R45" s="191" t="e">
        <f t="shared" si="11"/>
        <v>#N/A</v>
      </c>
      <c r="S45" s="192" t="str">
        <f t="shared" si="5"/>
        <v/>
      </c>
      <c r="T45" s="192" t="e">
        <f t="shared" si="12"/>
        <v>#N/A</v>
      </c>
      <c r="U45" s="192" t="e">
        <f t="shared" si="13"/>
        <v>#N/A</v>
      </c>
      <c r="V45" s="192"/>
      <c r="W45" s="192"/>
      <c r="X45" s="192"/>
      <c r="Y45" s="192"/>
      <c r="Z45" s="192"/>
      <c r="AA45" s="193" t="e">
        <f t="shared" si="9"/>
        <v>#N/A</v>
      </c>
      <c r="AB45" s="192" t="e">
        <f t="shared" si="14"/>
        <v>#N/A</v>
      </c>
      <c r="AC45" s="192" t="e">
        <f t="shared" si="15"/>
        <v>#N/A</v>
      </c>
      <c r="AD45" s="194" t="e">
        <f t="shared" si="3"/>
        <v>#N/A</v>
      </c>
      <c r="AF45" s="211"/>
      <c r="AP45" s="92"/>
    </row>
    <row r="46" spans="2:42" x14ac:dyDescent="0.3">
      <c r="B46" s="188">
        <v>41</v>
      </c>
      <c r="C46" s="205"/>
      <c r="D46" s="206"/>
      <c r="E46" s="207"/>
      <c r="F46" s="207"/>
      <c r="G46" s="183" t="e">
        <f t="shared" si="0"/>
        <v>#N/A</v>
      </c>
      <c r="H46" s="183" t="e">
        <f t="shared" si="2"/>
        <v>#N/A</v>
      </c>
      <c r="I46" s="221">
        <f>'Plot Data'!$E$67</f>
        <v>3.2071499393601659</v>
      </c>
      <c r="J46" s="221">
        <f>'Plot Data'!$E$65</f>
        <v>3.358356369829854</v>
      </c>
      <c r="K46" s="222">
        <f>'Plot Data'!$E$58</f>
        <v>3.6607692307692301</v>
      </c>
      <c r="L46" s="222">
        <f>'Plot Data'!$E$62</f>
        <v>3.9631820917086062</v>
      </c>
      <c r="M46" s="222">
        <f>'Plot Data'!$E$64</f>
        <v>4.1143885221782943</v>
      </c>
      <c r="N46" s="222">
        <f>'Plot Data'!$E$68</f>
        <v>0.1</v>
      </c>
      <c r="O46" s="190" t="e">
        <f t="shared" si="1"/>
        <v>#N/A</v>
      </c>
      <c r="P46" s="191" t="e">
        <f t="shared" si="4"/>
        <v>#N/A</v>
      </c>
      <c r="Q46" s="191" t="e">
        <f t="shared" si="10"/>
        <v>#N/A</v>
      </c>
      <c r="R46" s="191" t="e">
        <f t="shared" si="11"/>
        <v>#N/A</v>
      </c>
      <c r="S46" s="192" t="str">
        <f t="shared" si="5"/>
        <v/>
      </c>
      <c r="T46" s="192" t="e">
        <f t="shared" si="12"/>
        <v>#N/A</v>
      </c>
      <c r="U46" s="192" t="e">
        <f t="shared" si="13"/>
        <v>#N/A</v>
      </c>
      <c r="V46" s="192"/>
      <c r="W46" s="192"/>
      <c r="X46" s="192"/>
      <c r="Y46" s="192"/>
      <c r="Z46" s="192"/>
      <c r="AA46" s="193" t="e">
        <f t="shared" si="9"/>
        <v>#N/A</v>
      </c>
      <c r="AB46" s="192" t="e">
        <f t="shared" si="14"/>
        <v>#N/A</v>
      </c>
      <c r="AC46" s="192" t="e">
        <f t="shared" si="15"/>
        <v>#N/A</v>
      </c>
      <c r="AD46" s="194" t="e">
        <f t="shared" si="3"/>
        <v>#N/A</v>
      </c>
      <c r="AF46" s="211"/>
      <c r="AP46" s="92"/>
    </row>
    <row r="47" spans="2:42" x14ac:dyDescent="0.3">
      <c r="B47" s="188">
        <v>42</v>
      </c>
      <c r="C47" s="205"/>
      <c r="D47" s="206"/>
      <c r="E47" s="207"/>
      <c r="F47" s="207"/>
      <c r="G47" s="183" t="e">
        <f t="shared" si="0"/>
        <v>#N/A</v>
      </c>
      <c r="H47" s="183" t="e">
        <f t="shared" si="2"/>
        <v>#N/A</v>
      </c>
      <c r="I47" s="221">
        <f>'Plot Data'!$E$67</f>
        <v>3.2071499393601659</v>
      </c>
      <c r="J47" s="221">
        <f>'Plot Data'!$E$65</f>
        <v>3.358356369829854</v>
      </c>
      <c r="K47" s="222">
        <f>'Plot Data'!$E$58</f>
        <v>3.6607692307692301</v>
      </c>
      <c r="L47" s="222">
        <f>'Plot Data'!$E$62</f>
        <v>3.9631820917086062</v>
      </c>
      <c r="M47" s="222">
        <f>'Plot Data'!$E$64</f>
        <v>4.1143885221782943</v>
      </c>
      <c r="N47" s="222">
        <f>'Plot Data'!$E$68</f>
        <v>0.1</v>
      </c>
      <c r="O47" s="190" t="e">
        <f t="shared" si="1"/>
        <v>#N/A</v>
      </c>
      <c r="P47" s="191" t="e">
        <f t="shared" si="4"/>
        <v>#N/A</v>
      </c>
      <c r="Q47" s="191" t="e">
        <f t="shared" si="10"/>
        <v>#N/A</v>
      </c>
      <c r="R47" s="191" t="e">
        <f t="shared" si="11"/>
        <v>#N/A</v>
      </c>
      <c r="S47" s="192" t="str">
        <f t="shared" si="5"/>
        <v/>
      </c>
      <c r="T47" s="192" t="e">
        <f t="shared" si="12"/>
        <v>#N/A</v>
      </c>
      <c r="U47" s="192" t="e">
        <f t="shared" si="13"/>
        <v>#N/A</v>
      </c>
      <c r="V47" s="192"/>
      <c r="W47" s="192"/>
      <c r="X47" s="192"/>
      <c r="Y47" s="192"/>
      <c r="Z47" s="192"/>
      <c r="AA47" s="193" t="e">
        <f t="shared" si="9"/>
        <v>#N/A</v>
      </c>
      <c r="AB47" s="192" t="e">
        <f t="shared" si="14"/>
        <v>#N/A</v>
      </c>
      <c r="AC47" s="192" t="e">
        <f t="shared" si="15"/>
        <v>#N/A</v>
      </c>
      <c r="AD47" s="194" t="e">
        <f t="shared" si="3"/>
        <v>#N/A</v>
      </c>
      <c r="AF47" s="211"/>
      <c r="AP47" s="92"/>
    </row>
    <row r="48" spans="2:42" x14ac:dyDescent="0.3">
      <c r="B48" s="188">
        <v>43</v>
      </c>
      <c r="C48" s="205"/>
      <c r="D48" s="206"/>
      <c r="E48" s="207"/>
      <c r="F48" s="207"/>
      <c r="G48" s="183" t="e">
        <f t="shared" si="0"/>
        <v>#N/A</v>
      </c>
      <c r="H48" s="183" t="e">
        <f t="shared" si="2"/>
        <v>#N/A</v>
      </c>
      <c r="I48" s="221">
        <f>'Plot Data'!$E$67</f>
        <v>3.2071499393601659</v>
      </c>
      <c r="J48" s="221">
        <f>'Plot Data'!$E$65</f>
        <v>3.358356369829854</v>
      </c>
      <c r="K48" s="222">
        <f>'Plot Data'!$E$58</f>
        <v>3.6607692307692301</v>
      </c>
      <c r="L48" s="222">
        <f>'Plot Data'!$E$62</f>
        <v>3.9631820917086062</v>
      </c>
      <c r="M48" s="222">
        <f>'Plot Data'!$E$64</f>
        <v>4.1143885221782943</v>
      </c>
      <c r="N48" s="222">
        <f>'Plot Data'!$E$68</f>
        <v>0.1</v>
      </c>
      <c r="O48" s="190" t="e">
        <f t="shared" si="1"/>
        <v>#N/A</v>
      </c>
      <c r="P48" s="191" t="e">
        <f t="shared" si="4"/>
        <v>#N/A</v>
      </c>
      <c r="Q48" s="191" t="e">
        <f t="shared" si="10"/>
        <v>#N/A</v>
      </c>
      <c r="R48" s="191" t="e">
        <f t="shared" si="11"/>
        <v>#N/A</v>
      </c>
      <c r="S48" s="192" t="str">
        <f t="shared" si="5"/>
        <v/>
      </c>
      <c r="T48" s="192" t="e">
        <f t="shared" si="12"/>
        <v>#N/A</v>
      </c>
      <c r="U48" s="192" t="e">
        <f t="shared" si="13"/>
        <v>#N/A</v>
      </c>
      <c r="V48" s="192"/>
      <c r="W48" s="192"/>
      <c r="X48" s="192"/>
      <c r="Y48" s="192"/>
      <c r="Z48" s="192"/>
      <c r="AA48" s="193" t="e">
        <f t="shared" si="9"/>
        <v>#N/A</v>
      </c>
      <c r="AB48" s="192" t="e">
        <f t="shared" si="14"/>
        <v>#N/A</v>
      </c>
      <c r="AC48" s="192" t="e">
        <f t="shared" si="15"/>
        <v>#N/A</v>
      </c>
      <c r="AD48" s="194" t="e">
        <f t="shared" si="3"/>
        <v>#N/A</v>
      </c>
      <c r="AF48" s="211"/>
      <c r="AP48" s="92"/>
    </row>
    <row r="49" spans="2:42" x14ac:dyDescent="0.3">
      <c r="B49" s="188">
        <v>44</v>
      </c>
      <c r="C49" s="205"/>
      <c r="D49" s="206"/>
      <c r="E49" s="207"/>
      <c r="F49" s="207"/>
      <c r="G49" s="183" t="e">
        <f t="shared" si="0"/>
        <v>#N/A</v>
      </c>
      <c r="H49" s="183" t="e">
        <f t="shared" si="2"/>
        <v>#N/A</v>
      </c>
      <c r="I49" s="221">
        <f>'Plot Data'!$E$67</f>
        <v>3.2071499393601659</v>
      </c>
      <c r="J49" s="221">
        <f>'Plot Data'!$E$65</f>
        <v>3.358356369829854</v>
      </c>
      <c r="K49" s="222">
        <f>'Plot Data'!$E$58</f>
        <v>3.6607692307692301</v>
      </c>
      <c r="L49" s="222">
        <f>'Plot Data'!$E$62</f>
        <v>3.9631820917086062</v>
      </c>
      <c r="M49" s="222">
        <f>'Plot Data'!$E$64</f>
        <v>4.1143885221782943</v>
      </c>
      <c r="N49" s="222">
        <f>'Plot Data'!$E$68</f>
        <v>0.1</v>
      </c>
      <c r="O49" s="190" t="e">
        <f t="shared" si="1"/>
        <v>#N/A</v>
      </c>
      <c r="P49" s="191" t="e">
        <f t="shared" si="4"/>
        <v>#N/A</v>
      </c>
      <c r="Q49" s="191" t="e">
        <f t="shared" si="10"/>
        <v>#N/A</v>
      </c>
      <c r="R49" s="191" t="e">
        <f t="shared" si="11"/>
        <v>#N/A</v>
      </c>
      <c r="S49" s="192" t="str">
        <f t="shared" si="5"/>
        <v/>
      </c>
      <c r="T49" s="192" t="e">
        <f t="shared" si="12"/>
        <v>#N/A</v>
      </c>
      <c r="U49" s="192" t="e">
        <f t="shared" si="13"/>
        <v>#N/A</v>
      </c>
      <c r="V49" s="192"/>
      <c r="W49" s="192"/>
      <c r="X49" s="192"/>
      <c r="Y49" s="192"/>
      <c r="Z49" s="192"/>
      <c r="AA49" s="193" t="e">
        <f t="shared" si="9"/>
        <v>#N/A</v>
      </c>
      <c r="AB49" s="192" t="e">
        <f t="shared" si="14"/>
        <v>#N/A</v>
      </c>
      <c r="AC49" s="192" t="e">
        <f t="shared" si="15"/>
        <v>#N/A</v>
      </c>
      <c r="AD49" s="194" t="e">
        <f t="shared" si="3"/>
        <v>#N/A</v>
      </c>
      <c r="AF49" s="211"/>
      <c r="AP49" s="92"/>
    </row>
    <row r="50" spans="2:42" x14ac:dyDescent="0.3">
      <c r="B50" s="188">
        <v>45</v>
      </c>
      <c r="C50" s="205"/>
      <c r="D50" s="206"/>
      <c r="E50" s="207"/>
      <c r="F50" s="207"/>
      <c r="G50" s="183" t="e">
        <f t="shared" si="0"/>
        <v>#N/A</v>
      </c>
      <c r="H50" s="183" t="e">
        <f t="shared" si="2"/>
        <v>#N/A</v>
      </c>
      <c r="I50" s="221">
        <f>'Plot Data'!$E$67</f>
        <v>3.2071499393601659</v>
      </c>
      <c r="J50" s="221">
        <f>'Plot Data'!$E$65</f>
        <v>3.358356369829854</v>
      </c>
      <c r="K50" s="222">
        <f>'Plot Data'!$E$58</f>
        <v>3.6607692307692301</v>
      </c>
      <c r="L50" s="222">
        <f>'Plot Data'!$E$62</f>
        <v>3.9631820917086062</v>
      </c>
      <c r="M50" s="222">
        <f>'Plot Data'!$E$64</f>
        <v>4.1143885221782943</v>
      </c>
      <c r="N50" s="222">
        <f>'Plot Data'!$E$68</f>
        <v>0.1</v>
      </c>
      <c r="O50" s="190" t="e">
        <f t="shared" si="1"/>
        <v>#N/A</v>
      </c>
      <c r="P50" s="191" t="e">
        <f t="shared" si="4"/>
        <v>#N/A</v>
      </c>
      <c r="Q50" s="191" t="e">
        <f t="shared" si="10"/>
        <v>#N/A</v>
      </c>
      <c r="R50" s="191" t="e">
        <f t="shared" si="11"/>
        <v>#N/A</v>
      </c>
      <c r="S50" s="192" t="str">
        <f t="shared" si="5"/>
        <v/>
      </c>
      <c r="T50" s="192" t="e">
        <f t="shared" si="12"/>
        <v>#N/A</v>
      </c>
      <c r="U50" s="192" t="e">
        <f t="shared" si="13"/>
        <v>#N/A</v>
      </c>
      <c r="V50" s="192"/>
      <c r="W50" s="192"/>
      <c r="X50" s="192"/>
      <c r="Y50" s="192"/>
      <c r="Z50" s="192"/>
      <c r="AA50" s="193" t="e">
        <f t="shared" si="9"/>
        <v>#N/A</v>
      </c>
      <c r="AB50" s="192" t="e">
        <f t="shared" si="14"/>
        <v>#N/A</v>
      </c>
      <c r="AC50" s="192" t="e">
        <f t="shared" si="15"/>
        <v>#N/A</v>
      </c>
      <c r="AD50" s="194" t="e">
        <f t="shared" si="3"/>
        <v>#N/A</v>
      </c>
      <c r="AF50" s="211"/>
      <c r="AP50" s="92"/>
    </row>
    <row r="51" spans="2:42" x14ac:dyDescent="0.3">
      <c r="B51" s="188">
        <v>46</v>
      </c>
      <c r="C51" s="205"/>
      <c r="D51" s="206"/>
      <c r="E51" s="207"/>
      <c r="F51" s="207"/>
      <c r="G51" s="183" t="e">
        <f t="shared" si="0"/>
        <v>#N/A</v>
      </c>
      <c r="H51" s="183" t="e">
        <f t="shared" si="2"/>
        <v>#N/A</v>
      </c>
      <c r="I51" s="221">
        <f>'Plot Data'!$E$67</f>
        <v>3.2071499393601659</v>
      </c>
      <c r="J51" s="221">
        <f>'Plot Data'!$E$65</f>
        <v>3.358356369829854</v>
      </c>
      <c r="K51" s="222">
        <f>'Plot Data'!$E$58</f>
        <v>3.6607692307692301</v>
      </c>
      <c r="L51" s="222">
        <f>'Plot Data'!$E$62</f>
        <v>3.9631820917086062</v>
      </c>
      <c r="M51" s="222">
        <f>'Plot Data'!$E$64</f>
        <v>4.1143885221782943</v>
      </c>
      <c r="N51" s="222">
        <f>'Plot Data'!$E$68</f>
        <v>0.1</v>
      </c>
      <c r="O51" s="190" t="e">
        <f t="shared" si="1"/>
        <v>#N/A</v>
      </c>
      <c r="P51" s="191" t="e">
        <f t="shared" si="4"/>
        <v>#N/A</v>
      </c>
      <c r="Q51" s="191" t="e">
        <f t="shared" si="10"/>
        <v>#N/A</v>
      </c>
      <c r="R51" s="191" t="e">
        <f t="shared" si="11"/>
        <v>#N/A</v>
      </c>
      <c r="S51" s="192" t="str">
        <f t="shared" si="5"/>
        <v/>
      </c>
      <c r="T51" s="192" t="e">
        <f t="shared" si="12"/>
        <v>#N/A</v>
      </c>
      <c r="U51" s="192" t="e">
        <f t="shared" si="13"/>
        <v>#N/A</v>
      </c>
      <c r="V51" s="192"/>
      <c r="W51" s="192"/>
      <c r="X51" s="192"/>
      <c r="Y51" s="192"/>
      <c r="Z51" s="192"/>
      <c r="AA51" s="193" t="e">
        <f t="shared" si="9"/>
        <v>#N/A</v>
      </c>
      <c r="AB51" s="192" t="e">
        <f t="shared" si="14"/>
        <v>#N/A</v>
      </c>
      <c r="AC51" s="192" t="e">
        <f t="shared" si="15"/>
        <v>#N/A</v>
      </c>
      <c r="AD51" s="194" t="e">
        <f t="shared" si="3"/>
        <v>#N/A</v>
      </c>
      <c r="AF51" s="211"/>
      <c r="AP51" s="92"/>
    </row>
    <row r="52" spans="2:42" x14ac:dyDescent="0.3">
      <c r="B52" s="188">
        <v>47</v>
      </c>
      <c r="C52" s="205"/>
      <c r="D52" s="206"/>
      <c r="E52" s="207"/>
      <c r="F52" s="207"/>
      <c r="G52" s="183" t="e">
        <f t="shared" si="0"/>
        <v>#N/A</v>
      </c>
      <c r="H52" s="183" t="e">
        <f t="shared" si="2"/>
        <v>#N/A</v>
      </c>
      <c r="I52" s="221">
        <f>'Plot Data'!$E$67</f>
        <v>3.2071499393601659</v>
      </c>
      <c r="J52" s="221">
        <f>'Plot Data'!$E$65</f>
        <v>3.358356369829854</v>
      </c>
      <c r="K52" s="222">
        <f>'Plot Data'!$E$58</f>
        <v>3.6607692307692301</v>
      </c>
      <c r="L52" s="222">
        <f>'Plot Data'!$E$62</f>
        <v>3.9631820917086062</v>
      </c>
      <c r="M52" s="222">
        <f>'Plot Data'!$E$64</f>
        <v>4.1143885221782943</v>
      </c>
      <c r="N52" s="222">
        <f>'Plot Data'!$E$68</f>
        <v>0.1</v>
      </c>
      <c r="O52" s="190" t="e">
        <f t="shared" si="1"/>
        <v>#N/A</v>
      </c>
      <c r="P52" s="191" t="e">
        <f t="shared" si="4"/>
        <v>#N/A</v>
      </c>
      <c r="Q52" s="191" t="e">
        <f t="shared" si="10"/>
        <v>#N/A</v>
      </c>
      <c r="R52" s="191" t="e">
        <f t="shared" si="11"/>
        <v>#N/A</v>
      </c>
      <c r="S52" s="192" t="str">
        <f t="shared" si="5"/>
        <v/>
      </c>
      <c r="T52" s="192" t="e">
        <f t="shared" si="12"/>
        <v>#N/A</v>
      </c>
      <c r="U52" s="192" t="e">
        <f t="shared" si="13"/>
        <v>#N/A</v>
      </c>
      <c r="V52" s="192"/>
      <c r="W52" s="192"/>
      <c r="X52" s="192"/>
      <c r="Y52" s="192"/>
      <c r="Z52" s="192"/>
      <c r="AA52" s="193" t="e">
        <f t="shared" si="9"/>
        <v>#N/A</v>
      </c>
      <c r="AB52" s="192" t="e">
        <f t="shared" si="14"/>
        <v>#N/A</v>
      </c>
      <c r="AC52" s="192" t="e">
        <f t="shared" si="15"/>
        <v>#N/A</v>
      </c>
      <c r="AD52" s="194" t="e">
        <f t="shared" si="3"/>
        <v>#N/A</v>
      </c>
      <c r="AF52" s="211"/>
      <c r="AP52" s="92"/>
    </row>
    <row r="53" spans="2:42" x14ac:dyDescent="0.3">
      <c r="B53" s="188">
        <v>48</v>
      </c>
      <c r="C53" s="205"/>
      <c r="D53" s="206"/>
      <c r="E53" s="207"/>
      <c r="F53" s="207"/>
      <c r="G53" s="183" t="e">
        <f t="shared" si="0"/>
        <v>#N/A</v>
      </c>
      <c r="H53" s="183" t="e">
        <f t="shared" si="2"/>
        <v>#N/A</v>
      </c>
      <c r="I53" s="221">
        <f>'Plot Data'!$E$67</f>
        <v>3.2071499393601659</v>
      </c>
      <c r="J53" s="221">
        <f>'Plot Data'!$E$65</f>
        <v>3.358356369829854</v>
      </c>
      <c r="K53" s="222">
        <f>'Plot Data'!$E$58</f>
        <v>3.6607692307692301</v>
      </c>
      <c r="L53" s="222">
        <f>'Plot Data'!$E$62</f>
        <v>3.9631820917086062</v>
      </c>
      <c r="M53" s="222">
        <f>'Plot Data'!$E$64</f>
        <v>4.1143885221782943</v>
      </c>
      <c r="N53" s="222">
        <f>'Plot Data'!$E$68</f>
        <v>0.1</v>
      </c>
      <c r="O53" s="190" t="e">
        <f t="shared" si="1"/>
        <v>#N/A</v>
      </c>
      <c r="P53" s="191" t="e">
        <f t="shared" si="4"/>
        <v>#N/A</v>
      </c>
      <c r="Q53" s="191" t="e">
        <f t="shared" si="10"/>
        <v>#N/A</v>
      </c>
      <c r="R53" s="191" t="e">
        <f t="shared" si="11"/>
        <v>#N/A</v>
      </c>
      <c r="S53" s="192" t="str">
        <f t="shared" si="5"/>
        <v/>
      </c>
      <c r="T53" s="192" t="e">
        <f t="shared" si="12"/>
        <v>#N/A</v>
      </c>
      <c r="U53" s="192" t="e">
        <f t="shared" si="13"/>
        <v>#N/A</v>
      </c>
      <c r="V53" s="192"/>
      <c r="W53" s="192"/>
      <c r="X53" s="192"/>
      <c r="Y53" s="192"/>
      <c r="Z53" s="192"/>
      <c r="AA53" s="193" t="e">
        <f t="shared" si="9"/>
        <v>#N/A</v>
      </c>
      <c r="AB53" s="192" t="e">
        <f t="shared" si="14"/>
        <v>#N/A</v>
      </c>
      <c r="AC53" s="192" t="e">
        <f t="shared" si="15"/>
        <v>#N/A</v>
      </c>
      <c r="AD53" s="194" t="e">
        <f t="shared" si="3"/>
        <v>#N/A</v>
      </c>
      <c r="AF53" s="211"/>
      <c r="AP53" s="92"/>
    </row>
    <row r="54" spans="2:42" x14ac:dyDescent="0.3">
      <c r="B54" s="188">
        <v>49</v>
      </c>
      <c r="C54" s="205"/>
      <c r="D54" s="206"/>
      <c r="E54" s="207"/>
      <c r="F54" s="207"/>
      <c r="G54" s="183" t="e">
        <f t="shared" si="0"/>
        <v>#N/A</v>
      </c>
      <c r="H54" s="183" t="e">
        <f t="shared" si="2"/>
        <v>#N/A</v>
      </c>
      <c r="I54" s="221">
        <f>'Plot Data'!$E$67</f>
        <v>3.2071499393601659</v>
      </c>
      <c r="J54" s="221">
        <f>'Plot Data'!$E$65</f>
        <v>3.358356369829854</v>
      </c>
      <c r="K54" s="222">
        <f>'Plot Data'!$E$58</f>
        <v>3.6607692307692301</v>
      </c>
      <c r="L54" s="222">
        <f>'Plot Data'!$E$62</f>
        <v>3.9631820917086062</v>
      </c>
      <c r="M54" s="222">
        <f>'Plot Data'!$E$64</f>
        <v>4.1143885221782943</v>
      </c>
      <c r="N54" s="222">
        <f>'Plot Data'!$E$68</f>
        <v>0.1</v>
      </c>
      <c r="O54" s="190" t="e">
        <f t="shared" si="1"/>
        <v>#N/A</v>
      </c>
      <c r="P54" s="191" t="e">
        <f t="shared" si="4"/>
        <v>#N/A</v>
      </c>
      <c r="Q54" s="191" t="e">
        <f t="shared" si="10"/>
        <v>#N/A</v>
      </c>
      <c r="R54" s="191" t="e">
        <f t="shared" si="11"/>
        <v>#N/A</v>
      </c>
      <c r="S54" s="192" t="str">
        <f t="shared" si="5"/>
        <v/>
      </c>
      <c r="T54" s="192" t="e">
        <f t="shared" si="12"/>
        <v>#N/A</v>
      </c>
      <c r="U54" s="192" t="e">
        <f t="shared" si="13"/>
        <v>#N/A</v>
      </c>
      <c r="V54" s="192"/>
      <c r="W54" s="192"/>
      <c r="X54" s="192"/>
      <c r="Y54" s="192"/>
      <c r="Z54" s="192"/>
      <c r="AA54" s="193" t="e">
        <f t="shared" si="9"/>
        <v>#N/A</v>
      </c>
      <c r="AB54" s="192" t="e">
        <f t="shared" si="14"/>
        <v>#N/A</v>
      </c>
      <c r="AC54" s="192" t="e">
        <f t="shared" si="15"/>
        <v>#N/A</v>
      </c>
      <c r="AD54" s="194" t="e">
        <f t="shared" si="3"/>
        <v>#N/A</v>
      </c>
      <c r="AF54" s="211"/>
      <c r="AP54" s="92"/>
    </row>
    <row r="55" spans="2:42" ht="15" thickBot="1" x14ac:dyDescent="0.35">
      <c r="B55" s="189">
        <v>50</v>
      </c>
      <c r="C55" s="208"/>
      <c r="D55" s="209"/>
      <c r="E55" s="210"/>
      <c r="F55" s="210"/>
      <c r="G55" s="185" t="e">
        <f t="shared" si="0"/>
        <v>#N/A</v>
      </c>
      <c r="H55" s="185" t="e">
        <f t="shared" si="2"/>
        <v>#N/A</v>
      </c>
      <c r="I55" s="223">
        <f>'Plot Data'!$E$67</f>
        <v>3.2071499393601659</v>
      </c>
      <c r="J55" s="223">
        <f>'Plot Data'!$E$65</f>
        <v>3.358356369829854</v>
      </c>
      <c r="K55" s="224">
        <f>'Plot Data'!$E$58</f>
        <v>3.6607692307692301</v>
      </c>
      <c r="L55" s="224">
        <f>'Plot Data'!$E$62</f>
        <v>3.9631820917086062</v>
      </c>
      <c r="M55" s="224">
        <f>'Plot Data'!$E$64</f>
        <v>4.1143885221782943</v>
      </c>
      <c r="N55" s="224">
        <f>'Plot Data'!$E$68</f>
        <v>0.1</v>
      </c>
      <c r="O55" s="195" t="e">
        <f t="shared" si="1"/>
        <v>#N/A</v>
      </c>
      <c r="P55" s="196" t="e">
        <f t="shared" si="4"/>
        <v>#N/A</v>
      </c>
      <c r="Q55" s="196" t="e">
        <f t="shared" si="10"/>
        <v>#N/A</v>
      </c>
      <c r="R55" s="196" t="e">
        <f t="shared" si="11"/>
        <v>#N/A</v>
      </c>
      <c r="S55" s="192" t="str">
        <f t="shared" si="5"/>
        <v/>
      </c>
      <c r="T55" s="197" t="e">
        <f t="shared" si="12"/>
        <v>#N/A</v>
      </c>
      <c r="U55" s="197" t="e">
        <f t="shared" si="13"/>
        <v>#N/A</v>
      </c>
      <c r="V55" s="197"/>
      <c r="W55" s="197"/>
      <c r="X55" s="197"/>
      <c r="Y55" s="197"/>
      <c r="Z55" s="197"/>
      <c r="AA55" s="193" t="e">
        <f t="shared" si="9"/>
        <v>#N/A</v>
      </c>
      <c r="AB55" s="197" t="e">
        <f t="shared" si="14"/>
        <v>#N/A</v>
      </c>
      <c r="AC55" s="192" t="e">
        <f t="shared" si="15"/>
        <v>#N/A</v>
      </c>
      <c r="AD55" s="198" t="e">
        <f t="shared" si="3"/>
        <v>#N/A</v>
      </c>
      <c r="AF55" s="212"/>
      <c r="AG55" s="213"/>
      <c r="AH55" s="213"/>
      <c r="AI55" s="213"/>
      <c r="AJ55" s="213"/>
      <c r="AK55" s="213"/>
      <c r="AL55" s="213"/>
      <c r="AM55" s="213"/>
      <c r="AN55" s="213"/>
      <c r="AO55" s="213"/>
      <c r="AP55" s="214"/>
    </row>
  </sheetData>
  <sheetProtection password="B7E1" sheet="1" objects="1" scenarios="1"/>
  <mergeCells count="25">
    <mergeCell ref="B2:D2"/>
    <mergeCell ref="H2:I2"/>
    <mergeCell ref="J2:K2"/>
    <mergeCell ref="B3:D3"/>
    <mergeCell ref="AF5:AG5"/>
    <mergeCell ref="AK5:AM5"/>
    <mergeCell ref="AN5:AP5"/>
    <mergeCell ref="AF6:AG7"/>
    <mergeCell ref="AH6:AJ7"/>
    <mergeCell ref="AK6:AM7"/>
    <mergeCell ref="AN6:AN7"/>
    <mergeCell ref="AO6:AO7"/>
    <mergeCell ref="AP6:AP7"/>
    <mergeCell ref="AH5:AJ5"/>
    <mergeCell ref="AP35:AP36"/>
    <mergeCell ref="AF31:AP32"/>
    <mergeCell ref="AF33:AG34"/>
    <mergeCell ref="AH33:AJ34"/>
    <mergeCell ref="AK33:AM34"/>
    <mergeCell ref="AN33:AP34"/>
    <mergeCell ref="AF35:AG36"/>
    <mergeCell ref="AH35:AJ36"/>
    <mergeCell ref="AK35:AM36"/>
    <mergeCell ref="AN35:AN36"/>
    <mergeCell ref="AO35:AO36"/>
  </mergeCells>
  <conditionalFormatting sqref="O6:O55">
    <cfRule type="cellIs" dxfId="204" priority="17" operator="equal">
      <formula>"Pass"</formula>
    </cfRule>
    <cfRule type="cellIs" dxfId="203" priority="18" operator="equal">
      <formula>"&lt;-3s"</formula>
    </cfRule>
    <cfRule type="cellIs" dxfId="202" priority="19" operator="equal">
      <formula>"&gt;+3s"</formula>
    </cfRule>
  </conditionalFormatting>
  <conditionalFormatting sqref="P7:P55">
    <cfRule type="cellIs" dxfId="201" priority="9" operator="equal">
      <formula>"Pass"</formula>
    </cfRule>
    <cfRule type="cellIs" dxfId="200" priority="14" operator="equal">
      <formula>""</formula>
    </cfRule>
    <cfRule type="cellIs" dxfId="199" priority="15" operator="equal">
      <formula>"Fail &gt; +2s"</formula>
    </cfRule>
    <cfRule type="cellIs" dxfId="198" priority="16" operator="equal">
      <formula>"Fail &lt; -2s"</formula>
    </cfRule>
  </conditionalFormatting>
  <conditionalFormatting sqref="Q13:Q55">
    <cfRule type="cellIs" dxfId="197" priority="5" operator="equal">
      <formula>""</formula>
    </cfRule>
    <cfRule type="cellIs" dxfId="196" priority="6" operator="equal">
      <formula>"Pass"</formula>
    </cfRule>
    <cfRule type="cellIs" dxfId="195" priority="7" operator="equal">
      <formula>"Fail -ve bias"</formula>
    </cfRule>
    <cfRule type="cellIs" dxfId="194" priority="8" operator="equal">
      <formula>"Fail +ve bias"</formula>
    </cfRule>
  </conditionalFormatting>
  <conditionalFormatting sqref="R12:R55">
    <cfRule type="cellIs" dxfId="193" priority="10" operator="equal">
      <formula>""</formula>
    </cfRule>
    <cfRule type="cellIs" dxfId="192" priority="11" operator="equal">
      <formula>"Fail -ve trend"</formula>
    </cfRule>
    <cfRule type="cellIs" dxfId="191" priority="12" operator="equal">
      <formula>"Fail +ve trend"</formula>
    </cfRule>
    <cfRule type="cellIs" dxfId="190" priority="13" operator="equal">
      <formula>"Pass"</formula>
    </cfRule>
  </conditionalFormatting>
  <conditionalFormatting sqref="AC15:AC55">
    <cfRule type="cellIs" dxfId="189" priority="1" operator="equal">
      <formula>"Pass"</formula>
    </cfRule>
    <cfRule type="cellIs" dxfId="188" priority="2" operator="equal">
      <formula>""</formula>
    </cfRule>
    <cfRule type="cellIs" dxfId="187" priority="3" operator="equal">
      <formula>"Fail -ve"</formula>
    </cfRule>
    <cfRule type="cellIs" dxfId="186" priority="4" operator="equal">
      <formula>"Fail +ve"</formula>
    </cfRule>
  </conditionalFormatting>
  <conditionalFormatting sqref="AD6:AD55">
    <cfRule type="cellIs" dxfId="185" priority="20" operator="equal">
      <formula>NA()</formula>
    </cfRule>
    <cfRule type="cellIs" dxfId="184" priority="21" operator="equal">
      <formula>"Yes"</formula>
    </cfRule>
    <cfRule type="cellIs" dxfId="183" priority="22" operator="equal">
      <formula>"No"</formula>
    </cfRule>
  </conditionalFormatting>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F0"/>
    <pageSetUpPr autoPageBreaks="0"/>
  </sheetPr>
  <dimension ref="B1:AP55"/>
  <sheetViews>
    <sheetView showZeros="0" topLeftCell="I2" zoomScale="70" zoomScaleNormal="70" workbookViewId="0">
      <selection activeCell="AH35" sqref="AH35:AJ36"/>
    </sheetView>
  </sheetViews>
  <sheetFormatPr defaultColWidth="9.21875" defaultRowHeight="14.4" x14ac:dyDescent="0.3"/>
  <cols>
    <col min="2" max="2" width="7.77734375" bestFit="1" customWidth="1"/>
    <col min="3" max="4" width="13.77734375" customWidth="1"/>
    <col min="5" max="5" width="14.21875" bestFit="1" customWidth="1"/>
    <col min="6" max="6" width="14.5546875" customWidth="1"/>
    <col min="7" max="7" width="19.21875" bestFit="1" customWidth="1"/>
    <col min="8" max="8" width="18.77734375" bestFit="1" customWidth="1"/>
    <col min="9" max="9" width="13.77734375" customWidth="1"/>
    <col min="11" max="11" width="12.77734375" customWidth="1"/>
    <col min="14" max="14" width="15" bestFit="1" customWidth="1"/>
    <col min="15" max="15" width="15.77734375" style="174" customWidth="1"/>
    <col min="16" max="18" width="15.77734375" customWidth="1"/>
    <col min="19" max="29" width="15.77734375" hidden="1" customWidth="1"/>
    <col min="30" max="30" width="13.77734375" customWidth="1"/>
    <col min="40" max="40" width="13.77734375" bestFit="1" customWidth="1"/>
    <col min="42" max="42" width="13.77734375" bestFit="1" customWidth="1"/>
  </cols>
  <sheetData>
    <row r="1" spans="2:42" ht="15" thickBot="1" x14ac:dyDescent="0.35"/>
    <row r="2" spans="2:42" ht="15.6" x14ac:dyDescent="0.3">
      <c r="B2" s="708" t="s">
        <v>57</v>
      </c>
      <c r="C2" s="709"/>
      <c r="D2" s="709"/>
      <c r="E2" s="203" t="s">
        <v>214</v>
      </c>
      <c r="G2" s="175"/>
      <c r="H2" s="710" t="s">
        <v>220</v>
      </c>
      <c r="I2" s="711"/>
      <c r="J2" s="712" t="s">
        <v>221</v>
      </c>
      <c r="K2" s="713"/>
    </row>
    <row r="3" spans="2:42" ht="20.100000000000001" customHeight="1" thickBot="1" x14ac:dyDescent="0.35">
      <c r="B3" s="706" t="s">
        <v>203</v>
      </c>
      <c r="C3" s="707"/>
      <c r="D3" s="707"/>
      <c r="E3" s="204" t="s">
        <v>209</v>
      </c>
      <c r="G3" s="175"/>
      <c r="H3" s="199" t="s">
        <v>204</v>
      </c>
      <c r="I3" s="200">
        <f>C6</f>
        <v>37212</v>
      </c>
      <c r="J3" s="201" t="s">
        <v>205</v>
      </c>
      <c r="K3" s="202">
        <f>MAX(C6:C55)</f>
        <v>39403</v>
      </c>
    </row>
    <row r="4" spans="2:42" ht="20.100000000000001" customHeight="1" thickBot="1" x14ac:dyDescent="0.35">
      <c r="B4" s="175"/>
      <c r="C4" s="175"/>
      <c r="D4" s="175"/>
      <c r="E4" s="175"/>
      <c r="G4" s="175"/>
    </row>
    <row r="5" spans="2:42" ht="29.25" customHeight="1" x14ac:dyDescent="0.3">
      <c r="B5" s="215" t="s">
        <v>198</v>
      </c>
      <c r="C5" s="187" t="s">
        <v>0</v>
      </c>
      <c r="D5" s="187" t="s">
        <v>192</v>
      </c>
      <c r="E5" s="187" t="s">
        <v>193</v>
      </c>
      <c r="F5" s="187" t="s">
        <v>194</v>
      </c>
      <c r="G5" s="187" t="s">
        <v>208</v>
      </c>
      <c r="H5" s="187" t="s">
        <v>213</v>
      </c>
      <c r="I5" s="216" t="s">
        <v>45</v>
      </c>
      <c r="J5" s="216" t="s">
        <v>46</v>
      </c>
      <c r="K5" s="217" t="s">
        <v>200</v>
      </c>
      <c r="L5" s="216" t="s">
        <v>47</v>
      </c>
      <c r="M5" s="216" t="s">
        <v>48</v>
      </c>
      <c r="N5" s="187" t="s">
        <v>19</v>
      </c>
      <c r="O5" s="187" t="s">
        <v>196</v>
      </c>
      <c r="P5" s="187" t="s">
        <v>197</v>
      </c>
      <c r="Q5" s="187" t="s">
        <v>201</v>
      </c>
      <c r="R5" s="187" t="s">
        <v>202</v>
      </c>
      <c r="S5" s="218"/>
      <c r="T5" s="219" t="s">
        <v>211</v>
      </c>
      <c r="U5" s="219" t="s">
        <v>212</v>
      </c>
      <c r="V5" s="219"/>
      <c r="W5" s="219"/>
      <c r="X5" s="219"/>
      <c r="Y5" s="219"/>
      <c r="Z5" s="219"/>
      <c r="AA5" s="219"/>
      <c r="AB5" s="219"/>
      <c r="AC5" s="218" t="s">
        <v>210</v>
      </c>
      <c r="AD5" s="220" t="s">
        <v>199</v>
      </c>
      <c r="AE5" s="176"/>
      <c r="AF5" s="714" t="s">
        <v>207</v>
      </c>
      <c r="AG5" s="715"/>
      <c r="AH5" s="689" t="str">
        <f>B2</f>
        <v>Volatile Matter</v>
      </c>
      <c r="AI5" s="692"/>
      <c r="AJ5" s="692"/>
      <c r="AK5" s="693" t="s">
        <v>168</v>
      </c>
      <c r="AL5" s="693"/>
      <c r="AM5" s="693"/>
      <c r="AN5" s="689" t="str">
        <f>J2</f>
        <v>IMP-VOL-01</v>
      </c>
      <c r="AO5" s="689"/>
      <c r="AP5" s="691"/>
    </row>
    <row r="6" spans="2:42" x14ac:dyDescent="0.3">
      <c r="B6" s="188">
        <v>1</v>
      </c>
      <c r="C6" s="205">
        <v>37212</v>
      </c>
      <c r="D6" s="206"/>
      <c r="E6" s="207">
        <v>25</v>
      </c>
      <c r="F6" s="207">
        <v>25.2</v>
      </c>
      <c r="G6" s="183">
        <f t="shared" ref="G6:G55" si="0">IF(AND(E6="",F6=""),NA(),AVERAGE(E6:F6))</f>
        <v>25.1</v>
      </c>
      <c r="H6" s="183">
        <f>IF(AND(E6="",F6=""),NA(),ABS(E6-F6))</f>
        <v>0.19999999999999929</v>
      </c>
      <c r="I6" s="221">
        <f>'Plot Data'!$F$67</f>
        <v>27.934500832898948</v>
      </c>
      <c r="J6" s="221">
        <f>'Plot Data'!$F$65</f>
        <v>28.220491591990413</v>
      </c>
      <c r="K6" s="222">
        <f>'Plot Data'!$F$58</f>
        <v>28.697142857142861</v>
      </c>
      <c r="L6" s="222">
        <f>'Plot Data'!$F$62</f>
        <v>29.173794122295309</v>
      </c>
      <c r="M6" s="222">
        <f>'Plot Data'!$F$64</f>
        <v>29.459784881386774</v>
      </c>
      <c r="N6" s="222">
        <f>'Plot Data'!$F$68</f>
        <v>0.86091428571428585</v>
      </c>
      <c r="O6" s="177" t="str">
        <f t="shared" ref="O6:O55" si="1">IF(G6&gt;M6,"&gt;+3s",IF(G6&lt;I6,"&lt;-3s","Pass"))</f>
        <v>&lt;-3s</v>
      </c>
      <c r="P6" s="191"/>
      <c r="Q6" s="191"/>
      <c r="R6" s="191"/>
      <c r="S6" s="178"/>
      <c r="T6" s="178"/>
      <c r="U6" s="178"/>
      <c r="V6" s="178"/>
      <c r="W6" s="178"/>
      <c r="X6" s="178"/>
      <c r="Y6" s="178"/>
      <c r="Z6" s="178"/>
      <c r="AA6" s="178"/>
      <c r="AB6" s="178"/>
      <c r="AC6" s="178"/>
      <c r="AD6" s="179" t="str">
        <f>IF(H6="","",IF(H6&gt;N6,"No","Yes"))</f>
        <v>Yes</v>
      </c>
      <c r="AF6" s="682" t="s">
        <v>203</v>
      </c>
      <c r="AG6" s="683"/>
      <c r="AH6" s="683" t="str">
        <f>E3</f>
        <v>034</v>
      </c>
      <c r="AI6" s="683"/>
      <c r="AJ6" s="683"/>
      <c r="AK6" s="696" t="s">
        <v>204</v>
      </c>
      <c r="AL6" s="697"/>
      <c r="AM6" s="698"/>
      <c r="AN6" s="686">
        <f>I3</f>
        <v>37212</v>
      </c>
      <c r="AO6" s="683" t="s">
        <v>205</v>
      </c>
      <c r="AP6" s="680">
        <f>K3</f>
        <v>39403</v>
      </c>
    </row>
    <row r="7" spans="2:42" ht="15" customHeight="1" x14ac:dyDescent="0.3">
      <c r="B7" s="188">
        <v>2</v>
      </c>
      <c r="C7" s="205">
        <v>37577</v>
      </c>
      <c r="D7" s="206"/>
      <c r="E7" s="207">
        <v>25</v>
      </c>
      <c r="F7" s="207">
        <v>24.9</v>
      </c>
      <c r="G7" s="183">
        <f t="shared" si="0"/>
        <v>24.95</v>
      </c>
      <c r="H7" s="183">
        <f t="shared" ref="H7:H55" si="2">IF(AND(E7="",F7=""),NA(),ABS(E7-F7))</f>
        <v>0.10000000000000142</v>
      </c>
      <c r="I7" s="221">
        <f>'Plot Data'!$F$67</f>
        <v>27.934500832898948</v>
      </c>
      <c r="J7" s="221">
        <f>'Plot Data'!$F$65</f>
        <v>28.220491591990413</v>
      </c>
      <c r="K7" s="222">
        <f>'Plot Data'!$F$58</f>
        <v>28.697142857142861</v>
      </c>
      <c r="L7" s="222">
        <f>'Plot Data'!$F$62</f>
        <v>29.173794122295309</v>
      </c>
      <c r="M7" s="222">
        <f>'Plot Data'!$F$64</f>
        <v>29.459784881386774</v>
      </c>
      <c r="N7" s="222">
        <f>'Plot Data'!$F$68</f>
        <v>0.86091428571428585</v>
      </c>
      <c r="O7" s="177" t="str">
        <f t="shared" si="1"/>
        <v>&lt;-3s</v>
      </c>
      <c r="P7" s="180" t="str">
        <f>IF(AND(G7&gt;L7,G6&gt;L6),"Fail &gt; +2s",IF(AND(G7&lt;J7,G6&lt;J6),"Fail &lt; -2s","Pass"))</f>
        <v>Fail &lt; -2s</v>
      </c>
      <c r="Q7" s="191"/>
      <c r="R7" s="191"/>
      <c r="S7" s="178" t="str">
        <f>IF(E7="","",IF(G7&gt;G6,"+",IF(G7&lt;G6,"-","")))</f>
        <v>-</v>
      </c>
      <c r="T7" s="178"/>
      <c r="U7" s="178"/>
      <c r="V7" s="178"/>
      <c r="W7" s="178"/>
      <c r="X7" s="178"/>
      <c r="Y7" s="178"/>
      <c r="Z7" s="178"/>
      <c r="AA7" s="178"/>
      <c r="AB7" s="178"/>
      <c r="AC7" s="178"/>
      <c r="AD7" s="179" t="str">
        <f t="shared" ref="AD7:AD55" si="3">IF(H7="","",IF(H7&gt;N7,"No","Yes"))</f>
        <v>Yes</v>
      </c>
      <c r="AF7" s="694"/>
      <c r="AG7" s="695"/>
      <c r="AH7" s="695"/>
      <c r="AI7" s="695"/>
      <c r="AJ7" s="695"/>
      <c r="AK7" s="699"/>
      <c r="AL7" s="700"/>
      <c r="AM7" s="701"/>
      <c r="AN7" s="702"/>
      <c r="AO7" s="695"/>
      <c r="AP7" s="688"/>
    </row>
    <row r="8" spans="2:42" x14ac:dyDescent="0.3">
      <c r="B8" s="188">
        <v>3</v>
      </c>
      <c r="C8" s="205">
        <v>37942</v>
      </c>
      <c r="D8" s="206"/>
      <c r="E8" s="207">
        <v>25</v>
      </c>
      <c r="F8" s="207">
        <v>24.9</v>
      </c>
      <c r="G8" s="183">
        <f t="shared" si="0"/>
        <v>24.95</v>
      </c>
      <c r="H8" s="183">
        <f t="shared" si="2"/>
        <v>0.10000000000000142</v>
      </c>
      <c r="I8" s="221">
        <f>'Plot Data'!$F$67</f>
        <v>27.934500832898948</v>
      </c>
      <c r="J8" s="221">
        <f>'Plot Data'!$F$65</f>
        <v>28.220491591990413</v>
      </c>
      <c r="K8" s="222">
        <f>'Plot Data'!$F$58</f>
        <v>28.697142857142861</v>
      </c>
      <c r="L8" s="222">
        <f>'Plot Data'!$F$62</f>
        <v>29.173794122295309</v>
      </c>
      <c r="M8" s="222">
        <f>'Plot Data'!$F$64</f>
        <v>29.459784881386774</v>
      </c>
      <c r="N8" s="222">
        <f>'Plot Data'!$F$68</f>
        <v>0.86091428571428585</v>
      </c>
      <c r="O8" s="177" t="str">
        <f t="shared" si="1"/>
        <v>&lt;-3s</v>
      </c>
      <c r="P8" s="180" t="str">
        <f t="shared" ref="P8:P55" si="4">IF(AND(G8&gt;L8,G7&gt;L7),"Fail &gt; +2s",IF(AND(G8&gt;L8,G6&gt;L6),"Fail &gt; +2s",IF(AND(G8&lt;J8,G7&lt;J7),"Fail &lt; -2s",IF(AND(G8&lt;J8,G6&lt;J6),"Fail &lt; -2s","Pass"))))</f>
        <v>Fail &lt; -2s</v>
      </c>
      <c r="Q8" s="191"/>
      <c r="R8" s="191"/>
      <c r="S8" s="178" t="str">
        <f t="shared" ref="S8:S55" si="5">IF(E8="","",IF(G8&gt;G7,"+",IF(G8&lt;G7,"-","")))</f>
        <v/>
      </c>
      <c r="T8" s="178"/>
      <c r="U8" s="178"/>
      <c r="V8" s="178"/>
      <c r="W8" s="178"/>
      <c r="X8" s="181">
        <f>AVERAGE(G6:G8)</f>
        <v>25</v>
      </c>
      <c r="Y8" s="181"/>
      <c r="Z8" s="181"/>
      <c r="AA8" s="181"/>
      <c r="AB8" s="181"/>
      <c r="AC8" s="178"/>
      <c r="AD8" s="179" t="str">
        <f t="shared" si="3"/>
        <v>Yes</v>
      </c>
    </row>
    <row r="9" spans="2:42" x14ac:dyDescent="0.3">
      <c r="B9" s="188">
        <v>4</v>
      </c>
      <c r="C9" s="205">
        <v>38308</v>
      </c>
      <c r="D9" s="206"/>
      <c r="E9" s="207">
        <v>25</v>
      </c>
      <c r="F9" s="207">
        <v>24.9</v>
      </c>
      <c r="G9" s="183">
        <f t="shared" si="0"/>
        <v>24.95</v>
      </c>
      <c r="H9" s="183">
        <f t="shared" si="2"/>
        <v>0.10000000000000142</v>
      </c>
      <c r="I9" s="221">
        <f>'Plot Data'!$F$67</f>
        <v>27.934500832898948</v>
      </c>
      <c r="J9" s="221">
        <f>'Plot Data'!$F$65</f>
        <v>28.220491591990413</v>
      </c>
      <c r="K9" s="222">
        <f>'Plot Data'!$F$58</f>
        <v>28.697142857142861</v>
      </c>
      <c r="L9" s="222">
        <f>'Plot Data'!$F$62</f>
        <v>29.173794122295309</v>
      </c>
      <c r="M9" s="222">
        <f>'Plot Data'!$F$64</f>
        <v>29.459784881386774</v>
      </c>
      <c r="N9" s="222">
        <f>'Plot Data'!$F$68</f>
        <v>0.86091428571428585</v>
      </c>
      <c r="O9" s="177" t="str">
        <f t="shared" si="1"/>
        <v>&lt;-3s</v>
      </c>
      <c r="P9" s="180" t="str">
        <f t="shared" si="4"/>
        <v>Fail &lt; -2s</v>
      </c>
      <c r="Q9" s="191"/>
      <c r="R9" s="191"/>
      <c r="S9" s="178" t="str">
        <f t="shared" si="5"/>
        <v/>
      </c>
      <c r="T9" s="178"/>
      <c r="U9" s="178"/>
      <c r="V9" s="178"/>
      <c r="W9" s="178"/>
      <c r="X9" s="181">
        <f t="shared" ref="X9:X17" si="6">AVERAGE(G7:G9)</f>
        <v>24.95</v>
      </c>
      <c r="Y9" s="181">
        <f>AVERAGE(G6:G9)</f>
        <v>24.987500000000001</v>
      </c>
      <c r="Z9" s="181"/>
      <c r="AA9" s="181"/>
      <c r="AB9" s="181"/>
      <c r="AC9" s="178"/>
      <c r="AD9" s="179" t="str">
        <f t="shared" si="3"/>
        <v>Yes</v>
      </c>
    </row>
    <row r="10" spans="2:42" x14ac:dyDescent="0.3">
      <c r="B10" s="188">
        <v>5</v>
      </c>
      <c r="C10" s="205">
        <v>38673</v>
      </c>
      <c r="D10" s="206"/>
      <c r="E10" s="207">
        <v>25</v>
      </c>
      <c r="F10" s="207">
        <v>24.9</v>
      </c>
      <c r="G10" s="183">
        <f t="shared" si="0"/>
        <v>24.95</v>
      </c>
      <c r="H10" s="183">
        <f t="shared" si="2"/>
        <v>0.10000000000000142</v>
      </c>
      <c r="I10" s="221">
        <f>'Plot Data'!$F$67</f>
        <v>27.934500832898948</v>
      </c>
      <c r="J10" s="221">
        <f>'Plot Data'!$F$65</f>
        <v>28.220491591990413</v>
      </c>
      <c r="K10" s="222">
        <f>'Plot Data'!$F$58</f>
        <v>28.697142857142861</v>
      </c>
      <c r="L10" s="222">
        <f>'Plot Data'!$F$62</f>
        <v>29.173794122295309</v>
      </c>
      <c r="M10" s="222">
        <f>'Plot Data'!$F$64</f>
        <v>29.459784881386774</v>
      </c>
      <c r="N10" s="222">
        <f>'Plot Data'!$F$68</f>
        <v>0.86091428571428585</v>
      </c>
      <c r="O10" s="177" t="str">
        <f t="shared" si="1"/>
        <v>&lt;-3s</v>
      </c>
      <c r="P10" s="180" t="str">
        <f t="shared" si="4"/>
        <v>Fail &lt; -2s</v>
      </c>
      <c r="Q10" s="191"/>
      <c r="R10" s="191"/>
      <c r="S10" s="178" t="str">
        <f t="shared" si="5"/>
        <v/>
      </c>
      <c r="T10" s="178"/>
      <c r="U10" s="178"/>
      <c r="V10" s="178"/>
      <c r="W10" s="178"/>
      <c r="X10" s="181">
        <f t="shared" si="6"/>
        <v>24.95</v>
      </c>
      <c r="Y10" s="181">
        <f t="shared" ref="Y10:Y16" si="7">AVERAGE(G7:G10)</f>
        <v>24.95</v>
      </c>
      <c r="Z10" s="181">
        <f>AVERAGE(G6:G10)</f>
        <v>24.98</v>
      </c>
      <c r="AA10" s="181"/>
      <c r="AB10" s="181"/>
      <c r="AC10" s="178"/>
      <c r="AD10" s="179" t="str">
        <f t="shared" si="3"/>
        <v>Yes</v>
      </c>
    </row>
    <row r="11" spans="2:42" x14ac:dyDescent="0.3">
      <c r="B11" s="188">
        <v>6</v>
      </c>
      <c r="C11" s="205">
        <v>39038</v>
      </c>
      <c r="D11" s="206"/>
      <c r="E11" s="207">
        <v>25</v>
      </c>
      <c r="F11" s="207">
        <v>24.9</v>
      </c>
      <c r="G11" s="183">
        <f t="shared" si="0"/>
        <v>24.95</v>
      </c>
      <c r="H11" s="183">
        <f t="shared" si="2"/>
        <v>0.10000000000000142</v>
      </c>
      <c r="I11" s="221">
        <f>'Plot Data'!$F$67</f>
        <v>27.934500832898948</v>
      </c>
      <c r="J11" s="221">
        <f>'Plot Data'!$F$65</f>
        <v>28.220491591990413</v>
      </c>
      <c r="K11" s="222">
        <f>'Plot Data'!$F$58</f>
        <v>28.697142857142861</v>
      </c>
      <c r="L11" s="222">
        <f>'Plot Data'!$F$62</f>
        <v>29.173794122295309</v>
      </c>
      <c r="M11" s="222">
        <f>'Plot Data'!$F$64</f>
        <v>29.459784881386774</v>
      </c>
      <c r="N11" s="222">
        <f>'Plot Data'!$F$68</f>
        <v>0.86091428571428585</v>
      </c>
      <c r="O11" s="177" t="str">
        <f t="shared" si="1"/>
        <v>&lt;-3s</v>
      </c>
      <c r="P11" s="180" t="str">
        <f t="shared" si="4"/>
        <v>Fail &lt; -2s</v>
      </c>
      <c r="Q11" s="191"/>
      <c r="R11" s="191"/>
      <c r="S11" s="178" t="str">
        <f t="shared" si="5"/>
        <v/>
      </c>
      <c r="T11" s="178"/>
      <c r="U11" s="178"/>
      <c r="V11" s="178"/>
      <c r="W11" s="178"/>
      <c r="X11" s="181">
        <f t="shared" si="6"/>
        <v>24.95</v>
      </c>
      <c r="Y11" s="181">
        <f t="shared" si="7"/>
        <v>24.95</v>
      </c>
      <c r="Z11" s="181">
        <f t="shared" ref="Z11:Z16" si="8">AVERAGE(G7:G11)</f>
        <v>24.95</v>
      </c>
      <c r="AA11" s="181">
        <f>AVERAGE(G6:G11)</f>
        <v>24.974999999999998</v>
      </c>
      <c r="AB11" s="182"/>
      <c r="AC11" s="178"/>
      <c r="AD11" s="179" t="str">
        <f t="shared" si="3"/>
        <v>Yes</v>
      </c>
    </row>
    <row r="12" spans="2:42" x14ac:dyDescent="0.3">
      <c r="B12" s="188">
        <v>7</v>
      </c>
      <c r="C12" s="205">
        <v>39038</v>
      </c>
      <c r="D12" s="206"/>
      <c r="E12" s="207">
        <v>26</v>
      </c>
      <c r="F12" s="207">
        <v>26.3</v>
      </c>
      <c r="G12" s="183">
        <f t="shared" si="0"/>
        <v>26.15</v>
      </c>
      <c r="H12" s="183">
        <f t="shared" si="2"/>
        <v>0.30000000000000071</v>
      </c>
      <c r="I12" s="221">
        <f>'Plot Data'!$F$67</f>
        <v>27.934500832898948</v>
      </c>
      <c r="J12" s="221">
        <f>'Plot Data'!$F$65</f>
        <v>28.220491591990413</v>
      </c>
      <c r="K12" s="222">
        <f>'Plot Data'!$F$58</f>
        <v>28.697142857142861</v>
      </c>
      <c r="L12" s="222">
        <f>'Plot Data'!$F$62</f>
        <v>29.173794122295309</v>
      </c>
      <c r="M12" s="222">
        <f>'Plot Data'!$F$64</f>
        <v>29.459784881386774</v>
      </c>
      <c r="N12" s="222">
        <f>'Plot Data'!$F$68</f>
        <v>0.86091428571428585</v>
      </c>
      <c r="O12" s="177" t="str">
        <f t="shared" si="1"/>
        <v>&lt;-3s</v>
      </c>
      <c r="P12" s="180" t="str">
        <f t="shared" si="4"/>
        <v>Fail &lt; -2s</v>
      </c>
      <c r="Q12" s="191"/>
      <c r="R12" s="180" t="str">
        <f>IF(AND(G12&gt;G11,G11&gt;G10,G10&gt;G9,G9&gt;G8,G8&gt;G7,G7&gt;G6),"Fail +ve trend",IF(AND(G12&lt;G11,G11&lt;G10,G10&lt;G9,G9&lt;G8,G8&lt;G7,G7&lt;G6),"Fail -ve trend","Pass"))</f>
        <v>Pass</v>
      </c>
      <c r="S12" s="178" t="str">
        <f t="shared" si="5"/>
        <v>+</v>
      </c>
      <c r="T12" s="178"/>
      <c r="U12" s="178"/>
      <c r="V12" s="178"/>
      <c r="W12" s="178"/>
      <c r="X12" s="181">
        <f t="shared" si="6"/>
        <v>25.349999999999998</v>
      </c>
      <c r="Y12" s="181">
        <f t="shared" si="7"/>
        <v>25.25</v>
      </c>
      <c r="Z12" s="181">
        <f t="shared" si="8"/>
        <v>25.189999999999998</v>
      </c>
      <c r="AA12" s="181">
        <f t="shared" ref="AA12:AA55" si="9">AVERAGE(G7:G12)</f>
        <v>25.150000000000002</v>
      </c>
      <c r="AB12" s="181"/>
      <c r="AC12" s="178"/>
      <c r="AD12" s="179" t="str">
        <f t="shared" si="3"/>
        <v>Yes</v>
      </c>
    </row>
    <row r="13" spans="2:42" x14ac:dyDescent="0.3">
      <c r="B13" s="188">
        <v>8</v>
      </c>
      <c r="C13" s="205">
        <v>39403</v>
      </c>
      <c r="D13" s="206"/>
      <c r="E13" s="207">
        <v>25</v>
      </c>
      <c r="F13" s="207">
        <v>24.9</v>
      </c>
      <c r="G13" s="183">
        <f t="shared" si="0"/>
        <v>24.95</v>
      </c>
      <c r="H13" s="183">
        <f t="shared" si="2"/>
        <v>0.10000000000000142</v>
      </c>
      <c r="I13" s="221">
        <f>'Plot Data'!$F$67</f>
        <v>27.934500832898948</v>
      </c>
      <c r="J13" s="221">
        <f>'Plot Data'!$F$65</f>
        <v>28.220491591990413</v>
      </c>
      <c r="K13" s="222">
        <f>'Plot Data'!$F$58</f>
        <v>28.697142857142861</v>
      </c>
      <c r="L13" s="222">
        <f>'Plot Data'!$F$62</f>
        <v>29.173794122295309</v>
      </c>
      <c r="M13" s="222">
        <f>'Plot Data'!$F$64</f>
        <v>29.459784881386774</v>
      </c>
      <c r="N13" s="222">
        <f>'Plot Data'!$F$68</f>
        <v>0.86091428571428585</v>
      </c>
      <c r="O13" s="177" t="str">
        <f t="shared" si="1"/>
        <v>&lt;-3s</v>
      </c>
      <c r="P13" s="180" t="str">
        <f t="shared" si="4"/>
        <v>Fail &lt; -2s</v>
      </c>
      <c r="Q13" s="180" t="str">
        <f t="shared" ref="Q13:Q55" si="10">IF(AND(G13&gt;K13,G12&gt;K13,G11&gt;K13,G10&gt;K13,G9&gt;K13,G8&gt;K13,G7&gt;K13,G6&gt;K13),"Fail +ve bias",IF(AND(G13&lt;K13,G12&lt;K13,G11&lt;K13,G10&lt;K13,G9&lt;K13,G8&lt;K13,G7&lt;K13,G6&lt;K13),"Fail -ve bias","Pass"))</f>
        <v>Fail -ve bias</v>
      </c>
      <c r="R13" s="180" t="str">
        <f t="shared" ref="R13:R55" si="11">IF(AND(G13&gt;G12,G12&gt;G11,G11&gt;G10,G10&gt;G9,G9&gt;G8,G8&gt;G7),"Fail +ve trend",IF(AND(G13&lt;G12,G12&lt;G11,G11&lt;G10,G10&lt;G9,G9&lt;G8,G8&lt;G7),"Fail -ve trend","Pass"))</f>
        <v>Pass</v>
      </c>
      <c r="S13" s="178" t="str">
        <f t="shared" si="5"/>
        <v>-</v>
      </c>
      <c r="T13" s="178"/>
      <c r="U13" s="178"/>
      <c r="V13" s="178"/>
      <c r="W13" s="178"/>
      <c r="X13" s="181">
        <f t="shared" si="6"/>
        <v>25.349999999999998</v>
      </c>
      <c r="Y13" s="181">
        <f t="shared" si="7"/>
        <v>25.25</v>
      </c>
      <c r="Z13" s="181">
        <f t="shared" si="8"/>
        <v>25.19</v>
      </c>
      <c r="AA13" s="181">
        <f t="shared" si="9"/>
        <v>25.149999999999995</v>
      </c>
      <c r="AB13" s="181"/>
      <c r="AC13" s="178"/>
      <c r="AD13" s="179" t="str">
        <f t="shared" si="3"/>
        <v>Yes</v>
      </c>
    </row>
    <row r="14" spans="2:42" x14ac:dyDescent="0.3">
      <c r="B14" s="188">
        <v>9</v>
      </c>
      <c r="C14" s="205"/>
      <c r="D14" s="206"/>
      <c r="E14" s="207">
        <v>25</v>
      </c>
      <c r="F14" s="207">
        <v>24.9</v>
      </c>
      <c r="G14" s="183">
        <f t="shared" si="0"/>
        <v>24.95</v>
      </c>
      <c r="H14" s="183">
        <f t="shared" si="2"/>
        <v>0.10000000000000142</v>
      </c>
      <c r="I14" s="221">
        <f>'Plot Data'!$F$67</f>
        <v>27.934500832898948</v>
      </c>
      <c r="J14" s="221">
        <f>'Plot Data'!$F$65</f>
        <v>28.220491591990413</v>
      </c>
      <c r="K14" s="222">
        <f>'Plot Data'!$F$58</f>
        <v>28.697142857142861</v>
      </c>
      <c r="L14" s="222">
        <f>'Plot Data'!$F$62</f>
        <v>29.173794122295309</v>
      </c>
      <c r="M14" s="222">
        <f>'Plot Data'!$F$64</f>
        <v>29.459784881386774</v>
      </c>
      <c r="N14" s="222">
        <f>'Plot Data'!$F$68</f>
        <v>0.86091428571428585</v>
      </c>
      <c r="O14" s="177" t="str">
        <f t="shared" si="1"/>
        <v>&lt;-3s</v>
      </c>
      <c r="P14" s="180" t="str">
        <f t="shared" si="4"/>
        <v>Fail &lt; -2s</v>
      </c>
      <c r="Q14" s="180" t="str">
        <f t="shared" si="10"/>
        <v>Fail -ve bias</v>
      </c>
      <c r="R14" s="180" t="str">
        <f t="shared" si="11"/>
        <v>Pass</v>
      </c>
      <c r="S14" s="178" t="str">
        <f t="shared" si="5"/>
        <v/>
      </c>
      <c r="T14" s="178"/>
      <c r="U14" s="178"/>
      <c r="V14" s="178"/>
      <c r="W14" s="178"/>
      <c r="X14" s="181">
        <f t="shared" si="6"/>
        <v>25.349999999999998</v>
      </c>
      <c r="Y14" s="181">
        <f t="shared" si="7"/>
        <v>25.25</v>
      </c>
      <c r="Z14" s="181">
        <f t="shared" si="8"/>
        <v>25.19</v>
      </c>
      <c r="AA14" s="181">
        <f t="shared" si="9"/>
        <v>25.150000000000002</v>
      </c>
      <c r="AB14" s="181"/>
      <c r="AC14" s="178"/>
      <c r="AD14" s="179" t="str">
        <f t="shared" si="3"/>
        <v>Yes</v>
      </c>
    </row>
    <row r="15" spans="2:42" x14ac:dyDescent="0.3">
      <c r="B15" s="188">
        <v>10</v>
      </c>
      <c r="C15" s="205"/>
      <c r="D15" s="206"/>
      <c r="E15" s="207">
        <v>27</v>
      </c>
      <c r="F15" s="207">
        <v>26.4</v>
      </c>
      <c r="G15" s="183">
        <f t="shared" si="0"/>
        <v>26.7</v>
      </c>
      <c r="H15" s="183">
        <f t="shared" si="2"/>
        <v>0.60000000000000142</v>
      </c>
      <c r="I15" s="221">
        <f>'Plot Data'!$F$67</f>
        <v>27.934500832898948</v>
      </c>
      <c r="J15" s="221">
        <f>'Plot Data'!$F$65</f>
        <v>28.220491591990413</v>
      </c>
      <c r="K15" s="222">
        <f>'Plot Data'!$F$58</f>
        <v>28.697142857142861</v>
      </c>
      <c r="L15" s="222">
        <f>'Plot Data'!$F$62</f>
        <v>29.173794122295309</v>
      </c>
      <c r="M15" s="222">
        <f>'Plot Data'!$F$64</f>
        <v>29.459784881386774</v>
      </c>
      <c r="N15" s="222">
        <f>'Plot Data'!$F$68</f>
        <v>0.86091428571428585</v>
      </c>
      <c r="O15" s="177" t="str">
        <f t="shared" si="1"/>
        <v>&lt;-3s</v>
      </c>
      <c r="P15" s="180" t="str">
        <f t="shared" si="4"/>
        <v>Fail &lt; -2s</v>
      </c>
      <c r="Q15" s="180" t="str">
        <f t="shared" si="10"/>
        <v>Fail -ve bias</v>
      </c>
      <c r="R15" s="180" t="str">
        <f t="shared" si="11"/>
        <v>Pass</v>
      </c>
      <c r="S15" s="178" t="str">
        <f t="shared" si="5"/>
        <v>+</v>
      </c>
      <c r="T15" s="178">
        <f>IF(OR(R6="Fail -ve trend",R7="Fail -ve trend",R8="Fail -ve trend",R9="Fail -ve trend",R10="Fail -ve trend",R11="Fail -ve trend",R12="Fail -ve trend",R13="Fail -ve trend",R14="Fail -ve trend",R15="Fail -ve trend",R6="Fail +ve trend",R7="Fail +ve trend",R8="Fail +ve trend",R9="Fail +ve trend",R10="Fail +ve trend",R11="Fail +ve trend",R12="Fail +ve trend",R13="Fail +ve trend",R14="Fail +ve trend",R15="Fail +ve trend"),"",COUNTIF(S6:S15,"+"))</f>
        <v>2</v>
      </c>
      <c r="U15" s="178">
        <f>IF(OR(R6="Fail -ve trend",R7="Fail -ve trend",R8="Fail -ve trend",R9="Fail -ve trend",R10="Fail -ve trend",R11="Fail -ve trend",R12="Fail -ve trend",R13="Fail -ve trend",R14="Fail -ve trend",R15="Fail -ve trend",R6="Fail +ve trend",R7="Fail +ve trend",R8="Fail +ve trend",R9="Fail +ve trend",R10="Fail +ve trend",R11="Fail +ve trend",R12="Fail +ve trend",R13="Fail +ve trend",R14="Fail +ve trend",R15="Fail +ve trend"),"",COUNTIF(T6:T15,"+"))</f>
        <v>0</v>
      </c>
      <c r="V15" s="178" t="str">
        <f>IF(AND(G10&gt;G7,G7&gt;G4,G4&gt;G1,G9&gt;G5,G5&gt;G1),"Fail +ve",IF(AND(G10&lt;G7,G7&lt;G4,G4&lt;G1,G9&lt;G5,G5&lt;G1),"Fail -ve","Pass"))</f>
        <v>Pass</v>
      </c>
      <c r="W15" s="178"/>
      <c r="X15" s="181">
        <f t="shared" si="6"/>
        <v>25.533333333333331</v>
      </c>
      <c r="Y15" s="181">
        <f t="shared" si="7"/>
        <v>25.6875</v>
      </c>
      <c r="Z15" s="181">
        <f t="shared" si="8"/>
        <v>25.54</v>
      </c>
      <c r="AA15" s="181">
        <f t="shared" si="9"/>
        <v>25.441666666666666</v>
      </c>
      <c r="AB15" s="181" t="str">
        <f>IF(AND(AA15&gt;AA14,AA14&gt;AA13,AA13&gt;AA12,AA12&gt;AA11),"Fail +ve",IF(AND(AA15&lt;AA14,AA14&lt;AA13,AA13&lt;AA12,AA12&lt;AA11),"Fail -ve","Pass"))</f>
        <v>Pass</v>
      </c>
      <c r="AC15" s="178" t="str">
        <f>IF(T15="","Pass",IF(T15&gt;=7,"Fail +ve",IF(U15&gt;=7,"Fail -ve","Pass")))</f>
        <v>Pass</v>
      </c>
      <c r="AD15" s="179" t="str">
        <f t="shared" si="3"/>
        <v>Yes</v>
      </c>
    </row>
    <row r="16" spans="2:42" x14ac:dyDescent="0.3">
      <c r="B16" s="188">
        <v>11</v>
      </c>
      <c r="C16" s="205"/>
      <c r="D16" s="206"/>
      <c r="E16" s="207"/>
      <c r="F16" s="207"/>
      <c r="G16" s="183" t="e">
        <f t="shared" si="0"/>
        <v>#N/A</v>
      </c>
      <c r="H16" s="183" t="e">
        <f t="shared" si="2"/>
        <v>#N/A</v>
      </c>
      <c r="I16" s="221">
        <f>'Plot Data'!$F$67</f>
        <v>27.934500832898948</v>
      </c>
      <c r="J16" s="221">
        <f>'Plot Data'!$F$65</f>
        <v>28.220491591990413</v>
      </c>
      <c r="K16" s="222">
        <f>'Plot Data'!$F$58</f>
        <v>28.697142857142861</v>
      </c>
      <c r="L16" s="222">
        <f>'Plot Data'!$F$62</f>
        <v>29.173794122295309</v>
      </c>
      <c r="M16" s="222">
        <f>'Plot Data'!$F$64</f>
        <v>29.459784881386774</v>
      </c>
      <c r="N16" s="222">
        <f>'Plot Data'!$F$68</f>
        <v>0.86091428571428585</v>
      </c>
      <c r="O16" s="177" t="e">
        <f t="shared" si="1"/>
        <v>#N/A</v>
      </c>
      <c r="P16" s="180" t="e">
        <f t="shared" si="4"/>
        <v>#N/A</v>
      </c>
      <c r="Q16" s="180" t="e">
        <f t="shared" si="10"/>
        <v>#N/A</v>
      </c>
      <c r="R16" s="180" t="e">
        <f t="shared" si="11"/>
        <v>#N/A</v>
      </c>
      <c r="S16" s="178" t="str">
        <f t="shared" si="5"/>
        <v/>
      </c>
      <c r="T16" s="178" t="e">
        <f t="shared" ref="T16:T55" si="12">IF(OR(R7="Fail -ve trend",R8="Fail -ve trend",R9="Fail -ve trend",R10="Fail -ve trend",R11="Fail -ve trend",R12="Fail -ve trend",R13="Fail -ve trend",R14="Fail -ve trend",R15="Fail -ve trend",R16="Fail -ve trend",R7="Fail +ve trend",R8="Fail +ve trend",R9="Fail +ve trend",R10="Fail +ve trend",R11="Fail +ve trend",R12="Fail +ve trend",R13="Fail +ve trend",R14="Fail +ve trend",R15="Fail +ve trend",R16="Fail +ve trend"),"",COUNTIF(S7:S16,"+"))</f>
        <v>#N/A</v>
      </c>
      <c r="U16" s="178" t="e">
        <f t="shared" ref="U16:U55" si="13">IF(OR(R7="Fail -ve trend",R8="Fail -ve trend",R9="Fail -ve trend",R10="Fail -ve trend",R11="Fail -ve trend",R12="Fail -ve trend",R13="Fail -ve trend",R14="Fail -ve trend",R15="Fail -ve trend",R16="Fail -ve trend",R7="Fail +ve trend",R8="Fail +ve trend",R9="Fail +ve trend",R10="Fail +ve trend",R11="Fail +ve trend",R12="Fail +ve trend",R13="Fail +ve trend",R14="Fail +ve trend",R15="Fail +ve trend",R16="Fail +ve trend"),"",COUNTIF(T7:T16,"+"))</f>
        <v>#N/A</v>
      </c>
      <c r="V16" s="178"/>
      <c r="W16" s="178"/>
      <c r="X16" s="181" t="e">
        <f t="shared" si="6"/>
        <v>#N/A</v>
      </c>
      <c r="Y16" s="181" t="e">
        <f t="shared" si="7"/>
        <v>#N/A</v>
      </c>
      <c r="Z16" s="181" t="e">
        <f t="shared" si="8"/>
        <v>#N/A</v>
      </c>
      <c r="AA16" s="181" t="e">
        <f t="shared" si="9"/>
        <v>#N/A</v>
      </c>
      <c r="AB16" s="181" t="e">
        <f t="shared" ref="AB16:AB55" si="14">IF(AND(AA16&gt;AA15,AA15&gt;AA14,AA14&gt;AA13,AA13&gt;AA12),"Fail +ve",IF(AND(AA16&lt;AA15,AA15&lt;AA14,AA14&lt;AA13,AA13&lt;AA12),"Fail -ve","Pass"))</f>
        <v>#N/A</v>
      </c>
      <c r="AC16" s="178" t="e">
        <f t="shared" ref="AC16:AC55" si="15">IF(T16="","Pass",IF(T16&gt;=7,"Fail +ve",IF(U16&gt;=7,"Fail -ve","Pass")))</f>
        <v>#N/A</v>
      </c>
      <c r="AD16" s="179" t="e">
        <f t="shared" si="3"/>
        <v>#N/A</v>
      </c>
    </row>
    <row r="17" spans="2:42" x14ac:dyDescent="0.3">
      <c r="B17" s="188">
        <v>12</v>
      </c>
      <c r="C17" s="205"/>
      <c r="D17" s="206"/>
      <c r="E17" s="207"/>
      <c r="F17" s="207"/>
      <c r="G17" s="183" t="e">
        <f t="shared" si="0"/>
        <v>#N/A</v>
      </c>
      <c r="H17" s="183" t="e">
        <f t="shared" si="2"/>
        <v>#N/A</v>
      </c>
      <c r="I17" s="221">
        <f>'Plot Data'!$F$67</f>
        <v>27.934500832898948</v>
      </c>
      <c r="J17" s="221">
        <f>'Plot Data'!$F$65</f>
        <v>28.220491591990413</v>
      </c>
      <c r="K17" s="222">
        <f>'Plot Data'!$F$58</f>
        <v>28.697142857142861</v>
      </c>
      <c r="L17" s="222">
        <f>'Plot Data'!$F$62</f>
        <v>29.173794122295309</v>
      </c>
      <c r="M17" s="222">
        <f>'Plot Data'!$F$64</f>
        <v>29.459784881386774</v>
      </c>
      <c r="N17" s="222">
        <f>'Plot Data'!$F$68</f>
        <v>0.86091428571428585</v>
      </c>
      <c r="O17" s="177" t="e">
        <f t="shared" si="1"/>
        <v>#N/A</v>
      </c>
      <c r="P17" s="180" t="e">
        <f t="shared" si="4"/>
        <v>#N/A</v>
      </c>
      <c r="Q17" s="180" t="e">
        <f t="shared" si="10"/>
        <v>#N/A</v>
      </c>
      <c r="R17" s="180" t="e">
        <f t="shared" si="11"/>
        <v>#N/A</v>
      </c>
      <c r="S17" s="178" t="str">
        <f t="shared" si="5"/>
        <v/>
      </c>
      <c r="T17" s="178" t="e">
        <f t="shared" si="12"/>
        <v>#N/A</v>
      </c>
      <c r="U17" s="178" t="e">
        <f t="shared" si="13"/>
        <v>#N/A</v>
      </c>
      <c r="V17" s="178"/>
      <c r="W17" s="178"/>
      <c r="X17" s="181" t="e">
        <f t="shared" si="6"/>
        <v>#N/A</v>
      </c>
      <c r="Y17" s="181"/>
      <c r="Z17" s="181"/>
      <c r="AA17" s="181" t="e">
        <f t="shared" si="9"/>
        <v>#N/A</v>
      </c>
      <c r="AB17" s="181" t="e">
        <f t="shared" si="14"/>
        <v>#N/A</v>
      </c>
      <c r="AC17" s="178" t="e">
        <f t="shared" si="15"/>
        <v>#N/A</v>
      </c>
      <c r="AD17" s="179" t="e">
        <f t="shared" si="3"/>
        <v>#N/A</v>
      </c>
    </row>
    <row r="18" spans="2:42" x14ac:dyDescent="0.3">
      <c r="B18" s="188">
        <v>13</v>
      </c>
      <c r="C18" s="205"/>
      <c r="D18" s="206"/>
      <c r="E18" s="207"/>
      <c r="F18" s="207"/>
      <c r="G18" s="183" t="e">
        <f t="shared" si="0"/>
        <v>#N/A</v>
      </c>
      <c r="H18" s="183" t="e">
        <f t="shared" si="2"/>
        <v>#N/A</v>
      </c>
      <c r="I18" s="221">
        <f>'Plot Data'!$F$67</f>
        <v>27.934500832898948</v>
      </c>
      <c r="J18" s="221">
        <f>'Plot Data'!$F$65</f>
        <v>28.220491591990413</v>
      </c>
      <c r="K18" s="222">
        <f>'Plot Data'!$F$58</f>
        <v>28.697142857142861</v>
      </c>
      <c r="L18" s="222">
        <f>'Plot Data'!$F$62</f>
        <v>29.173794122295309</v>
      </c>
      <c r="M18" s="222">
        <f>'Plot Data'!$F$64</f>
        <v>29.459784881386774</v>
      </c>
      <c r="N18" s="222">
        <f>'Plot Data'!$F$68</f>
        <v>0.86091428571428585</v>
      </c>
      <c r="O18" s="177" t="e">
        <f t="shared" si="1"/>
        <v>#N/A</v>
      </c>
      <c r="P18" s="180" t="e">
        <f t="shared" si="4"/>
        <v>#N/A</v>
      </c>
      <c r="Q18" s="180" t="e">
        <f t="shared" si="10"/>
        <v>#N/A</v>
      </c>
      <c r="R18" s="180" t="e">
        <f t="shared" si="11"/>
        <v>#N/A</v>
      </c>
      <c r="S18" s="178" t="str">
        <f t="shared" si="5"/>
        <v/>
      </c>
      <c r="T18" s="178" t="e">
        <f t="shared" si="12"/>
        <v>#N/A</v>
      </c>
      <c r="U18" s="178" t="e">
        <f t="shared" si="13"/>
        <v>#N/A</v>
      </c>
      <c r="V18" s="178"/>
      <c r="W18" s="178"/>
      <c r="X18" s="178"/>
      <c r="Y18" s="178"/>
      <c r="Z18" s="178"/>
      <c r="AA18" s="181" t="e">
        <f t="shared" si="9"/>
        <v>#N/A</v>
      </c>
      <c r="AB18" s="178" t="e">
        <f t="shared" si="14"/>
        <v>#N/A</v>
      </c>
      <c r="AC18" s="178" t="e">
        <f t="shared" si="15"/>
        <v>#N/A</v>
      </c>
      <c r="AD18" s="179" t="e">
        <f t="shared" si="3"/>
        <v>#N/A</v>
      </c>
    </row>
    <row r="19" spans="2:42" x14ac:dyDescent="0.3">
      <c r="B19" s="188">
        <v>14</v>
      </c>
      <c r="C19" s="205"/>
      <c r="D19" s="206"/>
      <c r="E19" s="207"/>
      <c r="F19" s="207"/>
      <c r="G19" s="183" t="e">
        <f t="shared" si="0"/>
        <v>#N/A</v>
      </c>
      <c r="H19" s="183" t="e">
        <f t="shared" si="2"/>
        <v>#N/A</v>
      </c>
      <c r="I19" s="221">
        <f>'Plot Data'!$F$67</f>
        <v>27.934500832898948</v>
      </c>
      <c r="J19" s="221">
        <f>'Plot Data'!$F$65</f>
        <v>28.220491591990413</v>
      </c>
      <c r="K19" s="222">
        <f>'Plot Data'!$F$58</f>
        <v>28.697142857142861</v>
      </c>
      <c r="L19" s="222">
        <f>'Plot Data'!$F$62</f>
        <v>29.173794122295309</v>
      </c>
      <c r="M19" s="222">
        <f>'Plot Data'!$F$64</f>
        <v>29.459784881386774</v>
      </c>
      <c r="N19" s="222">
        <f>'Plot Data'!$F$68</f>
        <v>0.86091428571428585</v>
      </c>
      <c r="O19" s="177" t="e">
        <f t="shared" si="1"/>
        <v>#N/A</v>
      </c>
      <c r="P19" s="180" t="e">
        <f t="shared" si="4"/>
        <v>#N/A</v>
      </c>
      <c r="Q19" s="180" t="e">
        <f t="shared" si="10"/>
        <v>#N/A</v>
      </c>
      <c r="R19" s="180" t="e">
        <f t="shared" si="11"/>
        <v>#N/A</v>
      </c>
      <c r="S19" s="178" t="str">
        <f t="shared" si="5"/>
        <v/>
      </c>
      <c r="T19" s="178" t="e">
        <f t="shared" si="12"/>
        <v>#N/A</v>
      </c>
      <c r="U19" s="178" t="e">
        <f t="shared" si="13"/>
        <v>#N/A</v>
      </c>
      <c r="V19" s="178"/>
      <c r="W19" s="178"/>
      <c r="X19" s="178"/>
      <c r="Y19" s="178"/>
      <c r="Z19" s="178"/>
      <c r="AA19" s="181" t="e">
        <f t="shared" si="9"/>
        <v>#N/A</v>
      </c>
      <c r="AB19" s="178" t="e">
        <f t="shared" si="14"/>
        <v>#N/A</v>
      </c>
      <c r="AC19" s="178" t="e">
        <f t="shared" si="15"/>
        <v>#N/A</v>
      </c>
      <c r="AD19" s="179" t="e">
        <f t="shared" si="3"/>
        <v>#N/A</v>
      </c>
    </row>
    <row r="20" spans="2:42" x14ac:dyDescent="0.3">
      <c r="B20" s="188">
        <v>15</v>
      </c>
      <c r="C20" s="205"/>
      <c r="D20" s="206"/>
      <c r="E20" s="207"/>
      <c r="F20" s="207"/>
      <c r="G20" s="183" t="e">
        <f t="shared" si="0"/>
        <v>#N/A</v>
      </c>
      <c r="H20" s="183" t="e">
        <f t="shared" si="2"/>
        <v>#N/A</v>
      </c>
      <c r="I20" s="221">
        <f>'Plot Data'!$F$67</f>
        <v>27.934500832898948</v>
      </c>
      <c r="J20" s="221">
        <f>'Plot Data'!$F$65</f>
        <v>28.220491591990413</v>
      </c>
      <c r="K20" s="222">
        <f>'Plot Data'!$F$58</f>
        <v>28.697142857142861</v>
      </c>
      <c r="L20" s="222">
        <f>'Plot Data'!$F$62</f>
        <v>29.173794122295309</v>
      </c>
      <c r="M20" s="222">
        <f>'Plot Data'!$F$64</f>
        <v>29.459784881386774</v>
      </c>
      <c r="N20" s="222">
        <f>'Plot Data'!$F$68</f>
        <v>0.86091428571428585</v>
      </c>
      <c r="O20" s="177" t="e">
        <f t="shared" si="1"/>
        <v>#N/A</v>
      </c>
      <c r="P20" s="180" t="e">
        <f t="shared" si="4"/>
        <v>#N/A</v>
      </c>
      <c r="Q20" s="180" t="e">
        <f t="shared" si="10"/>
        <v>#N/A</v>
      </c>
      <c r="R20" s="180" t="e">
        <f t="shared" si="11"/>
        <v>#N/A</v>
      </c>
      <c r="S20" s="178" t="str">
        <f t="shared" si="5"/>
        <v/>
      </c>
      <c r="T20" s="178" t="e">
        <f t="shared" si="12"/>
        <v>#N/A</v>
      </c>
      <c r="U20" s="178" t="e">
        <f t="shared" si="13"/>
        <v>#N/A</v>
      </c>
      <c r="V20" s="178"/>
      <c r="W20" s="178"/>
      <c r="X20" s="178"/>
      <c r="Y20" s="178"/>
      <c r="Z20" s="178"/>
      <c r="AA20" s="181" t="e">
        <f t="shared" si="9"/>
        <v>#N/A</v>
      </c>
      <c r="AB20" s="178" t="e">
        <f t="shared" si="14"/>
        <v>#N/A</v>
      </c>
      <c r="AC20" s="178" t="e">
        <f t="shared" si="15"/>
        <v>#N/A</v>
      </c>
      <c r="AD20" s="179" t="e">
        <f t="shared" si="3"/>
        <v>#N/A</v>
      </c>
    </row>
    <row r="21" spans="2:42" x14ac:dyDescent="0.3">
      <c r="B21" s="188">
        <v>16</v>
      </c>
      <c r="C21" s="205"/>
      <c r="D21" s="206"/>
      <c r="E21" s="207"/>
      <c r="F21" s="207"/>
      <c r="G21" s="183" t="e">
        <f t="shared" si="0"/>
        <v>#N/A</v>
      </c>
      <c r="H21" s="183" t="e">
        <f t="shared" si="2"/>
        <v>#N/A</v>
      </c>
      <c r="I21" s="221">
        <f>'Plot Data'!$F$67</f>
        <v>27.934500832898948</v>
      </c>
      <c r="J21" s="221">
        <f>'Plot Data'!$F$65</f>
        <v>28.220491591990413</v>
      </c>
      <c r="K21" s="222">
        <f>'Plot Data'!$F$58</f>
        <v>28.697142857142861</v>
      </c>
      <c r="L21" s="222">
        <f>'Plot Data'!$F$62</f>
        <v>29.173794122295309</v>
      </c>
      <c r="M21" s="222">
        <f>'Plot Data'!$F$64</f>
        <v>29.459784881386774</v>
      </c>
      <c r="N21" s="222">
        <f>'Plot Data'!$F$68</f>
        <v>0.86091428571428585</v>
      </c>
      <c r="O21" s="177" t="e">
        <f t="shared" si="1"/>
        <v>#N/A</v>
      </c>
      <c r="P21" s="180" t="e">
        <f t="shared" si="4"/>
        <v>#N/A</v>
      </c>
      <c r="Q21" s="180" t="e">
        <f t="shared" si="10"/>
        <v>#N/A</v>
      </c>
      <c r="R21" s="180" t="e">
        <f t="shared" si="11"/>
        <v>#N/A</v>
      </c>
      <c r="S21" s="178" t="str">
        <f t="shared" si="5"/>
        <v/>
      </c>
      <c r="T21" s="178" t="e">
        <f t="shared" si="12"/>
        <v>#N/A</v>
      </c>
      <c r="U21" s="178" t="e">
        <f t="shared" si="13"/>
        <v>#N/A</v>
      </c>
      <c r="V21" s="178"/>
      <c r="W21" s="178"/>
      <c r="X21" s="178"/>
      <c r="Y21" s="178"/>
      <c r="Z21" s="178"/>
      <c r="AA21" s="181" t="e">
        <f t="shared" si="9"/>
        <v>#N/A</v>
      </c>
      <c r="AB21" s="178" t="e">
        <f t="shared" si="14"/>
        <v>#N/A</v>
      </c>
      <c r="AC21" s="178" t="e">
        <f t="shared" si="15"/>
        <v>#N/A</v>
      </c>
      <c r="AD21" s="179" t="e">
        <f t="shared" si="3"/>
        <v>#N/A</v>
      </c>
    </row>
    <row r="22" spans="2:42" x14ac:dyDescent="0.3">
      <c r="B22" s="188">
        <v>17</v>
      </c>
      <c r="C22" s="205"/>
      <c r="D22" s="206"/>
      <c r="E22" s="207"/>
      <c r="F22" s="207"/>
      <c r="G22" s="183" t="e">
        <f t="shared" si="0"/>
        <v>#N/A</v>
      </c>
      <c r="H22" s="183" t="e">
        <f t="shared" si="2"/>
        <v>#N/A</v>
      </c>
      <c r="I22" s="221">
        <f>'Plot Data'!$F$67</f>
        <v>27.934500832898948</v>
      </c>
      <c r="J22" s="221">
        <f>'Plot Data'!$F$65</f>
        <v>28.220491591990413</v>
      </c>
      <c r="K22" s="222">
        <f>'Plot Data'!$F$58</f>
        <v>28.697142857142861</v>
      </c>
      <c r="L22" s="222">
        <f>'Plot Data'!$F$62</f>
        <v>29.173794122295309</v>
      </c>
      <c r="M22" s="222">
        <f>'Plot Data'!$F$64</f>
        <v>29.459784881386774</v>
      </c>
      <c r="N22" s="222">
        <f>'Plot Data'!$F$68</f>
        <v>0.86091428571428585</v>
      </c>
      <c r="O22" s="177" t="e">
        <f t="shared" si="1"/>
        <v>#N/A</v>
      </c>
      <c r="P22" s="180" t="e">
        <f t="shared" si="4"/>
        <v>#N/A</v>
      </c>
      <c r="Q22" s="180" t="e">
        <f t="shared" si="10"/>
        <v>#N/A</v>
      </c>
      <c r="R22" s="180" t="e">
        <f t="shared" si="11"/>
        <v>#N/A</v>
      </c>
      <c r="S22" s="178" t="str">
        <f t="shared" si="5"/>
        <v/>
      </c>
      <c r="T22" s="178" t="e">
        <f t="shared" si="12"/>
        <v>#N/A</v>
      </c>
      <c r="U22" s="178" t="e">
        <f t="shared" si="13"/>
        <v>#N/A</v>
      </c>
      <c r="V22" s="178"/>
      <c r="W22" s="178"/>
      <c r="X22" s="178"/>
      <c r="Y22" s="178"/>
      <c r="Z22" s="178"/>
      <c r="AA22" s="181" t="e">
        <f t="shared" si="9"/>
        <v>#N/A</v>
      </c>
      <c r="AB22" s="178" t="e">
        <f t="shared" si="14"/>
        <v>#N/A</v>
      </c>
      <c r="AC22" s="178" t="e">
        <f t="shared" si="15"/>
        <v>#N/A</v>
      </c>
      <c r="AD22" s="179" t="e">
        <f t="shared" si="3"/>
        <v>#N/A</v>
      </c>
    </row>
    <row r="23" spans="2:42" x14ac:dyDescent="0.3">
      <c r="B23" s="188">
        <v>18</v>
      </c>
      <c r="C23" s="205"/>
      <c r="D23" s="206"/>
      <c r="E23" s="207"/>
      <c r="F23" s="207"/>
      <c r="G23" s="183" t="e">
        <f t="shared" si="0"/>
        <v>#N/A</v>
      </c>
      <c r="H23" s="183" t="e">
        <f t="shared" si="2"/>
        <v>#N/A</v>
      </c>
      <c r="I23" s="221">
        <f>'Plot Data'!$F$67</f>
        <v>27.934500832898948</v>
      </c>
      <c r="J23" s="221">
        <f>'Plot Data'!$F$65</f>
        <v>28.220491591990413</v>
      </c>
      <c r="K23" s="222">
        <f>'Plot Data'!$F$58</f>
        <v>28.697142857142861</v>
      </c>
      <c r="L23" s="222">
        <f>'Plot Data'!$F$62</f>
        <v>29.173794122295309</v>
      </c>
      <c r="M23" s="222">
        <f>'Plot Data'!$F$64</f>
        <v>29.459784881386774</v>
      </c>
      <c r="N23" s="222">
        <f>'Plot Data'!$F$68</f>
        <v>0.86091428571428585</v>
      </c>
      <c r="O23" s="177" t="e">
        <f t="shared" si="1"/>
        <v>#N/A</v>
      </c>
      <c r="P23" s="180" t="e">
        <f t="shared" si="4"/>
        <v>#N/A</v>
      </c>
      <c r="Q23" s="180" t="e">
        <f t="shared" si="10"/>
        <v>#N/A</v>
      </c>
      <c r="R23" s="180" t="e">
        <f t="shared" si="11"/>
        <v>#N/A</v>
      </c>
      <c r="S23" s="178" t="str">
        <f t="shared" si="5"/>
        <v/>
      </c>
      <c r="T23" s="178" t="e">
        <f t="shared" si="12"/>
        <v>#N/A</v>
      </c>
      <c r="U23" s="178" t="e">
        <f t="shared" si="13"/>
        <v>#N/A</v>
      </c>
      <c r="V23" s="178"/>
      <c r="W23" s="178"/>
      <c r="X23" s="178"/>
      <c r="Y23" s="178"/>
      <c r="Z23" s="178"/>
      <c r="AA23" s="181" t="e">
        <f t="shared" si="9"/>
        <v>#N/A</v>
      </c>
      <c r="AB23" s="178" t="e">
        <f t="shared" si="14"/>
        <v>#N/A</v>
      </c>
      <c r="AC23" s="178" t="e">
        <f t="shared" si="15"/>
        <v>#N/A</v>
      </c>
      <c r="AD23" s="179" t="e">
        <f t="shared" si="3"/>
        <v>#N/A</v>
      </c>
    </row>
    <row r="24" spans="2:42" x14ac:dyDescent="0.3">
      <c r="B24" s="188">
        <v>19</v>
      </c>
      <c r="C24" s="205"/>
      <c r="D24" s="206"/>
      <c r="E24" s="207"/>
      <c r="F24" s="207"/>
      <c r="G24" s="183" t="e">
        <f t="shared" si="0"/>
        <v>#N/A</v>
      </c>
      <c r="H24" s="183" t="e">
        <f t="shared" si="2"/>
        <v>#N/A</v>
      </c>
      <c r="I24" s="221">
        <f>'Plot Data'!$F$67</f>
        <v>27.934500832898948</v>
      </c>
      <c r="J24" s="221">
        <f>'Plot Data'!$F$65</f>
        <v>28.220491591990413</v>
      </c>
      <c r="K24" s="222">
        <f>'Plot Data'!$F$58</f>
        <v>28.697142857142861</v>
      </c>
      <c r="L24" s="222">
        <f>'Plot Data'!$F$62</f>
        <v>29.173794122295309</v>
      </c>
      <c r="M24" s="222">
        <f>'Plot Data'!$F$64</f>
        <v>29.459784881386774</v>
      </c>
      <c r="N24" s="222">
        <f>'Plot Data'!$F$68</f>
        <v>0.86091428571428585</v>
      </c>
      <c r="O24" s="177" t="e">
        <f t="shared" si="1"/>
        <v>#N/A</v>
      </c>
      <c r="P24" s="180" t="e">
        <f t="shared" si="4"/>
        <v>#N/A</v>
      </c>
      <c r="Q24" s="180" t="e">
        <f t="shared" si="10"/>
        <v>#N/A</v>
      </c>
      <c r="R24" s="180" t="e">
        <f t="shared" si="11"/>
        <v>#N/A</v>
      </c>
      <c r="S24" s="178" t="str">
        <f t="shared" si="5"/>
        <v/>
      </c>
      <c r="T24" s="178" t="e">
        <f t="shared" si="12"/>
        <v>#N/A</v>
      </c>
      <c r="U24" s="178" t="e">
        <f t="shared" si="13"/>
        <v>#N/A</v>
      </c>
      <c r="V24" s="178"/>
      <c r="W24" s="178"/>
      <c r="X24" s="178"/>
      <c r="Y24" s="178"/>
      <c r="Z24" s="178"/>
      <c r="AA24" s="181" t="e">
        <f t="shared" si="9"/>
        <v>#N/A</v>
      </c>
      <c r="AB24" s="178" t="e">
        <f t="shared" si="14"/>
        <v>#N/A</v>
      </c>
      <c r="AC24" s="178" t="e">
        <f t="shared" si="15"/>
        <v>#N/A</v>
      </c>
      <c r="AD24" s="179" t="e">
        <f t="shared" si="3"/>
        <v>#N/A</v>
      </c>
    </row>
    <row r="25" spans="2:42" x14ac:dyDescent="0.3">
      <c r="B25" s="188">
        <v>20</v>
      </c>
      <c r="C25" s="205"/>
      <c r="D25" s="206"/>
      <c r="E25" s="207"/>
      <c r="F25" s="207"/>
      <c r="G25" s="183" t="e">
        <f t="shared" si="0"/>
        <v>#N/A</v>
      </c>
      <c r="H25" s="183" t="e">
        <f t="shared" si="2"/>
        <v>#N/A</v>
      </c>
      <c r="I25" s="221">
        <f>'Plot Data'!$F$67</f>
        <v>27.934500832898948</v>
      </c>
      <c r="J25" s="221">
        <f>'Plot Data'!$F$65</f>
        <v>28.220491591990413</v>
      </c>
      <c r="K25" s="222">
        <f>'Plot Data'!$F$58</f>
        <v>28.697142857142861</v>
      </c>
      <c r="L25" s="222">
        <f>'Plot Data'!$F$62</f>
        <v>29.173794122295309</v>
      </c>
      <c r="M25" s="222">
        <f>'Plot Data'!$F$64</f>
        <v>29.459784881386774</v>
      </c>
      <c r="N25" s="222">
        <f>'Plot Data'!$F$68</f>
        <v>0.86091428571428585</v>
      </c>
      <c r="O25" s="177" t="e">
        <f t="shared" si="1"/>
        <v>#N/A</v>
      </c>
      <c r="P25" s="180" t="e">
        <f t="shared" si="4"/>
        <v>#N/A</v>
      </c>
      <c r="Q25" s="180" t="e">
        <f t="shared" si="10"/>
        <v>#N/A</v>
      </c>
      <c r="R25" s="180" t="e">
        <f t="shared" si="11"/>
        <v>#N/A</v>
      </c>
      <c r="S25" s="178" t="str">
        <f t="shared" si="5"/>
        <v/>
      </c>
      <c r="T25" s="178" t="e">
        <f t="shared" si="12"/>
        <v>#N/A</v>
      </c>
      <c r="U25" s="178" t="e">
        <f t="shared" si="13"/>
        <v>#N/A</v>
      </c>
      <c r="V25" s="178"/>
      <c r="W25" s="178"/>
      <c r="X25" s="178"/>
      <c r="Y25" s="178"/>
      <c r="Z25" s="178"/>
      <c r="AA25" s="181" t="e">
        <f t="shared" si="9"/>
        <v>#N/A</v>
      </c>
      <c r="AB25" s="178" t="e">
        <f t="shared" si="14"/>
        <v>#N/A</v>
      </c>
      <c r="AC25" s="178" t="e">
        <f t="shared" si="15"/>
        <v>#N/A</v>
      </c>
      <c r="AD25" s="179" t="e">
        <f t="shared" si="3"/>
        <v>#N/A</v>
      </c>
    </row>
    <row r="26" spans="2:42" x14ac:dyDescent="0.3">
      <c r="B26" s="188">
        <v>21</v>
      </c>
      <c r="C26" s="205"/>
      <c r="D26" s="206"/>
      <c r="E26" s="207"/>
      <c r="F26" s="207"/>
      <c r="G26" s="183" t="e">
        <f t="shared" si="0"/>
        <v>#N/A</v>
      </c>
      <c r="H26" s="183" t="e">
        <f t="shared" si="2"/>
        <v>#N/A</v>
      </c>
      <c r="I26" s="221">
        <f>'Plot Data'!$F$67</f>
        <v>27.934500832898948</v>
      </c>
      <c r="J26" s="221">
        <f>'Plot Data'!$F$65</f>
        <v>28.220491591990413</v>
      </c>
      <c r="K26" s="222">
        <f>'Plot Data'!$F$58</f>
        <v>28.697142857142861</v>
      </c>
      <c r="L26" s="222">
        <f>'Plot Data'!$F$62</f>
        <v>29.173794122295309</v>
      </c>
      <c r="M26" s="222">
        <f>'Plot Data'!$F$64</f>
        <v>29.459784881386774</v>
      </c>
      <c r="N26" s="222">
        <f>'Plot Data'!$F$68</f>
        <v>0.86091428571428585</v>
      </c>
      <c r="O26" s="177" t="e">
        <f t="shared" si="1"/>
        <v>#N/A</v>
      </c>
      <c r="P26" s="180" t="e">
        <f t="shared" si="4"/>
        <v>#N/A</v>
      </c>
      <c r="Q26" s="180" t="e">
        <f t="shared" si="10"/>
        <v>#N/A</v>
      </c>
      <c r="R26" s="180" t="e">
        <f t="shared" si="11"/>
        <v>#N/A</v>
      </c>
      <c r="S26" s="178" t="str">
        <f t="shared" si="5"/>
        <v/>
      </c>
      <c r="T26" s="178" t="e">
        <f t="shared" si="12"/>
        <v>#N/A</v>
      </c>
      <c r="U26" s="178" t="e">
        <f t="shared" si="13"/>
        <v>#N/A</v>
      </c>
      <c r="V26" s="178"/>
      <c r="W26" s="178"/>
      <c r="X26" s="178"/>
      <c r="Y26" s="178"/>
      <c r="Z26" s="178"/>
      <c r="AA26" s="181" t="e">
        <f t="shared" si="9"/>
        <v>#N/A</v>
      </c>
      <c r="AB26" s="178" t="e">
        <f t="shared" si="14"/>
        <v>#N/A</v>
      </c>
      <c r="AC26" s="178" t="e">
        <f t="shared" si="15"/>
        <v>#N/A</v>
      </c>
      <c r="AD26" s="179" t="e">
        <f t="shared" si="3"/>
        <v>#N/A</v>
      </c>
    </row>
    <row r="27" spans="2:42" x14ac:dyDescent="0.3">
      <c r="B27" s="188">
        <v>22</v>
      </c>
      <c r="C27" s="205"/>
      <c r="D27" s="206"/>
      <c r="E27" s="207"/>
      <c r="F27" s="207"/>
      <c r="G27" s="183" t="e">
        <f t="shared" si="0"/>
        <v>#N/A</v>
      </c>
      <c r="H27" s="183" t="e">
        <f t="shared" si="2"/>
        <v>#N/A</v>
      </c>
      <c r="I27" s="221">
        <f>'Plot Data'!$F$67</f>
        <v>27.934500832898948</v>
      </c>
      <c r="J27" s="221">
        <f>'Plot Data'!$F$65</f>
        <v>28.220491591990413</v>
      </c>
      <c r="K27" s="222">
        <f>'Plot Data'!$F$58</f>
        <v>28.697142857142861</v>
      </c>
      <c r="L27" s="222">
        <f>'Plot Data'!$F$62</f>
        <v>29.173794122295309</v>
      </c>
      <c r="M27" s="222">
        <f>'Plot Data'!$F$64</f>
        <v>29.459784881386774</v>
      </c>
      <c r="N27" s="222">
        <f>'Plot Data'!$F$68</f>
        <v>0.86091428571428585</v>
      </c>
      <c r="O27" s="177" t="e">
        <f t="shared" si="1"/>
        <v>#N/A</v>
      </c>
      <c r="P27" s="180" t="e">
        <f t="shared" si="4"/>
        <v>#N/A</v>
      </c>
      <c r="Q27" s="180" t="e">
        <f t="shared" si="10"/>
        <v>#N/A</v>
      </c>
      <c r="R27" s="180" t="e">
        <f t="shared" si="11"/>
        <v>#N/A</v>
      </c>
      <c r="S27" s="178" t="str">
        <f t="shared" si="5"/>
        <v/>
      </c>
      <c r="T27" s="178" t="e">
        <f t="shared" si="12"/>
        <v>#N/A</v>
      </c>
      <c r="U27" s="178" t="e">
        <f t="shared" si="13"/>
        <v>#N/A</v>
      </c>
      <c r="V27" s="178"/>
      <c r="W27" s="178"/>
      <c r="X27" s="178"/>
      <c r="Y27" s="178"/>
      <c r="Z27" s="178"/>
      <c r="AA27" s="181" t="e">
        <f t="shared" si="9"/>
        <v>#N/A</v>
      </c>
      <c r="AB27" s="178" t="e">
        <f t="shared" si="14"/>
        <v>#N/A</v>
      </c>
      <c r="AC27" s="178" t="e">
        <f t="shared" si="15"/>
        <v>#N/A</v>
      </c>
      <c r="AD27" s="179" t="e">
        <f t="shared" si="3"/>
        <v>#N/A</v>
      </c>
    </row>
    <row r="28" spans="2:42" x14ac:dyDescent="0.3">
      <c r="B28" s="188">
        <v>23</v>
      </c>
      <c r="C28" s="205"/>
      <c r="D28" s="206"/>
      <c r="E28" s="207"/>
      <c r="F28" s="207"/>
      <c r="G28" s="183" t="e">
        <f t="shared" si="0"/>
        <v>#N/A</v>
      </c>
      <c r="H28" s="183" t="e">
        <f t="shared" si="2"/>
        <v>#N/A</v>
      </c>
      <c r="I28" s="221">
        <f>'Plot Data'!$F$67</f>
        <v>27.934500832898948</v>
      </c>
      <c r="J28" s="221">
        <f>'Plot Data'!$F$65</f>
        <v>28.220491591990413</v>
      </c>
      <c r="K28" s="222">
        <f>'Plot Data'!$F$58</f>
        <v>28.697142857142861</v>
      </c>
      <c r="L28" s="222">
        <f>'Plot Data'!$F$62</f>
        <v>29.173794122295309</v>
      </c>
      <c r="M28" s="222">
        <f>'Plot Data'!$F$64</f>
        <v>29.459784881386774</v>
      </c>
      <c r="N28" s="222">
        <f>'Plot Data'!$F$68</f>
        <v>0.86091428571428585</v>
      </c>
      <c r="O28" s="177" t="e">
        <f t="shared" si="1"/>
        <v>#N/A</v>
      </c>
      <c r="P28" s="180" t="e">
        <f t="shared" si="4"/>
        <v>#N/A</v>
      </c>
      <c r="Q28" s="180" t="e">
        <f t="shared" si="10"/>
        <v>#N/A</v>
      </c>
      <c r="R28" s="180" t="e">
        <f t="shared" si="11"/>
        <v>#N/A</v>
      </c>
      <c r="S28" s="178" t="str">
        <f t="shared" si="5"/>
        <v/>
      </c>
      <c r="T28" s="178" t="e">
        <f t="shared" si="12"/>
        <v>#N/A</v>
      </c>
      <c r="U28" s="178" t="e">
        <f t="shared" si="13"/>
        <v>#N/A</v>
      </c>
      <c r="V28" s="178"/>
      <c r="W28" s="178"/>
      <c r="X28" s="178"/>
      <c r="Y28" s="178"/>
      <c r="Z28" s="178"/>
      <c r="AA28" s="181" t="e">
        <f t="shared" si="9"/>
        <v>#N/A</v>
      </c>
      <c r="AB28" s="178" t="e">
        <f t="shared" si="14"/>
        <v>#N/A</v>
      </c>
      <c r="AC28" s="178" t="e">
        <f t="shared" si="15"/>
        <v>#N/A</v>
      </c>
      <c r="AD28" s="179" t="e">
        <f t="shared" si="3"/>
        <v>#N/A</v>
      </c>
    </row>
    <row r="29" spans="2:42" x14ac:dyDescent="0.3">
      <c r="B29" s="188">
        <v>24</v>
      </c>
      <c r="C29" s="205"/>
      <c r="D29" s="206"/>
      <c r="E29" s="207"/>
      <c r="F29" s="207"/>
      <c r="G29" s="183" t="e">
        <f t="shared" si="0"/>
        <v>#N/A</v>
      </c>
      <c r="H29" s="183" t="e">
        <f t="shared" si="2"/>
        <v>#N/A</v>
      </c>
      <c r="I29" s="221">
        <f>'Plot Data'!$F$67</f>
        <v>27.934500832898948</v>
      </c>
      <c r="J29" s="221">
        <f>'Plot Data'!$F$65</f>
        <v>28.220491591990413</v>
      </c>
      <c r="K29" s="222">
        <f>'Plot Data'!$F$58</f>
        <v>28.697142857142861</v>
      </c>
      <c r="L29" s="222">
        <f>'Plot Data'!$F$62</f>
        <v>29.173794122295309</v>
      </c>
      <c r="M29" s="222">
        <f>'Plot Data'!$F$64</f>
        <v>29.459784881386774</v>
      </c>
      <c r="N29" s="222">
        <f>'Plot Data'!$F$68</f>
        <v>0.86091428571428585</v>
      </c>
      <c r="O29" s="177" t="e">
        <f t="shared" si="1"/>
        <v>#N/A</v>
      </c>
      <c r="P29" s="180" t="e">
        <f t="shared" si="4"/>
        <v>#N/A</v>
      </c>
      <c r="Q29" s="180" t="e">
        <f t="shared" si="10"/>
        <v>#N/A</v>
      </c>
      <c r="R29" s="180" t="e">
        <f t="shared" si="11"/>
        <v>#N/A</v>
      </c>
      <c r="S29" s="178" t="str">
        <f t="shared" si="5"/>
        <v/>
      </c>
      <c r="T29" s="178" t="e">
        <f t="shared" si="12"/>
        <v>#N/A</v>
      </c>
      <c r="U29" s="178" t="e">
        <f t="shared" si="13"/>
        <v>#N/A</v>
      </c>
      <c r="V29" s="178"/>
      <c r="W29" s="178"/>
      <c r="X29" s="178"/>
      <c r="Y29" s="178"/>
      <c r="Z29" s="178"/>
      <c r="AA29" s="181" t="e">
        <f t="shared" si="9"/>
        <v>#N/A</v>
      </c>
      <c r="AB29" s="178" t="e">
        <f t="shared" si="14"/>
        <v>#N/A</v>
      </c>
      <c r="AC29" s="178" t="e">
        <f t="shared" si="15"/>
        <v>#N/A</v>
      </c>
      <c r="AD29" s="179" t="e">
        <f t="shared" si="3"/>
        <v>#N/A</v>
      </c>
    </row>
    <row r="30" spans="2:42" x14ac:dyDescent="0.3">
      <c r="B30" s="188">
        <v>25</v>
      </c>
      <c r="C30" s="205"/>
      <c r="D30" s="206"/>
      <c r="E30" s="207"/>
      <c r="F30" s="207"/>
      <c r="G30" s="183" t="e">
        <f t="shared" si="0"/>
        <v>#N/A</v>
      </c>
      <c r="H30" s="183" t="e">
        <f t="shared" si="2"/>
        <v>#N/A</v>
      </c>
      <c r="I30" s="221">
        <f>'Plot Data'!$F$67</f>
        <v>27.934500832898948</v>
      </c>
      <c r="J30" s="221">
        <f>'Plot Data'!$F$65</f>
        <v>28.220491591990413</v>
      </c>
      <c r="K30" s="222">
        <f>'Plot Data'!$F$58</f>
        <v>28.697142857142861</v>
      </c>
      <c r="L30" s="222">
        <f>'Plot Data'!$F$62</f>
        <v>29.173794122295309</v>
      </c>
      <c r="M30" s="222">
        <f>'Plot Data'!$F$64</f>
        <v>29.459784881386774</v>
      </c>
      <c r="N30" s="222">
        <f>'Plot Data'!$F$68</f>
        <v>0.86091428571428585</v>
      </c>
      <c r="O30" s="177" t="e">
        <f t="shared" si="1"/>
        <v>#N/A</v>
      </c>
      <c r="P30" s="180" t="e">
        <f t="shared" si="4"/>
        <v>#N/A</v>
      </c>
      <c r="Q30" s="180" t="e">
        <f t="shared" si="10"/>
        <v>#N/A</v>
      </c>
      <c r="R30" s="180" t="e">
        <f t="shared" si="11"/>
        <v>#N/A</v>
      </c>
      <c r="S30" s="178" t="str">
        <f t="shared" si="5"/>
        <v/>
      </c>
      <c r="T30" s="178" t="e">
        <f t="shared" si="12"/>
        <v>#N/A</v>
      </c>
      <c r="U30" s="178" t="e">
        <f t="shared" si="13"/>
        <v>#N/A</v>
      </c>
      <c r="V30" s="178"/>
      <c r="W30" s="178"/>
      <c r="X30" s="178"/>
      <c r="Y30" s="178"/>
      <c r="Z30" s="178"/>
      <c r="AA30" s="181" t="e">
        <f t="shared" si="9"/>
        <v>#N/A</v>
      </c>
      <c r="AB30" s="178" t="e">
        <f t="shared" si="14"/>
        <v>#N/A</v>
      </c>
      <c r="AC30" s="178" t="e">
        <f t="shared" si="15"/>
        <v>#N/A</v>
      </c>
      <c r="AD30" s="179" t="e">
        <f t="shared" si="3"/>
        <v>#N/A</v>
      </c>
    </row>
    <row r="31" spans="2:42" x14ac:dyDescent="0.3">
      <c r="B31" s="188">
        <v>26</v>
      </c>
      <c r="C31" s="205"/>
      <c r="D31" s="206"/>
      <c r="E31" s="207"/>
      <c r="F31" s="207"/>
      <c r="G31" s="183" t="e">
        <f t="shared" si="0"/>
        <v>#N/A</v>
      </c>
      <c r="H31" s="183" t="e">
        <f t="shared" si="2"/>
        <v>#N/A</v>
      </c>
      <c r="I31" s="221">
        <f>'Plot Data'!$F$67</f>
        <v>27.934500832898948</v>
      </c>
      <c r="J31" s="221">
        <f>'Plot Data'!$F$65</f>
        <v>28.220491591990413</v>
      </c>
      <c r="K31" s="222">
        <f>'Plot Data'!$F$58</f>
        <v>28.697142857142861</v>
      </c>
      <c r="L31" s="222">
        <f>'Plot Data'!$F$62</f>
        <v>29.173794122295309</v>
      </c>
      <c r="M31" s="222">
        <f>'Plot Data'!$F$64</f>
        <v>29.459784881386774</v>
      </c>
      <c r="N31" s="222">
        <f>'Plot Data'!$F$68</f>
        <v>0.86091428571428585</v>
      </c>
      <c r="O31" s="177" t="e">
        <f t="shared" si="1"/>
        <v>#N/A</v>
      </c>
      <c r="P31" s="180" t="e">
        <f t="shared" si="4"/>
        <v>#N/A</v>
      </c>
      <c r="Q31" s="180" t="e">
        <f t="shared" si="10"/>
        <v>#N/A</v>
      </c>
      <c r="R31" s="180" t="e">
        <f t="shared" si="11"/>
        <v>#N/A</v>
      </c>
      <c r="S31" s="178" t="str">
        <f t="shared" si="5"/>
        <v/>
      </c>
      <c r="T31" s="178" t="e">
        <f t="shared" si="12"/>
        <v>#N/A</v>
      </c>
      <c r="U31" s="178" t="e">
        <f t="shared" si="13"/>
        <v>#N/A</v>
      </c>
      <c r="V31" s="178"/>
      <c r="W31" s="178"/>
      <c r="X31" s="178"/>
      <c r="Y31" s="178"/>
      <c r="Z31" s="178"/>
      <c r="AA31" s="181" t="e">
        <f t="shared" si="9"/>
        <v>#N/A</v>
      </c>
      <c r="AB31" s="178" t="e">
        <f t="shared" si="14"/>
        <v>#N/A</v>
      </c>
      <c r="AC31" s="178" t="e">
        <f t="shared" si="15"/>
        <v>#N/A</v>
      </c>
      <c r="AD31" s="179" t="e">
        <f t="shared" si="3"/>
        <v>#N/A</v>
      </c>
      <c r="AF31" s="703"/>
      <c r="AG31" s="703"/>
      <c r="AH31" s="703"/>
      <c r="AI31" s="703"/>
      <c r="AJ31" s="703"/>
      <c r="AK31" s="703"/>
      <c r="AL31" s="703"/>
      <c r="AM31" s="703"/>
      <c r="AN31" s="703"/>
      <c r="AO31" s="703"/>
      <c r="AP31" s="703"/>
    </row>
    <row r="32" spans="2:42" ht="15" thickBot="1" x14ac:dyDescent="0.35">
      <c r="B32" s="188">
        <v>27</v>
      </c>
      <c r="C32" s="205"/>
      <c r="D32" s="206"/>
      <c r="E32" s="207"/>
      <c r="F32" s="207"/>
      <c r="G32" s="183" t="e">
        <f t="shared" si="0"/>
        <v>#N/A</v>
      </c>
      <c r="H32" s="183" t="e">
        <f t="shared" si="2"/>
        <v>#N/A</v>
      </c>
      <c r="I32" s="221">
        <f>'Plot Data'!$F$67</f>
        <v>27.934500832898948</v>
      </c>
      <c r="J32" s="221">
        <f>'Plot Data'!$F$65</f>
        <v>28.220491591990413</v>
      </c>
      <c r="K32" s="222">
        <f>'Plot Data'!$F$58</f>
        <v>28.697142857142861</v>
      </c>
      <c r="L32" s="222">
        <f>'Plot Data'!$F$62</f>
        <v>29.173794122295309</v>
      </c>
      <c r="M32" s="222">
        <f>'Plot Data'!$F$64</f>
        <v>29.459784881386774</v>
      </c>
      <c r="N32" s="222">
        <f>'Plot Data'!$F$68</f>
        <v>0.86091428571428585</v>
      </c>
      <c r="O32" s="177" t="e">
        <f t="shared" si="1"/>
        <v>#N/A</v>
      </c>
      <c r="P32" s="180" t="e">
        <f t="shared" si="4"/>
        <v>#N/A</v>
      </c>
      <c r="Q32" s="180" t="e">
        <f t="shared" si="10"/>
        <v>#N/A</v>
      </c>
      <c r="R32" s="180" t="e">
        <f t="shared" si="11"/>
        <v>#N/A</v>
      </c>
      <c r="S32" s="178" t="str">
        <f t="shared" si="5"/>
        <v/>
      </c>
      <c r="T32" s="178" t="e">
        <f t="shared" si="12"/>
        <v>#N/A</v>
      </c>
      <c r="U32" s="178" t="e">
        <f t="shared" si="13"/>
        <v>#N/A</v>
      </c>
      <c r="V32" s="178"/>
      <c r="W32" s="178"/>
      <c r="X32" s="178"/>
      <c r="Y32" s="178"/>
      <c r="Z32" s="178"/>
      <c r="AA32" s="181" t="e">
        <f t="shared" si="9"/>
        <v>#N/A</v>
      </c>
      <c r="AB32" s="178" t="e">
        <f t="shared" si="14"/>
        <v>#N/A</v>
      </c>
      <c r="AC32" s="178" t="e">
        <f t="shared" si="15"/>
        <v>#N/A</v>
      </c>
      <c r="AD32" s="179" t="e">
        <f t="shared" si="3"/>
        <v>#N/A</v>
      </c>
      <c r="AF32" s="704"/>
      <c r="AG32" s="704"/>
      <c r="AH32" s="704"/>
      <c r="AI32" s="704"/>
      <c r="AJ32" s="704"/>
      <c r="AK32" s="704"/>
      <c r="AL32" s="704"/>
      <c r="AM32" s="704"/>
      <c r="AN32" s="704"/>
      <c r="AO32" s="704"/>
      <c r="AP32" s="704"/>
    </row>
    <row r="33" spans="2:42" x14ac:dyDescent="0.3">
      <c r="B33" s="188">
        <v>28</v>
      </c>
      <c r="C33" s="205"/>
      <c r="D33" s="206"/>
      <c r="E33" s="207"/>
      <c r="F33" s="207"/>
      <c r="G33" s="183" t="e">
        <f t="shared" si="0"/>
        <v>#N/A</v>
      </c>
      <c r="H33" s="183" t="e">
        <f t="shared" si="2"/>
        <v>#N/A</v>
      </c>
      <c r="I33" s="221">
        <f>'Plot Data'!$F$67</f>
        <v>27.934500832898948</v>
      </c>
      <c r="J33" s="221">
        <f>'Plot Data'!$F$65</f>
        <v>28.220491591990413</v>
      </c>
      <c r="K33" s="222">
        <f>'Plot Data'!$F$58</f>
        <v>28.697142857142861</v>
      </c>
      <c r="L33" s="222">
        <f>'Plot Data'!$F$62</f>
        <v>29.173794122295309</v>
      </c>
      <c r="M33" s="222">
        <f>'Plot Data'!$F$64</f>
        <v>29.459784881386774</v>
      </c>
      <c r="N33" s="222">
        <f>'Plot Data'!$F$68</f>
        <v>0.86091428571428585</v>
      </c>
      <c r="O33" s="177" t="e">
        <f t="shared" si="1"/>
        <v>#N/A</v>
      </c>
      <c r="P33" s="180" t="e">
        <f t="shared" si="4"/>
        <v>#N/A</v>
      </c>
      <c r="Q33" s="180" t="e">
        <f t="shared" si="10"/>
        <v>#N/A</v>
      </c>
      <c r="R33" s="180" t="e">
        <f t="shared" si="11"/>
        <v>#N/A</v>
      </c>
      <c r="S33" s="178" t="str">
        <f t="shared" si="5"/>
        <v/>
      </c>
      <c r="T33" s="178" t="e">
        <f t="shared" si="12"/>
        <v>#N/A</v>
      </c>
      <c r="U33" s="178" t="e">
        <f t="shared" si="13"/>
        <v>#N/A</v>
      </c>
      <c r="V33" s="178"/>
      <c r="W33" s="178"/>
      <c r="X33" s="178"/>
      <c r="Y33" s="178"/>
      <c r="Z33" s="178"/>
      <c r="AA33" s="181" t="e">
        <f t="shared" si="9"/>
        <v>#N/A</v>
      </c>
      <c r="AB33" s="178" t="e">
        <f t="shared" si="14"/>
        <v>#N/A</v>
      </c>
      <c r="AC33" s="178" t="e">
        <f t="shared" si="15"/>
        <v>#N/A</v>
      </c>
      <c r="AD33" s="179" t="e">
        <f t="shared" si="3"/>
        <v>#N/A</v>
      </c>
      <c r="AF33" s="690" t="s">
        <v>7</v>
      </c>
      <c r="AG33" s="689"/>
      <c r="AH33" s="689" t="str">
        <f>AH5</f>
        <v>Volatile Matter</v>
      </c>
      <c r="AI33" s="689"/>
      <c r="AJ33" s="689"/>
      <c r="AK33" s="689" t="s">
        <v>168</v>
      </c>
      <c r="AL33" s="689"/>
      <c r="AM33" s="689"/>
      <c r="AN33" s="689" t="str">
        <f>AN5</f>
        <v>IMP-VOL-01</v>
      </c>
      <c r="AO33" s="689"/>
      <c r="AP33" s="691"/>
    </row>
    <row r="34" spans="2:42" ht="15" customHeight="1" x14ac:dyDescent="0.3">
      <c r="B34" s="188">
        <v>29</v>
      </c>
      <c r="C34" s="205"/>
      <c r="D34" s="206"/>
      <c r="E34" s="207"/>
      <c r="F34" s="207"/>
      <c r="G34" s="183" t="e">
        <f t="shared" si="0"/>
        <v>#N/A</v>
      </c>
      <c r="H34" s="183" t="e">
        <f t="shared" si="2"/>
        <v>#N/A</v>
      </c>
      <c r="I34" s="221">
        <f>'Plot Data'!$F$67</f>
        <v>27.934500832898948</v>
      </c>
      <c r="J34" s="221">
        <f>'Plot Data'!$F$65</f>
        <v>28.220491591990413</v>
      </c>
      <c r="K34" s="222">
        <f>'Plot Data'!$F$58</f>
        <v>28.697142857142861</v>
      </c>
      <c r="L34" s="222">
        <f>'Plot Data'!$F$62</f>
        <v>29.173794122295309</v>
      </c>
      <c r="M34" s="222">
        <f>'Plot Data'!$F$64</f>
        <v>29.459784881386774</v>
      </c>
      <c r="N34" s="222">
        <f>'Plot Data'!$F$68</f>
        <v>0.86091428571428585</v>
      </c>
      <c r="O34" s="177" t="e">
        <f t="shared" si="1"/>
        <v>#N/A</v>
      </c>
      <c r="P34" s="180" t="e">
        <f t="shared" si="4"/>
        <v>#N/A</v>
      </c>
      <c r="Q34" s="180" t="e">
        <f t="shared" si="10"/>
        <v>#N/A</v>
      </c>
      <c r="R34" s="180" t="e">
        <f t="shared" si="11"/>
        <v>#N/A</v>
      </c>
      <c r="S34" s="178" t="str">
        <f t="shared" si="5"/>
        <v/>
      </c>
      <c r="T34" s="178" t="e">
        <f t="shared" si="12"/>
        <v>#N/A</v>
      </c>
      <c r="U34" s="178" t="e">
        <f t="shared" si="13"/>
        <v>#N/A</v>
      </c>
      <c r="V34" s="178"/>
      <c r="W34" s="178"/>
      <c r="X34" s="178"/>
      <c r="Y34" s="178"/>
      <c r="Z34" s="178"/>
      <c r="AA34" s="181" t="e">
        <f t="shared" si="9"/>
        <v>#N/A</v>
      </c>
      <c r="AB34" s="178" t="e">
        <f t="shared" si="14"/>
        <v>#N/A</v>
      </c>
      <c r="AC34" s="178" t="e">
        <f t="shared" si="15"/>
        <v>#N/A</v>
      </c>
      <c r="AD34" s="179" t="e">
        <f t="shared" si="3"/>
        <v>#N/A</v>
      </c>
      <c r="AF34" s="682"/>
      <c r="AG34" s="683"/>
      <c r="AH34" s="683"/>
      <c r="AI34" s="683"/>
      <c r="AJ34" s="683"/>
      <c r="AK34" s="683"/>
      <c r="AL34" s="683"/>
      <c r="AM34" s="683"/>
      <c r="AN34" s="683"/>
      <c r="AO34" s="683"/>
      <c r="AP34" s="705"/>
    </row>
    <row r="35" spans="2:42" ht="15" customHeight="1" x14ac:dyDescent="0.3">
      <c r="B35" s="188">
        <v>30</v>
      </c>
      <c r="C35" s="205"/>
      <c r="D35" s="206"/>
      <c r="E35" s="207"/>
      <c r="F35" s="207"/>
      <c r="G35" s="183" t="e">
        <f t="shared" si="0"/>
        <v>#N/A</v>
      </c>
      <c r="H35" s="183" t="e">
        <f t="shared" si="2"/>
        <v>#N/A</v>
      </c>
      <c r="I35" s="221">
        <f>'Plot Data'!$F$67</f>
        <v>27.934500832898948</v>
      </c>
      <c r="J35" s="221">
        <f>'Plot Data'!$F$65</f>
        <v>28.220491591990413</v>
      </c>
      <c r="K35" s="222">
        <f>'Plot Data'!$F$58</f>
        <v>28.697142857142861</v>
      </c>
      <c r="L35" s="222">
        <f>'Plot Data'!$F$62</f>
        <v>29.173794122295309</v>
      </c>
      <c r="M35" s="222">
        <f>'Plot Data'!$F$64</f>
        <v>29.459784881386774</v>
      </c>
      <c r="N35" s="222">
        <f>'Plot Data'!$F$68</f>
        <v>0.86091428571428585</v>
      </c>
      <c r="O35" s="177" t="e">
        <f t="shared" si="1"/>
        <v>#N/A</v>
      </c>
      <c r="P35" s="180" t="e">
        <f t="shared" si="4"/>
        <v>#N/A</v>
      </c>
      <c r="Q35" s="180" t="e">
        <f t="shared" si="10"/>
        <v>#N/A</v>
      </c>
      <c r="R35" s="180" t="e">
        <f t="shared" si="11"/>
        <v>#N/A</v>
      </c>
      <c r="S35" s="178" t="str">
        <f t="shared" si="5"/>
        <v/>
      </c>
      <c r="T35" s="178" t="e">
        <f t="shared" si="12"/>
        <v>#N/A</v>
      </c>
      <c r="U35" s="178" t="e">
        <f t="shared" si="13"/>
        <v>#N/A</v>
      </c>
      <c r="V35" s="178"/>
      <c r="W35" s="178"/>
      <c r="X35" s="178"/>
      <c r="Y35" s="178"/>
      <c r="Z35" s="178"/>
      <c r="AA35" s="181" t="e">
        <f t="shared" si="9"/>
        <v>#N/A</v>
      </c>
      <c r="AB35" s="178" t="e">
        <f t="shared" si="14"/>
        <v>#N/A</v>
      </c>
      <c r="AC35" s="178" t="e">
        <f t="shared" si="15"/>
        <v>#N/A</v>
      </c>
      <c r="AD35" s="179" t="e">
        <f t="shared" si="3"/>
        <v>#N/A</v>
      </c>
      <c r="AF35" s="682" t="s">
        <v>203</v>
      </c>
      <c r="AG35" s="683"/>
      <c r="AH35" s="683" t="str">
        <f>AH6</f>
        <v>034</v>
      </c>
      <c r="AI35" s="683"/>
      <c r="AJ35" s="683"/>
      <c r="AK35" s="683" t="s">
        <v>204</v>
      </c>
      <c r="AL35" s="683"/>
      <c r="AM35" s="683"/>
      <c r="AN35" s="686">
        <f>AN6</f>
        <v>37212</v>
      </c>
      <c r="AO35" s="683" t="s">
        <v>205</v>
      </c>
      <c r="AP35" s="680">
        <f>AP6</f>
        <v>39403</v>
      </c>
    </row>
    <row r="36" spans="2:42" ht="15" customHeight="1" thickBot="1" x14ac:dyDescent="0.35">
      <c r="B36" s="188">
        <v>31</v>
      </c>
      <c r="C36" s="205"/>
      <c r="D36" s="206"/>
      <c r="E36" s="207"/>
      <c r="F36" s="207"/>
      <c r="G36" s="183" t="e">
        <f t="shared" si="0"/>
        <v>#N/A</v>
      </c>
      <c r="H36" s="183" t="e">
        <f t="shared" si="2"/>
        <v>#N/A</v>
      </c>
      <c r="I36" s="221">
        <f>'Plot Data'!$F$67</f>
        <v>27.934500832898948</v>
      </c>
      <c r="J36" s="221">
        <f>'Plot Data'!$F$65</f>
        <v>28.220491591990413</v>
      </c>
      <c r="K36" s="222">
        <f>'Plot Data'!$F$58</f>
        <v>28.697142857142861</v>
      </c>
      <c r="L36" s="222">
        <f>'Plot Data'!$F$62</f>
        <v>29.173794122295309</v>
      </c>
      <c r="M36" s="222">
        <f>'Plot Data'!$F$64</f>
        <v>29.459784881386774</v>
      </c>
      <c r="N36" s="222">
        <f>'Plot Data'!$F$68</f>
        <v>0.86091428571428585</v>
      </c>
      <c r="O36" s="177" t="e">
        <f t="shared" si="1"/>
        <v>#N/A</v>
      </c>
      <c r="P36" s="180" t="e">
        <f t="shared" si="4"/>
        <v>#N/A</v>
      </c>
      <c r="Q36" s="180" t="e">
        <f t="shared" si="10"/>
        <v>#N/A</v>
      </c>
      <c r="R36" s="180" t="e">
        <f t="shared" si="11"/>
        <v>#N/A</v>
      </c>
      <c r="S36" s="178" t="str">
        <f t="shared" si="5"/>
        <v/>
      </c>
      <c r="T36" s="178" t="e">
        <f t="shared" si="12"/>
        <v>#N/A</v>
      </c>
      <c r="U36" s="178" t="e">
        <f t="shared" si="13"/>
        <v>#N/A</v>
      </c>
      <c r="V36" s="178"/>
      <c r="W36" s="178"/>
      <c r="X36" s="178"/>
      <c r="Y36" s="178"/>
      <c r="Z36" s="178"/>
      <c r="AA36" s="181" t="e">
        <f t="shared" si="9"/>
        <v>#N/A</v>
      </c>
      <c r="AB36" s="178" t="e">
        <f t="shared" si="14"/>
        <v>#N/A</v>
      </c>
      <c r="AC36" s="178" t="e">
        <f t="shared" si="15"/>
        <v>#N/A</v>
      </c>
      <c r="AD36" s="179" t="e">
        <f t="shared" si="3"/>
        <v>#N/A</v>
      </c>
      <c r="AF36" s="684"/>
      <c r="AG36" s="685"/>
      <c r="AH36" s="685"/>
      <c r="AI36" s="685"/>
      <c r="AJ36" s="685"/>
      <c r="AK36" s="685"/>
      <c r="AL36" s="685"/>
      <c r="AM36" s="685"/>
      <c r="AN36" s="687"/>
      <c r="AO36" s="685"/>
      <c r="AP36" s="681"/>
    </row>
    <row r="37" spans="2:42" x14ac:dyDescent="0.3">
      <c r="B37" s="188">
        <v>32</v>
      </c>
      <c r="C37" s="205"/>
      <c r="D37" s="206"/>
      <c r="E37" s="207"/>
      <c r="F37" s="207"/>
      <c r="G37" s="183" t="e">
        <f t="shared" si="0"/>
        <v>#N/A</v>
      </c>
      <c r="H37" s="183" t="e">
        <f t="shared" si="2"/>
        <v>#N/A</v>
      </c>
      <c r="I37" s="221">
        <f>'Plot Data'!$F$67</f>
        <v>27.934500832898948</v>
      </c>
      <c r="J37" s="221">
        <f>'Plot Data'!$F$65</f>
        <v>28.220491591990413</v>
      </c>
      <c r="K37" s="222">
        <f>'Plot Data'!$F$58</f>
        <v>28.697142857142861</v>
      </c>
      <c r="L37" s="222">
        <f>'Plot Data'!$F$62</f>
        <v>29.173794122295309</v>
      </c>
      <c r="M37" s="222">
        <f>'Plot Data'!$F$64</f>
        <v>29.459784881386774</v>
      </c>
      <c r="N37" s="222">
        <f>'Plot Data'!$F$68</f>
        <v>0.86091428571428585</v>
      </c>
      <c r="O37" s="177" t="e">
        <f t="shared" si="1"/>
        <v>#N/A</v>
      </c>
      <c r="P37" s="180" t="e">
        <f t="shared" si="4"/>
        <v>#N/A</v>
      </c>
      <c r="Q37" s="180" t="e">
        <f t="shared" si="10"/>
        <v>#N/A</v>
      </c>
      <c r="R37" s="180" t="e">
        <f t="shared" si="11"/>
        <v>#N/A</v>
      </c>
      <c r="S37" s="178" t="str">
        <f t="shared" si="5"/>
        <v/>
      </c>
      <c r="T37" s="178" t="e">
        <f t="shared" si="12"/>
        <v>#N/A</v>
      </c>
      <c r="U37" s="178" t="e">
        <f t="shared" si="13"/>
        <v>#N/A</v>
      </c>
      <c r="V37" s="178"/>
      <c r="W37" s="178"/>
      <c r="X37" s="178"/>
      <c r="Y37" s="178"/>
      <c r="Z37" s="178"/>
      <c r="AA37" s="181" t="e">
        <f t="shared" si="9"/>
        <v>#N/A</v>
      </c>
      <c r="AB37" s="178" t="e">
        <f t="shared" si="14"/>
        <v>#N/A</v>
      </c>
      <c r="AC37" s="178" t="e">
        <f t="shared" si="15"/>
        <v>#N/A</v>
      </c>
      <c r="AD37" s="179" t="e">
        <f t="shared" si="3"/>
        <v>#N/A</v>
      </c>
      <c r="AF37" s="211"/>
      <c r="AP37" s="92"/>
    </row>
    <row r="38" spans="2:42" x14ac:dyDescent="0.3">
      <c r="B38" s="188">
        <v>33</v>
      </c>
      <c r="C38" s="205"/>
      <c r="D38" s="206"/>
      <c r="E38" s="207"/>
      <c r="F38" s="207"/>
      <c r="G38" s="183" t="e">
        <f t="shared" si="0"/>
        <v>#N/A</v>
      </c>
      <c r="H38" s="183" t="e">
        <f t="shared" si="2"/>
        <v>#N/A</v>
      </c>
      <c r="I38" s="221">
        <f>'Plot Data'!$F$67</f>
        <v>27.934500832898948</v>
      </c>
      <c r="J38" s="221">
        <f>'Plot Data'!$F$65</f>
        <v>28.220491591990413</v>
      </c>
      <c r="K38" s="222">
        <f>'Plot Data'!$F$58</f>
        <v>28.697142857142861</v>
      </c>
      <c r="L38" s="222">
        <f>'Plot Data'!$F$62</f>
        <v>29.173794122295309</v>
      </c>
      <c r="M38" s="222">
        <f>'Plot Data'!$F$64</f>
        <v>29.459784881386774</v>
      </c>
      <c r="N38" s="222">
        <f>'Plot Data'!$F$68</f>
        <v>0.86091428571428585</v>
      </c>
      <c r="O38" s="177" t="e">
        <f t="shared" si="1"/>
        <v>#N/A</v>
      </c>
      <c r="P38" s="180" t="e">
        <f t="shared" si="4"/>
        <v>#N/A</v>
      </c>
      <c r="Q38" s="180" t="e">
        <f t="shared" si="10"/>
        <v>#N/A</v>
      </c>
      <c r="R38" s="180" t="e">
        <f t="shared" si="11"/>
        <v>#N/A</v>
      </c>
      <c r="S38" s="178" t="str">
        <f t="shared" si="5"/>
        <v/>
      </c>
      <c r="T38" s="178" t="e">
        <f t="shared" si="12"/>
        <v>#N/A</v>
      </c>
      <c r="U38" s="178" t="e">
        <f t="shared" si="13"/>
        <v>#N/A</v>
      </c>
      <c r="V38" s="178"/>
      <c r="W38" s="178"/>
      <c r="X38" s="178"/>
      <c r="Y38" s="178"/>
      <c r="Z38" s="178"/>
      <c r="AA38" s="181" t="e">
        <f t="shared" si="9"/>
        <v>#N/A</v>
      </c>
      <c r="AB38" s="178" t="e">
        <f t="shared" si="14"/>
        <v>#N/A</v>
      </c>
      <c r="AC38" s="178" t="e">
        <f t="shared" si="15"/>
        <v>#N/A</v>
      </c>
      <c r="AD38" s="179" t="e">
        <f t="shared" si="3"/>
        <v>#N/A</v>
      </c>
      <c r="AF38" s="211"/>
      <c r="AP38" s="92"/>
    </row>
    <row r="39" spans="2:42" x14ac:dyDescent="0.3">
      <c r="B39" s="188">
        <v>34</v>
      </c>
      <c r="C39" s="205"/>
      <c r="D39" s="206"/>
      <c r="E39" s="207"/>
      <c r="F39" s="207"/>
      <c r="G39" s="183" t="e">
        <f t="shared" si="0"/>
        <v>#N/A</v>
      </c>
      <c r="H39" s="183" t="e">
        <f t="shared" si="2"/>
        <v>#N/A</v>
      </c>
      <c r="I39" s="221">
        <f>'Plot Data'!$F$67</f>
        <v>27.934500832898948</v>
      </c>
      <c r="J39" s="221">
        <f>'Plot Data'!$F$65</f>
        <v>28.220491591990413</v>
      </c>
      <c r="K39" s="222">
        <f>'Plot Data'!$F$58</f>
        <v>28.697142857142861</v>
      </c>
      <c r="L39" s="222">
        <f>'Plot Data'!$F$62</f>
        <v>29.173794122295309</v>
      </c>
      <c r="M39" s="222">
        <f>'Plot Data'!$F$64</f>
        <v>29.459784881386774</v>
      </c>
      <c r="N39" s="222">
        <f>'Plot Data'!$F$68</f>
        <v>0.86091428571428585</v>
      </c>
      <c r="O39" s="177" t="e">
        <f t="shared" si="1"/>
        <v>#N/A</v>
      </c>
      <c r="P39" s="180" t="e">
        <f t="shared" si="4"/>
        <v>#N/A</v>
      </c>
      <c r="Q39" s="180" t="e">
        <f t="shared" si="10"/>
        <v>#N/A</v>
      </c>
      <c r="R39" s="180" t="e">
        <f t="shared" si="11"/>
        <v>#N/A</v>
      </c>
      <c r="S39" s="178" t="str">
        <f t="shared" si="5"/>
        <v/>
      </c>
      <c r="T39" s="178" t="e">
        <f t="shared" si="12"/>
        <v>#N/A</v>
      </c>
      <c r="U39" s="178" t="e">
        <f t="shared" si="13"/>
        <v>#N/A</v>
      </c>
      <c r="V39" s="178"/>
      <c r="W39" s="178"/>
      <c r="X39" s="178"/>
      <c r="Y39" s="178"/>
      <c r="Z39" s="178"/>
      <c r="AA39" s="181" t="e">
        <f t="shared" si="9"/>
        <v>#N/A</v>
      </c>
      <c r="AB39" s="178" t="e">
        <f t="shared" si="14"/>
        <v>#N/A</v>
      </c>
      <c r="AC39" s="178" t="e">
        <f t="shared" si="15"/>
        <v>#N/A</v>
      </c>
      <c r="AD39" s="179" t="e">
        <f t="shared" si="3"/>
        <v>#N/A</v>
      </c>
      <c r="AF39" s="211"/>
      <c r="AP39" s="92"/>
    </row>
    <row r="40" spans="2:42" x14ac:dyDescent="0.3">
      <c r="B40" s="188">
        <v>35</v>
      </c>
      <c r="C40" s="205"/>
      <c r="D40" s="206"/>
      <c r="E40" s="207"/>
      <c r="F40" s="207"/>
      <c r="G40" s="183" t="e">
        <f t="shared" si="0"/>
        <v>#N/A</v>
      </c>
      <c r="H40" s="183" t="e">
        <f t="shared" si="2"/>
        <v>#N/A</v>
      </c>
      <c r="I40" s="221">
        <f>'Plot Data'!$F$67</f>
        <v>27.934500832898948</v>
      </c>
      <c r="J40" s="221">
        <f>'Plot Data'!$F$65</f>
        <v>28.220491591990413</v>
      </c>
      <c r="K40" s="222">
        <f>'Plot Data'!$F$58</f>
        <v>28.697142857142861</v>
      </c>
      <c r="L40" s="222">
        <f>'Plot Data'!$F$62</f>
        <v>29.173794122295309</v>
      </c>
      <c r="M40" s="222">
        <f>'Plot Data'!$F$64</f>
        <v>29.459784881386774</v>
      </c>
      <c r="N40" s="222">
        <f>'Plot Data'!$F$68</f>
        <v>0.86091428571428585</v>
      </c>
      <c r="O40" s="177" t="e">
        <f t="shared" si="1"/>
        <v>#N/A</v>
      </c>
      <c r="P40" s="180" t="e">
        <f t="shared" si="4"/>
        <v>#N/A</v>
      </c>
      <c r="Q40" s="180" t="e">
        <f t="shared" si="10"/>
        <v>#N/A</v>
      </c>
      <c r="R40" s="180" t="e">
        <f t="shared" si="11"/>
        <v>#N/A</v>
      </c>
      <c r="S40" s="178" t="str">
        <f t="shared" si="5"/>
        <v/>
      </c>
      <c r="T40" s="178" t="e">
        <f t="shared" si="12"/>
        <v>#N/A</v>
      </c>
      <c r="U40" s="178" t="e">
        <f t="shared" si="13"/>
        <v>#N/A</v>
      </c>
      <c r="V40" s="178"/>
      <c r="W40" s="178"/>
      <c r="X40" s="178"/>
      <c r="Y40" s="178"/>
      <c r="Z40" s="178"/>
      <c r="AA40" s="181" t="e">
        <f t="shared" si="9"/>
        <v>#N/A</v>
      </c>
      <c r="AB40" s="178" t="e">
        <f t="shared" si="14"/>
        <v>#N/A</v>
      </c>
      <c r="AC40" s="178" t="e">
        <f t="shared" si="15"/>
        <v>#N/A</v>
      </c>
      <c r="AD40" s="179" t="e">
        <f t="shared" si="3"/>
        <v>#N/A</v>
      </c>
      <c r="AF40" s="211"/>
      <c r="AP40" s="92"/>
    </row>
    <row r="41" spans="2:42" x14ac:dyDescent="0.3">
      <c r="B41" s="188">
        <v>36</v>
      </c>
      <c r="C41" s="205"/>
      <c r="D41" s="206"/>
      <c r="E41" s="207"/>
      <c r="F41" s="207"/>
      <c r="G41" s="183" t="e">
        <f t="shared" si="0"/>
        <v>#N/A</v>
      </c>
      <c r="H41" s="183" t="e">
        <f t="shared" si="2"/>
        <v>#N/A</v>
      </c>
      <c r="I41" s="221">
        <f>'Plot Data'!$F$67</f>
        <v>27.934500832898948</v>
      </c>
      <c r="J41" s="221">
        <f>'Plot Data'!$F$65</f>
        <v>28.220491591990413</v>
      </c>
      <c r="K41" s="222">
        <f>'Plot Data'!$F$58</f>
        <v>28.697142857142861</v>
      </c>
      <c r="L41" s="222">
        <f>'Plot Data'!$F$62</f>
        <v>29.173794122295309</v>
      </c>
      <c r="M41" s="222">
        <f>'Plot Data'!$F$64</f>
        <v>29.459784881386774</v>
      </c>
      <c r="N41" s="222">
        <f>'Plot Data'!$F$68</f>
        <v>0.86091428571428585</v>
      </c>
      <c r="O41" s="177" t="e">
        <f t="shared" si="1"/>
        <v>#N/A</v>
      </c>
      <c r="P41" s="180" t="e">
        <f t="shared" si="4"/>
        <v>#N/A</v>
      </c>
      <c r="Q41" s="180" t="e">
        <f t="shared" si="10"/>
        <v>#N/A</v>
      </c>
      <c r="R41" s="180" t="e">
        <f t="shared" si="11"/>
        <v>#N/A</v>
      </c>
      <c r="S41" s="178" t="str">
        <f t="shared" si="5"/>
        <v/>
      </c>
      <c r="T41" s="178" t="e">
        <f t="shared" si="12"/>
        <v>#N/A</v>
      </c>
      <c r="U41" s="178" t="e">
        <f t="shared" si="13"/>
        <v>#N/A</v>
      </c>
      <c r="V41" s="178"/>
      <c r="W41" s="178"/>
      <c r="X41" s="178"/>
      <c r="Y41" s="178"/>
      <c r="Z41" s="178"/>
      <c r="AA41" s="181" t="e">
        <f t="shared" si="9"/>
        <v>#N/A</v>
      </c>
      <c r="AB41" s="178" t="e">
        <f t="shared" si="14"/>
        <v>#N/A</v>
      </c>
      <c r="AC41" s="178" t="e">
        <f t="shared" si="15"/>
        <v>#N/A</v>
      </c>
      <c r="AD41" s="179" t="e">
        <f t="shared" si="3"/>
        <v>#N/A</v>
      </c>
      <c r="AF41" s="211"/>
      <c r="AP41" s="92"/>
    </row>
    <row r="42" spans="2:42" x14ac:dyDescent="0.3">
      <c r="B42" s="188">
        <v>37</v>
      </c>
      <c r="C42" s="205"/>
      <c r="D42" s="206"/>
      <c r="E42" s="207"/>
      <c r="F42" s="207"/>
      <c r="G42" s="183" t="e">
        <f t="shared" si="0"/>
        <v>#N/A</v>
      </c>
      <c r="H42" s="183" t="e">
        <f t="shared" si="2"/>
        <v>#N/A</v>
      </c>
      <c r="I42" s="221">
        <f>'Plot Data'!$F$67</f>
        <v>27.934500832898948</v>
      </c>
      <c r="J42" s="221">
        <f>'Plot Data'!$F$65</f>
        <v>28.220491591990413</v>
      </c>
      <c r="K42" s="222">
        <f>'Plot Data'!$F$58</f>
        <v>28.697142857142861</v>
      </c>
      <c r="L42" s="222">
        <f>'Plot Data'!$F$62</f>
        <v>29.173794122295309</v>
      </c>
      <c r="M42" s="222">
        <f>'Plot Data'!$F$64</f>
        <v>29.459784881386774</v>
      </c>
      <c r="N42" s="222">
        <f>'Plot Data'!$F$68</f>
        <v>0.86091428571428585</v>
      </c>
      <c r="O42" s="177" t="e">
        <f t="shared" si="1"/>
        <v>#N/A</v>
      </c>
      <c r="P42" s="180" t="e">
        <f t="shared" si="4"/>
        <v>#N/A</v>
      </c>
      <c r="Q42" s="180" t="e">
        <f t="shared" si="10"/>
        <v>#N/A</v>
      </c>
      <c r="R42" s="180" t="e">
        <f t="shared" si="11"/>
        <v>#N/A</v>
      </c>
      <c r="S42" s="178" t="str">
        <f t="shared" si="5"/>
        <v/>
      </c>
      <c r="T42" s="178" t="e">
        <f t="shared" si="12"/>
        <v>#N/A</v>
      </c>
      <c r="U42" s="178" t="e">
        <f t="shared" si="13"/>
        <v>#N/A</v>
      </c>
      <c r="V42" s="178"/>
      <c r="W42" s="178"/>
      <c r="X42" s="178"/>
      <c r="Y42" s="178"/>
      <c r="Z42" s="178"/>
      <c r="AA42" s="181" t="e">
        <f t="shared" si="9"/>
        <v>#N/A</v>
      </c>
      <c r="AB42" s="178" t="e">
        <f t="shared" si="14"/>
        <v>#N/A</v>
      </c>
      <c r="AC42" s="178" t="e">
        <f t="shared" si="15"/>
        <v>#N/A</v>
      </c>
      <c r="AD42" s="179" t="e">
        <f t="shared" si="3"/>
        <v>#N/A</v>
      </c>
      <c r="AF42" s="211"/>
      <c r="AP42" s="92"/>
    </row>
    <row r="43" spans="2:42" x14ac:dyDescent="0.3">
      <c r="B43" s="188">
        <v>38</v>
      </c>
      <c r="C43" s="205"/>
      <c r="D43" s="206"/>
      <c r="E43" s="207"/>
      <c r="F43" s="207"/>
      <c r="G43" s="183" t="e">
        <f t="shared" si="0"/>
        <v>#N/A</v>
      </c>
      <c r="H43" s="183" t="e">
        <f t="shared" si="2"/>
        <v>#N/A</v>
      </c>
      <c r="I43" s="221">
        <f>'Plot Data'!$F$67</f>
        <v>27.934500832898948</v>
      </c>
      <c r="J43" s="221">
        <f>'Plot Data'!$F$65</f>
        <v>28.220491591990413</v>
      </c>
      <c r="K43" s="222">
        <f>'Plot Data'!$F$58</f>
        <v>28.697142857142861</v>
      </c>
      <c r="L43" s="222">
        <f>'Plot Data'!$F$62</f>
        <v>29.173794122295309</v>
      </c>
      <c r="M43" s="222">
        <f>'Plot Data'!$F$64</f>
        <v>29.459784881386774</v>
      </c>
      <c r="N43" s="222">
        <f>'Plot Data'!$F$68</f>
        <v>0.86091428571428585</v>
      </c>
      <c r="O43" s="177" t="e">
        <f t="shared" si="1"/>
        <v>#N/A</v>
      </c>
      <c r="P43" s="180" t="e">
        <f t="shared" si="4"/>
        <v>#N/A</v>
      </c>
      <c r="Q43" s="180" t="e">
        <f t="shared" si="10"/>
        <v>#N/A</v>
      </c>
      <c r="R43" s="180" t="e">
        <f t="shared" si="11"/>
        <v>#N/A</v>
      </c>
      <c r="S43" s="178" t="str">
        <f t="shared" si="5"/>
        <v/>
      </c>
      <c r="T43" s="178" t="e">
        <f t="shared" si="12"/>
        <v>#N/A</v>
      </c>
      <c r="U43" s="178" t="e">
        <f t="shared" si="13"/>
        <v>#N/A</v>
      </c>
      <c r="V43" s="178"/>
      <c r="W43" s="178"/>
      <c r="X43" s="178"/>
      <c r="Y43" s="178"/>
      <c r="Z43" s="178"/>
      <c r="AA43" s="181" t="e">
        <f t="shared" si="9"/>
        <v>#N/A</v>
      </c>
      <c r="AB43" s="178" t="e">
        <f t="shared" si="14"/>
        <v>#N/A</v>
      </c>
      <c r="AC43" s="178" t="e">
        <f t="shared" si="15"/>
        <v>#N/A</v>
      </c>
      <c r="AD43" s="179" t="e">
        <f t="shared" si="3"/>
        <v>#N/A</v>
      </c>
      <c r="AF43" s="211"/>
      <c r="AP43" s="92"/>
    </row>
    <row r="44" spans="2:42" x14ac:dyDescent="0.3">
      <c r="B44" s="188">
        <v>39</v>
      </c>
      <c r="C44" s="205"/>
      <c r="D44" s="206"/>
      <c r="E44" s="207"/>
      <c r="F44" s="207"/>
      <c r="G44" s="183" t="e">
        <f t="shared" si="0"/>
        <v>#N/A</v>
      </c>
      <c r="H44" s="183" t="e">
        <f t="shared" si="2"/>
        <v>#N/A</v>
      </c>
      <c r="I44" s="221">
        <f>'Plot Data'!$F$67</f>
        <v>27.934500832898948</v>
      </c>
      <c r="J44" s="221">
        <f>'Plot Data'!$F$65</f>
        <v>28.220491591990413</v>
      </c>
      <c r="K44" s="222">
        <f>'Plot Data'!$F$58</f>
        <v>28.697142857142861</v>
      </c>
      <c r="L44" s="222">
        <f>'Plot Data'!$F$62</f>
        <v>29.173794122295309</v>
      </c>
      <c r="M44" s="222">
        <f>'Plot Data'!$F$64</f>
        <v>29.459784881386774</v>
      </c>
      <c r="N44" s="222">
        <f>'Plot Data'!$F$68</f>
        <v>0.86091428571428585</v>
      </c>
      <c r="O44" s="190" t="e">
        <f t="shared" si="1"/>
        <v>#N/A</v>
      </c>
      <c r="P44" s="191" t="e">
        <f t="shared" si="4"/>
        <v>#N/A</v>
      </c>
      <c r="Q44" s="191" t="e">
        <f t="shared" si="10"/>
        <v>#N/A</v>
      </c>
      <c r="R44" s="191" t="e">
        <f t="shared" si="11"/>
        <v>#N/A</v>
      </c>
      <c r="S44" s="192" t="str">
        <f t="shared" si="5"/>
        <v/>
      </c>
      <c r="T44" s="192" t="e">
        <f t="shared" si="12"/>
        <v>#N/A</v>
      </c>
      <c r="U44" s="192" t="e">
        <f t="shared" si="13"/>
        <v>#N/A</v>
      </c>
      <c r="V44" s="192"/>
      <c r="W44" s="192"/>
      <c r="X44" s="192"/>
      <c r="Y44" s="192"/>
      <c r="Z44" s="192"/>
      <c r="AA44" s="193" t="e">
        <f t="shared" si="9"/>
        <v>#N/A</v>
      </c>
      <c r="AB44" s="192" t="e">
        <f t="shared" si="14"/>
        <v>#N/A</v>
      </c>
      <c r="AC44" s="192" t="e">
        <f t="shared" si="15"/>
        <v>#N/A</v>
      </c>
      <c r="AD44" s="194" t="e">
        <f t="shared" si="3"/>
        <v>#N/A</v>
      </c>
      <c r="AF44" s="211"/>
      <c r="AP44" s="92"/>
    </row>
    <row r="45" spans="2:42" x14ac:dyDescent="0.3">
      <c r="B45" s="188">
        <v>40</v>
      </c>
      <c r="C45" s="205"/>
      <c r="D45" s="206"/>
      <c r="E45" s="207"/>
      <c r="F45" s="207"/>
      <c r="G45" s="183" t="e">
        <f t="shared" si="0"/>
        <v>#N/A</v>
      </c>
      <c r="H45" s="183" t="e">
        <f t="shared" si="2"/>
        <v>#N/A</v>
      </c>
      <c r="I45" s="221">
        <f>'Plot Data'!$F$67</f>
        <v>27.934500832898948</v>
      </c>
      <c r="J45" s="221">
        <f>'Plot Data'!$F$65</f>
        <v>28.220491591990413</v>
      </c>
      <c r="K45" s="222">
        <f>'Plot Data'!$F$58</f>
        <v>28.697142857142861</v>
      </c>
      <c r="L45" s="222">
        <f>'Plot Data'!$F$62</f>
        <v>29.173794122295309</v>
      </c>
      <c r="M45" s="222">
        <f>'Plot Data'!$F$64</f>
        <v>29.459784881386774</v>
      </c>
      <c r="N45" s="222">
        <f>'Plot Data'!$F$68</f>
        <v>0.86091428571428585</v>
      </c>
      <c r="O45" s="190" t="e">
        <f t="shared" si="1"/>
        <v>#N/A</v>
      </c>
      <c r="P45" s="191" t="e">
        <f t="shared" si="4"/>
        <v>#N/A</v>
      </c>
      <c r="Q45" s="191" t="e">
        <f t="shared" si="10"/>
        <v>#N/A</v>
      </c>
      <c r="R45" s="191" t="e">
        <f t="shared" si="11"/>
        <v>#N/A</v>
      </c>
      <c r="S45" s="192" t="str">
        <f t="shared" si="5"/>
        <v/>
      </c>
      <c r="T45" s="192" t="e">
        <f t="shared" si="12"/>
        <v>#N/A</v>
      </c>
      <c r="U45" s="192" t="e">
        <f t="shared" si="13"/>
        <v>#N/A</v>
      </c>
      <c r="V45" s="192"/>
      <c r="W45" s="192"/>
      <c r="X45" s="192"/>
      <c r="Y45" s="192"/>
      <c r="Z45" s="192"/>
      <c r="AA45" s="193" t="e">
        <f t="shared" si="9"/>
        <v>#N/A</v>
      </c>
      <c r="AB45" s="192" t="e">
        <f t="shared" si="14"/>
        <v>#N/A</v>
      </c>
      <c r="AC45" s="192" t="e">
        <f t="shared" si="15"/>
        <v>#N/A</v>
      </c>
      <c r="AD45" s="194" t="e">
        <f t="shared" si="3"/>
        <v>#N/A</v>
      </c>
      <c r="AF45" s="211"/>
      <c r="AP45" s="92"/>
    </row>
    <row r="46" spans="2:42" x14ac:dyDescent="0.3">
      <c r="B46" s="188">
        <v>41</v>
      </c>
      <c r="C46" s="205"/>
      <c r="D46" s="206"/>
      <c r="E46" s="207"/>
      <c r="F46" s="207"/>
      <c r="G46" s="183" t="e">
        <f t="shared" si="0"/>
        <v>#N/A</v>
      </c>
      <c r="H46" s="183" t="e">
        <f t="shared" si="2"/>
        <v>#N/A</v>
      </c>
      <c r="I46" s="221">
        <f>'Plot Data'!$F$67</f>
        <v>27.934500832898948</v>
      </c>
      <c r="J46" s="221">
        <f>'Plot Data'!$F$65</f>
        <v>28.220491591990413</v>
      </c>
      <c r="K46" s="222">
        <f>'Plot Data'!$F$58</f>
        <v>28.697142857142861</v>
      </c>
      <c r="L46" s="222">
        <f>'Plot Data'!$F$62</f>
        <v>29.173794122295309</v>
      </c>
      <c r="M46" s="222">
        <f>'Plot Data'!$F$64</f>
        <v>29.459784881386774</v>
      </c>
      <c r="N46" s="222">
        <f>'Plot Data'!$F$68</f>
        <v>0.86091428571428585</v>
      </c>
      <c r="O46" s="190" t="e">
        <f t="shared" si="1"/>
        <v>#N/A</v>
      </c>
      <c r="P46" s="191" t="e">
        <f t="shared" si="4"/>
        <v>#N/A</v>
      </c>
      <c r="Q46" s="191" t="e">
        <f t="shared" si="10"/>
        <v>#N/A</v>
      </c>
      <c r="R46" s="191" t="e">
        <f t="shared" si="11"/>
        <v>#N/A</v>
      </c>
      <c r="S46" s="192" t="str">
        <f t="shared" si="5"/>
        <v/>
      </c>
      <c r="T46" s="192" t="e">
        <f t="shared" si="12"/>
        <v>#N/A</v>
      </c>
      <c r="U46" s="192" t="e">
        <f t="shared" si="13"/>
        <v>#N/A</v>
      </c>
      <c r="V46" s="192"/>
      <c r="W46" s="192"/>
      <c r="X46" s="192"/>
      <c r="Y46" s="192"/>
      <c r="Z46" s="192"/>
      <c r="AA46" s="193" t="e">
        <f t="shared" si="9"/>
        <v>#N/A</v>
      </c>
      <c r="AB46" s="192" t="e">
        <f t="shared" si="14"/>
        <v>#N/A</v>
      </c>
      <c r="AC46" s="192" t="e">
        <f t="shared" si="15"/>
        <v>#N/A</v>
      </c>
      <c r="AD46" s="194" t="e">
        <f t="shared" si="3"/>
        <v>#N/A</v>
      </c>
      <c r="AF46" s="211"/>
      <c r="AP46" s="92"/>
    </row>
    <row r="47" spans="2:42" x14ac:dyDescent="0.3">
      <c r="B47" s="188">
        <v>42</v>
      </c>
      <c r="C47" s="205"/>
      <c r="D47" s="206"/>
      <c r="E47" s="207"/>
      <c r="F47" s="207"/>
      <c r="G47" s="183" t="e">
        <f t="shared" si="0"/>
        <v>#N/A</v>
      </c>
      <c r="H47" s="183" t="e">
        <f t="shared" si="2"/>
        <v>#N/A</v>
      </c>
      <c r="I47" s="221">
        <f>'Plot Data'!$F$67</f>
        <v>27.934500832898948</v>
      </c>
      <c r="J47" s="221">
        <f>'Plot Data'!$F$65</f>
        <v>28.220491591990413</v>
      </c>
      <c r="K47" s="222">
        <f>'Plot Data'!$F$58</f>
        <v>28.697142857142861</v>
      </c>
      <c r="L47" s="222">
        <f>'Plot Data'!$F$62</f>
        <v>29.173794122295309</v>
      </c>
      <c r="M47" s="222">
        <f>'Plot Data'!$F$64</f>
        <v>29.459784881386774</v>
      </c>
      <c r="N47" s="222">
        <f>'Plot Data'!$F$68</f>
        <v>0.86091428571428585</v>
      </c>
      <c r="O47" s="190" t="e">
        <f t="shared" si="1"/>
        <v>#N/A</v>
      </c>
      <c r="P47" s="191" t="e">
        <f t="shared" si="4"/>
        <v>#N/A</v>
      </c>
      <c r="Q47" s="191" t="e">
        <f t="shared" si="10"/>
        <v>#N/A</v>
      </c>
      <c r="R47" s="191" t="e">
        <f t="shared" si="11"/>
        <v>#N/A</v>
      </c>
      <c r="S47" s="192" t="str">
        <f t="shared" si="5"/>
        <v/>
      </c>
      <c r="T47" s="192" t="e">
        <f t="shared" si="12"/>
        <v>#N/A</v>
      </c>
      <c r="U47" s="192" t="e">
        <f t="shared" si="13"/>
        <v>#N/A</v>
      </c>
      <c r="V47" s="192"/>
      <c r="W47" s="192"/>
      <c r="X47" s="192"/>
      <c r="Y47" s="192"/>
      <c r="Z47" s="192"/>
      <c r="AA47" s="193" t="e">
        <f t="shared" si="9"/>
        <v>#N/A</v>
      </c>
      <c r="AB47" s="192" t="e">
        <f t="shared" si="14"/>
        <v>#N/A</v>
      </c>
      <c r="AC47" s="192" t="e">
        <f t="shared" si="15"/>
        <v>#N/A</v>
      </c>
      <c r="AD47" s="194" t="e">
        <f t="shared" si="3"/>
        <v>#N/A</v>
      </c>
      <c r="AF47" s="211"/>
      <c r="AP47" s="92"/>
    </row>
    <row r="48" spans="2:42" x14ac:dyDescent="0.3">
      <c r="B48" s="188">
        <v>43</v>
      </c>
      <c r="C48" s="205"/>
      <c r="D48" s="206"/>
      <c r="E48" s="207"/>
      <c r="F48" s="207"/>
      <c r="G48" s="183" t="e">
        <f t="shared" si="0"/>
        <v>#N/A</v>
      </c>
      <c r="H48" s="183" t="e">
        <f t="shared" si="2"/>
        <v>#N/A</v>
      </c>
      <c r="I48" s="221">
        <f>'Plot Data'!$F$67</f>
        <v>27.934500832898948</v>
      </c>
      <c r="J48" s="221">
        <f>'Plot Data'!$F$65</f>
        <v>28.220491591990413</v>
      </c>
      <c r="K48" s="222">
        <f>'Plot Data'!$F$58</f>
        <v>28.697142857142861</v>
      </c>
      <c r="L48" s="222">
        <f>'Plot Data'!$F$62</f>
        <v>29.173794122295309</v>
      </c>
      <c r="M48" s="222">
        <f>'Plot Data'!$F$64</f>
        <v>29.459784881386774</v>
      </c>
      <c r="N48" s="222">
        <f>'Plot Data'!$F$68</f>
        <v>0.86091428571428585</v>
      </c>
      <c r="O48" s="190" t="e">
        <f t="shared" si="1"/>
        <v>#N/A</v>
      </c>
      <c r="P48" s="191" t="e">
        <f t="shared" si="4"/>
        <v>#N/A</v>
      </c>
      <c r="Q48" s="191" t="e">
        <f t="shared" si="10"/>
        <v>#N/A</v>
      </c>
      <c r="R48" s="191" t="e">
        <f t="shared" si="11"/>
        <v>#N/A</v>
      </c>
      <c r="S48" s="192" t="str">
        <f t="shared" si="5"/>
        <v/>
      </c>
      <c r="T48" s="192" t="e">
        <f t="shared" si="12"/>
        <v>#N/A</v>
      </c>
      <c r="U48" s="192" t="e">
        <f t="shared" si="13"/>
        <v>#N/A</v>
      </c>
      <c r="V48" s="192"/>
      <c r="W48" s="192"/>
      <c r="X48" s="192"/>
      <c r="Y48" s="192"/>
      <c r="Z48" s="192"/>
      <c r="AA48" s="193" t="e">
        <f t="shared" si="9"/>
        <v>#N/A</v>
      </c>
      <c r="AB48" s="192" t="e">
        <f t="shared" si="14"/>
        <v>#N/A</v>
      </c>
      <c r="AC48" s="192" t="e">
        <f t="shared" si="15"/>
        <v>#N/A</v>
      </c>
      <c r="AD48" s="194" t="e">
        <f t="shared" si="3"/>
        <v>#N/A</v>
      </c>
      <c r="AF48" s="211"/>
      <c r="AP48" s="92"/>
    </row>
    <row r="49" spans="2:42" x14ac:dyDescent="0.3">
      <c r="B49" s="188">
        <v>44</v>
      </c>
      <c r="C49" s="205"/>
      <c r="D49" s="206"/>
      <c r="E49" s="207"/>
      <c r="F49" s="207"/>
      <c r="G49" s="183" t="e">
        <f t="shared" si="0"/>
        <v>#N/A</v>
      </c>
      <c r="H49" s="183" t="e">
        <f t="shared" si="2"/>
        <v>#N/A</v>
      </c>
      <c r="I49" s="221">
        <f>'Plot Data'!$F$67</f>
        <v>27.934500832898948</v>
      </c>
      <c r="J49" s="221">
        <f>'Plot Data'!$F$65</f>
        <v>28.220491591990413</v>
      </c>
      <c r="K49" s="222">
        <f>'Plot Data'!$F$58</f>
        <v>28.697142857142861</v>
      </c>
      <c r="L49" s="222">
        <f>'Plot Data'!$F$62</f>
        <v>29.173794122295309</v>
      </c>
      <c r="M49" s="222">
        <f>'Plot Data'!$F$64</f>
        <v>29.459784881386774</v>
      </c>
      <c r="N49" s="222">
        <f>'Plot Data'!$F$68</f>
        <v>0.86091428571428585</v>
      </c>
      <c r="O49" s="190" t="e">
        <f t="shared" si="1"/>
        <v>#N/A</v>
      </c>
      <c r="P49" s="191" t="e">
        <f t="shared" si="4"/>
        <v>#N/A</v>
      </c>
      <c r="Q49" s="191" t="e">
        <f t="shared" si="10"/>
        <v>#N/A</v>
      </c>
      <c r="R49" s="191" t="e">
        <f t="shared" si="11"/>
        <v>#N/A</v>
      </c>
      <c r="S49" s="192" t="str">
        <f t="shared" si="5"/>
        <v/>
      </c>
      <c r="T49" s="192" t="e">
        <f t="shared" si="12"/>
        <v>#N/A</v>
      </c>
      <c r="U49" s="192" t="e">
        <f t="shared" si="13"/>
        <v>#N/A</v>
      </c>
      <c r="V49" s="192"/>
      <c r="W49" s="192"/>
      <c r="X49" s="192"/>
      <c r="Y49" s="192"/>
      <c r="Z49" s="192"/>
      <c r="AA49" s="193" t="e">
        <f t="shared" si="9"/>
        <v>#N/A</v>
      </c>
      <c r="AB49" s="192" t="e">
        <f t="shared" si="14"/>
        <v>#N/A</v>
      </c>
      <c r="AC49" s="192" t="e">
        <f t="shared" si="15"/>
        <v>#N/A</v>
      </c>
      <c r="AD49" s="194" t="e">
        <f t="shared" si="3"/>
        <v>#N/A</v>
      </c>
      <c r="AF49" s="211"/>
      <c r="AP49" s="92"/>
    </row>
    <row r="50" spans="2:42" x14ac:dyDescent="0.3">
      <c r="B50" s="188">
        <v>45</v>
      </c>
      <c r="C50" s="205"/>
      <c r="D50" s="206"/>
      <c r="E50" s="207"/>
      <c r="F50" s="207"/>
      <c r="G50" s="183" t="e">
        <f t="shared" si="0"/>
        <v>#N/A</v>
      </c>
      <c r="H50" s="183" t="e">
        <f t="shared" si="2"/>
        <v>#N/A</v>
      </c>
      <c r="I50" s="221">
        <f>'Plot Data'!$F$67</f>
        <v>27.934500832898948</v>
      </c>
      <c r="J50" s="221">
        <f>'Plot Data'!$F$65</f>
        <v>28.220491591990413</v>
      </c>
      <c r="K50" s="222">
        <f>'Plot Data'!$F$58</f>
        <v>28.697142857142861</v>
      </c>
      <c r="L50" s="222">
        <f>'Plot Data'!$F$62</f>
        <v>29.173794122295309</v>
      </c>
      <c r="M50" s="222">
        <f>'Plot Data'!$F$64</f>
        <v>29.459784881386774</v>
      </c>
      <c r="N50" s="222">
        <f>'Plot Data'!$F$68</f>
        <v>0.86091428571428585</v>
      </c>
      <c r="O50" s="190" t="e">
        <f t="shared" si="1"/>
        <v>#N/A</v>
      </c>
      <c r="P50" s="191" t="e">
        <f t="shared" si="4"/>
        <v>#N/A</v>
      </c>
      <c r="Q50" s="191" t="e">
        <f t="shared" si="10"/>
        <v>#N/A</v>
      </c>
      <c r="R50" s="191" t="e">
        <f t="shared" si="11"/>
        <v>#N/A</v>
      </c>
      <c r="S50" s="192" t="str">
        <f t="shared" si="5"/>
        <v/>
      </c>
      <c r="T50" s="192" t="e">
        <f t="shared" si="12"/>
        <v>#N/A</v>
      </c>
      <c r="U50" s="192" t="e">
        <f t="shared" si="13"/>
        <v>#N/A</v>
      </c>
      <c r="V50" s="192"/>
      <c r="W50" s="192"/>
      <c r="X50" s="192"/>
      <c r="Y50" s="192"/>
      <c r="Z50" s="192"/>
      <c r="AA50" s="193" t="e">
        <f t="shared" si="9"/>
        <v>#N/A</v>
      </c>
      <c r="AB50" s="192" t="e">
        <f t="shared" si="14"/>
        <v>#N/A</v>
      </c>
      <c r="AC50" s="192" t="e">
        <f t="shared" si="15"/>
        <v>#N/A</v>
      </c>
      <c r="AD50" s="194" t="e">
        <f t="shared" si="3"/>
        <v>#N/A</v>
      </c>
      <c r="AF50" s="211"/>
      <c r="AP50" s="92"/>
    </row>
    <row r="51" spans="2:42" x14ac:dyDescent="0.3">
      <c r="B51" s="188">
        <v>46</v>
      </c>
      <c r="C51" s="205"/>
      <c r="D51" s="206"/>
      <c r="E51" s="207"/>
      <c r="F51" s="207"/>
      <c r="G51" s="183" t="e">
        <f t="shared" si="0"/>
        <v>#N/A</v>
      </c>
      <c r="H51" s="183" t="e">
        <f t="shared" si="2"/>
        <v>#N/A</v>
      </c>
      <c r="I51" s="221">
        <f>'Plot Data'!$F$67</f>
        <v>27.934500832898948</v>
      </c>
      <c r="J51" s="221">
        <f>'Plot Data'!$F$65</f>
        <v>28.220491591990413</v>
      </c>
      <c r="K51" s="222">
        <f>'Plot Data'!$F$58</f>
        <v>28.697142857142861</v>
      </c>
      <c r="L51" s="222">
        <f>'Plot Data'!$F$62</f>
        <v>29.173794122295309</v>
      </c>
      <c r="M51" s="222">
        <f>'Plot Data'!$F$64</f>
        <v>29.459784881386774</v>
      </c>
      <c r="N51" s="222">
        <f>'Plot Data'!$F$68</f>
        <v>0.86091428571428585</v>
      </c>
      <c r="O51" s="190" t="e">
        <f t="shared" si="1"/>
        <v>#N/A</v>
      </c>
      <c r="P51" s="191" t="e">
        <f t="shared" si="4"/>
        <v>#N/A</v>
      </c>
      <c r="Q51" s="191" t="e">
        <f t="shared" si="10"/>
        <v>#N/A</v>
      </c>
      <c r="R51" s="191" t="e">
        <f t="shared" si="11"/>
        <v>#N/A</v>
      </c>
      <c r="S51" s="192" t="str">
        <f t="shared" si="5"/>
        <v/>
      </c>
      <c r="T51" s="192" t="e">
        <f t="shared" si="12"/>
        <v>#N/A</v>
      </c>
      <c r="U51" s="192" t="e">
        <f t="shared" si="13"/>
        <v>#N/A</v>
      </c>
      <c r="V51" s="192"/>
      <c r="W51" s="192"/>
      <c r="X51" s="192"/>
      <c r="Y51" s="192"/>
      <c r="Z51" s="192"/>
      <c r="AA51" s="193" t="e">
        <f t="shared" si="9"/>
        <v>#N/A</v>
      </c>
      <c r="AB51" s="192" t="e">
        <f t="shared" si="14"/>
        <v>#N/A</v>
      </c>
      <c r="AC51" s="192" t="e">
        <f t="shared" si="15"/>
        <v>#N/A</v>
      </c>
      <c r="AD51" s="194" t="e">
        <f t="shared" si="3"/>
        <v>#N/A</v>
      </c>
      <c r="AF51" s="211"/>
      <c r="AP51" s="92"/>
    </row>
    <row r="52" spans="2:42" x14ac:dyDescent="0.3">
      <c r="B52" s="188">
        <v>47</v>
      </c>
      <c r="C52" s="205"/>
      <c r="D52" s="206"/>
      <c r="E52" s="207"/>
      <c r="F52" s="207"/>
      <c r="G52" s="183" t="e">
        <f t="shared" si="0"/>
        <v>#N/A</v>
      </c>
      <c r="H52" s="183" t="e">
        <f t="shared" si="2"/>
        <v>#N/A</v>
      </c>
      <c r="I52" s="221">
        <f>'Plot Data'!$F$67</f>
        <v>27.934500832898948</v>
      </c>
      <c r="J52" s="221">
        <f>'Plot Data'!$F$65</f>
        <v>28.220491591990413</v>
      </c>
      <c r="K52" s="222">
        <f>'Plot Data'!$F$58</f>
        <v>28.697142857142861</v>
      </c>
      <c r="L52" s="222">
        <f>'Plot Data'!$F$62</f>
        <v>29.173794122295309</v>
      </c>
      <c r="M52" s="222">
        <f>'Plot Data'!$F$64</f>
        <v>29.459784881386774</v>
      </c>
      <c r="N52" s="222">
        <f>'Plot Data'!$F$68</f>
        <v>0.86091428571428585</v>
      </c>
      <c r="O52" s="190" t="e">
        <f t="shared" si="1"/>
        <v>#N/A</v>
      </c>
      <c r="P52" s="191" t="e">
        <f t="shared" si="4"/>
        <v>#N/A</v>
      </c>
      <c r="Q52" s="191" t="e">
        <f t="shared" si="10"/>
        <v>#N/A</v>
      </c>
      <c r="R52" s="191" t="e">
        <f t="shared" si="11"/>
        <v>#N/A</v>
      </c>
      <c r="S52" s="192" t="str">
        <f t="shared" si="5"/>
        <v/>
      </c>
      <c r="T52" s="192" t="e">
        <f t="shared" si="12"/>
        <v>#N/A</v>
      </c>
      <c r="U52" s="192" t="e">
        <f t="shared" si="13"/>
        <v>#N/A</v>
      </c>
      <c r="V52" s="192"/>
      <c r="W52" s="192"/>
      <c r="X52" s="192"/>
      <c r="Y52" s="192"/>
      <c r="Z52" s="192"/>
      <c r="AA52" s="193" t="e">
        <f t="shared" si="9"/>
        <v>#N/A</v>
      </c>
      <c r="AB52" s="192" t="e">
        <f t="shared" si="14"/>
        <v>#N/A</v>
      </c>
      <c r="AC52" s="192" t="e">
        <f t="shared" si="15"/>
        <v>#N/A</v>
      </c>
      <c r="AD52" s="194" t="e">
        <f t="shared" si="3"/>
        <v>#N/A</v>
      </c>
      <c r="AF52" s="211"/>
      <c r="AP52" s="92"/>
    </row>
    <row r="53" spans="2:42" x14ac:dyDescent="0.3">
      <c r="B53" s="188">
        <v>48</v>
      </c>
      <c r="C53" s="205"/>
      <c r="D53" s="206"/>
      <c r="E53" s="207"/>
      <c r="F53" s="207"/>
      <c r="G53" s="183" t="e">
        <f t="shared" si="0"/>
        <v>#N/A</v>
      </c>
      <c r="H53" s="183" t="e">
        <f t="shared" si="2"/>
        <v>#N/A</v>
      </c>
      <c r="I53" s="221">
        <f>'Plot Data'!$F$67</f>
        <v>27.934500832898948</v>
      </c>
      <c r="J53" s="221">
        <f>'Plot Data'!$F$65</f>
        <v>28.220491591990413</v>
      </c>
      <c r="K53" s="222">
        <f>'Plot Data'!$F$58</f>
        <v>28.697142857142861</v>
      </c>
      <c r="L53" s="222">
        <f>'Plot Data'!$F$62</f>
        <v>29.173794122295309</v>
      </c>
      <c r="M53" s="222">
        <f>'Plot Data'!$F$64</f>
        <v>29.459784881386774</v>
      </c>
      <c r="N53" s="222">
        <f>'Plot Data'!$F$68</f>
        <v>0.86091428571428585</v>
      </c>
      <c r="O53" s="190" t="e">
        <f t="shared" si="1"/>
        <v>#N/A</v>
      </c>
      <c r="P53" s="191" t="e">
        <f t="shared" si="4"/>
        <v>#N/A</v>
      </c>
      <c r="Q53" s="191" t="e">
        <f t="shared" si="10"/>
        <v>#N/A</v>
      </c>
      <c r="R53" s="191" t="e">
        <f t="shared" si="11"/>
        <v>#N/A</v>
      </c>
      <c r="S53" s="192" t="str">
        <f t="shared" si="5"/>
        <v/>
      </c>
      <c r="T53" s="192" t="e">
        <f t="shared" si="12"/>
        <v>#N/A</v>
      </c>
      <c r="U53" s="192" t="e">
        <f t="shared" si="13"/>
        <v>#N/A</v>
      </c>
      <c r="V53" s="192"/>
      <c r="W53" s="192"/>
      <c r="X53" s="192"/>
      <c r="Y53" s="192"/>
      <c r="Z53" s="192"/>
      <c r="AA53" s="193" t="e">
        <f t="shared" si="9"/>
        <v>#N/A</v>
      </c>
      <c r="AB53" s="192" t="e">
        <f t="shared" si="14"/>
        <v>#N/A</v>
      </c>
      <c r="AC53" s="192" t="e">
        <f t="shared" si="15"/>
        <v>#N/A</v>
      </c>
      <c r="AD53" s="194" t="e">
        <f t="shared" si="3"/>
        <v>#N/A</v>
      </c>
      <c r="AF53" s="211"/>
      <c r="AP53" s="92"/>
    </row>
    <row r="54" spans="2:42" x14ac:dyDescent="0.3">
      <c r="B54" s="188">
        <v>49</v>
      </c>
      <c r="C54" s="205"/>
      <c r="D54" s="206"/>
      <c r="E54" s="207"/>
      <c r="F54" s="207"/>
      <c r="G54" s="183" t="e">
        <f t="shared" si="0"/>
        <v>#N/A</v>
      </c>
      <c r="H54" s="183" t="e">
        <f t="shared" si="2"/>
        <v>#N/A</v>
      </c>
      <c r="I54" s="221">
        <f>'Plot Data'!$F$67</f>
        <v>27.934500832898948</v>
      </c>
      <c r="J54" s="221">
        <f>'Plot Data'!$F$65</f>
        <v>28.220491591990413</v>
      </c>
      <c r="K54" s="222">
        <f>'Plot Data'!$F$58</f>
        <v>28.697142857142861</v>
      </c>
      <c r="L54" s="222">
        <f>'Plot Data'!$F$62</f>
        <v>29.173794122295309</v>
      </c>
      <c r="M54" s="222">
        <f>'Plot Data'!$F$64</f>
        <v>29.459784881386774</v>
      </c>
      <c r="N54" s="222">
        <f>'Plot Data'!$F$68</f>
        <v>0.86091428571428585</v>
      </c>
      <c r="O54" s="190" t="e">
        <f t="shared" si="1"/>
        <v>#N/A</v>
      </c>
      <c r="P54" s="191" t="e">
        <f t="shared" si="4"/>
        <v>#N/A</v>
      </c>
      <c r="Q54" s="191" t="e">
        <f t="shared" si="10"/>
        <v>#N/A</v>
      </c>
      <c r="R54" s="191" t="e">
        <f t="shared" si="11"/>
        <v>#N/A</v>
      </c>
      <c r="S54" s="192" t="str">
        <f t="shared" si="5"/>
        <v/>
      </c>
      <c r="T54" s="192" t="e">
        <f t="shared" si="12"/>
        <v>#N/A</v>
      </c>
      <c r="U54" s="192" t="e">
        <f t="shared" si="13"/>
        <v>#N/A</v>
      </c>
      <c r="V54" s="192"/>
      <c r="W54" s="192"/>
      <c r="X54" s="192"/>
      <c r="Y54" s="192"/>
      <c r="Z54" s="192"/>
      <c r="AA54" s="193" t="e">
        <f t="shared" si="9"/>
        <v>#N/A</v>
      </c>
      <c r="AB54" s="192" t="e">
        <f t="shared" si="14"/>
        <v>#N/A</v>
      </c>
      <c r="AC54" s="192" t="e">
        <f t="shared" si="15"/>
        <v>#N/A</v>
      </c>
      <c r="AD54" s="194" t="e">
        <f t="shared" si="3"/>
        <v>#N/A</v>
      </c>
      <c r="AF54" s="211"/>
      <c r="AP54" s="92"/>
    </row>
    <row r="55" spans="2:42" ht="15" thickBot="1" x14ac:dyDescent="0.35">
      <c r="B55" s="189">
        <v>50</v>
      </c>
      <c r="C55" s="208"/>
      <c r="D55" s="209"/>
      <c r="E55" s="210"/>
      <c r="F55" s="210"/>
      <c r="G55" s="185" t="e">
        <f t="shared" si="0"/>
        <v>#N/A</v>
      </c>
      <c r="H55" s="185" t="e">
        <f t="shared" si="2"/>
        <v>#N/A</v>
      </c>
      <c r="I55" s="223">
        <f>'Plot Data'!$F$67</f>
        <v>27.934500832898948</v>
      </c>
      <c r="J55" s="223">
        <f>'Plot Data'!$F$65</f>
        <v>28.220491591990413</v>
      </c>
      <c r="K55" s="224">
        <f>'Plot Data'!$F$58</f>
        <v>28.697142857142861</v>
      </c>
      <c r="L55" s="224">
        <f>'Plot Data'!$F$62</f>
        <v>29.173794122295309</v>
      </c>
      <c r="M55" s="224">
        <f>'Plot Data'!$F$64</f>
        <v>29.459784881386774</v>
      </c>
      <c r="N55" s="224">
        <f>'Plot Data'!$F$68</f>
        <v>0.86091428571428585</v>
      </c>
      <c r="O55" s="195" t="e">
        <f t="shared" si="1"/>
        <v>#N/A</v>
      </c>
      <c r="P55" s="196" t="e">
        <f t="shared" si="4"/>
        <v>#N/A</v>
      </c>
      <c r="Q55" s="196" t="e">
        <f t="shared" si="10"/>
        <v>#N/A</v>
      </c>
      <c r="R55" s="196" t="e">
        <f t="shared" si="11"/>
        <v>#N/A</v>
      </c>
      <c r="S55" s="192" t="str">
        <f t="shared" si="5"/>
        <v/>
      </c>
      <c r="T55" s="197" t="e">
        <f t="shared" si="12"/>
        <v>#N/A</v>
      </c>
      <c r="U55" s="197" t="e">
        <f t="shared" si="13"/>
        <v>#N/A</v>
      </c>
      <c r="V55" s="197"/>
      <c r="W55" s="197"/>
      <c r="X55" s="197"/>
      <c r="Y55" s="197"/>
      <c r="Z55" s="197"/>
      <c r="AA55" s="193" t="e">
        <f t="shared" si="9"/>
        <v>#N/A</v>
      </c>
      <c r="AB55" s="197" t="e">
        <f t="shared" si="14"/>
        <v>#N/A</v>
      </c>
      <c r="AC55" s="192" t="e">
        <f t="shared" si="15"/>
        <v>#N/A</v>
      </c>
      <c r="AD55" s="198" t="e">
        <f t="shared" si="3"/>
        <v>#N/A</v>
      </c>
      <c r="AF55" s="212"/>
      <c r="AG55" s="213"/>
      <c r="AH55" s="213"/>
      <c r="AI55" s="213"/>
      <c r="AJ55" s="213"/>
      <c r="AK55" s="213"/>
      <c r="AL55" s="213"/>
      <c r="AM55" s="213"/>
      <c r="AN55" s="213"/>
      <c r="AO55" s="213"/>
      <c r="AP55" s="214"/>
    </row>
  </sheetData>
  <sheetProtection password="B7E1" sheet="1" objects="1" scenarios="1"/>
  <mergeCells count="25">
    <mergeCell ref="B2:D2"/>
    <mergeCell ref="H2:I2"/>
    <mergeCell ref="J2:K2"/>
    <mergeCell ref="B3:D3"/>
    <mergeCell ref="AF5:AG5"/>
    <mergeCell ref="AK5:AM5"/>
    <mergeCell ref="AN5:AP5"/>
    <mergeCell ref="AF6:AG7"/>
    <mergeCell ref="AH6:AJ7"/>
    <mergeCell ref="AK6:AM7"/>
    <mergeCell ref="AN6:AN7"/>
    <mergeCell ref="AO6:AO7"/>
    <mergeCell ref="AP6:AP7"/>
    <mergeCell ref="AH5:AJ5"/>
    <mergeCell ref="AP35:AP36"/>
    <mergeCell ref="AF31:AP32"/>
    <mergeCell ref="AF33:AG34"/>
    <mergeCell ref="AH33:AJ34"/>
    <mergeCell ref="AK33:AM34"/>
    <mergeCell ref="AN33:AP34"/>
    <mergeCell ref="AF35:AG36"/>
    <mergeCell ref="AH35:AJ36"/>
    <mergeCell ref="AK35:AM36"/>
    <mergeCell ref="AN35:AN36"/>
    <mergeCell ref="AO35:AO36"/>
  </mergeCells>
  <conditionalFormatting sqref="O6:O55">
    <cfRule type="cellIs" dxfId="182" priority="17" operator="equal">
      <formula>"Pass"</formula>
    </cfRule>
    <cfRule type="cellIs" dxfId="181" priority="18" operator="equal">
      <formula>"&lt;-3s"</formula>
    </cfRule>
    <cfRule type="cellIs" dxfId="180" priority="19" operator="equal">
      <formula>"&gt;+3s"</formula>
    </cfRule>
  </conditionalFormatting>
  <conditionalFormatting sqref="P7:P55">
    <cfRule type="cellIs" dxfId="179" priority="9" operator="equal">
      <formula>"Pass"</formula>
    </cfRule>
    <cfRule type="cellIs" dxfId="178" priority="14" operator="equal">
      <formula>""</formula>
    </cfRule>
    <cfRule type="cellIs" dxfId="177" priority="15" operator="equal">
      <formula>"Fail &gt; +2s"</formula>
    </cfRule>
    <cfRule type="cellIs" dxfId="176" priority="16" operator="equal">
      <formula>"Fail &lt; -2s"</formula>
    </cfRule>
  </conditionalFormatting>
  <conditionalFormatting sqref="Q13:Q55">
    <cfRule type="cellIs" dxfId="175" priority="5" operator="equal">
      <formula>""</formula>
    </cfRule>
    <cfRule type="cellIs" dxfId="174" priority="6" operator="equal">
      <formula>"Pass"</formula>
    </cfRule>
    <cfRule type="cellIs" dxfId="173" priority="7" operator="equal">
      <formula>"Fail -ve bias"</formula>
    </cfRule>
    <cfRule type="cellIs" dxfId="172" priority="8" operator="equal">
      <formula>"Fail +ve bias"</formula>
    </cfRule>
  </conditionalFormatting>
  <conditionalFormatting sqref="R12:R55">
    <cfRule type="cellIs" dxfId="171" priority="10" operator="equal">
      <formula>""</formula>
    </cfRule>
    <cfRule type="cellIs" dxfId="170" priority="11" operator="equal">
      <formula>"Fail -ve trend"</formula>
    </cfRule>
    <cfRule type="cellIs" dxfId="169" priority="12" operator="equal">
      <formula>"Fail +ve trend"</formula>
    </cfRule>
    <cfRule type="cellIs" dxfId="168" priority="13" operator="equal">
      <formula>"Pass"</formula>
    </cfRule>
  </conditionalFormatting>
  <conditionalFormatting sqref="AC15:AC55">
    <cfRule type="cellIs" dxfId="167" priority="1" operator="equal">
      <formula>"Pass"</formula>
    </cfRule>
    <cfRule type="cellIs" dxfId="166" priority="2" operator="equal">
      <formula>""</formula>
    </cfRule>
    <cfRule type="cellIs" dxfId="165" priority="3" operator="equal">
      <formula>"Fail -ve"</formula>
    </cfRule>
    <cfRule type="cellIs" dxfId="164" priority="4" operator="equal">
      <formula>"Fail +ve"</formula>
    </cfRule>
  </conditionalFormatting>
  <conditionalFormatting sqref="AD6:AD55">
    <cfRule type="cellIs" dxfId="163" priority="20" operator="equal">
      <formula>NA()</formula>
    </cfRule>
    <cfRule type="cellIs" dxfId="162" priority="21" operator="equal">
      <formula>"Yes"</formula>
    </cfRule>
    <cfRule type="cellIs" dxfId="161" priority="22" operator="equal">
      <formula>"No"</formula>
    </cfRule>
  </conditionalFormatting>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pageSetUpPr autoPageBreaks="0"/>
  </sheetPr>
  <dimension ref="B1:AP55"/>
  <sheetViews>
    <sheetView showZeros="0" topLeftCell="N1" zoomScale="80" zoomScaleNormal="80" workbookViewId="0">
      <selection activeCell="D20" sqref="D20"/>
    </sheetView>
  </sheetViews>
  <sheetFormatPr defaultColWidth="9.21875" defaultRowHeight="14.4" x14ac:dyDescent="0.3"/>
  <cols>
    <col min="2" max="2" width="7.77734375" bestFit="1" customWidth="1"/>
    <col min="3" max="4" width="13.77734375" customWidth="1"/>
    <col min="5" max="5" width="14.21875" bestFit="1" customWidth="1"/>
    <col min="6" max="6" width="14.5546875" customWidth="1"/>
    <col min="7" max="7" width="19.21875" bestFit="1" customWidth="1"/>
    <col min="8" max="8" width="18.77734375" bestFit="1" customWidth="1"/>
    <col min="9" max="9" width="13.77734375" customWidth="1"/>
    <col min="11" max="11" width="12.77734375" customWidth="1"/>
    <col min="14" max="14" width="15" bestFit="1" customWidth="1"/>
    <col min="15" max="15" width="15.77734375" style="174" customWidth="1"/>
    <col min="16" max="18" width="15.77734375" customWidth="1"/>
    <col min="19" max="29" width="15.77734375" hidden="1" customWidth="1"/>
    <col min="30" max="30" width="13.77734375" customWidth="1"/>
    <col min="40" max="40" width="13.77734375" bestFit="1" customWidth="1"/>
    <col min="42" max="42" width="13.77734375" bestFit="1" customWidth="1"/>
  </cols>
  <sheetData>
    <row r="1" spans="2:42" ht="15" thickBot="1" x14ac:dyDescent="0.35"/>
    <row r="2" spans="2:42" ht="15.6" x14ac:dyDescent="0.3">
      <c r="B2" s="708" t="s">
        <v>58</v>
      </c>
      <c r="C2" s="709"/>
      <c r="D2" s="709"/>
      <c r="E2" s="203" t="s">
        <v>214</v>
      </c>
      <c r="G2" s="175"/>
      <c r="H2" s="710" t="s">
        <v>220</v>
      </c>
      <c r="I2" s="711"/>
      <c r="J2" s="712" t="s">
        <v>222</v>
      </c>
      <c r="K2" s="713"/>
    </row>
    <row r="3" spans="2:42" ht="20.100000000000001" customHeight="1" thickBot="1" x14ac:dyDescent="0.35">
      <c r="B3" s="706" t="s">
        <v>203</v>
      </c>
      <c r="C3" s="707"/>
      <c r="D3" s="707"/>
      <c r="E3" s="204" t="s">
        <v>209</v>
      </c>
      <c r="G3" s="175"/>
      <c r="H3" s="199" t="s">
        <v>204</v>
      </c>
      <c r="I3" s="200">
        <f>C6</f>
        <v>37212</v>
      </c>
      <c r="J3" s="201" t="s">
        <v>205</v>
      </c>
      <c r="K3" s="202">
        <f>MAX(C6:C55)</f>
        <v>39403</v>
      </c>
    </row>
    <row r="4" spans="2:42" ht="20.100000000000001" customHeight="1" thickBot="1" x14ac:dyDescent="0.35">
      <c r="B4" s="175"/>
      <c r="C4" s="175"/>
      <c r="D4" s="175"/>
      <c r="E4" s="175"/>
      <c r="G4" s="175"/>
    </row>
    <row r="5" spans="2:42" ht="29.25" customHeight="1" x14ac:dyDescent="0.3">
      <c r="B5" s="215" t="s">
        <v>198</v>
      </c>
      <c r="C5" s="187" t="s">
        <v>0</v>
      </c>
      <c r="D5" s="187" t="s">
        <v>192</v>
      </c>
      <c r="E5" s="187" t="s">
        <v>193</v>
      </c>
      <c r="F5" s="187" t="s">
        <v>194</v>
      </c>
      <c r="G5" s="187" t="s">
        <v>208</v>
      </c>
      <c r="H5" s="187" t="s">
        <v>213</v>
      </c>
      <c r="I5" s="216" t="s">
        <v>45</v>
      </c>
      <c r="J5" s="216" t="s">
        <v>46</v>
      </c>
      <c r="K5" s="217" t="s">
        <v>200</v>
      </c>
      <c r="L5" s="216" t="s">
        <v>47</v>
      </c>
      <c r="M5" s="216" t="s">
        <v>48</v>
      </c>
      <c r="N5" s="187" t="s">
        <v>19</v>
      </c>
      <c r="O5" s="187" t="s">
        <v>196</v>
      </c>
      <c r="P5" s="187" t="s">
        <v>197</v>
      </c>
      <c r="Q5" s="187" t="s">
        <v>201</v>
      </c>
      <c r="R5" s="187" t="s">
        <v>202</v>
      </c>
      <c r="S5" s="218"/>
      <c r="T5" s="219" t="s">
        <v>211</v>
      </c>
      <c r="U5" s="219" t="s">
        <v>212</v>
      </c>
      <c r="V5" s="219"/>
      <c r="W5" s="219"/>
      <c r="X5" s="219"/>
      <c r="Y5" s="219"/>
      <c r="Z5" s="219"/>
      <c r="AA5" s="219"/>
      <c r="AB5" s="219"/>
      <c r="AC5" s="218" t="s">
        <v>210</v>
      </c>
      <c r="AD5" s="220" t="s">
        <v>199</v>
      </c>
      <c r="AE5" s="176"/>
      <c r="AF5" s="714" t="s">
        <v>207</v>
      </c>
      <c r="AG5" s="715"/>
      <c r="AH5" s="689" t="str">
        <f>B2</f>
        <v>ISO Ash</v>
      </c>
      <c r="AI5" s="692"/>
      <c r="AJ5" s="692"/>
      <c r="AK5" s="693" t="s">
        <v>168</v>
      </c>
      <c r="AL5" s="693"/>
      <c r="AM5" s="693"/>
      <c r="AN5" s="689" t="str">
        <f>J2</f>
        <v>IMP-ASH-01</v>
      </c>
      <c r="AO5" s="689"/>
      <c r="AP5" s="691"/>
    </row>
    <row r="6" spans="2:42" x14ac:dyDescent="0.3">
      <c r="B6" s="188">
        <v>1</v>
      </c>
      <c r="C6" s="205">
        <v>37212</v>
      </c>
      <c r="D6" s="206"/>
      <c r="E6" s="207">
        <v>16.8</v>
      </c>
      <c r="F6" s="207">
        <v>16.899999999999999</v>
      </c>
      <c r="G6" s="183">
        <f t="shared" ref="G6:G55" si="0">IF(AND(E6="",F6=""),NA(),AVERAGE(E6:F6))</f>
        <v>16.850000000000001</v>
      </c>
      <c r="H6" s="183">
        <f>IF(AND(E6="",F6=""),NA(),ABS(E6-F6))</f>
        <v>9.9999999999997868E-2</v>
      </c>
      <c r="I6" s="221">
        <f>'Plot Data'!$G$67</f>
        <v>12.775621055989912</v>
      </c>
      <c r="J6" s="221">
        <f>'Plot Data'!$G$65</f>
        <v>13.138875575788147</v>
      </c>
      <c r="K6" s="222">
        <f>'Plot Data'!$G$58</f>
        <v>13.865384615384617</v>
      </c>
      <c r="L6" s="222">
        <f>'Plot Data'!$G$62</f>
        <v>14.591893654981087</v>
      </c>
      <c r="M6" s="222">
        <f>'Plot Data'!$G$64</f>
        <v>14.955148174779321</v>
      </c>
      <c r="N6" s="222">
        <f>'Plot Data'!$G$68</f>
        <v>0.27730769230769237</v>
      </c>
      <c r="O6" s="177" t="str">
        <f t="shared" ref="O6:O55" si="1">IF(G6&gt;M6,"&gt;+3s",IF(G6&lt;I6,"&lt;-3s","Pass"))</f>
        <v>&gt;+3s</v>
      </c>
      <c r="P6" s="191"/>
      <c r="Q6" s="191"/>
      <c r="R6" s="191"/>
      <c r="S6" s="178"/>
      <c r="T6" s="178"/>
      <c r="U6" s="178"/>
      <c r="V6" s="178"/>
      <c r="W6" s="178"/>
      <c r="X6" s="178"/>
      <c r="Y6" s="178"/>
      <c r="Z6" s="178"/>
      <c r="AA6" s="178"/>
      <c r="AB6" s="178"/>
      <c r="AC6" s="178"/>
      <c r="AD6" s="179" t="str">
        <f>IF(H6="","",IF(H6&gt;N6,"No","Yes"))</f>
        <v>Yes</v>
      </c>
      <c r="AF6" s="682" t="s">
        <v>203</v>
      </c>
      <c r="AG6" s="683"/>
      <c r="AH6" s="683" t="str">
        <f>E3</f>
        <v>034</v>
      </c>
      <c r="AI6" s="683"/>
      <c r="AJ6" s="683"/>
      <c r="AK6" s="696" t="s">
        <v>204</v>
      </c>
      <c r="AL6" s="697"/>
      <c r="AM6" s="698"/>
      <c r="AN6" s="686">
        <f>I3</f>
        <v>37212</v>
      </c>
      <c r="AO6" s="683" t="s">
        <v>205</v>
      </c>
      <c r="AP6" s="680">
        <f>K3</f>
        <v>39403</v>
      </c>
    </row>
    <row r="7" spans="2:42" ht="15" customHeight="1" x14ac:dyDescent="0.3">
      <c r="B7" s="188">
        <v>2</v>
      </c>
      <c r="C7" s="205">
        <v>37577</v>
      </c>
      <c r="D7" s="206"/>
      <c r="E7" s="207">
        <v>17</v>
      </c>
      <c r="F7" s="207">
        <v>17.399999999999999</v>
      </c>
      <c r="G7" s="183">
        <f t="shared" si="0"/>
        <v>17.2</v>
      </c>
      <c r="H7" s="183">
        <f t="shared" ref="H7:H55" si="2">IF(AND(E7="",F7=""),NA(),ABS(E7-F7))</f>
        <v>0.39999999999999858</v>
      </c>
      <c r="I7" s="221">
        <f>'Plot Data'!$G$67</f>
        <v>12.775621055989912</v>
      </c>
      <c r="J7" s="221">
        <f>'Plot Data'!$G$65</f>
        <v>13.138875575788147</v>
      </c>
      <c r="K7" s="222">
        <f>'Plot Data'!$G$58</f>
        <v>13.865384615384617</v>
      </c>
      <c r="L7" s="222">
        <f>'Plot Data'!$G$62</f>
        <v>14.591893654981087</v>
      </c>
      <c r="M7" s="222">
        <f>'Plot Data'!$G$64</f>
        <v>14.955148174779321</v>
      </c>
      <c r="N7" s="222">
        <f>'Plot Data'!$G$68</f>
        <v>0.27730769230769237</v>
      </c>
      <c r="O7" s="177" t="str">
        <f t="shared" si="1"/>
        <v>&gt;+3s</v>
      </c>
      <c r="P7" s="180" t="str">
        <f>IF(AND(G7&gt;L7,G6&gt;L6),"Fail &gt; +2s",IF(AND(G7&lt;J7,G6&lt;J6),"Fail &lt; -2s","Pass"))</f>
        <v>Fail &gt; +2s</v>
      </c>
      <c r="Q7" s="191"/>
      <c r="R7" s="191"/>
      <c r="S7" s="178" t="str">
        <f>IF(E7="","",IF(G7&gt;G6,"+",IF(G7&lt;G6,"-","")))</f>
        <v>+</v>
      </c>
      <c r="T7" s="178"/>
      <c r="U7" s="178"/>
      <c r="V7" s="178"/>
      <c r="W7" s="178"/>
      <c r="X7" s="178"/>
      <c r="Y7" s="178"/>
      <c r="Z7" s="178"/>
      <c r="AA7" s="178"/>
      <c r="AB7" s="178"/>
      <c r="AC7" s="178"/>
      <c r="AD7" s="179" t="str">
        <f t="shared" ref="AD7:AD55" si="3">IF(H7="","",IF(H7&gt;N7,"No","Yes"))</f>
        <v>No</v>
      </c>
      <c r="AF7" s="694"/>
      <c r="AG7" s="695"/>
      <c r="AH7" s="695"/>
      <c r="AI7" s="695"/>
      <c r="AJ7" s="695"/>
      <c r="AK7" s="699"/>
      <c r="AL7" s="700"/>
      <c r="AM7" s="701"/>
      <c r="AN7" s="702"/>
      <c r="AO7" s="695"/>
      <c r="AP7" s="688"/>
    </row>
    <row r="8" spans="2:42" x14ac:dyDescent="0.3">
      <c r="B8" s="188">
        <v>3</v>
      </c>
      <c r="C8" s="205">
        <v>37942</v>
      </c>
      <c r="D8" s="206"/>
      <c r="E8" s="207">
        <v>17.100000000000001</v>
      </c>
      <c r="F8" s="207">
        <v>16.8</v>
      </c>
      <c r="G8" s="183">
        <f t="shared" si="0"/>
        <v>16.950000000000003</v>
      </c>
      <c r="H8" s="183">
        <f t="shared" si="2"/>
        <v>0.30000000000000071</v>
      </c>
      <c r="I8" s="221">
        <f>'Plot Data'!$G$67</f>
        <v>12.775621055989912</v>
      </c>
      <c r="J8" s="221">
        <f>'Plot Data'!$G$65</f>
        <v>13.138875575788147</v>
      </c>
      <c r="K8" s="222">
        <f>'Plot Data'!$G$58</f>
        <v>13.865384615384617</v>
      </c>
      <c r="L8" s="222">
        <f>'Plot Data'!$G$62</f>
        <v>14.591893654981087</v>
      </c>
      <c r="M8" s="222">
        <f>'Plot Data'!$G$64</f>
        <v>14.955148174779321</v>
      </c>
      <c r="N8" s="222">
        <f>'Plot Data'!$G$68</f>
        <v>0.27730769230769237</v>
      </c>
      <c r="O8" s="177" t="str">
        <f t="shared" si="1"/>
        <v>&gt;+3s</v>
      </c>
      <c r="P8" s="180" t="str">
        <f t="shared" ref="P8:P55" si="4">IF(AND(G8&gt;L8,G7&gt;L7),"Fail &gt; +2s",IF(AND(G8&gt;L8,G6&gt;L6),"Fail &gt; +2s",IF(AND(G8&lt;J8,G7&lt;J7),"Fail &lt; -2s",IF(AND(G8&lt;J8,G6&lt;J6),"Fail &lt; -2s","Pass"))))</f>
        <v>Fail &gt; +2s</v>
      </c>
      <c r="Q8" s="191"/>
      <c r="R8" s="191"/>
      <c r="S8" s="178" t="str">
        <f t="shared" ref="S8:S55" si="5">IF(E8="","",IF(G8&gt;G7,"+",IF(G8&lt;G7,"-","")))</f>
        <v>-</v>
      </c>
      <c r="T8" s="178"/>
      <c r="U8" s="178"/>
      <c r="V8" s="178"/>
      <c r="W8" s="178"/>
      <c r="X8" s="181">
        <f>AVERAGE(G6:G8)</f>
        <v>17</v>
      </c>
      <c r="Y8" s="181"/>
      <c r="Z8" s="181"/>
      <c r="AA8" s="181"/>
      <c r="AB8" s="181"/>
      <c r="AC8" s="178"/>
      <c r="AD8" s="179" t="str">
        <f t="shared" si="3"/>
        <v>No</v>
      </c>
    </row>
    <row r="9" spans="2:42" x14ac:dyDescent="0.3">
      <c r="B9" s="188">
        <v>4</v>
      </c>
      <c r="C9" s="205">
        <v>38308</v>
      </c>
      <c r="D9" s="206"/>
      <c r="E9" s="207">
        <v>17.149999999999999</v>
      </c>
      <c r="F9" s="207">
        <v>16.77</v>
      </c>
      <c r="G9" s="183">
        <f t="shared" si="0"/>
        <v>16.96</v>
      </c>
      <c r="H9" s="183">
        <f t="shared" si="2"/>
        <v>0.37999999999999901</v>
      </c>
      <c r="I9" s="221">
        <f>'Plot Data'!$G$67</f>
        <v>12.775621055989912</v>
      </c>
      <c r="J9" s="221">
        <f>'Plot Data'!$G$65</f>
        <v>13.138875575788147</v>
      </c>
      <c r="K9" s="222">
        <f>'Plot Data'!$G$58</f>
        <v>13.865384615384617</v>
      </c>
      <c r="L9" s="222">
        <f>'Plot Data'!$G$62</f>
        <v>14.591893654981087</v>
      </c>
      <c r="M9" s="222">
        <f>'Plot Data'!$G$64</f>
        <v>14.955148174779321</v>
      </c>
      <c r="N9" s="222">
        <f>'Plot Data'!$G$68</f>
        <v>0.27730769230769237</v>
      </c>
      <c r="O9" s="177" t="str">
        <f t="shared" si="1"/>
        <v>&gt;+3s</v>
      </c>
      <c r="P9" s="180" t="str">
        <f t="shared" si="4"/>
        <v>Fail &gt; +2s</v>
      </c>
      <c r="Q9" s="191"/>
      <c r="R9" s="191"/>
      <c r="S9" s="178" t="str">
        <f t="shared" si="5"/>
        <v>+</v>
      </c>
      <c r="T9" s="178"/>
      <c r="U9" s="178"/>
      <c r="V9" s="178"/>
      <c r="W9" s="178"/>
      <c r="X9" s="181">
        <f t="shared" ref="X9:X17" si="6">AVERAGE(G7:G9)</f>
        <v>17.036666666666669</v>
      </c>
      <c r="Y9" s="181">
        <f>AVERAGE(G6:G9)</f>
        <v>16.990000000000002</v>
      </c>
      <c r="Z9" s="181"/>
      <c r="AA9" s="181"/>
      <c r="AB9" s="181"/>
      <c r="AC9" s="178"/>
      <c r="AD9" s="179" t="str">
        <f t="shared" si="3"/>
        <v>No</v>
      </c>
    </row>
    <row r="10" spans="2:42" x14ac:dyDescent="0.3">
      <c r="B10" s="188">
        <v>5</v>
      </c>
      <c r="C10" s="205">
        <v>38673</v>
      </c>
      <c r="D10" s="206"/>
      <c r="E10" s="207">
        <v>17.05</v>
      </c>
      <c r="F10" s="207">
        <v>17</v>
      </c>
      <c r="G10" s="183">
        <f t="shared" si="0"/>
        <v>17.024999999999999</v>
      </c>
      <c r="H10" s="183">
        <f t="shared" si="2"/>
        <v>5.0000000000000711E-2</v>
      </c>
      <c r="I10" s="221">
        <f>'Plot Data'!$G$67</f>
        <v>12.775621055989912</v>
      </c>
      <c r="J10" s="221">
        <f>'Plot Data'!$G$65</f>
        <v>13.138875575788147</v>
      </c>
      <c r="K10" s="222">
        <f>'Plot Data'!$G$58</f>
        <v>13.865384615384617</v>
      </c>
      <c r="L10" s="222">
        <f>'Plot Data'!$G$62</f>
        <v>14.591893654981087</v>
      </c>
      <c r="M10" s="222">
        <f>'Plot Data'!$G$64</f>
        <v>14.955148174779321</v>
      </c>
      <c r="N10" s="222">
        <f>'Plot Data'!$G$68</f>
        <v>0.27730769230769237</v>
      </c>
      <c r="O10" s="177" t="str">
        <f t="shared" si="1"/>
        <v>&gt;+3s</v>
      </c>
      <c r="P10" s="180" t="str">
        <f t="shared" si="4"/>
        <v>Fail &gt; +2s</v>
      </c>
      <c r="Q10" s="191"/>
      <c r="R10" s="191"/>
      <c r="S10" s="178" t="str">
        <f t="shared" si="5"/>
        <v>+</v>
      </c>
      <c r="T10" s="178"/>
      <c r="U10" s="178"/>
      <c r="V10" s="178"/>
      <c r="W10" s="178"/>
      <c r="X10" s="181">
        <f t="shared" si="6"/>
        <v>16.978333333333335</v>
      </c>
      <c r="Y10" s="181">
        <f t="shared" ref="Y10:Y16" si="7">AVERAGE(G7:G10)</f>
        <v>17.033750000000001</v>
      </c>
      <c r="Z10" s="181">
        <f>AVERAGE(G6:G10)</f>
        <v>16.997000000000003</v>
      </c>
      <c r="AA10" s="181"/>
      <c r="AB10" s="181"/>
      <c r="AC10" s="178"/>
      <c r="AD10" s="179" t="str">
        <f t="shared" si="3"/>
        <v>Yes</v>
      </c>
    </row>
    <row r="11" spans="2:42" x14ac:dyDescent="0.3">
      <c r="B11" s="188">
        <v>6</v>
      </c>
      <c r="C11" s="205">
        <v>39038</v>
      </c>
      <c r="D11" s="206"/>
      <c r="E11" s="207">
        <v>17.2</v>
      </c>
      <c r="F11" s="207">
        <v>17</v>
      </c>
      <c r="G11" s="183">
        <f t="shared" si="0"/>
        <v>17.100000000000001</v>
      </c>
      <c r="H11" s="183">
        <f t="shared" si="2"/>
        <v>0.19999999999999929</v>
      </c>
      <c r="I11" s="221">
        <f>'Plot Data'!$G$67</f>
        <v>12.775621055989912</v>
      </c>
      <c r="J11" s="221">
        <f>'Plot Data'!$G$65</f>
        <v>13.138875575788147</v>
      </c>
      <c r="K11" s="222">
        <f>'Plot Data'!$G$58</f>
        <v>13.865384615384617</v>
      </c>
      <c r="L11" s="222">
        <f>'Plot Data'!$G$62</f>
        <v>14.591893654981087</v>
      </c>
      <c r="M11" s="222">
        <f>'Plot Data'!$G$64</f>
        <v>14.955148174779321</v>
      </c>
      <c r="N11" s="222">
        <f>'Plot Data'!$G$68</f>
        <v>0.27730769230769237</v>
      </c>
      <c r="O11" s="177" t="str">
        <f t="shared" si="1"/>
        <v>&gt;+3s</v>
      </c>
      <c r="P11" s="180" t="str">
        <f t="shared" si="4"/>
        <v>Fail &gt; +2s</v>
      </c>
      <c r="Q11" s="191"/>
      <c r="R11" s="191"/>
      <c r="S11" s="178" t="str">
        <f t="shared" si="5"/>
        <v>+</v>
      </c>
      <c r="T11" s="178"/>
      <c r="U11" s="178"/>
      <c r="V11" s="178"/>
      <c r="W11" s="178"/>
      <c r="X11" s="181">
        <f t="shared" si="6"/>
        <v>17.028333333333332</v>
      </c>
      <c r="Y11" s="181">
        <f t="shared" si="7"/>
        <v>17.008749999999999</v>
      </c>
      <c r="Z11" s="181">
        <f t="shared" ref="Z11:Z16" si="8">AVERAGE(G7:G11)</f>
        <v>17.047000000000004</v>
      </c>
      <c r="AA11" s="181">
        <f>AVERAGE(G6:G11)</f>
        <v>17.014166666666668</v>
      </c>
      <c r="AB11" s="182"/>
      <c r="AC11" s="178"/>
      <c r="AD11" s="179" t="str">
        <f t="shared" si="3"/>
        <v>Yes</v>
      </c>
    </row>
    <row r="12" spans="2:42" x14ac:dyDescent="0.3">
      <c r="B12" s="188">
        <v>7</v>
      </c>
      <c r="C12" s="205">
        <v>39038</v>
      </c>
      <c r="D12" s="206"/>
      <c r="E12" s="207">
        <v>16.989999999999998</v>
      </c>
      <c r="F12" s="207">
        <v>17</v>
      </c>
      <c r="G12" s="183">
        <f t="shared" si="0"/>
        <v>16.994999999999997</v>
      </c>
      <c r="H12" s="183">
        <f t="shared" si="2"/>
        <v>1.0000000000001563E-2</v>
      </c>
      <c r="I12" s="221">
        <f>'Plot Data'!$G$67</f>
        <v>12.775621055989912</v>
      </c>
      <c r="J12" s="221">
        <f>'Plot Data'!$G$65</f>
        <v>13.138875575788147</v>
      </c>
      <c r="K12" s="222">
        <f>'Plot Data'!$G$58</f>
        <v>13.865384615384617</v>
      </c>
      <c r="L12" s="222">
        <f>'Plot Data'!$G$62</f>
        <v>14.591893654981087</v>
      </c>
      <c r="M12" s="222">
        <f>'Plot Data'!$G$64</f>
        <v>14.955148174779321</v>
      </c>
      <c r="N12" s="222">
        <f>'Plot Data'!$G$68</f>
        <v>0.27730769230769237</v>
      </c>
      <c r="O12" s="177" t="str">
        <f t="shared" si="1"/>
        <v>&gt;+3s</v>
      </c>
      <c r="P12" s="180" t="str">
        <f t="shared" si="4"/>
        <v>Fail &gt; +2s</v>
      </c>
      <c r="Q12" s="191"/>
      <c r="R12" s="180" t="str">
        <f>IF(AND(G12&gt;G11,G11&gt;G10,G10&gt;G9,G9&gt;G8,G8&gt;G7,G7&gt;G6),"Fail +ve trend",IF(AND(G12&lt;G11,G11&lt;G10,G10&lt;G9,G9&lt;G8,G8&lt;G7,G7&lt;G6),"Fail -ve trend","Pass"))</f>
        <v>Pass</v>
      </c>
      <c r="S12" s="178" t="str">
        <f t="shared" si="5"/>
        <v>-</v>
      </c>
      <c r="T12" s="178"/>
      <c r="U12" s="178"/>
      <c r="V12" s="178"/>
      <c r="W12" s="178"/>
      <c r="X12" s="181">
        <f t="shared" si="6"/>
        <v>17.04</v>
      </c>
      <c r="Y12" s="181">
        <f t="shared" si="7"/>
        <v>17.02</v>
      </c>
      <c r="Z12" s="181">
        <f t="shared" si="8"/>
        <v>17.006</v>
      </c>
      <c r="AA12" s="181">
        <f t="shared" ref="AA12:AA55" si="9">AVERAGE(G7:G12)</f>
        <v>17.038333333333338</v>
      </c>
      <c r="AB12" s="181"/>
      <c r="AC12" s="178"/>
      <c r="AD12" s="179" t="str">
        <f t="shared" si="3"/>
        <v>Yes</v>
      </c>
    </row>
    <row r="13" spans="2:42" x14ac:dyDescent="0.3">
      <c r="B13" s="188">
        <v>8</v>
      </c>
      <c r="C13" s="205">
        <v>39403</v>
      </c>
      <c r="D13" s="206"/>
      <c r="E13" s="207">
        <v>17.100000000000001</v>
      </c>
      <c r="F13" s="207">
        <v>16.8</v>
      </c>
      <c r="G13" s="183">
        <f t="shared" si="0"/>
        <v>16.950000000000003</v>
      </c>
      <c r="H13" s="183">
        <f t="shared" si="2"/>
        <v>0.30000000000000071</v>
      </c>
      <c r="I13" s="221">
        <f>'Plot Data'!$G$67</f>
        <v>12.775621055989912</v>
      </c>
      <c r="J13" s="221">
        <f>'Plot Data'!$G$65</f>
        <v>13.138875575788147</v>
      </c>
      <c r="K13" s="222">
        <f>'Plot Data'!$G$58</f>
        <v>13.865384615384617</v>
      </c>
      <c r="L13" s="222">
        <f>'Plot Data'!$G$62</f>
        <v>14.591893654981087</v>
      </c>
      <c r="M13" s="222">
        <f>'Plot Data'!$G$64</f>
        <v>14.955148174779321</v>
      </c>
      <c r="N13" s="222">
        <f>'Plot Data'!$G$68</f>
        <v>0.27730769230769237</v>
      </c>
      <c r="O13" s="177" t="str">
        <f t="shared" si="1"/>
        <v>&gt;+3s</v>
      </c>
      <c r="P13" s="180" t="str">
        <f t="shared" si="4"/>
        <v>Fail &gt; +2s</v>
      </c>
      <c r="Q13" s="180" t="str">
        <f t="shared" ref="Q13:Q55" si="10">IF(AND(G13&gt;K13,G12&gt;K13,G11&gt;K13,G10&gt;K13,G9&gt;K13,G8&gt;K13,G7&gt;K13,G6&gt;K13),"Fail +ve bias",IF(AND(G13&lt;K13,G12&lt;K13,G11&lt;K13,G10&lt;K13,G9&lt;K13,G8&lt;K13,G7&lt;K13,G6&lt;K13),"Fail -ve bias","Pass"))</f>
        <v>Fail +ve bias</v>
      </c>
      <c r="R13" s="180" t="str">
        <f t="shared" ref="R13:R55" si="11">IF(AND(G13&gt;G12,G12&gt;G11,G11&gt;G10,G10&gt;G9,G9&gt;G8,G8&gt;G7),"Fail +ve trend",IF(AND(G13&lt;G12,G12&lt;G11,G11&lt;G10,G10&lt;G9,G9&lt;G8,G8&lt;G7),"Fail -ve trend","Pass"))</f>
        <v>Pass</v>
      </c>
      <c r="S13" s="178" t="str">
        <f t="shared" si="5"/>
        <v>-</v>
      </c>
      <c r="T13" s="178"/>
      <c r="U13" s="178"/>
      <c r="V13" s="178"/>
      <c r="W13" s="178"/>
      <c r="X13" s="181">
        <f t="shared" si="6"/>
        <v>17.015000000000001</v>
      </c>
      <c r="Y13" s="181">
        <f t="shared" si="7"/>
        <v>17.017499999999998</v>
      </c>
      <c r="Z13" s="181">
        <f t="shared" si="8"/>
        <v>17.006</v>
      </c>
      <c r="AA13" s="181">
        <f t="shared" si="9"/>
        <v>16.996666666666666</v>
      </c>
      <c r="AB13" s="181"/>
      <c r="AC13" s="178"/>
      <c r="AD13" s="179" t="str">
        <f t="shared" si="3"/>
        <v>No</v>
      </c>
    </row>
    <row r="14" spans="2:42" x14ac:dyDescent="0.3">
      <c r="B14" s="188">
        <v>9</v>
      </c>
      <c r="C14" s="205"/>
      <c r="D14" s="206"/>
      <c r="E14" s="207">
        <v>17.149999999999999</v>
      </c>
      <c r="F14" s="207">
        <v>16.77</v>
      </c>
      <c r="G14" s="183">
        <f t="shared" si="0"/>
        <v>16.96</v>
      </c>
      <c r="H14" s="183">
        <f t="shared" si="2"/>
        <v>0.37999999999999901</v>
      </c>
      <c r="I14" s="221">
        <f>'Plot Data'!$G$67</f>
        <v>12.775621055989912</v>
      </c>
      <c r="J14" s="221">
        <f>'Plot Data'!$G$65</f>
        <v>13.138875575788147</v>
      </c>
      <c r="K14" s="222">
        <f>'Plot Data'!$G$58</f>
        <v>13.865384615384617</v>
      </c>
      <c r="L14" s="222">
        <f>'Plot Data'!$G$62</f>
        <v>14.591893654981087</v>
      </c>
      <c r="M14" s="222">
        <f>'Plot Data'!$G$64</f>
        <v>14.955148174779321</v>
      </c>
      <c r="N14" s="222">
        <f>'Plot Data'!$G$68</f>
        <v>0.27730769230769237</v>
      </c>
      <c r="O14" s="177" t="str">
        <f t="shared" si="1"/>
        <v>&gt;+3s</v>
      </c>
      <c r="P14" s="180" t="str">
        <f t="shared" si="4"/>
        <v>Fail &gt; +2s</v>
      </c>
      <c r="Q14" s="180" t="str">
        <f t="shared" si="10"/>
        <v>Fail +ve bias</v>
      </c>
      <c r="R14" s="180" t="str">
        <f t="shared" si="11"/>
        <v>Pass</v>
      </c>
      <c r="S14" s="178" t="str">
        <f t="shared" si="5"/>
        <v>+</v>
      </c>
      <c r="T14" s="178"/>
      <c r="U14" s="178"/>
      <c r="V14" s="178"/>
      <c r="W14" s="178"/>
      <c r="X14" s="181">
        <f t="shared" si="6"/>
        <v>16.968333333333334</v>
      </c>
      <c r="Y14" s="181">
        <f t="shared" si="7"/>
        <v>17.001249999999999</v>
      </c>
      <c r="Z14" s="181">
        <f t="shared" si="8"/>
        <v>17.006</v>
      </c>
      <c r="AA14" s="181">
        <f t="shared" si="9"/>
        <v>16.998333333333335</v>
      </c>
      <c r="AB14" s="181"/>
      <c r="AC14" s="178"/>
      <c r="AD14" s="179" t="str">
        <f t="shared" si="3"/>
        <v>No</v>
      </c>
    </row>
    <row r="15" spans="2:42" x14ac:dyDescent="0.3">
      <c r="B15" s="188">
        <v>10</v>
      </c>
      <c r="C15" s="205"/>
      <c r="D15" s="206"/>
      <c r="E15" s="207">
        <v>17.05</v>
      </c>
      <c r="F15" s="207">
        <v>17</v>
      </c>
      <c r="G15" s="183">
        <f t="shared" si="0"/>
        <v>17.024999999999999</v>
      </c>
      <c r="H15" s="183">
        <f t="shared" si="2"/>
        <v>5.0000000000000711E-2</v>
      </c>
      <c r="I15" s="221">
        <f>'Plot Data'!$G$67</f>
        <v>12.775621055989912</v>
      </c>
      <c r="J15" s="221">
        <f>'Plot Data'!$G$65</f>
        <v>13.138875575788147</v>
      </c>
      <c r="K15" s="222">
        <f>'Plot Data'!$G$58</f>
        <v>13.865384615384617</v>
      </c>
      <c r="L15" s="222">
        <f>'Plot Data'!$G$62</f>
        <v>14.591893654981087</v>
      </c>
      <c r="M15" s="222">
        <f>'Plot Data'!$G$64</f>
        <v>14.955148174779321</v>
      </c>
      <c r="N15" s="222">
        <f>'Plot Data'!$G$68</f>
        <v>0.27730769230769237</v>
      </c>
      <c r="O15" s="177" t="str">
        <f t="shared" si="1"/>
        <v>&gt;+3s</v>
      </c>
      <c r="P15" s="180" t="str">
        <f t="shared" si="4"/>
        <v>Fail &gt; +2s</v>
      </c>
      <c r="Q15" s="180" t="str">
        <f t="shared" si="10"/>
        <v>Fail +ve bias</v>
      </c>
      <c r="R15" s="180" t="str">
        <f t="shared" si="11"/>
        <v>Pass</v>
      </c>
      <c r="S15" s="178" t="str">
        <f t="shared" si="5"/>
        <v>+</v>
      </c>
      <c r="T15" s="178">
        <f>IF(OR(R6="Fail -ve trend",R7="Fail -ve trend",R8="Fail -ve trend",R9="Fail -ve trend",R10="Fail -ve trend",R11="Fail -ve trend",R12="Fail -ve trend",R13="Fail -ve trend",R14="Fail -ve trend",R15="Fail -ve trend",R6="Fail +ve trend",R7="Fail +ve trend",R8="Fail +ve trend",R9="Fail +ve trend",R10="Fail +ve trend",R11="Fail +ve trend",R12="Fail +ve trend",R13="Fail +ve trend",R14="Fail +ve trend",R15="Fail +ve trend"),"",COUNTIF(S6:S15,"+"))</f>
        <v>6</v>
      </c>
      <c r="U15" s="178">
        <f>IF(OR(R6="Fail -ve trend",R7="Fail -ve trend",R8="Fail -ve trend",R9="Fail -ve trend",R10="Fail -ve trend",R11="Fail -ve trend",R12="Fail -ve trend",R13="Fail -ve trend",R14="Fail -ve trend",R15="Fail -ve trend",R6="Fail +ve trend",R7="Fail +ve trend",R8="Fail +ve trend",R9="Fail +ve trend",R10="Fail +ve trend",R11="Fail +ve trend",R12="Fail +ve trend",R13="Fail +ve trend",R14="Fail +ve trend",R15="Fail +ve trend"),"",COUNTIF(T6:T15,"+"))</f>
        <v>0</v>
      </c>
      <c r="V15" s="178" t="str">
        <f>IF(AND(G10&gt;G7,G7&gt;G4,G4&gt;G1,G9&gt;G5,G5&gt;G1),"Fail +ve",IF(AND(G10&lt;G7,G7&lt;G4,G4&lt;G1,G9&lt;G5,G5&lt;G1),"Fail -ve","Pass"))</f>
        <v>Pass</v>
      </c>
      <c r="W15" s="178"/>
      <c r="X15" s="181">
        <f t="shared" si="6"/>
        <v>16.978333333333335</v>
      </c>
      <c r="Y15" s="181">
        <f t="shared" si="7"/>
        <v>16.982500000000002</v>
      </c>
      <c r="Z15" s="181">
        <f t="shared" si="8"/>
        <v>17.006</v>
      </c>
      <c r="AA15" s="181">
        <f t="shared" si="9"/>
        <v>17.009166666666669</v>
      </c>
      <c r="AB15" s="181" t="str">
        <f>IF(AND(AA15&gt;AA14,AA14&gt;AA13,AA13&gt;AA12,AA12&gt;AA11),"Fail +ve",IF(AND(AA15&lt;AA14,AA14&lt;AA13,AA13&lt;AA12,AA12&lt;AA11),"Fail -ve","Pass"))</f>
        <v>Pass</v>
      </c>
      <c r="AC15" s="178" t="str">
        <f>IF(T15="","Pass",IF(T15&gt;=7,"Fail +ve",IF(U15&gt;=7,"Fail -ve","Pass")))</f>
        <v>Pass</v>
      </c>
      <c r="AD15" s="179" t="str">
        <f t="shared" si="3"/>
        <v>Yes</v>
      </c>
    </row>
    <row r="16" spans="2:42" x14ac:dyDescent="0.3">
      <c r="B16" s="188">
        <v>11</v>
      </c>
      <c r="C16" s="205"/>
      <c r="D16" s="206"/>
      <c r="E16" s="207">
        <v>17.2</v>
      </c>
      <c r="F16" s="207">
        <v>17</v>
      </c>
      <c r="G16" s="183">
        <f t="shared" si="0"/>
        <v>17.100000000000001</v>
      </c>
      <c r="H16" s="183">
        <f t="shared" si="2"/>
        <v>0.19999999999999929</v>
      </c>
      <c r="I16" s="221">
        <f>'Plot Data'!$G$67</f>
        <v>12.775621055989912</v>
      </c>
      <c r="J16" s="221">
        <f>'Plot Data'!$G$65</f>
        <v>13.138875575788147</v>
      </c>
      <c r="K16" s="222">
        <f>'Plot Data'!$G$58</f>
        <v>13.865384615384617</v>
      </c>
      <c r="L16" s="222">
        <f>'Plot Data'!$G$62</f>
        <v>14.591893654981087</v>
      </c>
      <c r="M16" s="222">
        <f>'Plot Data'!$G$64</f>
        <v>14.955148174779321</v>
      </c>
      <c r="N16" s="222">
        <f>'Plot Data'!$G$68</f>
        <v>0.27730769230769237</v>
      </c>
      <c r="O16" s="177" t="str">
        <f t="shared" si="1"/>
        <v>&gt;+3s</v>
      </c>
      <c r="P16" s="180" t="str">
        <f t="shared" si="4"/>
        <v>Fail &gt; +2s</v>
      </c>
      <c r="Q16" s="180" t="str">
        <f t="shared" si="10"/>
        <v>Fail +ve bias</v>
      </c>
      <c r="R16" s="180" t="str">
        <f t="shared" si="11"/>
        <v>Pass</v>
      </c>
      <c r="S16" s="178" t="str">
        <f t="shared" si="5"/>
        <v>+</v>
      </c>
      <c r="T16" s="178">
        <f t="shared" ref="T16:T55" si="12">IF(OR(R7="Fail -ve trend",R8="Fail -ve trend",R9="Fail -ve trend",R10="Fail -ve trend",R11="Fail -ve trend",R12="Fail -ve trend",R13="Fail -ve trend",R14="Fail -ve trend",R15="Fail -ve trend",R16="Fail -ve trend",R7="Fail +ve trend",R8="Fail +ve trend",R9="Fail +ve trend",R10="Fail +ve trend",R11="Fail +ve trend",R12="Fail +ve trend",R13="Fail +ve trend",R14="Fail +ve trend",R15="Fail +ve trend",R16="Fail +ve trend"),"",COUNTIF(S7:S16,"+"))</f>
        <v>7</v>
      </c>
      <c r="U16" s="178">
        <f t="shared" ref="U16:U55" si="13">IF(OR(R7="Fail -ve trend",R8="Fail -ve trend",R9="Fail -ve trend",R10="Fail -ve trend",R11="Fail -ve trend",R12="Fail -ve trend",R13="Fail -ve trend",R14="Fail -ve trend",R15="Fail -ve trend",R16="Fail -ve trend",R7="Fail +ve trend",R8="Fail +ve trend",R9="Fail +ve trend",R10="Fail +ve trend",R11="Fail +ve trend",R12="Fail +ve trend",R13="Fail +ve trend",R14="Fail +ve trend",R15="Fail +ve trend",R16="Fail +ve trend"),"",COUNTIF(T7:T16,"+"))</f>
        <v>0</v>
      </c>
      <c r="V16" s="178"/>
      <c r="W16" s="178"/>
      <c r="X16" s="181">
        <f t="shared" si="6"/>
        <v>17.028333333333332</v>
      </c>
      <c r="Y16" s="181">
        <f t="shared" si="7"/>
        <v>17.008749999999999</v>
      </c>
      <c r="Z16" s="181">
        <f t="shared" si="8"/>
        <v>17.006</v>
      </c>
      <c r="AA16" s="181">
        <f t="shared" si="9"/>
        <v>17.021666666666665</v>
      </c>
      <c r="AB16" s="181" t="str">
        <f t="shared" ref="AB16:AB55" si="14">IF(AND(AA16&gt;AA15,AA15&gt;AA14,AA14&gt;AA13,AA13&gt;AA12),"Fail +ve",IF(AND(AA16&lt;AA15,AA15&lt;AA14,AA14&lt;AA13,AA13&lt;AA12),"Fail -ve","Pass"))</f>
        <v>Pass</v>
      </c>
      <c r="AC16" s="178" t="str">
        <f t="shared" ref="AC16:AC55" si="15">IF(T16="","Pass",IF(T16&gt;=7,"Fail +ve",IF(U16&gt;=7,"Fail -ve","Pass")))</f>
        <v>Fail +ve</v>
      </c>
      <c r="AD16" s="179" t="str">
        <f t="shared" si="3"/>
        <v>Yes</v>
      </c>
    </row>
    <row r="17" spans="2:42" x14ac:dyDescent="0.3">
      <c r="B17" s="188">
        <v>12</v>
      </c>
      <c r="C17" s="205"/>
      <c r="D17" s="206"/>
      <c r="E17" s="207">
        <v>16.989999999999998</v>
      </c>
      <c r="F17" s="207">
        <v>17</v>
      </c>
      <c r="G17" s="183">
        <f t="shared" si="0"/>
        <v>16.994999999999997</v>
      </c>
      <c r="H17" s="183">
        <f t="shared" si="2"/>
        <v>1.0000000000001563E-2</v>
      </c>
      <c r="I17" s="221">
        <f>'Plot Data'!$G$67</f>
        <v>12.775621055989912</v>
      </c>
      <c r="J17" s="221">
        <f>'Plot Data'!$G$65</f>
        <v>13.138875575788147</v>
      </c>
      <c r="K17" s="222">
        <f>'Plot Data'!$G$58</f>
        <v>13.865384615384617</v>
      </c>
      <c r="L17" s="222">
        <f>'Plot Data'!$G$62</f>
        <v>14.591893654981087</v>
      </c>
      <c r="M17" s="222">
        <f>'Plot Data'!$G$64</f>
        <v>14.955148174779321</v>
      </c>
      <c r="N17" s="222">
        <f>'Plot Data'!$G$68</f>
        <v>0.27730769230769237</v>
      </c>
      <c r="O17" s="177" t="str">
        <f t="shared" si="1"/>
        <v>&gt;+3s</v>
      </c>
      <c r="P17" s="180" t="str">
        <f t="shared" si="4"/>
        <v>Fail &gt; +2s</v>
      </c>
      <c r="Q17" s="180" t="str">
        <f t="shared" si="10"/>
        <v>Fail +ve bias</v>
      </c>
      <c r="R17" s="180" t="str">
        <f t="shared" si="11"/>
        <v>Pass</v>
      </c>
      <c r="S17" s="178" t="str">
        <f t="shared" si="5"/>
        <v>-</v>
      </c>
      <c r="T17" s="178">
        <f t="shared" si="12"/>
        <v>6</v>
      </c>
      <c r="U17" s="178">
        <f t="shared" si="13"/>
        <v>0</v>
      </c>
      <c r="V17" s="178"/>
      <c r="W17" s="178"/>
      <c r="X17" s="181">
        <f t="shared" si="6"/>
        <v>17.04</v>
      </c>
      <c r="Y17" s="181"/>
      <c r="Z17" s="181"/>
      <c r="AA17" s="181">
        <f t="shared" si="9"/>
        <v>17.004166666666666</v>
      </c>
      <c r="AB17" s="181" t="str">
        <f t="shared" si="14"/>
        <v>Pass</v>
      </c>
      <c r="AC17" s="178" t="str">
        <f t="shared" si="15"/>
        <v>Pass</v>
      </c>
      <c r="AD17" s="179" t="str">
        <f t="shared" si="3"/>
        <v>Yes</v>
      </c>
    </row>
    <row r="18" spans="2:42" x14ac:dyDescent="0.3">
      <c r="B18" s="188">
        <v>13</v>
      </c>
      <c r="C18" s="205"/>
      <c r="D18" s="206"/>
      <c r="E18" s="207"/>
      <c r="F18" s="207"/>
      <c r="G18" s="183" t="e">
        <f t="shared" si="0"/>
        <v>#N/A</v>
      </c>
      <c r="H18" s="183" t="e">
        <f t="shared" si="2"/>
        <v>#N/A</v>
      </c>
      <c r="I18" s="221">
        <f>'Plot Data'!$G$67</f>
        <v>12.775621055989912</v>
      </c>
      <c r="J18" s="221">
        <f>'Plot Data'!$G$65</f>
        <v>13.138875575788147</v>
      </c>
      <c r="K18" s="222">
        <f>'Plot Data'!$G$58</f>
        <v>13.865384615384617</v>
      </c>
      <c r="L18" s="222">
        <f>'Plot Data'!$G$62</f>
        <v>14.591893654981087</v>
      </c>
      <c r="M18" s="222">
        <f>'Plot Data'!$G$64</f>
        <v>14.955148174779321</v>
      </c>
      <c r="N18" s="222">
        <f>'Plot Data'!$G$68</f>
        <v>0.27730769230769237</v>
      </c>
      <c r="O18" s="177" t="e">
        <f t="shared" si="1"/>
        <v>#N/A</v>
      </c>
      <c r="P18" s="180" t="e">
        <f t="shared" si="4"/>
        <v>#N/A</v>
      </c>
      <c r="Q18" s="180" t="e">
        <f t="shared" si="10"/>
        <v>#N/A</v>
      </c>
      <c r="R18" s="180" t="e">
        <f t="shared" si="11"/>
        <v>#N/A</v>
      </c>
      <c r="S18" s="178" t="str">
        <f t="shared" si="5"/>
        <v/>
      </c>
      <c r="T18" s="178" t="e">
        <f t="shared" si="12"/>
        <v>#N/A</v>
      </c>
      <c r="U18" s="178" t="e">
        <f t="shared" si="13"/>
        <v>#N/A</v>
      </c>
      <c r="V18" s="178"/>
      <c r="W18" s="178"/>
      <c r="X18" s="178"/>
      <c r="Y18" s="178"/>
      <c r="Z18" s="178"/>
      <c r="AA18" s="181" t="e">
        <f t="shared" si="9"/>
        <v>#N/A</v>
      </c>
      <c r="AB18" s="178" t="e">
        <f t="shared" si="14"/>
        <v>#N/A</v>
      </c>
      <c r="AC18" s="178" t="e">
        <f t="shared" si="15"/>
        <v>#N/A</v>
      </c>
      <c r="AD18" s="179" t="e">
        <f t="shared" si="3"/>
        <v>#N/A</v>
      </c>
    </row>
    <row r="19" spans="2:42" x14ac:dyDescent="0.3">
      <c r="B19" s="188">
        <v>14</v>
      </c>
      <c r="C19" s="205"/>
      <c r="D19" s="206"/>
      <c r="E19" s="207"/>
      <c r="F19" s="207"/>
      <c r="G19" s="183" t="e">
        <f t="shared" si="0"/>
        <v>#N/A</v>
      </c>
      <c r="H19" s="183" t="e">
        <f t="shared" si="2"/>
        <v>#N/A</v>
      </c>
      <c r="I19" s="221">
        <f>'Plot Data'!$G$67</f>
        <v>12.775621055989912</v>
      </c>
      <c r="J19" s="221">
        <f>'Plot Data'!$G$65</f>
        <v>13.138875575788147</v>
      </c>
      <c r="K19" s="222">
        <f>'Plot Data'!$G$58</f>
        <v>13.865384615384617</v>
      </c>
      <c r="L19" s="222">
        <f>'Plot Data'!$G$62</f>
        <v>14.591893654981087</v>
      </c>
      <c r="M19" s="222">
        <f>'Plot Data'!$G$64</f>
        <v>14.955148174779321</v>
      </c>
      <c r="N19" s="222">
        <f>'Plot Data'!$G$68</f>
        <v>0.27730769230769237</v>
      </c>
      <c r="O19" s="177" t="e">
        <f t="shared" si="1"/>
        <v>#N/A</v>
      </c>
      <c r="P19" s="180" t="e">
        <f t="shared" si="4"/>
        <v>#N/A</v>
      </c>
      <c r="Q19" s="180" t="e">
        <f t="shared" si="10"/>
        <v>#N/A</v>
      </c>
      <c r="R19" s="180" t="e">
        <f t="shared" si="11"/>
        <v>#N/A</v>
      </c>
      <c r="S19" s="178" t="str">
        <f t="shared" si="5"/>
        <v/>
      </c>
      <c r="T19" s="178" t="e">
        <f t="shared" si="12"/>
        <v>#N/A</v>
      </c>
      <c r="U19" s="178" t="e">
        <f t="shared" si="13"/>
        <v>#N/A</v>
      </c>
      <c r="V19" s="178"/>
      <c r="W19" s="178"/>
      <c r="X19" s="178"/>
      <c r="Y19" s="178"/>
      <c r="Z19" s="178"/>
      <c r="AA19" s="181" t="e">
        <f t="shared" si="9"/>
        <v>#N/A</v>
      </c>
      <c r="AB19" s="178" t="e">
        <f t="shared" si="14"/>
        <v>#N/A</v>
      </c>
      <c r="AC19" s="178" t="e">
        <f t="shared" si="15"/>
        <v>#N/A</v>
      </c>
      <c r="AD19" s="179" t="e">
        <f t="shared" si="3"/>
        <v>#N/A</v>
      </c>
    </row>
    <row r="20" spans="2:42" x14ac:dyDescent="0.3">
      <c r="B20" s="188">
        <v>15</v>
      </c>
      <c r="C20" s="205"/>
      <c r="D20" s="206"/>
      <c r="E20" s="207"/>
      <c r="F20" s="207"/>
      <c r="G20" s="183" t="e">
        <f t="shared" si="0"/>
        <v>#N/A</v>
      </c>
      <c r="H20" s="183" t="e">
        <f t="shared" si="2"/>
        <v>#N/A</v>
      </c>
      <c r="I20" s="221">
        <f>'Plot Data'!$G$67</f>
        <v>12.775621055989912</v>
      </c>
      <c r="J20" s="221">
        <f>'Plot Data'!$G$65</f>
        <v>13.138875575788147</v>
      </c>
      <c r="K20" s="222">
        <f>'Plot Data'!$G$58</f>
        <v>13.865384615384617</v>
      </c>
      <c r="L20" s="222">
        <f>'Plot Data'!$G$62</f>
        <v>14.591893654981087</v>
      </c>
      <c r="M20" s="222">
        <f>'Plot Data'!$G$64</f>
        <v>14.955148174779321</v>
      </c>
      <c r="N20" s="222">
        <f>'Plot Data'!$G$68</f>
        <v>0.27730769230769237</v>
      </c>
      <c r="O20" s="177" t="e">
        <f t="shared" si="1"/>
        <v>#N/A</v>
      </c>
      <c r="P20" s="180" t="e">
        <f t="shared" si="4"/>
        <v>#N/A</v>
      </c>
      <c r="Q20" s="180" t="e">
        <f t="shared" si="10"/>
        <v>#N/A</v>
      </c>
      <c r="R20" s="180" t="e">
        <f t="shared" si="11"/>
        <v>#N/A</v>
      </c>
      <c r="S20" s="178" t="str">
        <f t="shared" si="5"/>
        <v/>
      </c>
      <c r="T20" s="178" t="e">
        <f t="shared" si="12"/>
        <v>#N/A</v>
      </c>
      <c r="U20" s="178" t="e">
        <f t="shared" si="13"/>
        <v>#N/A</v>
      </c>
      <c r="V20" s="178"/>
      <c r="W20" s="178"/>
      <c r="X20" s="178"/>
      <c r="Y20" s="178"/>
      <c r="Z20" s="178"/>
      <c r="AA20" s="181" t="e">
        <f t="shared" si="9"/>
        <v>#N/A</v>
      </c>
      <c r="AB20" s="178" t="e">
        <f t="shared" si="14"/>
        <v>#N/A</v>
      </c>
      <c r="AC20" s="178" t="e">
        <f t="shared" si="15"/>
        <v>#N/A</v>
      </c>
      <c r="AD20" s="179" t="e">
        <f t="shared" si="3"/>
        <v>#N/A</v>
      </c>
    </row>
    <row r="21" spans="2:42" x14ac:dyDescent="0.3">
      <c r="B21" s="188">
        <v>16</v>
      </c>
      <c r="C21" s="205"/>
      <c r="D21" s="206"/>
      <c r="E21" s="207"/>
      <c r="F21" s="207"/>
      <c r="G21" s="183" t="e">
        <f t="shared" si="0"/>
        <v>#N/A</v>
      </c>
      <c r="H21" s="183" t="e">
        <f t="shared" si="2"/>
        <v>#N/A</v>
      </c>
      <c r="I21" s="221">
        <f>'Plot Data'!$G$67</f>
        <v>12.775621055989912</v>
      </c>
      <c r="J21" s="221">
        <f>'Plot Data'!$G$65</f>
        <v>13.138875575788147</v>
      </c>
      <c r="K21" s="222">
        <f>'Plot Data'!$G$58</f>
        <v>13.865384615384617</v>
      </c>
      <c r="L21" s="222">
        <f>'Plot Data'!$G$62</f>
        <v>14.591893654981087</v>
      </c>
      <c r="M21" s="222">
        <f>'Plot Data'!$G$64</f>
        <v>14.955148174779321</v>
      </c>
      <c r="N21" s="222">
        <f>'Plot Data'!$G$68</f>
        <v>0.27730769230769237</v>
      </c>
      <c r="O21" s="177" t="e">
        <f t="shared" si="1"/>
        <v>#N/A</v>
      </c>
      <c r="P21" s="180" t="e">
        <f t="shared" si="4"/>
        <v>#N/A</v>
      </c>
      <c r="Q21" s="180" t="e">
        <f t="shared" si="10"/>
        <v>#N/A</v>
      </c>
      <c r="R21" s="180" t="e">
        <f t="shared" si="11"/>
        <v>#N/A</v>
      </c>
      <c r="S21" s="178" t="str">
        <f t="shared" si="5"/>
        <v/>
      </c>
      <c r="T21" s="178" t="e">
        <f t="shared" si="12"/>
        <v>#N/A</v>
      </c>
      <c r="U21" s="178" t="e">
        <f t="shared" si="13"/>
        <v>#N/A</v>
      </c>
      <c r="V21" s="178"/>
      <c r="W21" s="178"/>
      <c r="X21" s="178"/>
      <c r="Y21" s="178"/>
      <c r="Z21" s="178"/>
      <c r="AA21" s="181" t="e">
        <f t="shared" si="9"/>
        <v>#N/A</v>
      </c>
      <c r="AB21" s="178" t="e">
        <f t="shared" si="14"/>
        <v>#N/A</v>
      </c>
      <c r="AC21" s="178" t="e">
        <f t="shared" si="15"/>
        <v>#N/A</v>
      </c>
      <c r="AD21" s="179" t="e">
        <f t="shared" si="3"/>
        <v>#N/A</v>
      </c>
    </row>
    <row r="22" spans="2:42" x14ac:dyDescent="0.3">
      <c r="B22" s="188">
        <v>17</v>
      </c>
      <c r="C22" s="205"/>
      <c r="D22" s="206"/>
      <c r="E22" s="207"/>
      <c r="F22" s="207"/>
      <c r="G22" s="183" t="e">
        <f t="shared" si="0"/>
        <v>#N/A</v>
      </c>
      <c r="H22" s="183" t="e">
        <f t="shared" si="2"/>
        <v>#N/A</v>
      </c>
      <c r="I22" s="221">
        <f>'Plot Data'!$G$67</f>
        <v>12.775621055989912</v>
      </c>
      <c r="J22" s="221">
        <f>'Plot Data'!$G$65</f>
        <v>13.138875575788147</v>
      </c>
      <c r="K22" s="222">
        <f>'Plot Data'!$G$58</f>
        <v>13.865384615384617</v>
      </c>
      <c r="L22" s="222">
        <f>'Plot Data'!$G$62</f>
        <v>14.591893654981087</v>
      </c>
      <c r="M22" s="222">
        <f>'Plot Data'!$G$64</f>
        <v>14.955148174779321</v>
      </c>
      <c r="N22" s="222">
        <f>'Plot Data'!$G$68</f>
        <v>0.27730769230769237</v>
      </c>
      <c r="O22" s="177" t="e">
        <f t="shared" si="1"/>
        <v>#N/A</v>
      </c>
      <c r="P22" s="180" t="e">
        <f t="shared" si="4"/>
        <v>#N/A</v>
      </c>
      <c r="Q22" s="180" t="e">
        <f t="shared" si="10"/>
        <v>#N/A</v>
      </c>
      <c r="R22" s="180" t="e">
        <f t="shared" si="11"/>
        <v>#N/A</v>
      </c>
      <c r="S22" s="178" t="str">
        <f t="shared" si="5"/>
        <v/>
      </c>
      <c r="T22" s="178" t="e">
        <f t="shared" si="12"/>
        <v>#N/A</v>
      </c>
      <c r="U22" s="178" t="e">
        <f t="shared" si="13"/>
        <v>#N/A</v>
      </c>
      <c r="V22" s="178"/>
      <c r="W22" s="178"/>
      <c r="X22" s="178"/>
      <c r="Y22" s="178"/>
      <c r="Z22" s="178"/>
      <c r="AA22" s="181" t="e">
        <f t="shared" si="9"/>
        <v>#N/A</v>
      </c>
      <c r="AB22" s="178" t="e">
        <f t="shared" si="14"/>
        <v>#N/A</v>
      </c>
      <c r="AC22" s="178" t="e">
        <f t="shared" si="15"/>
        <v>#N/A</v>
      </c>
      <c r="AD22" s="179" t="e">
        <f t="shared" si="3"/>
        <v>#N/A</v>
      </c>
    </row>
    <row r="23" spans="2:42" x14ac:dyDescent="0.3">
      <c r="B23" s="188">
        <v>18</v>
      </c>
      <c r="C23" s="205"/>
      <c r="D23" s="206"/>
      <c r="E23" s="207"/>
      <c r="F23" s="207"/>
      <c r="G23" s="183" t="e">
        <f t="shared" si="0"/>
        <v>#N/A</v>
      </c>
      <c r="H23" s="183" t="e">
        <f t="shared" si="2"/>
        <v>#N/A</v>
      </c>
      <c r="I23" s="221">
        <f>'Plot Data'!$G$67</f>
        <v>12.775621055989912</v>
      </c>
      <c r="J23" s="221">
        <f>'Plot Data'!$G$65</f>
        <v>13.138875575788147</v>
      </c>
      <c r="K23" s="222">
        <f>'Plot Data'!$G$58</f>
        <v>13.865384615384617</v>
      </c>
      <c r="L23" s="222">
        <f>'Plot Data'!$G$62</f>
        <v>14.591893654981087</v>
      </c>
      <c r="M23" s="222">
        <f>'Plot Data'!$G$64</f>
        <v>14.955148174779321</v>
      </c>
      <c r="N23" s="222">
        <f>'Plot Data'!$G$68</f>
        <v>0.27730769230769237</v>
      </c>
      <c r="O23" s="177" t="e">
        <f t="shared" si="1"/>
        <v>#N/A</v>
      </c>
      <c r="P23" s="180" t="e">
        <f t="shared" si="4"/>
        <v>#N/A</v>
      </c>
      <c r="Q23" s="180" t="e">
        <f t="shared" si="10"/>
        <v>#N/A</v>
      </c>
      <c r="R23" s="180" t="e">
        <f t="shared" si="11"/>
        <v>#N/A</v>
      </c>
      <c r="S23" s="178" t="str">
        <f t="shared" si="5"/>
        <v/>
      </c>
      <c r="T23" s="178" t="e">
        <f t="shared" si="12"/>
        <v>#N/A</v>
      </c>
      <c r="U23" s="178" t="e">
        <f t="shared" si="13"/>
        <v>#N/A</v>
      </c>
      <c r="V23" s="178"/>
      <c r="W23" s="178"/>
      <c r="X23" s="178"/>
      <c r="Y23" s="178"/>
      <c r="Z23" s="178"/>
      <c r="AA23" s="181" t="e">
        <f t="shared" si="9"/>
        <v>#N/A</v>
      </c>
      <c r="AB23" s="178" t="e">
        <f t="shared" si="14"/>
        <v>#N/A</v>
      </c>
      <c r="AC23" s="178" t="e">
        <f t="shared" si="15"/>
        <v>#N/A</v>
      </c>
      <c r="AD23" s="179" t="e">
        <f t="shared" si="3"/>
        <v>#N/A</v>
      </c>
    </row>
    <row r="24" spans="2:42" x14ac:dyDescent="0.3">
      <c r="B24" s="188">
        <v>19</v>
      </c>
      <c r="C24" s="205"/>
      <c r="D24" s="206"/>
      <c r="E24" s="207"/>
      <c r="F24" s="207"/>
      <c r="G24" s="183" t="e">
        <f t="shared" si="0"/>
        <v>#N/A</v>
      </c>
      <c r="H24" s="183" t="e">
        <f t="shared" si="2"/>
        <v>#N/A</v>
      </c>
      <c r="I24" s="221">
        <f>'Plot Data'!$G$67</f>
        <v>12.775621055989912</v>
      </c>
      <c r="J24" s="221">
        <f>'Plot Data'!$G$65</f>
        <v>13.138875575788147</v>
      </c>
      <c r="K24" s="222">
        <f>'Plot Data'!$G$58</f>
        <v>13.865384615384617</v>
      </c>
      <c r="L24" s="222">
        <f>'Plot Data'!$G$62</f>
        <v>14.591893654981087</v>
      </c>
      <c r="M24" s="222">
        <f>'Plot Data'!$G$64</f>
        <v>14.955148174779321</v>
      </c>
      <c r="N24" s="222">
        <f>'Plot Data'!$G$68</f>
        <v>0.27730769230769237</v>
      </c>
      <c r="O24" s="177" t="e">
        <f t="shared" si="1"/>
        <v>#N/A</v>
      </c>
      <c r="P24" s="180" t="e">
        <f t="shared" si="4"/>
        <v>#N/A</v>
      </c>
      <c r="Q24" s="180" t="e">
        <f t="shared" si="10"/>
        <v>#N/A</v>
      </c>
      <c r="R24" s="180" t="e">
        <f t="shared" si="11"/>
        <v>#N/A</v>
      </c>
      <c r="S24" s="178" t="str">
        <f t="shared" si="5"/>
        <v/>
      </c>
      <c r="T24" s="178" t="e">
        <f t="shared" si="12"/>
        <v>#N/A</v>
      </c>
      <c r="U24" s="178" t="e">
        <f t="shared" si="13"/>
        <v>#N/A</v>
      </c>
      <c r="V24" s="178"/>
      <c r="W24" s="178"/>
      <c r="X24" s="178"/>
      <c r="Y24" s="178"/>
      <c r="Z24" s="178"/>
      <c r="AA24" s="181" t="e">
        <f t="shared" si="9"/>
        <v>#N/A</v>
      </c>
      <c r="AB24" s="178" t="e">
        <f t="shared" si="14"/>
        <v>#N/A</v>
      </c>
      <c r="AC24" s="178" t="e">
        <f t="shared" si="15"/>
        <v>#N/A</v>
      </c>
      <c r="AD24" s="179" t="e">
        <f t="shared" si="3"/>
        <v>#N/A</v>
      </c>
    </row>
    <row r="25" spans="2:42" x14ac:dyDescent="0.3">
      <c r="B25" s="188">
        <v>20</v>
      </c>
      <c r="C25" s="205"/>
      <c r="D25" s="206"/>
      <c r="E25" s="207"/>
      <c r="F25" s="207"/>
      <c r="G25" s="183" t="e">
        <f t="shared" si="0"/>
        <v>#N/A</v>
      </c>
      <c r="H25" s="183" t="e">
        <f t="shared" si="2"/>
        <v>#N/A</v>
      </c>
      <c r="I25" s="221">
        <f>'Plot Data'!$G$67</f>
        <v>12.775621055989912</v>
      </c>
      <c r="J25" s="221">
        <f>'Plot Data'!$G$65</f>
        <v>13.138875575788147</v>
      </c>
      <c r="K25" s="222">
        <f>'Plot Data'!$G$58</f>
        <v>13.865384615384617</v>
      </c>
      <c r="L25" s="222">
        <f>'Plot Data'!$G$62</f>
        <v>14.591893654981087</v>
      </c>
      <c r="M25" s="222">
        <f>'Plot Data'!$G$64</f>
        <v>14.955148174779321</v>
      </c>
      <c r="N25" s="222">
        <f>'Plot Data'!$G$68</f>
        <v>0.27730769230769237</v>
      </c>
      <c r="O25" s="177" t="e">
        <f t="shared" si="1"/>
        <v>#N/A</v>
      </c>
      <c r="P25" s="180" t="e">
        <f t="shared" si="4"/>
        <v>#N/A</v>
      </c>
      <c r="Q25" s="180" t="e">
        <f t="shared" si="10"/>
        <v>#N/A</v>
      </c>
      <c r="R25" s="180" t="e">
        <f t="shared" si="11"/>
        <v>#N/A</v>
      </c>
      <c r="S25" s="178" t="str">
        <f t="shared" si="5"/>
        <v/>
      </c>
      <c r="T25" s="178" t="e">
        <f t="shared" si="12"/>
        <v>#N/A</v>
      </c>
      <c r="U25" s="178" t="e">
        <f t="shared" si="13"/>
        <v>#N/A</v>
      </c>
      <c r="V25" s="178"/>
      <c r="W25" s="178"/>
      <c r="X25" s="178"/>
      <c r="Y25" s="178"/>
      <c r="Z25" s="178"/>
      <c r="AA25" s="181" t="e">
        <f t="shared" si="9"/>
        <v>#N/A</v>
      </c>
      <c r="AB25" s="178" t="e">
        <f t="shared" si="14"/>
        <v>#N/A</v>
      </c>
      <c r="AC25" s="178" t="e">
        <f t="shared" si="15"/>
        <v>#N/A</v>
      </c>
      <c r="AD25" s="179" t="e">
        <f t="shared" si="3"/>
        <v>#N/A</v>
      </c>
    </row>
    <row r="26" spans="2:42" x14ac:dyDescent="0.3">
      <c r="B26" s="188">
        <v>21</v>
      </c>
      <c r="C26" s="205"/>
      <c r="D26" s="206"/>
      <c r="E26" s="207"/>
      <c r="F26" s="207"/>
      <c r="G26" s="183" t="e">
        <f t="shared" si="0"/>
        <v>#N/A</v>
      </c>
      <c r="H26" s="183" t="e">
        <f t="shared" si="2"/>
        <v>#N/A</v>
      </c>
      <c r="I26" s="221">
        <f>'Plot Data'!$G$67</f>
        <v>12.775621055989912</v>
      </c>
      <c r="J26" s="221">
        <f>'Plot Data'!$G$65</f>
        <v>13.138875575788147</v>
      </c>
      <c r="K26" s="222">
        <f>'Plot Data'!$G$58</f>
        <v>13.865384615384617</v>
      </c>
      <c r="L26" s="222">
        <f>'Plot Data'!$G$62</f>
        <v>14.591893654981087</v>
      </c>
      <c r="M26" s="222">
        <f>'Plot Data'!$G$64</f>
        <v>14.955148174779321</v>
      </c>
      <c r="N26" s="222">
        <f>'Plot Data'!$G$68</f>
        <v>0.27730769230769237</v>
      </c>
      <c r="O26" s="177" t="e">
        <f t="shared" si="1"/>
        <v>#N/A</v>
      </c>
      <c r="P26" s="180" t="e">
        <f t="shared" si="4"/>
        <v>#N/A</v>
      </c>
      <c r="Q26" s="180" t="e">
        <f t="shared" si="10"/>
        <v>#N/A</v>
      </c>
      <c r="R26" s="180" t="e">
        <f t="shared" si="11"/>
        <v>#N/A</v>
      </c>
      <c r="S26" s="178" t="str">
        <f t="shared" si="5"/>
        <v/>
      </c>
      <c r="T26" s="178" t="e">
        <f t="shared" si="12"/>
        <v>#N/A</v>
      </c>
      <c r="U26" s="178" t="e">
        <f t="shared" si="13"/>
        <v>#N/A</v>
      </c>
      <c r="V26" s="178"/>
      <c r="W26" s="178"/>
      <c r="X26" s="178"/>
      <c r="Y26" s="178"/>
      <c r="Z26" s="178"/>
      <c r="AA26" s="181" t="e">
        <f t="shared" si="9"/>
        <v>#N/A</v>
      </c>
      <c r="AB26" s="178" t="e">
        <f t="shared" si="14"/>
        <v>#N/A</v>
      </c>
      <c r="AC26" s="178" t="e">
        <f t="shared" si="15"/>
        <v>#N/A</v>
      </c>
      <c r="AD26" s="179" t="e">
        <f t="shared" si="3"/>
        <v>#N/A</v>
      </c>
    </row>
    <row r="27" spans="2:42" x14ac:dyDescent="0.3">
      <c r="B27" s="188">
        <v>22</v>
      </c>
      <c r="C27" s="205"/>
      <c r="D27" s="206"/>
      <c r="E27" s="207"/>
      <c r="F27" s="207"/>
      <c r="G27" s="183" t="e">
        <f t="shared" si="0"/>
        <v>#N/A</v>
      </c>
      <c r="H27" s="183" t="e">
        <f t="shared" si="2"/>
        <v>#N/A</v>
      </c>
      <c r="I27" s="221">
        <f>'Plot Data'!$G$67</f>
        <v>12.775621055989912</v>
      </c>
      <c r="J27" s="221">
        <f>'Plot Data'!$G$65</f>
        <v>13.138875575788147</v>
      </c>
      <c r="K27" s="222">
        <f>'Plot Data'!$G$58</f>
        <v>13.865384615384617</v>
      </c>
      <c r="L27" s="222">
        <f>'Plot Data'!$G$62</f>
        <v>14.591893654981087</v>
      </c>
      <c r="M27" s="222">
        <f>'Plot Data'!$G$64</f>
        <v>14.955148174779321</v>
      </c>
      <c r="N27" s="222">
        <f>'Plot Data'!$G$68</f>
        <v>0.27730769230769237</v>
      </c>
      <c r="O27" s="177" t="e">
        <f t="shared" si="1"/>
        <v>#N/A</v>
      </c>
      <c r="P27" s="180" t="e">
        <f t="shared" si="4"/>
        <v>#N/A</v>
      </c>
      <c r="Q27" s="180" t="e">
        <f t="shared" si="10"/>
        <v>#N/A</v>
      </c>
      <c r="R27" s="180" t="e">
        <f t="shared" si="11"/>
        <v>#N/A</v>
      </c>
      <c r="S27" s="178" t="str">
        <f t="shared" si="5"/>
        <v/>
      </c>
      <c r="T27" s="178" t="e">
        <f t="shared" si="12"/>
        <v>#N/A</v>
      </c>
      <c r="U27" s="178" t="e">
        <f t="shared" si="13"/>
        <v>#N/A</v>
      </c>
      <c r="V27" s="178"/>
      <c r="W27" s="178"/>
      <c r="X27" s="178"/>
      <c r="Y27" s="178"/>
      <c r="Z27" s="178"/>
      <c r="AA27" s="181" t="e">
        <f t="shared" si="9"/>
        <v>#N/A</v>
      </c>
      <c r="AB27" s="178" t="e">
        <f t="shared" si="14"/>
        <v>#N/A</v>
      </c>
      <c r="AC27" s="178" t="e">
        <f t="shared" si="15"/>
        <v>#N/A</v>
      </c>
      <c r="AD27" s="179" t="e">
        <f t="shared" si="3"/>
        <v>#N/A</v>
      </c>
    </row>
    <row r="28" spans="2:42" x14ac:dyDescent="0.3">
      <c r="B28" s="188">
        <v>23</v>
      </c>
      <c r="C28" s="205"/>
      <c r="D28" s="206"/>
      <c r="E28" s="207"/>
      <c r="F28" s="207"/>
      <c r="G28" s="183" t="e">
        <f t="shared" si="0"/>
        <v>#N/A</v>
      </c>
      <c r="H28" s="183" t="e">
        <f t="shared" si="2"/>
        <v>#N/A</v>
      </c>
      <c r="I28" s="221">
        <f>'Plot Data'!$G$67</f>
        <v>12.775621055989912</v>
      </c>
      <c r="J28" s="221">
        <f>'Plot Data'!$G$65</f>
        <v>13.138875575788147</v>
      </c>
      <c r="K28" s="222">
        <f>'Plot Data'!$G$58</f>
        <v>13.865384615384617</v>
      </c>
      <c r="L28" s="222">
        <f>'Plot Data'!$G$62</f>
        <v>14.591893654981087</v>
      </c>
      <c r="M28" s="222">
        <f>'Plot Data'!$G$64</f>
        <v>14.955148174779321</v>
      </c>
      <c r="N28" s="222">
        <f>'Plot Data'!$G$68</f>
        <v>0.27730769230769237</v>
      </c>
      <c r="O28" s="177" t="e">
        <f t="shared" si="1"/>
        <v>#N/A</v>
      </c>
      <c r="P28" s="180" t="e">
        <f t="shared" si="4"/>
        <v>#N/A</v>
      </c>
      <c r="Q28" s="180" t="e">
        <f t="shared" si="10"/>
        <v>#N/A</v>
      </c>
      <c r="R28" s="180" t="e">
        <f t="shared" si="11"/>
        <v>#N/A</v>
      </c>
      <c r="S28" s="178" t="str">
        <f t="shared" si="5"/>
        <v/>
      </c>
      <c r="T28" s="178" t="e">
        <f t="shared" si="12"/>
        <v>#N/A</v>
      </c>
      <c r="U28" s="178" t="e">
        <f t="shared" si="13"/>
        <v>#N/A</v>
      </c>
      <c r="V28" s="178"/>
      <c r="W28" s="178"/>
      <c r="X28" s="178"/>
      <c r="Y28" s="178"/>
      <c r="Z28" s="178"/>
      <c r="AA28" s="181" t="e">
        <f t="shared" si="9"/>
        <v>#N/A</v>
      </c>
      <c r="AB28" s="178" t="e">
        <f t="shared" si="14"/>
        <v>#N/A</v>
      </c>
      <c r="AC28" s="178" t="e">
        <f t="shared" si="15"/>
        <v>#N/A</v>
      </c>
      <c r="AD28" s="179" t="e">
        <f t="shared" si="3"/>
        <v>#N/A</v>
      </c>
    </row>
    <row r="29" spans="2:42" x14ac:dyDescent="0.3">
      <c r="B29" s="188">
        <v>24</v>
      </c>
      <c r="C29" s="205"/>
      <c r="D29" s="206"/>
      <c r="E29" s="207"/>
      <c r="F29" s="207"/>
      <c r="G29" s="183" t="e">
        <f t="shared" si="0"/>
        <v>#N/A</v>
      </c>
      <c r="H29" s="183" t="e">
        <f t="shared" si="2"/>
        <v>#N/A</v>
      </c>
      <c r="I29" s="221">
        <f>'Plot Data'!$G$67</f>
        <v>12.775621055989912</v>
      </c>
      <c r="J29" s="221">
        <f>'Plot Data'!$G$65</f>
        <v>13.138875575788147</v>
      </c>
      <c r="K29" s="222">
        <f>'Plot Data'!$G$58</f>
        <v>13.865384615384617</v>
      </c>
      <c r="L29" s="222">
        <f>'Plot Data'!$G$62</f>
        <v>14.591893654981087</v>
      </c>
      <c r="M29" s="222">
        <f>'Plot Data'!$G$64</f>
        <v>14.955148174779321</v>
      </c>
      <c r="N29" s="222">
        <f>'Plot Data'!$G$68</f>
        <v>0.27730769230769237</v>
      </c>
      <c r="O29" s="177" t="e">
        <f t="shared" si="1"/>
        <v>#N/A</v>
      </c>
      <c r="P29" s="180" t="e">
        <f t="shared" si="4"/>
        <v>#N/A</v>
      </c>
      <c r="Q29" s="180" t="e">
        <f t="shared" si="10"/>
        <v>#N/A</v>
      </c>
      <c r="R29" s="180" t="e">
        <f t="shared" si="11"/>
        <v>#N/A</v>
      </c>
      <c r="S29" s="178" t="str">
        <f t="shared" si="5"/>
        <v/>
      </c>
      <c r="T29" s="178" t="e">
        <f t="shared" si="12"/>
        <v>#N/A</v>
      </c>
      <c r="U29" s="178" t="e">
        <f t="shared" si="13"/>
        <v>#N/A</v>
      </c>
      <c r="V29" s="178"/>
      <c r="W29" s="178"/>
      <c r="X29" s="178"/>
      <c r="Y29" s="178"/>
      <c r="Z29" s="178"/>
      <c r="AA29" s="181" t="e">
        <f t="shared" si="9"/>
        <v>#N/A</v>
      </c>
      <c r="AB29" s="178" t="e">
        <f t="shared" si="14"/>
        <v>#N/A</v>
      </c>
      <c r="AC29" s="178" t="e">
        <f t="shared" si="15"/>
        <v>#N/A</v>
      </c>
      <c r="AD29" s="179" t="e">
        <f t="shared" si="3"/>
        <v>#N/A</v>
      </c>
    </row>
    <row r="30" spans="2:42" x14ac:dyDescent="0.3">
      <c r="B30" s="188">
        <v>25</v>
      </c>
      <c r="C30" s="205"/>
      <c r="D30" s="206"/>
      <c r="E30" s="207"/>
      <c r="F30" s="207"/>
      <c r="G30" s="183" t="e">
        <f t="shared" si="0"/>
        <v>#N/A</v>
      </c>
      <c r="H30" s="183" t="e">
        <f t="shared" si="2"/>
        <v>#N/A</v>
      </c>
      <c r="I30" s="221">
        <f>'Plot Data'!$G$67</f>
        <v>12.775621055989912</v>
      </c>
      <c r="J30" s="221">
        <f>'Plot Data'!$G$65</f>
        <v>13.138875575788147</v>
      </c>
      <c r="K30" s="222">
        <f>'Plot Data'!$G$58</f>
        <v>13.865384615384617</v>
      </c>
      <c r="L30" s="222">
        <f>'Plot Data'!$G$62</f>
        <v>14.591893654981087</v>
      </c>
      <c r="M30" s="222">
        <f>'Plot Data'!$G$64</f>
        <v>14.955148174779321</v>
      </c>
      <c r="N30" s="222">
        <f>'Plot Data'!$G$68</f>
        <v>0.27730769230769237</v>
      </c>
      <c r="O30" s="177" t="e">
        <f t="shared" si="1"/>
        <v>#N/A</v>
      </c>
      <c r="P30" s="180" t="e">
        <f t="shared" si="4"/>
        <v>#N/A</v>
      </c>
      <c r="Q30" s="180" t="e">
        <f t="shared" si="10"/>
        <v>#N/A</v>
      </c>
      <c r="R30" s="180" t="e">
        <f t="shared" si="11"/>
        <v>#N/A</v>
      </c>
      <c r="S30" s="178" t="str">
        <f t="shared" si="5"/>
        <v/>
      </c>
      <c r="T30" s="178" t="e">
        <f t="shared" si="12"/>
        <v>#N/A</v>
      </c>
      <c r="U30" s="178" t="e">
        <f t="shared" si="13"/>
        <v>#N/A</v>
      </c>
      <c r="V30" s="178"/>
      <c r="W30" s="178"/>
      <c r="X30" s="178"/>
      <c r="Y30" s="178"/>
      <c r="Z30" s="178"/>
      <c r="AA30" s="181" t="e">
        <f t="shared" si="9"/>
        <v>#N/A</v>
      </c>
      <c r="AB30" s="178" t="e">
        <f t="shared" si="14"/>
        <v>#N/A</v>
      </c>
      <c r="AC30" s="178" t="e">
        <f t="shared" si="15"/>
        <v>#N/A</v>
      </c>
      <c r="AD30" s="179" t="e">
        <f t="shared" si="3"/>
        <v>#N/A</v>
      </c>
    </row>
    <row r="31" spans="2:42" x14ac:dyDescent="0.3">
      <c r="B31" s="188">
        <v>26</v>
      </c>
      <c r="C31" s="205"/>
      <c r="D31" s="206"/>
      <c r="E31" s="207"/>
      <c r="F31" s="207"/>
      <c r="G31" s="183" t="e">
        <f t="shared" si="0"/>
        <v>#N/A</v>
      </c>
      <c r="H31" s="183" t="e">
        <f t="shared" si="2"/>
        <v>#N/A</v>
      </c>
      <c r="I31" s="221">
        <f>'Plot Data'!$G$67</f>
        <v>12.775621055989912</v>
      </c>
      <c r="J31" s="221">
        <f>'Plot Data'!$G$65</f>
        <v>13.138875575788147</v>
      </c>
      <c r="K31" s="222">
        <f>'Plot Data'!$G$58</f>
        <v>13.865384615384617</v>
      </c>
      <c r="L31" s="222">
        <f>'Plot Data'!$G$62</f>
        <v>14.591893654981087</v>
      </c>
      <c r="M31" s="222">
        <f>'Plot Data'!$G$64</f>
        <v>14.955148174779321</v>
      </c>
      <c r="N31" s="222">
        <f>'Plot Data'!$G$68</f>
        <v>0.27730769230769237</v>
      </c>
      <c r="O31" s="177" t="e">
        <f t="shared" si="1"/>
        <v>#N/A</v>
      </c>
      <c r="P31" s="180" t="e">
        <f t="shared" si="4"/>
        <v>#N/A</v>
      </c>
      <c r="Q31" s="180" t="e">
        <f t="shared" si="10"/>
        <v>#N/A</v>
      </c>
      <c r="R31" s="180" t="e">
        <f t="shared" si="11"/>
        <v>#N/A</v>
      </c>
      <c r="S31" s="178" t="str">
        <f t="shared" si="5"/>
        <v/>
      </c>
      <c r="T31" s="178" t="e">
        <f t="shared" si="12"/>
        <v>#N/A</v>
      </c>
      <c r="U31" s="178" t="e">
        <f t="shared" si="13"/>
        <v>#N/A</v>
      </c>
      <c r="V31" s="178"/>
      <c r="W31" s="178"/>
      <c r="X31" s="178"/>
      <c r="Y31" s="178"/>
      <c r="Z31" s="178"/>
      <c r="AA31" s="181" t="e">
        <f t="shared" si="9"/>
        <v>#N/A</v>
      </c>
      <c r="AB31" s="178" t="e">
        <f t="shared" si="14"/>
        <v>#N/A</v>
      </c>
      <c r="AC31" s="178" t="e">
        <f t="shared" si="15"/>
        <v>#N/A</v>
      </c>
      <c r="AD31" s="179" t="e">
        <f t="shared" si="3"/>
        <v>#N/A</v>
      </c>
      <c r="AF31" s="703"/>
      <c r="AG31" s="703"/>
      <c r="AH31" s="703"/>
      <c r="AI31" s="703"/>
      <c r="AJ31" s="703"/>
      <c r="AK31" s="703"/>
      <c r="AL31" s="703"/>
      <c r="AM31" s="703"/>
      <c r="AN31" s="703"/>
      <c r="AO31" s="703"/>
      <c r="AP31" s="703"/>
    </row>
    <row r="32" spans="2:42" ht="15" thickBot="1" x14ac:dyDescent="0.35">
      <c r="B32" s="188">
        <v>27</v>
      </c>
      <c r="C32" s="205"/>
      <c r="D32" s="206"/>
      <c r="E32" s="207"/>
      <c r="F32" s="207"/>
      <c r="G32" s="183" t="e">
        <f t="shared" si="0"/>
        <v>#N/A</v>
      </c>
      <c r="H32" s="183" t="e">
        <f t="shared" si="2"/>
        <v>#N/A</v>
      </c>
      <c r="I32" s="221">
        <f>'Plot Data'!$G$67</f>
        <v>12.775621055989912</v>
      </c>
      <c r="J32" s="221">
        <f>'Plot Data'!$G$65</f>
        <v>13.138875575788147</v>
      </c>
      <c r="K32" s="222">
        <f>'Plot Data'!$G$58</f>
        <v>13.865384615384617</v>
      </c>
      <c r="L32" s="222">
        <f>'Plot Data'!$G$62</f>
        <v>14.591893654981087</v>
      </c>
      <c r="M32" s="222">
        <f>'Plot Data'!$G$64</f>
        <v>14.955148174779321</v>
      </c>
      <c r="N32" s="222">
        <f>'Plot Data'!$G$68</f>
        <v>0.27730769230769237</v>
      </c>
      <c r="O32" s="177" t="e">
        <f t="shared" si="1"/>
        <v>#N/A</v>
      </c>
      <c r="P32" s="180" t="e">
        <f t="shared" si="4"/>
        <v>#N/A</v>
      </c>
      <c r="Q32" s="180" t="e">
        <f t="shared" si="10"/>
        <v>#N/A</v>
      </c>
      <c r="R32" s="180" t="e">
        <f t="shared" si="11"/>
        <v>#N/A</v>
      </c>
      <c r="S32" s="178" t="str">
        <f t="shared" si="5"/>
        <v/>
      </c>
      <c r="T32" s="178" t="e">
        <f t="shared" si="12"/>
        <v>#N/A</v>
      </c>
      <c r="U32" s="178" t="e">
        <f t="shared" si="13"/>
        <v>#N/A</v>
      </c>
      <c r="V32" s="178"/>
      <c r="W32" s="178"/>
      <c r="X32" s="178"/>
      <c r="Y32" s="178"/>
      <c r="Z32" s="178"/>
      <c r="AA32" s="181" t="e">
        <f t="shared" si="9"/>
        <v>#N/A</v>
      </c>
      <c r="AB32" s="178" t="e">
        <f t="shared" si="14"/>
        <v>#N/A</v>
      </c>
      <c r="AC32" s="178" t="e">
        <f t="shared" si="15"/>
        <v>#N/A</v>
      </c>
      <c r="AD32" s="179" t="e">
        <f t="shared" si="3"/>
        <v>#N/A</v>
      </c>
      <c r="AF32" s="704"/>
      <c r="AG32" s="704"/>
      <c r="AH32" s="704"/>
      <c r="AI32" s="704"/>
      <c r="AJ32" s="704"/>
      <c r="AK32" s="704"/>
      <c r="AL32" s="704"/>
      <c r="AM32" s="704"/>
      <c r="AN32" s="704"/>
      <c r="AO32" s="704"/>
      <c r="AP32" s="704"/>
    </row>
    <row r="33" spans="2:42" x14ac:dyDescent="0.3">
      <c r="B33" s="188">
        <v>28</v>
      </c>
      <c r="C33" s="205"/>
      <c r="D33" s="206"/>
      <c r="E33" s="207"/>
      <c r="F33" s="207"/>
      <c r="G33" s="183" t="e">
        <f t="shared" si="0"/>
        <v>#N/A</v>
      </c>
      <c r="H33" s="183" t="e">
        <f t="shared" si="2"/>
        <v>#N/A</v>
      </c>
      <c r="I33" s="221">
        <f>'Plot Data'!$G$67</f>
        <v>12.775621055989912</v>
      </c>
      <c r="J33" s="221">
        <f>'Plot Data'!$G$65</f>
        <v>13.138875575788147</v>
      </c>
      <c r="K33" s="222">
        <f>'Plot Data'!$G$58</f>
        <v>13.865384615384617</v>
      </c>
      <c r="L33" s="222">
        <f>'Plot Data'!$G$62</f>
        <v>14.591893654981087</v>
      </c>
      <c r="M33" s="222">
        <f>'Plot Data'!$G$64</f>
        <v>14.955148174779321</v>
      </c>
      <c r="N33" s="222">
        <f>'Plot Data'!$G$68</f>
        <v>0.27730769230769237</v>
      </c>
      <c r="O33" s="177" t="e">
        <f t="shared" si="1"/>
        <v>#N/A</v>
      </c>
      <c r="P33" s="180" t="e">
        <f t="shared" si="4"/>
        <v>#N/A</v>
      </c>
      <c r="Q33" s="180" t="e">
        <f t="shared" si="10"/>
        <v>#N/A</v>
      </c>
      <c r="R33" s="180" t="e">
        <f t="shared" si="11"/>
        <v>#N/A</v>
      </c>
      <c r="S33" s="178" t="str">
        <f t="shared" si="5"/>
        <v/>
      </c>
      <c r="T33" s="178" t="e">
        <f t="shared" si="12"/>
        <v>#N/A</v>
      </c>
      <c r="U33" s="178" t="e">
        <f t="shared" si="13"/>
        <v>#N/A</v>
      </c>
      <c r="V33" s="178"/>
      <c r="W33" s="178"/>
      <c r="X33" s="178"/>
      <c r="Y33" s="178"/>
      <c r="Z33" s="178"/>
      <c r="AA33" s="181" t="e">
        <f t="shared" si="9"/>
        <v>#N/A</v>
      </c>
      <c r="AB33" s="178" t="e">
        <f t="shared" si="14"/>
        <v>#N/A</v>
      </c>
      <c r="AC33" s="178" t="e">
        <f t="shared" si="15"/>
        <v>#N/A</v>
      </c>
      <c r="AD33" s="179" t="e">
        <f t="shared" si="3"/>
        <v>#N/A</v>
      </c>
      <c r="AF33" s="690" t="s">
        <v>7</v>
      </c>
      <c r="AG33" s="689"/>
      <c r="AH33" s="689" t="str">
        <f>AH5</f>
        <v>ISO Ash</v>
      </c>
      <c r="AI33" s="689"/>
      <c r="AJ33" s="689"/>
      <c r="AK33" s="689" t="s">
        <v>168</v>
      </c>
      <c r="AL33" s="689"/>
      <c r="AM33" s="689"/>
      <c r="AN33" s="689" t="str">
        <f>AN5</f>
        <v>IMP-ASH-01</v>
      </c>
      <c r="AO33" s="689"/>
      <c r="AP33" s="691"/>
    </row>
    <row r="34" spans="2:42" ht="15" customHeight="1" x14ac:dyDescent="0.3">
      <c r="B34" s="188">
        <v>29</v>
      </c>
      <c r="C34" s="205"/>
      <c r="D34" s="206"/>
      <c r="E34" s="207"/>
      <c r="F34" s="207"/>
      <c r="G34" s="183" t="e">
        <f t="shared" si="0"/>
        <v>#N/A</v>
      </c>
      <c r="H34" s="183" t="e">
        <f t="shared" si="2"/>
        <v>#N/A</v>
      </c>
      <c r="I34" s="221">
        <f>'Plot Data'!$G$67</f>
        <v>12.775621055989912</v>
      </c>
      <c r="J34" s="221">
        <f>'Plot Data'!$G$65</f>
        <v>13.138875575788147</v>
      </c>
      <c r="K34" s="222">
        <f>'Plot Data'!$G$58</f>
        <v>13.865384615384617</v>
      </c>
      <c r="L34" s="222">
        <f>'Plot Data'!$G$62</f>
        <v>14.591893654981087</v>
      </c>
      <c r="M34" s="222">
        <f>'Plot Data'!$G$64</f>
        <v>14.955148174779321</v>
      </c>
      <c r="N34" s="222">
        <f>'Plot Data'!$G$68</f>
        <v>0.27730769230769237</v>
      </c>
      <c r="O34" s="177" t="e">
        <f t="shared" si="1"/>
        <v>#N/A</v>
      </c>
      <c r="P34" s="180" t="e">
        <f t="shared" si="4"/>
        <v>#N/A</v>
      </c>
      <c r="Q34" s="180" t="e">
        <f t="shared" si="10"/>
        <v>#N/A</v>
      </c>
      <c r="R34" s="180" t="e">
        <f t="shared" si="11"/>
        <v>#N/A</v>
      </c>
      <c r="S34" s="178" t="str">
        <f t="shared" si="5"/>
        <v/>
      </c>
      <c r="T34" s="178" t="e">
        <f t="shared" si="12"/>
        <v>#N/A</v>
      </c>
      <c r="U34" s="178" t="e">
        <f t="shared" si="13"/>
        <v>#N/A</v>
      </c>
      <c r="V34" s="178"/>
      <c r="W34" s="178"/>
      <c r="X34" s="178"/>
      <c r="Y34" s="178"/>
      <c r="Z34" s="178"/>
      <c r="AA34" s="181" t="e">
        <f t="shared" si="9"/>
        <v>#N/A</v>
      </c>
      <c r="AB34" s="178" t="e">
        <f t="shared" si="14"/>
        <v>#N/A</v>
      </c>
      <c r="AC34" s="178" t="e">
        <f t="shared" si="15"/>
        <v>#N/A</v>
      </c>
      <c r="AD34" s="179" t="e">
        <f t="shared" si="3"/>
        <v>#N/A</v>
      </c>
      <c r="AF34" s="682"/>
      <c r="AG34" s="683"/>
      <c r="AH34" s="683"/>
      <c r="AI34" s="683"/>
      <c r="AJ34" s="683"/>
      <c r="AK34" s="683"/>
      <c r="AL34" s="683"/>
      <c r="AM34" s="683"/>
      <c r="AN34" s="683"/>
      <c r="AO34" s="683"/>
      <c r="AP34" s="705"/>
    </row>
    <row r="35" spans="2:42" ht="15" customHeight="1" x14ac:dyDescent="0.3">
      <c r="B35" s="188">
        <v>30</v>
      </c>
      <c r="C35" s="205"/>
      <c r="D35" s="206"/>
      <c r="E35" s="207"/>
      <c r="F35" s="207"/>
      <c r="G35" s="183" t="e">
        <f t="shared" si="0"/>
        <v>#N/A</v>
      </c>
      <c r="H35" s="183" t="e">
        <f t="shared" si="2"/>
        <v>#N/A</v>
      </c>
      <c r="I35" s="221">
        <f>'Plot Data'!$G$67</f>
        <v>12.775621055989912</v>
      </c>
      <c r="J35" s="221">
        <f>'Plot Data'!$G$65</f>
        <v>13.138875575788147</v>
      </c>
      <c r="K35" s="222">
        <f>'Plot Data'!$G$58</f>
        <v>13.865384615384617</v>
      </c>
      <c r="L35" s="222">
        <f>'Plot Data'!$G$62</f>
        <v>14.591893654981087</v>
      </c>
      <c r="M35" s="222">
        <f>'Plot Data'!$G$64</f>
        <v>14.955148174779321</v>
      </c>
      <c r="N35" s="222">
        <f>'Plot Data'!$G$68</f>
        <v>0.27730769230769237</v>
      </c>
      <c r="O35" s="177" t="e">
        <f t="shared" si="1"/>
        <v>#N/A</v>
      </c>
      <c r="P35" s="180" t="e">
        <f t="shared" si="4"/>
        <v>#N/A</v>
      </c>
      <c r="Q35" s="180" t="e">
        <f t="shared" si="10"/>
        <v>#N/A</v>
      </c>
      <c r="R35" s="180" t="e">
        <f t="shared" si="11"/>
        <v>#N/A</v>
      </c>
      <c r="S35" s="178" t="str">
        <f t="shared" si="5"/>
        <v/>
      </c>
      <c r="T35" s="178" t="e">
        <f t="shared" si="12"/>
        <v>#N/A</v>
      </c>
      <c r="U35" s="178" t="e">
        <f t="shared" si="13"/>
        <v>#N/A</v>
      </c>
      <c r="V35" s="178"/>
      <c r="W35" s="178"/>
      <c r="X35" s="178"/>
      <c r="Y35" s="178"/>
      <c r="Z35" s="178"/>
      <c r="AA35" s="181" t="e">
        <f t="shared" si="9"/>
        <v>#N/A</v>
      </c>
      <c r="AB35" s="178" t="e">
        <f t="shared" si="14"/>
        <v>#N/A</v>
      </c>
      <c r="AC35" s="178" t="e">
        <f t="shared" si="15"/>
        <v>#N/A</v>
      </c>
      <c r="AD35" s="179" t="e">
        <f t="shared" si="3"/>
        <v>#N/A</v>
      </c>
      <c r="AF35" s="682" t="s">
        <v>203</v>
      </c>
      <c r="AG35" s="683"/>
      <c r="AH35" s="683" t="str">
        <f>AH6</f>
        <v>034</v>
      </c>
      <c r="AI35" s="683"/>
      <c r="AJ35" s="683"/>
      <c r="AK35" s="683" t="s">
        <v>204</v>
      </c>
      <c r="AL35" s="683"/>
      <c r="AM35" s="683"/>
      <c r="AN35" s="686">
        <f>AN6</f>
        <v>37212</v>
      </c>
      <c r="AO35" s="683" t="s">
        <v>205</v>
      </c>
      <c r="AP35" s="680">
        <f>AP6</f>
        <v>39403</v>
      </c>
    </row>
    <row r="36" spans="2:42" ht="15" customHeight="1" thickBot="1" x14ac:dyDescent="0.35">
      <c r="B36" s="188">
        <v>31</v>
      </c>
      <c r="C36" s="205"/>
      <c r="D36" s="206"/>
      <c r="E36" s="207"/>
      <c r="F36" s="207"/>
      <c r="G36" s="183" t="e">
        <f t="shared" si="0"/>
        <v>#N/A</v>
      </c>
      <c r="H36" s="183" t="e">
        <f t="shared" si="2"/>
        <v>#N/A</v>
      </c>
      <c r="I36" s="221">
        <f>'Plot Data'!$G$67</f>
        <v>12.775621055989912</v>
      </c>
      <c r="J36" s="221">
        <f>'Plot Data'!$G$65</f>
        <v>13.138875575788147</v>
      </c>
      <c r="K36" s="222">
        <f>'Plot Data'!$G$58</f>
        <v>13.865384615384617</v>
      </c>
      <c r="L36" s="222">
        <f>'Plot Data'!$G$62</f>
        <v>14.591893654981087</v>
      </c>
      <c r="M36" s="222">
        <f>'Plot Data'!$G$64</f>
        <v>14.955148174779321</v>
      </c>
      <c r="N36" s="222">
        <f>'Plot Data'!$G$68</f>
        <v>0.27730769230769237</v>
      </c>
      <c r="O36" s="177" t="e">
        <f t="shared" si="1"/>
        <v>#N/A</v>
      </c>
      <c r="P36" s="180" t="e">
        <f t="shared" si="4"/>
        <v>#N/A</v>
      </c>
      <c r="Q36" s="180" t="e">
        <f t="shared" si="10"/>
        <v>#N/A</v>
      </c>
      <c r="R36" s="180" t="e">
        <f t="shared" si="11"/>
        <v>#N/A</v>
      </c>
      <c r="S36" s="178" t="str">
        <f t="shared" si="5"/>
        <v/>
      </c>
      <c r="T36" s="178" t="e">
        <f t="shared" si="12"/>
        <v>#N/A</v>
      </c>
      <c r="U36" s="178" t="e">
        <f t="shared" si="13"/>
        <v>#N/A</v>
      </c>
      <c r="V36" s="178"/>
      <c r="W36" s="178"/>
      <c r="X36" s="178"/>
      <c r="Y36" s="178"/>
      <c r="Z36" s="178"/>
      <c r="AA36" s="181" t="e">
        <f t="shared" si="9"/>
        <v>#N/A</v>
      </c>
      <c r="AB36" s="178" t="e">
        <f t="shared" si="14"/>
        <v>#N/A</v>
      </c>
      <c r="AC36" s="178" t="e">
        <f t="shared" si="15"/>
        <v>#N/A</v>
      </c>
      <c r="AD36" s="179" t="e">
        <f t="shared" si="3"/>
        <v>#N/A</v>
      </c>
      <c r="AF36" s="684"/>
      <c r="AG36" s="685"/>
      <c r="AH36" s="685"/>
      <c r="AI36" s="685"/>
      <c r="AJ36" s="685"/>
      <c r="AK36" s="685"/>
      <c r="AL36" s="685"/>
      <c r="AM36" s="685"/>
      <c r="AN36" s="687"/>
      <c r="AO36" s="685"/>
      <c r="AP36" s="681"/>
    </row>
    <row r="37" spans="2:42" x14ac:dyDescent="0.3">
      <c r="B37" s="188">
        <v>32</v>
      </c>
      <c r="C37" s="205"/>
      <c r="D37" s="206"/>
      <c r="E37" s="207"/>
      <c r="F37" s="207"/>
      <c r="G37" s="183" t="e">
        <f t="shared" si="0"/>
        <v>#N/A</v>
      </c>
      <c r="H37" s="183" t="e">
        <f t="shared" si="2"/>
        <v>#N/A</v>
      </c>
      <c r="I37" s="221">
        <f>'Plot Data'!$G$67</f>
        <v>12.775621055989912</v>
      </c>
      <c r="J37" s="221">
        <f>'Plot Data'!$G$65</f>
        <v>13.138875575788147</v>
      </c>
      <c r="K37" s="222">
        <f>'Plot Data'!$G$58</f>
        <v>13.865384615384617</v>
      </c>
      <c r="L37" s="222">
        <f>'Plot Data'!$G$62</f>
        <v>14.591893654981087</v>
      </c>
      <c r="M37" s="222">
        <f>'Plot Data'!$G$64</f>
        <v>14.955148174779321</v>
      </c>
      <c r="N37" s="222">
        <f>'Plot Data'!$G$68</f>
        <v>0.27730769230769237</v>
      </c>
      <c r="O37" s="177" t="e">
        <f t="shared" si="1"/>
        <v>#N/A</v>
      </c>
      <c r="P37" s="180" t="e">
        <f t="shared" si="4"/>
        <v>#N/A</v>
      </c>
      <c r="Q37" s="180" t="e">
        <f t="shared" si="10"/>
        <v>#N/A</v>
      </c>
      <c r="R37" s="180" t="e">
        <f t="shared" si="11"/>
        <v>#N/A</v>
      </c>
      <c r="S37" s="178" t="str">
        <f t="shared" si="5"/>
        <v/>
      </c>
      <c r="T37" s="178" t="e">
        <f t="shared" si="12"/>
        <v>#N/A</v>
      </c>
      <c r="U37" s="178" t="e">
        <f t="shared" si="13"/>
        <v>#N/A</v>
      </c>
      <c r="V37" s="178"/>
      <c r="W37" s="178"/>
      <c r="X37" s="178"/>
      <c r="Y37" s="178"/>
      <c r="Z37" s="178"/>
      <c r="AA37" s="181" t="e">
        <f t="shared" si="9"/>
        <v>#N/A</v>
      </c>
      <c r="AB37" s="178" t="e">
        <f t="shared" si="14"/>
        <v>#N/A</v>
      </c>
      <c r="AC37" s="178" t="e">
        <f t="shared" si="15"/>
        <v>#N/A</v>
      </c>
      <c r="AD37" s="179" t="e">
        <f t="shared" si="3"/>
        <v>#N/A</v>
      </c>
      <c r="AF37" s="211"/>
      <c r="AP37" s="92"/>
    </row>
    <row r="38" spans="2:42" x14ac:dyDescent="0.3">
      <c r="B38" s="188">
        <v>33</v>
      </c>
      <c r="C38" s="205"/>
      <c r="D38" s="206"/>
      <c r="E38" s="207"/>
      <c r="F38" s="207"/>
      <c r="G38" s="183" t="e">
        <f t="shared" si="0"/>
        <v>#N/A</v>
      </c>
      <c r="H38" s="183" t="e">
        <f t="shared" si="2"/>
        <v>#N/A</v>
      </c>
      <c r="I38" s="221">
        <f>'Plot Data'!$G$67</f>
        <v>12.775621055989912</v>
      </c>
      <c r="J38" s="221">
        <f>'Plot Data'!$G$65</f>
        <v>13.138875575788147</v>
      </c>
      <c r="K38" s="222">
        <f>'Plot Data'!$G$58</f>
        <v>13.865384615384617</v>
      </c>
      <c r="L38" s="222">
        <f>'Plot Data'!$G$62</f>
        <v>14.591893654981087</v>
      </c>
      <c r="M38" s="222">
        <f>'Plot Data'!$G$64</f>
        <v>14.955148174779321</v>
      </c>
      <c r="N38" s="222">
        <f>'Plot Data'!$G$68</f>
        <v>0.27730769230769237</v>
      </c>
      <c r="O38" s="177" t="e">
        <f t="shared" si="1"/>
        <v>#N/A</v>
      </c>
      <c r="P38" s="180" t="e">
        <f t="shared" si="4"/>
        <v>#N/A</v>
      </c>
      <c r="Q38" s="180" t="e">
        <f t="shared" si="10"/>
        <v>#N/A</v>
      </c>
      <c r="R38" s="180" t="e">
        <f t="shared" si="11"/>
        <v>#N/A</v>
      </c>
      <c r="S38" s="178" t="str">
        <f t="shared" si="5"/>
        <v/>
      </c>
      <c r="T38" s="178" t="e">
        <f t="shared" si="12"/>
        <v>#N/A</v>
      </c>
      <c r="U38" s="178" t="e">
        <f t="shared" si="13"/>
        <v>#N/A</v>
      </c>
      <c r="V38" s="178"/>
      <c r="W38" s="178"/>
      <c r="X38" s="178"/>
      <c r="Y38" s="178"/>
      <c r="Z38" s="178"/>
      <c r="AA38" s="181" t="e">
        <f t="shared" si="9"/>
        <v>#N/A</v>
      </c>
      <c r="AB38" s="178" t="e">
        <f t="shared" si="14"/>
        <v>#N/A</v>
      </c>
      <c r="AC38" s="178" t="e">
        <f t="shared" si="15"/>
        <v>#N/A</v>
      </c>
      <c r="AD38" s="179" t="e">
        <f t="shared" si="3"/>
        <v>#N/A</v>
      </c>
      <c r="AF38" s="211"/>
      <c r="AP38" s="92"/>
    </row>
    <row r="39" spans="2:42" x14ac:dyDescent="0.3">
      <c r="B39" s="188">
        <v>34</v>
      </c>
      <c r="C39" s="205"/>
      <c r="D39" s="206"/>
      <c r="E39" s="207"/>
      <c r="F39" s="207"/>
      <c r="G39" s="183" t="e">
        <f t="shared" si="0"/>
        <v>#N/A</v>
      </c>
      <c r="H39" s="183" t="e">
        <f t="shared" si="2"/>
        <v>#N/A</v>
      </c>
      <c r="I39" s="221">
        <f>'Plot Data'!$G$67</f>
        <v>12.775621055989912</v>
      </c>
      <c r="J39" s="221">
        <f>'Plot Data'!$G$65</f>
        <v>13.138875575788147</v>
      </c>
      <c r="K39" s="222">
        <f>'Plot Data'!$G$58</f>
        <v>13.865384615384617</v>
      </c>
      <c r="L39" s="222">
        <f>'Plot Data'!$G$62</f>
        <v>14.591893654981087</v>
      </c>
      <c r="M39" s="222">
        <f>'Plot Data'!$G$64</f>
        <v>14.955148174779321</v>
      </c>
      <c r="N39" s="222">
        <f>'Plot Data'!$G$68</f>
        <v>0.27730769230769237</v>
      </c>
      <c r="O39" s="177" t="e">
        <f t="shared" si="1"/>
        <v>#N/A</v>
      </c>
      <c r="P39" s="180" t="e">
        <f t="shared" si="4"/>
        <v>#N/A</v>
      </c>
      <c r="Q39" s="180" t="e">
        <f t="shared" si="10"/>
        <v>#N/A</v>
      </c>
      <c r="R39" s="180" t="e">
        <f t="shared" si="11"/>
        <v>#N/A</v>
      </c>
      <c r="S39" s="178" t="str">
        <f t="shared" si="5"/>
        <v/>
      </c>
      <c r="T39" s="178" t="e">
        <f t="shared" si="12"/>
        <v>#N/A</v>
      </c>
      <c r="U39" s="178" t="e">
        <f t="shared" si="13"/>
        <v>#N/A</v>
      </c>
      <c r="V39" s="178"/>
      <c r="W39" s="178"/>
      <c r="X39" s="178"/>
      <c r="Y39" s="178"/>
      <c r="Z39" s="178"/>
      <c r="AA39" s="181" t="e">
        <f t="shared" si="9"/>
        <v>#N/A</v>
      </c>
      <c r="AB39" s="178" t="e">
        <f t="shared" si="14"/>
        <v>#N/A</v>
      </c>
      <c r="AC39" s="178" t="e">
        <f t="shared" si="15"/>
        <v>#N/A</v>
      </c>
      <c r="AD39" s="179" t="e">
        <f t="shared" si="3"/>
        <v>#N/A</v>
      </c>
      <c r="AF39" s="211"/>
      <c r="AP39" s="92"/>
    </row>
    <row r="40" spans="2:42" x14ac:dyDescent="0.3">
      <c r="B40" s="188">
        <v>35</v>
      </c>
      <c r="C40" s="205"/>
      <c r="D40" s="206"/>
      <c r="E40" s="207"/>
      <c r="F40" s="207"/>
      <c r="G40" s="183" t="e">
        <f t="shared" si="0"/>
        <v>#N/A</v>
      </c>
      <c r="H40" s="183" t="e">
        <f t="shared" si="2"/>
        <v>#N/A</v>
      </c>
      <c r="I40" s="221">
        <f>'Plot Data'!$G$67</f>
        <v>12.775621055989912</v>
      </c>
      <c r="J40" s="221">
        <f>'Plot Data'!$G$65</f>
        <v>13.138875575788147</v>
      </c>
      <c r="K40" s="222">
        <f>'Plot Data'!$G$58</f>
        <v>13.865384615384617</v>
      </c>
      <c r="L40" s="222">
        <f>'Plot Data'!$G$62</f>
        <v>14.591893654981087</v>
      </c>
      <c r="M40" s="222">
        <f>'Plot Data'!$G$64</f>
        <v>14.955148174779321</v>
      </c>
      <c r="N40" s="222">
        <f>'Plot Data'!$G$68</f>
        <v>0.27730769230769237</v>
      </c>
      <c r="O40" s="177" t="e">
        <f t="shared" si="1"/>
        <v>#N/A</v>
      </c>
      <c r="P40" s="180" t="e">
        <f t="shared" si="4"/>
        <v>#N/A</v>
      </c>
      <c r="Q40" s="180" t="e">
        <f t="shared" si="10"/>
        <v>#N/A</v>
      </c>
      <c r="R40" s="180" t="e">
        <f t="shared" si="11"/>
        <v>#N/A</v>
      </c>
      <c r="S40" s="178" t="str">
        <f t="shared" si="5"/>
        <v/>
      </c>
      <c r="T40" s="178" t="e">
        <f t="shared" si="12"/>
        <v>#N/A</v>
      </c>
      <c r="U40" s="178" t="e">
        <f t="shared" si="13"/>
        <v>#N/A</v>
      </c>
      <c r="V40" s="178"/>
      <c r="W40" s="178"/>
      <c r="X40" s="178"/>
      <c r="Y40" s="178"/>
      <c r="Z40" s="178"/>
      <c r="AA40" s="181" t="e">
        <f t="shared" si="9"/>
        <v>#N/A</v>
      </c>
      <c r="AB40" s="178" t="e">
        <f t="shared" si="14"/>
        <v>#N/A</v>
      </c>
      <c r="AC40" s="178" t="e">
        <f t="shared" si="15"/>
        <v>#N/A</v>
      </c>
      <c r="AD40" s="179" t="e">
        <f t="shared" si="3"/>
        <v>#N/A</v>
      </c>
      <c r="AF40" s="211"/>
      <c r="AP40" s="92"/>
    </row>
    <row r="41" spans="2:42" x14ac:dyDescent="0.3">
      <c r="B41" s="188">
        <v>36</v>
      </c>
      <c r="C41" s="205"/>
      <c r="D41" s="206"/>
      <c r="E41" s="207"/>
      <c r="F41" s="207"/>
      <c r="G41" s="183" t="e">
        <f t="shared" si="0"/>
        <v>#N/A</v>
      </c>
      <c r="H41" s="183" t="e">
        <f t="shared" si="2"/>
        <v>#N/A</v>
      </c>
      <c r="I41" s="221">
        <f>'Plot Data'!$G$67</f>
        <v>12.775621055989912</v>
      </c>
      <c r="J41" s="221">
        <f>'Plot Data'!$G$65</f>
        <v>13.138875575788147</v>
      </c>
      <c r="K41" s="222">
        <f>'Plot Data'!$G$58</f>
        <v>13.865384615384617</v>
      </c>
      <c r="L41" s="222">
        <f>'Plot Data'!$G$62</f>
        <v>14.591893654981087</v>
      </c>
      <c r="M41" s="222">
        <f>'Plot Data'!$G$64</f>
        <v>14.955148174779321</v>
      </c>
      <c r="N41" s="222">
        <f>'Plot Data'!$G$68</f>
        <v>0.27730769230769237</v>
      </c>
      <c r="O41" s="177" t="e">
        <f t="shared" si="1"/>
        <v>#N/A</v>
      </c>
      <c r="P41" s="180" t="e">
        <f t="shared" si="4"/>
        <v>#N/A</v>
      </c>
      <c r="Q41" s="180" t="e">
        <f t="shared" si="10"/>
        <v>#N/A</v>
      </c>
      <c r="R41" s="180" t="e">
        <f t="shared" si="11"/>
        <v>#N/A</v>
      </c>
      <c r="S41" s="178" t="str">
        <f t="shared" si="5"/>
        <v/>
      </c>
      <c r="T41" s="178" t="e">
        <f t="shared" si="12"/>
        <v>#N/A</v>
      </c>
      <c r="U41" s="178" t="e">
        <f t="shared" si="13"/>
        <v>#N/A</v>
      </c>
      <c r="V41" s="178"/>
      <c r="W41" s="178"/>
      <c r="X41" s="178"/>
      <c r="Y41" s="178"/>
      <c r="Z41" s="178"/>
      <c r="AA41" s="181" t="e">
        <f t="shared" si="9"/>
        <v>#N/A</v>
      </c>
      <c r="AB41" s="178" t="e">
        <f t="shared" si="14"/>
        <v>#N/A</v>
      </c>
      <c r="AC41" s="178" t="e">
        <f t="shared" si="15"/>
        <v>#N/A</v>
      </c>
      <c r="AD41" s="179" t="e">
        <f t="shared" si="3"/>
        <v>#N/A</v>
      </c>
      <c r="AF41" s="211"/>
      <c r="AP41" s="92"/>
    </row>
    <row r="42" spans="2:42" x14ac:dyDescent="0.3">
      <c r="B42" s="188">
        <v>37</v>
      </c>
      <c r="C42" s="205"/>
      <c r="D42" s="206"/>
      <c r="E42" s="207"/>
      <c r="F42" s="207"/>
      <c r="G42" s="183" t="e">
        <f t="shared" si="0"/>
        <v>#N/A</v>
      </c>
      <c r="H42" s="183" t="e">
        <f t="shared" si="2"/>
        <v>#N/A</v>
      </c>
      <c r="I42" s="221">
        <f>'Plot Data'!$G$67</f>
        <v>12.775621055989912</v>
      </c>
      <c r="J42" s="221">
        <f>'Plot Data'!$G$65</f>
        <v>13.138875575788147</v>
      </c>
      <c r="K42" s="222">
        <f>'Plot Data'!$G$58</f>
        <v>13.865384615384617</v>
      </c>
      <c r="L42" s="222">
        <f>'Plot Data'!$G$62</f>
        <v>14.591893654981087</v>
      </c>
      <c r="M42" s="222">
        <f>'Plot Data'!$G$64</f>
        <v>14.955148174779321</v>
      </c>
      <c r="N42" s="222">
        <f>'Plot Data'!$G$68</f>
        <v>0.27730769230769237</v>
      </c>
      <c r="O42" s="177" t="e">
        <f t="shared" si="1"/>
        <v>#N/A</v>
      </c>
      <c r="P42" s="180" t="e">
        <f t="shared" si="4"/>
        <v>#N/A</v>
      </c>
      <c r="Q42" s="180" t="e">
        <f t="shared" si="10"/>
        <v>#N/A</v>
      </c>
      <c r="R42" s="180" t="e">
        <f t="shared" si="11"/>
        <v>#N/A</v>
      </c>
      <c r="S42" s="178" t="str">
        <f t="shared" si="5"/>
        <v/>
      </c>
      <c r="T42" s="178" t="e">
        <f t="shared" si="12"/>
        <v>#N/A</v>
      </c>
      <c r="U42" s="178" t="e">
        <f t="shared" si="13"/>
        <v>#N/A</v>
      </c>
      <c r="V42" s="178"/>
      <c r="W42" s="178"/>
      <c r="X42" s="178"/>
      <c r="Y42" s="178"/>
      <c r="Z42" s="178"/>
      <c r="AA42" s="181" t="e">
        <f t="shared" si="9"/>
        <v>#N/A</v>
      </c>
      <c r="AB42" s="178" t="e">
        <f t="shared" si="14"/>
        <v>#N/A</v>
      </c>
      <c r="AC42" s="178" t="e">
        <f t="shared" si="15"/>
        <v>#N/A</v>
      </c>
      <c r="AD42" s="179" t="e">
        <f t="shared" si="3"/>
        <v>#N/A</v>
      </c>
      <c r="AF42" s="211"/>
      <c r="AP42" s="92"/>
    </row>
    <row r="43" spans="2:42" x14ac:dyDescent="0.3">
      <c r="B43" s="188">
        <v>38</v>
      </c>
      <c r="C43" s="205"/>
      <c r="D43" s="206"/>
      <c r="E43" s="207"/>
      <c r="F43" s="207"/>
      <c r="G43" s="183" t="e">
        <f t="shared" si="0"/>
        <v>#N/A</v>
      </c>
      <c r="H43" s="183" t="e">
        <f t="shared" si="2"/>
        <v>#N/A</v>
      </c>
      <c r="I43" s="221">
        <f>'Plot Data'!$G$67</f>
        <v>12.775621055989912</v>
      </c>
      <c r="J43" s="221">
        <f>'Plot Data'!$G$65</f>
        <v>13.138875575788147</v>
      </c>
      <c r="K43" s="222">
        <f>'Plot Data'!$G$58</f>
        <v>13.865384615384617</v>
      </c>
      <c r="L43" s="222">
        <f>'Plot Data'!$G$62</f>
        <v>14.591893654981087</v>
      </c>
      <c r="M43" s="222">
        <f>'Plot Data'!$G$64</f>
        <v>14.955148174779321</v>
      </c>
      <c r="N43" s="222">
        <f>'Plot Data'!$G$68</f>
        <v>0.27730769230769237</v>
      </c>
      <c r="O43" s="177" t="e">
        <f t="shared" si="1"/>
        <v>#N/A</v>
      </c>
      <c r="P43" s="180" t="e">
        <f t="shared" si="4"/>
        <v>#N/A</v>
      </c>
      <c r="Q43" s="180" t="e">
        <f t="shared" si="10"/>
        <v>#N/A</v>
      </c>
      <c r="R43" s="180" t="e">
        <f t="shared" si="11"/>
        <v>#N/A</v>
      </c>
      <c r="S43" s="178" t="str">
        <f t="shared" si="5"/>
        <v/>
      </c>
      <c r="T43" s="178" t="e">
        <f t="shared" si="12"/>
        <v>#N/A</v>
      </c>
      <c r="U43" s="178" t="e">
        <f t="shared" si="13"/>
        <v>#N/A</v>
      </c>
      <c r="V43" s="178"/>
      <c r="W43" s="178"/>
      <c r="X43" s="178"/>
      <c r="Y43" s="178"/>
      <c r="Z43" s="178"/>
      <c r="AA43" s="181" t="e">
        <f t="shared" si="9"/>
        <v>#N/A</v>
      </c>
      <c r="AB43" s="178" t="e">
        <f t="shared" si="14"/>
        <v>#N/A</v>
      </c>
      <c r="AC43" s="178" t="e">
        <f t="shared" si="15"/>
        <v>#N/A</v>
      </c>
      <c r="AD43" s="179" t="e">
        <f t="shared" si="3"/>
        <v>#N/A</v>
      </c>
      <c r="AF43" s="211"/>
      <c r="AP43" s="92"/>
    </row>
    <row r="44" spans="2:42" x14ac:dyDescent="0.3">
      <c r="B44" s="188">
        <v>39</v>
      </c>
      <c r="C44" s="205"/>
      <c r="D44" s="206"/>
      <c r="E44" s="207"/>
      <c r="F44" s="207"/>
      <c r="G44" s="183" t="e">
        <f t="shared" si="0"/>
        <v>#N/A</v>
      </c>
      <c r="H44" s="183" t="e">
        <f t="shared" si="2"/>
        <v>#N/A</v>
      </c>
      <c r="I44" s="221">
        <f>'Plot Data'!$G$67</f>
        <v>12.775621055989912</v>
      </c>
      <c r="J44" s="221">
        <f>'Plot Data'!$G$65</f>
        <v>13.138875575788147</v>
      </c>
      <c r="K44" s="222">
        <f>'Plot Data'!$G$58</f>
        <v>13.865384615384617</v>
      </c>
      <c r="L44" s="222">
        <f>'Plot Data'!$G$62</f>
        <v>14.591893654981087</v>
      </c>
      <c r="M44" s="222">
        <f>'Plot Data'!$G$64</f>
        <v>14.955148174779321</v>
      </c>
      <c r="N44" s="222">
        <f>'Plot Data'!$G$68</f>
        <v>0.27730769230769237</v>
      </c>
      <c r="O44" s="190" t="e">
        <f t="shared" si="1"/>
        <v>#N/A</v>
      </c>
      <c r="P44" s="191" t="e">
        <f t="shared" si="4"/>
        <v>#N/A</v>
      </c>
      <c r="Q44" s="191" t="e">
        <f t="shared" si="10"/>
        <v>#N/A</v>
      </c>
      <c r="R44" s="191" t="e">
        <f t="shared" si="11"/>
        <v>#N/A</v>
      </c>
      <c r="S44" s="192" t="str">
        <f t="shared" si="5"/>
        <v/>
      </c>
      <c r="T44" s="192" t="e">
        <f t="shared" si="12"/>
        <v>#N/A</v>
      </c>
      <c r="U44" s="192" t="e">
        <f t="shared" si="13"/>
        <v>#N/A</v>
      </c>
      <c r="V44" s="192"/>
      <c r="W44" s="192"/>
      <c r="X44" s="192"/>
      <c r="Y44" s="192"/>
      <c r="Z44" s="192"/>
      <c r="AA44" s="193" t="e">
        <f t="shared" si="9"/>
        <v>#N/A</v>
      </c>
      <c r="AB44" s="192" t="e">
        <f t="shared" si="14"/>
        <v>#N/A</v>
      </c>
      <c r="AC44" s="192" t="e">
        <f t="shared" si="15"/>
        <v>#N/A</v>
      </c>
      <c r="AD44" s="194" t="e">
        <f t="shared" si="3"/>
        <v>#N/A</v>
      </c>
      <c r="AF44" s="211"/>
      <c r="AP44" s="92"/>
    </row>
    <row r="45" spans="2:42" x14ac:dyDescent="0.3">
      <c r="B45" s="188">
        <v>40</v>
      </c>
      <c r="C45" s="205"/>
      <c r="D45" s="206"/>
      <c r="E45" s="207"/>
      <c r="F45" s="207"/>
      <c r="G45" s="183" t="e">
        <f t="shared" si="0"/>
        <v>#N/A</v>
      </c>
      <c r="H45" s="183" t="e">
        <f t="shared" si="2"/>
        <v>#N/A</v>
      </c>
      <c r="I45" s="221">
        <f>'Plot Data'!$G$67</f>
        <v>12.775621055989912</v>
      </c>
      <c r="J45" s="221">
        <f>'Plot Data'!$G$65</f>
        <v>13.138875575788147</v>
      </c>
      <c r="K45" s="222">
        <f>'Plot Data'!$G$58</f>
        <v>13.865384615384617</v>
      </c>
      <c r="L45" s="222">
        <f>'Plot Data'!$G$62</f>
        <v>14.591893654981087</v>
      </c>
      <c r="M45" s="222">
        <f>'Plot Data'!$G$64</f>
        <v>14.955148174779321</v>
      </c>
      <c r="N45" s="222">
        <f>'Plot Data'!$G$68</f>
        <v>0.27730769230769237</v>
      </c>
      <c r="O45" s="190" t="e">
        <f t="shared" si="1"/>
        <v>#N/A</v>
      </c>
      <c r="P45" s="191" t="e">
        <f t="shared" si="4"/>
        <v>#N/A</v>
      </c>
      <c r="Q45" s="191" t="e">
        <f t="shared" si="10"/>
        <v>#N/A</v>
      </c>
      <c r="R45" s="191" t="e">
        <f t="shared" si="11"/>
        <v>#N/A</v>
      </c>
      <c r="S45" s="192" t="str">
        <f t="shared" si="5"/>
        <v/>
      </c>
      <c r="T45" s="192" t="e">
        <f t="shared" si="12"/>
        <v>#N/A</v>
      </c>
      <c r="U45" s="192" t="e">
        <f t="shared" si="13"/>
        <v>#N/A</v>
      </c>
      <c r="V45" s="192"/>
      <c r="W45" s="192"/>
      <c r="X45" s="192"/>
      <c r="Y45" s="192"/>
      <c r="Z45" s="192"/>
      <c r="AA45" s="193" t="e">
        <f t="shared" si="9"/>
        <v>#N/A</v>
      </c>
      <c r="AB45" s="192" t="e">
        <f t="shared" si="14"/>
        <v>#N/A</v>
      </c>
      <c r="AC45" s="192" t="e">
        <f t="shared" si="15"/>
        <v>#N/A</v>
      </c>
      <c r="AD45" s="194" t="e">
        <f t="shared" si="3"/>
        <v>#N/A</v>
      </c>
      <c r="AF45" s="211"/>
      <c r="AP45" s="92"/>
    </row>
    <row r="46" spans="2:42" x14ac:dyDescent="0.3">
      <c r="B46" s="188">
        <v>41</v>
      </c>
      <c r="C46" s="205"/>
      <c r="D46" s="206"/>
      <c r="E46" s="207"/>
      <c r="F46" s="207"/>
      <c r="G46" s="183" t="e">
        <f t="shared" si="0"/>
        <v>#N/A</v>
      </c>
      <c r="H46" s="183" t="e">
        <f t="shared" si="2"/>
        <v>#N/A</v>
      </c>
      <c r="I46" s="221">
        <f>'Plot Data'!$G$67</f>
        <v>12.775621055989912</v>
      </c>
      <c r="J46" s="221">
        <f>'Plot Data'!$G$65</f>
        <v>13.138875575788147</v>
      </c>
      <c r="K46" s="222">
        <f>'Plot Data'!$G$58</f>
        <v>13.865384615384617</v>
      </c>
      <c r="L46" s="222">
        <f>'Plot Data'!$G$62</f>
        <v>14.591893654981087</v>
      </c>
      <c r="M46" s="222">
        <f>'Plot Data'!$G$64</f>
        <v>14.955148174779321</v>
      </c>
      <c r="N46" s="222">
        <f>'Plot Data'!$G$68</f>
        <v>0.27730769230769237</v>
      </c>
      <c r="O46" s="190" t="e">
        <f t="shared" si="1"/>
        <v>#N/A</v>
      </c>
      <c r="P46" s="191" t="e">
        <f t="shared" si="4"/>
        <v>#N/A</v>
      </c>
      <c r="Q46" s="191" t="e">
        <f t="shared" si="10"/>
        <v>#N/A</v>
      </c>
      <c r="R46" s="191" t="e">
        <f t="shared" si="11"/>
        <v>#N/A</v>
      </c>
      <c r="S46" s="192" t="str">
        <f t="shared" si="5"/>
        <v/>
      </c>
      <c r="T46" s="192" t="e">
        <f t="shared" si="12"/>
        <v>#N/A</v>
      </c>
      <c r="U46" s="192" t="e">
        <f t="shared" si="13"/>
        <v>#N/A</v>
      </c>
      <c r="V46" s="192"/>
      <c r="W46" s="192"/>
      <c r="X46" s="192"/>
      <c r="Y46" s="192"/>
      <c r="Z46" s="192"/>
      <c r="AA46" s="193" t="e">
        <f t="shared" si="9"/>
        <v>#N/A</v>
      </c>
      <c r="AB46" s="192" t="e">
        <f t="shared" si="14"/>
        <v>#N/A</v>
      </c>
      <c r="AC46" s="192" t="e">
        <f t="shared" si="15"/>
        <v>#N/A</v>
      </c>
      <c r="AD46" s="194" t="e">
        <f t="shared" si="3"/>
        <v>#N/A</v>
      </c>
      <c r="AF46" s="211"/>
      <c r="AP46" s="92"/>
    </row>
    <row r="47" spans="2:42" x14ac:dyDescent="0.3">
      <c r="B47" s="188">
        <v>42</v>
      </c>
      <c r="C47" s="205"/>
      <c r="D47" s="206"/>
      <c r="E47" s="207"/>
      <c r="F47" s="207"/>
      <c r="G47" s="183" t="e">
        <f t="shared" si="0"/>
        <v>#N/A</v>
      </c>
      <c r="H47" s="183" t="e">
        <f t="shared" si="2"/>
        <v>#N/A</v>
      </c>
      <c r="I47" s="221">
        <f>'Plot Data'!$G$67</f>
        <v>12.775621055989912</v>
      </c>
      <c r="J47" s="221">
        <f>'Plot Data'!$G$65</f>
        <v>13.138875575788147</v>
      </c>
      <c r="K47" s="222">
        <f>'Plot Data'!$G$58</f>
        <v>13.865384615384617</v>
      </c>
      <c r="L47" s="222">
        <f>'Plot Data'!$G$62</f>
        <v>14.591893654981087</v>
      </c>
      <c r="M47" s="222">
        <f>'Plot Data'!$G$64</f>
        <v>14.955148174779321</v>
      </c>
      <c r="N47" s="222">
        <f>'Plot Data'!$G$68</f>
        <v>0.27730769230769237</v>
      </c>
      <c r="O47" s="190" t="e">
        <f t="shared" si="1"/>
        <v>#N/A</v>
      </c>
      <c r="P47" s="191" t="e">
        <f t="shared" si="4"/>
        <v>#N/A</v>
      </c>
      <c r="Q47" s="191" t="e">
        <f t="shared" si="10"/>
        <v>#N/A</v>
      </c>
      <c r="R47" s="191" t="e">
        <f t="shared" si="11"/>
        <v>#N/A</v>
      </c>
      <c r="S47" s="192" t="str">
        <f t="shared" si="5"/>
        <v/>
      </c>
      <c r="T47" s="192" t="e">
        <f t="shared" si="12"/>
        <v>#N/A</v>
      </c>
      <c r="U47" s="192" t="e">
        <f t="shared" si="13"/>
        <v>#N/A</v>
      </c>
      <c r="V47" s="192"/>
      <c r="W47" s="192"/>
      <c r="X47" s="192"/>
      <c r="Y47" s="192"/>
      <c r="Z47" s="192"/>
      <c r="AA47" s="193" t="e">
        <f t="shared" si="9"/>
        <v>#N/A</v>
      </c>
      <c r="AB47" s="192" t="e">
        <f t="shared" si="14"/>
        <v>#N/A</v>
      </c>
      <c r="AC47" s="192" t="e">
        <f t="shared" si="15"/>
        <v>#N/A</v>
      </c>
      <c r="AD47" s="194" t="e">
        <f t="shared" si="3"/>
        <v>#N/A</v>
      </c>
      <c r="AF47" s="211"/>
      <c r="AP47" s="92"/>
    </row>
    <row r="48" spans="2:42" x14ac:dyDescent="0.3">
      <c r="B48" s="188">
        <v>43</v>
      </c>
      <c r="C48" s="205"/>
      <c r="D48" s="206"/>
      <c r="E48" s="207"/>
      <c r="F48" s="207"/>
      <c r="G48" s="183" t="e">
        <f t="shared" si="0"/>
        <v>#N/A</v>
      </c>
      <c r="H48" s="183" t="e">
        <f t="shared" si="2"/>
        <v>#N/A</v>
      </c>
      <c r="I48" s="221">
        <f>'Plot Data'!$G$67</f>
        <v>12.775621055989912</v>
      </c>
      <c r="J48" s="221">
        <f>'Plot Data'!$G$65</f>
        <v>13.138875575788147</v>
      </c>
      <c r="K48" s="222">
        <f>'Plot Data'!$G$58</f>
        <v>13.865384615384617</v>
      </c>
      <c r="L48" s="222">
        <f>'Plot Data'!$G$62</f>
        <v>14.591893654981087</v>
      </c>
      <c r="M48" s="222">
        <f>'Plot Data'!$G$64</f>
        <v>14.955148174779321</v>
      </c>
      <c r="N48" s="222">
        <f>'Plot Data'!$G$68</f>
        <v>0.27730769230769237</v>
      </c>
      <c r="O48" s="190" t="e">
        <f t="shared" si="1"/>
        <v>#N/A</v>
      </c>
      <c r="P48" s="191" t="e">
        <f t="shared" si="4"/>
        <v>#N/A</v>
      </c>
      <c r="Q48" s="191" t="e">
        <f t="shared" si="10"/>
        <v>#N/A</v>
      </c>
      <c r="R48" s="191" t="e">
        <f t="shared" si="11"/>
        <v>#N/A</v>
      </c>
      <c r="S48" s="192" t="str">
        <f t="shared" si="5"/>
        <v/>
      </c>
      <c r="T48" s="192" t="e">
        <f t="shared" si="12"/>
        <v>#N/A</v>
      </c>
      <c r="U48" s="192" t="e">
        <f t="shared" si="13"/>
        <v>#N/A</v>
      </c>
      <c r="V48" s="192"/>
      <c r="W48" s="192"/>
      <c r="X48" s="192"/>
      <c r="Y48" s="192"/>
      <c r="Z48" s="192"/>
      <c r="AA48" s="193" t="e">
        <f t="shared" si="9"/>
        <v>#N/A</v>
      </c>
      <c r="AB48" s="192" t="e">
        <f t="shared" si="14"/>
        <v>#N/A</v>
      </c>
      <c r="AC48" s="192" t="e">
        <f t="shared" si="15"/>
        <v>#N/A</v>
      </c>
      <c r="AD48" s="194" t="e">
        <f t="shared" si="3"/>
        <v>#N/A</v>
      </c>
      <c r="AF48" s="211"/>
      <c r="AP48" s="92"/>
    </row>
    <row r="49" spans="2:42" x14ac:dyDescent="0.3">
      <c r="B49" s="188">
        <v>44</v>
      </c>
      <c r="C49" s="205"/>
      <c r="D49" s="206"/>
      <c r="E49" s="207"/>
      <c r="F49" s="207"/>
      <c r="G49" s="183" t="e">
        <f t="shared" si="0"/>
        <v>#N/A</v>
      </c>
      <c r="H49" s="183" t="e">
        <f t="shared" si="2"/>
        <v>#N/A</v>
      </c>
      <c r="I49" s="221">
        <f>'Plot Data'!$G$67</f>
        <v>12.775621055989912</v>
      </c>
      <c r="J49" s="221">
        <f>'Plot Data'!$G$65</f>
        <v>13.138875575788147</v>
      </c>
      <c r="K49" s="222">
        <f>'Plot Data'!$G$58</f>
        <v>13.865384615384617</v>
      </c>
      <c r="L49" s="222">
        <f>'Plot Data'!$G$62</f>
        <v>14.591893654981087</v>
      </c>
      <c r="M49" s="222">
        <f>'Plot Data'!$G$64</f>
        <v>14.955148174779321</v>
      </c>
      <c r="N49" s="222">
        <f>'Plot Data'!$G$68</f>
        <v>0.27730769230769237</v>
      </c>
      <c r="O49" s="190" t="e">
        <f t="shared" si="1"/>
        <v>#N/A</v>
      </c>
      <c r="P49" s="191" t="e">
        <f t="shared" si="4"/>
        <v>#N/A</v>
      </c>
      <c r="Q49" s="191" t="e">
        <f t="shared" si="10"/>
        <v>#N/A</v>
      </c>
      <c r="R49" s="191" t="e">
        <f t="shared" si="11"/>
        <v>#N/A</v>
      </c>
      <c r="S49" s="192" t="str">
        <f t="shared" si="5"/>
        <v/>
      </c>
      <c r="T49" s="192" t="e">
        <f t="shared" si="12"/>
        <v>#N/A</v>
      </c>
      <c r="U49" s="192" t="e">
        <f t="shared" si="13"/>
        <v>#N/A</v>
      </c>
      <c r="V49" s="192"/>
      <c r="W49" s="192"/>
      <c r="X49" s="192"/>
      <c r="Y49" s="192"/>
      <c r="Z49" s="192"/>
      <c r="AA49" s="193" t="e">
        <f t="shared" si="9"/>
        <v>#N/A</v>
      </c>
      <c r="AB49" s="192" t="e">
        <f t="shared" si="14"/>
        <v>#N/A</v>
      </c>
      <c r="AC49" s="192" t="e">
        <f t="shared" si="15"/>
        <v>#N/A</v>
      </c>
      <c r="AD49" s="194" t="e">
        <f t="shared" si="3"/>
        <v>#N/A</v>
      </c>
      <c r="AF49" s="211"/>
      <c r="AP49" s="92"/>
    </row>
    <row r="50" spans="2:42" x14ac:dyDescent="0.3">
      <c r="B50" s="188">
        <v>45</v>
      </c>
      <c r="C50" s="205"/>
      <c r="D50" s="206"/>
      <c r="E50" s="207"/>
      <c r="F50" s="207"/>
      <c r="G50" s="183" t="e">
        <f t="shared" si="0"/>
        <v>#N/A</v>
      </c>
      <c r="H50" s="183" t="e">
        <f t="shared" si="2"/>
        <v>#N/A</v>
      </c>
      <c r="I50" s="221">
        <f>'Plot Data'!$G$67</f>
        <v>12.775621055989912</v>
      </c>
      <c r="J50" s="221">
        <f>'Plot Data'!$G$65</f>
        <v>13.138875575788147</v>
      </c>
      <c r="K50" s="222">
        <f>'Plot Data'!$G$58</f>
        <v>13.865384615384617</v>
      </c>
      <c r="L50" s="222">
        <f>'Plot Data'!$G$62</f>
        <v>14.591893654981087</v>
      </c>
      <c r="M50" s="222">
        <f>'Plot Data'!$G$64</f>
        <v>14.955148174779321</v>
      </c>
      <c r="N50" s="222">
        <f>'Plot Data'!$G$68</f>
        <v>0.27730769230769237</v>
      </c>
      <c r="O50" s="190" t="e">
        <f t="shared" si="1"/>
        <v>#N/A</v>
      </c>
      <c r="P50" s="191" t="e">
        <f t="shared" si="4"/>
        <v>#N/A</v>
      </c>
      <c r="Q50" s="191" t="e">
        <f t="shared" si="10"/>
        <v>#N/A</v>
      </c>
      <c r="R50" s="191" t="e">
        <f t="shared" si="11"/>
        <v>#N/A</v>
      </c>
      <c r="S50" s="192" t="str">
        <f t="shared" si="5"/>
        <v/>
      </c>
      <c r="T50" s="192" t="e">
        <f t="shared" si="12"/>
        <v>#N/A</v>
      </c>
      <c r="U50" s="192" t="e">
        <f t="shared" si="13"/>
        <v>#N/A</v>
      </c>
      <c r="V50" s="192"/>
      <c r="W50" s="192"/>
      <c r="X50" s="192"/>
      <c r="Y50" s="192"/>
      <c r="Z50" s="192"/>
      <c r="AA50" s="193" t="e">
        <f t="shared" si="9"/>
        <v>#N/A</v>
      </c>
      <c r="AB50" s="192" t="e">
        <f t="shared" si="14"/>
        <v>#N/A</v>
      </c>
      <c r="AC50" s="192" t="e">
        <f t="shared" si="15"/>
        <v>#N/A</v>
      </c>
      <c r="AD50" s="194" t="e">
        <f t="shared" si="3"/>
        <v>#N/A</v>
      </c>
      <c r="AF50" s="211"/>
      <c r="AP50" s="92"/>
    </row>
    <row r="51" spans="2:42" x14ac:dyDescent="0.3">
      <c r="B51" s="188">
        <v>46</v>
      </c>
      <c r="C51" s="205"/>
      <c r="D51" s="206"/>
      <c r="E51" s="207"/>
      <c r="F51" s="207"/>
      <c r="G51" s="183" t="e">
        <f t="shared" si="0"/>
        <v>#N/A</v>
      </c>
      <c r="H51" s="183" t="e">
        <f t="shared" si="2"/>
        <v>#N/A</v>
      </c>
      <c r="I51" s="221">
        <f>'Plot Data'!$G$67</f>
        <v>12.775621055989912</v>
      </c>
      <c r="J51" s="221">
        <f>'Plot Data'!$G$65</f>
        <v>13.138875575788147</v>
      </c>
      <c r="K51" s="222">
        <f>'Plot Data'!$G$58</f>
        <v>13.865384615384617</v>
      </c>
      <c r="L51" s="222">
        <f>'Plot Data'!$G$62</f>
        <v>14.591893654981087</v>
      </c>
      <c r="M51" s="222">
        <f>'Plot Data'!$G$64</f>
        <v>14.955148174779321</v>
      </c>
      <c r="N51" s="222">
        <f>'Plot Data'!$G$68</f>
        <v>0.27730769230769237</v>
      </c>
      <c r="O51" s="190" t="e">
        <f t="shared" si="1"/>
        <v>#N/A</v>
      </c>
      <c r="P51" s="191" t="e">
        <f t="shared" si="4"/>
        <v>#N/A</v>
      </c>
      <c r="Q51" s="191" t="e">
        <f t="shared" si="10"/>
        <v>#N/A</v>
      </c>
      <c r="R51" s="191" t="e">
        <f t="shared" si="11"/>
        <v>#N/A</v>
      </c>
      <c r="S51" s="192" t="str">
        <f t="shared" si="5"/>
        <v/>
      </c>
      <c r="T51" s="192" t="e">
        <f t="shared" si="12"/>
        <v>#N/A</v>
      </c>
      <c r="U51" s="192" t="e">
        <f t="shared" si="13"/>
        <v>#N/A</v>
      </c>
      <c r="V51" s="192"/>
      <c r="W51" s="192"/>
      <c r="X51" s="192"/>
      <c r="Y51" s="192"/>
      <c r="Z51" s="192"/>
      <c r="AA51" s="193" t="e">
        <f t="shared" si="9"/>
        <v>#N/A</v>
      </c>
      <c r="AB51" s="192" t="e">
        <f t="shared" si="14"/>
        <v>#N/A</v>
      </c>
      <c r="AC51" s="192" t="e">
        <f t="shared" si="15"/>
        <v>#N/A</v>
      </c>
      <c r="AD51" s="194" t="e">
        <f t="shared" si="3"/>
        <v>#N/A</v>
      </c>
      <c r="AF51" s="211"/>
      <c r="AP51" s="92"/>
    </row>
    <row r="52" spans="2:42" x14ac:dyDescent="0.3">
      <c r="B52" s="188">
        <v>47</v>
      </c>
      <c r="C52" s="205"/>
      <c r="D52" s="206"/>
      <c r="E52" s="207"/>
      <c r="F52" s="207"/>
      <c r="G52" s="183" t="e">
        <f t="shared" si="0"/>
        <v>#N/A</v>
      </c>
      <c r="H52" s="183" t="e">
        <f t="shared" si="2"/>
        <v>#N/A</v>
      </c>
      <c r="I52" s="221">
        <f>'Plot Data'!$G$67</f>
        <v>12.775621055989912</v>
      </c>
      <c r="J52" s="221">
        <f>'Plot Data'!$G$65</f>
        <v>13.138875575788147</v>
      </c>
      <c r="K52" s="222">
        <f>'Plot Data'!$G$58</f>
        <v>13.865384615384617</v>
      </c>
      <c r="L52" s="222">
        <f>'Plot Data'!$G$62</f>
        <v>14.591893654981087</v>
      </c>
      <c r="M52" s="222">
        <f>'Plot Data'!$G$64</f>
        <v>14.955148174779321</v>
      </c>
      <c r="N52" s="222">
        <f>'Plot Data'!$G$68</f>
        <v>0.27730769230769237</v>
      </c>
      <c r="O52" s="190" t="e">
        <f t="shared" si="1"/>
        <v>#N/A</v>
      </c>
      <c r="P52" s="191" t="e">
        <f t="shared" si="4"/>
        <v>#N/A</v>
      </c>
      <c r="Q52" s="191" t="e">
        <f t="shared" si="10"/>
        <v>#N/A</v>
      </c>
      <c r="R52" s="191" t="e">
        <f t="shared" si="11"/>
        <v>#N/A</v>
      </c>
      <c r="S52" s="192" t="str">
        <f t="shared" si="5"/>
        <v/>
      </c>
      <c r="T52" s="192" t="e">
        <f t="shared" si="12"/>
        <v>#N/A</v>
      </c>
      <c r="U52" s="192" t="e">
        <f t="shared" si="13"/>
        <v>#N/A</v>
      </c>
      <c r="V52" s="192"/>
      <c r="W52" s="192"/>
      <c r="X52" s="192"/>
      <c r="Y52" s="192"/>
      <c r="Z52" s="192"/>
      <c r="AA52" s="193" t="e">
        <f t="shared" si="9"/>
        <v>#N/A</v>
      </c>
      <c r="AB52" s="192" t="e">
        <f t="shared" si="14"/>
        <v>#N/A</v>
      </c>
      <c r="AC52" s="192" t="e">
        <f t="shared" si="15"/>
        <v>#N/A</v>
      </c>
      <c r="AD52" s="194" t="e">
        <f t="shared" si="3"/>
        <v>#N/A</v>
      </c>
      <c r="AF52" s="211"/>
      <c r="AP52" s="92"/>
    </row>
    <row r="53" spans="2:42" x14ac:dyDescent="0.3">
      <c r="B53" s="188">
        <v>48</v>
      </c>
      <c r="C53" s="205"/>
      <c r="D53" s="206"/>
      <c r="E53" s="207"/>
      <c r="F53" s="207"/>
      <c r="G53" s="183" t="e">
        <f t="shared" si="0"/>
        <v>#N/A</v>
      </c>
      <c r="H53" s="183" t="e">
        <f t="shared" si="2"/>
        <v>#N/A</v>
      </c>
      <c r="I53" s="221">
        <f>'Plot Data'!$G$67</f>
        <v>12.775621055989912</v>
      </c>
      <c r="J53" s="221">
        <f>'Plot Data'!$G$65</f>
        <v>13.138875575788147</v>
      </c>
      <c r="K53" s="222">
        <f>'Plot Data'!$G$58</f>
        <v>13.865384615384617</v>
      </c>
      <c r="L53" s="222">
        <f>'Plot Data'!$G$62</f>
        <v>14.591893654981087</v>
      </c>
      <c r="M53" s="222">
        <f>'Plot Data'!$G$64</f>
        <v>14.955148174779321</v>
      </c>
      <c r="N53" s="222">
        <f>'Plot Data'!$G$68</f>
        <v>0.27730769230769237</v>
      </c>
      <c r="O53" s="190" t="e">
        <f t="shared" si="1"/>
        <v>#N/A</v>
      </c>
      <c r="P53" s="191" t="e">
        <f t="shared" si="4"/>
        <v>#N/A</v>
      </c>
      <c r="Q53" s="191" t="e">
        <f t="shared" si="10"/>
        <v>#N/A</v>
      </c>
      <c r="R53" s="191" t="e">
        <f t="shared" si="11"/>
        <v>#N/A</v>
      </c>
      <c r="S53" s="192" t="str">
        <f t="shared" si="5"/>
        <v/>
      </c>
      <c r="T53" s="192" t="e">
        <f t="shared" si="12"/>
        <v>#N/A</v>
      </c>
      <c r="U53" s="192" t="e">
        <f t="shared" si="13"/>
        <v>#N/A</v>
      </c>
      <c r="V53" s="192"/>
      <c r="W53" s="192"/>
      <c r="X53" s="192"/>
      <c r="Y53" s="192"/>
      <c r="Z53" s="192"/>
      <c r="AA53" s="193" t="e">
        <f t="shared" si="9"/>
        <v>#N/A</v>
      </c>
      <c r="AB53" s="192" t="e">
        <f t="shared" si="14"/>
        <v>#N/A</v>
      </c>
      <c r="AC53" s="192" t="e">
        <f t="shared" si="15"/>
        <v>#N/A</v>
      </c>
      <c r="AD53" s="194" t="e">
        <f t="shared" si="3"/>
        <v>#N/A</v>
      </c>
      <c r="AF53" s="211"/>
      <c r="AP53" s="92"/>
    </row>
    <row r="54" spans="2:42" x14ac:dyDescent="0.3">
      <c r="B54" s="188">
        <v>49</v>
      </c>
      <c r="C54" s="205"/>
      <c r="D54" s="206"/>
      <c r="E54" s="207"/>
      <c r="F54" s="207"/>
      <c r="G54" s="183" t="e">
        <f t="shared" si="0"/>
        <v>#N/A</v>
      </c>
      <c r="H54" s="183" t="e">
        <f t="shared" si="2"/>
        <v>#N/A</v>
      </c>
      <c r="I54" s="221">
        <f>'Plot Data'!$G$67</f>
        <v>12.775621055989912</v>
      </c>
      <c r="J54" s="221">
        <f>'Plot Data'!$G$65</f>
        <v>13.138875575788147</v>
      </c>
      <c r="K54" s="222">
        <f>'Plot Data'!$G$58</f>
        <v>13.865384615384617</v>
      </c>
      <c r="L54" s="222">
        <f>'Plot Data'!$G$62</f>
        <v>14.591893654981087</v>
      </c>
      <c r="M54" s="222">
        <f>'Plot Data'!$G$64</f>
        <v>14.955148174779321</v>
      </c>
      <c r="N54" s="222">
        <f>'Plot Data'!$G$68</f>
        <v>0.27730769230769237</v>
      </c>
      <c r="O54" s="190" t="e">
        <f t="shared" si="1"/>
        <v>#N/A</v>
      </c>
      <c r="P54" s="191" t="e">
        <f t="shared" si="4"/>
        <v>#N/A</v>
      </c>
      <c r="Q54" s="191" t="e">
        <f t="shared" si="10"/>
        <v>#N/A</v>
      </c>
      <c r="R54" s="191" t="e">
        <f t="shared" si="11"/>
        <v>#N/A</v>
      </c>
      <c r="S54" s="192" t="str">
        <f t="shared" si="5"/>
        <v/>
      </c>
      <c r="T54" s="192" t="e">
        <f t="shared" si="12"/>
        <v>#N/A</v>
      </c>
      <c r="U54" s="192" t="e">
        <f t="shared" si="13"/>
        <v>#N/A</v>
      </c>
      <c r="V54" s="192"/>
      <c r="W54" s="192"/>
      <c r="X54" s="192"/>
      <c r="Y54" s="192"/>
      <c r="Z54" s="192"/>
      <c r="AA54" s="193" t="e">
        <f t="shared" si="9"/>
        <v>#N/A</v>
      </c>
      <c r="AB54" s="192" t="e">
        <f t="shared" si="14"/>
        <v>#N/A</v>
      </c>
      <c r="AC54" s="192" t="e">
        <f t="shared" si="15"/>
        <v>#N/A</v>
      </c>
      <c r="AD54" s="194" t="e">
        <f t="shared" si="3"/>
        <v>#N/A</v>
      </c>
      <c r="AF54" s="211"/>
      <c r="AP54" s="92"/>
    </row>
    <row r="55" spans="2:42" ht="15" thickBot="1" x14ac:dyDescent="0.35">
      <c r="B55" s="189">
        <v>50</v>
      </c>
      <c r="C55" s="208"/>
      <c r="D55" s="209"/>
      <c r="E55" s="210"/>
      <c r="F55" s="210"/>
      <c r="G55" s="185" t="e">
        <f t="shared" si="0"/>
        <v>#N/A</v>
      </c>
      <c r="H55" s="185" t="e">
        <f t="shared" si="2"/>
        <v>#N/A</v>
      </c>
      <c r="I55" s="223">
        <f>'Plot Data'!$G$67</f>
        <v>12.775621055989912</v>
      </c>
      <c r="J55" s="223">
        <f>'Plot Data'!$G$65</f>
        <v>13.138875575788147</v>
      </c>
      <c r="K55" s="224">
        <f>'Plot Data'!$G$58</f>
        <v>13.865384615384617</v>
      </c>
      <c r="L55" s="224">
        <f>'Plot Data'!$G$62</f>
        <v>14.591893654981087</v>
      </c>
      <c r="M55" s="224">
        <f>'Plot Data'!$G$64</f>
        <v>14.955148174779321</v>
      </c>
      <c r="N55" s="224">
        <f>'Plot Data'!$G$68</f>
        <v>0.27730769230769237</v>
      </c>
      <c r="O55" s="195" t="e">
        <f t="shared" si="1"/>
        <v>#N/A</v>
      </c>
      <c r="P55" s="196" t="e">
        <f t="shared" si="4"/>
        <v>#N/A</v>
      </c>
      <c r="Q55" s="196" t="e">
        <f t="shared" si="10"/>
        <v>#N/A</v>
      </c>
      <c r="R55" s="196" t="e">
        <f t="shared" si="11"/>
        <v>#N/A</v>
      </c>
      <c r="S55" s="192" t="str">
        <f t="shared" si="5"/>
        <v/>
      </c>
      <c r="T55" s="197" t="e">
        <f t="shared" si="12"/>
        <v>#N/A</v>
      </c>
      <c r="U55" s="197" t="e">
        <f t="shared" si="13"/>
        <v>#N/A</v>
      </c>
      <c r="V55" s="197"/>
      <c r="W55" s="197"/>
      <c r="X55" s="197"/>
      <c r="Y55" s="197"/>
      <c r="Z55" s="197"/>
      <c r="AA55" s="193" t="e">
        <f t="shared" si="9"/>
        <v>#N/A</v>
      </c>
      <c r="AB55" s="197" t="e">
        <f t="shared" si="14"/>
        <v>#N/A</v>
      </c>
      <c r="AC55" s="192" t="e">
        <f t="shared" si="15"/>
        <v>#N/A</v>
      </c>
      <c r="AD55" s="198" t="e">
        <f t="shared" si="3"/>
        <v>#N/A</v>
      </c>
      <c r="AF55" s="212"/>
      <c r="AG55" s="213"/>
      <c r="AH55" s="213"/>
      <c r="AI55" s="213"/>
      <c r="AJ55" s="213"/>
      <c r="AK55" s="213"/>
      <c r="AL55" s="213"/>
      <c r="AM55" s="213"/>
      <c r="AN55" s="213"/>
      <c r="AO55" s="213"/>
      <c r="AP55" s="214"/>
    </row>
  </sheetData>
  <sheetProtection password="B7E1" sheet="1" objects="1" scenarios="1"/>
  <mergeCells count="25">
    <mergeCell ref="B2:D2"/>
    <mergeCell ref="H2:I2"/>
    <mergeCell ref="J2:K2"/>
    <mergeCell ref="B3:D3"/>
    <mergeCell ref="AF5:AG5"/>
    <mergeCell ref="AK5:AM5"/>
    <mergeCell ref="AN5:AP5"/>
    <mergeCell ref="AF6:AG7"/>
    <mergeCell ref="AH6:AJ7"/>
    <mergeCell ref="AK6:AM7"/>
    <mergeCell ref="AN6:AN7"/>
    <mergeCell ref="AO6:AO7"/>
    <mergeCell ref="AP6:AP7"/>
    <mergeCell ref="AH5:AJ5"/>
    <mergeCell ref="AP35:AP36"/>
    <mergeCell ref="AF31:AP32"/>
    <mergeCell ref="AF33:AG34"/>
    <mergeCell ref="AH33:AJ34"/>
    <mergeCell ref="AK33:AM34"/>
    <mergeCell ref="AN33:AP34"/>
    <mergeCell ref="AF35:AG36"/>
    <mergeCell ref="AH35:AJ36"/>
    <mergeCell ref="AK35:AM36"/>
    <mergeCell ref="AN35:AN36"/>
    <mergeCell ref="AO35:AO36"/>
  </mergeCells>
  <conditionalFormatting sqref="O6:O55">
    <cfRule type="cellIs" dxfId="160" priority="17" operator="equal">
      <formula>"Pass"</formula>
    </cfRule>
    <cfRule type="cellIs" dxfId="159" priority="18" operator="equal">
      <formula>"&lt;-3s"</formula>
    </cfRule>
    <cfRule type="cellIs" dxfId="158" priority="19" operator="equal">
      <formula>"&gt;+3s"</formula>
    </cfRule>
  </conditionalFormatting>
  <conditionalFormatting sqref="P7:P55">
    <cfRule type="cellIs" dxfId="157" priority="9" operator="equal">
      <formula>"Pass"</formula>
    </cfRule>
    <cfRule type="cellIs" dxfId="156" priority="14" operator="equal">
      <formula>""</formula>
    </cfRule>
    <cfRule type="cellIs" dxfId="155" priority="15" operator="equal">
      <formula>"Fail &gt; +2s"</formula>
    </cfRule>
    <cfRule type="cellIs" dxfId="154" priority="16" operator="equal">
      <formula>"Fail &lt; -2s"</formula>
    </cfRule>
  </conditionalFormatting>
  <conditionalFormatting sqref="Q13:Q55">
    <cfRule type="cellIs" dxfId="153" priority="5" operator="equal">
      <formula>""</formula>
    </cfRule>
    <cfRule type="cellIs" dxfId="152" priority="6" operator="equal">
      <formula>"Pass"</formula>
    </cfRule>
    <cfRule type="cellIs" dxfId="151" priority="7" operator="equal">
      <formula>"Fail -ve bias"</formula>
    </cfRule>
    <cfRule type="cellIs" dxfId="150" priority="8" operator="equal">
      <formula>"Fail +ve bias"</formula>
    </cfRule>
  </conditionalFormatting>
  <conditionalFormatting sqref="R12:R55">
    <cfRule type="cellIs" dxfId="149" priority="10" operator="equal">
      <formula>""</formula>
    </cfRule>
    <cfRule type="cellIs" dxfId="148" priority="11" operator="equal">
      <formula>"Fail -ve trend"</formula>
    </cfRule>
    <cfRule type="cellIs" dxfId="147" priority="12" operator="equal">
      <formula>"Fail +ve trend"</formula>
    </cfRule>
    <cfRule type="cellIs" dxfId="146" priority="13" operator="equal">
      <formula>"Pass"</formula>
    </cfRule>
  </conditionalFormatting>
  <conditionalFormatting sqref="AC15:AC55">
    <cfRule type="cellIs" dxfId="145" priority="1" operator="equal">
      <formula>"Pass"</formula>
    </cfRule>
    <cfRule type="cellIs" dxfId="144" priority="2" operator="equal">
      <formula>""</formula>
    </cfRule>
    <cfRule type="cellIs" dxfId="143" priority="3" operator="equal">
      <formula>"Fail -ve"</formula>
    </cfRule>
    <cfRule type="cellIs" dxfId="142" priority="4" operator="equal">
      <formula>"Fail +ve"</formula>
    </cfRule>
  </conditionalFormatting>
  <conditionalFormatting sqref="AD6:AD55">
    <cfRule type="cellIs" dxfId="141" priority="20" operator="equal">
      <formula>NA()</formula>
    </cfRule>
    <cfRule type="cellIs" dxfId="140" priority="21" operator="equal">
      <formula>"Yes"</formula>
    </cfRule>
    <cfRule type="cellIs" dxfId="139" priority="22" operator="equal">
      <formula>"No"</formula>
    </cfRule>
  </conditionalFormatting>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F0"/>
    <pageSetUpPr autoPageBreaks="0"/>
  </sheetPr>
  <dimension ref="B1:AP55"/>
  <sheetViews>
    <sheetView showZeros="0" topLeftCell="A15" zoomScale="85" zoomScaleNormal="85" workbookViewId="0">
      <selection activeCell="C29" sqref="C29"/>
    </sheetView>
  </sheetViews>
  <sheetFormatPr defaultColWidth="9.21875" defaultRowHeight="14.4" x14ac:dyDescent="0.3"/>
  <cols>
    <col min="2" max="2" width="7.77734375" bestFit="1" customWidth="1"/>
    <col min="3" max="4" width="13.77734375" customWidth="1"/>
    <col min="5" max="5" width="14.21875" bestFit="1" customWidth="1"/>
    <col min="6" max="6" width="14.5546875" customWidth="1"/>
    <col min="7" max="7" width="19.21875" bestFit="1" customWidth="1"/>
    <col min="8" max="8" width="18.77734375" bestFit="1" customWidth="1"/>
    <col min="9" max="9" width="13.77734375" customWidth="1"/>
    <col min="11" max="11" width="12.77734375" customWidth="1"/>
    <col min="14" max="14" width="15" bestFit="1" customWidth="1"/>
    <col min="15" max="15" width="15.77734375" style="174" customWidth="1"/>
    <col min="16" max="18" width="15.77734375" customWidth="1"/>
    <col min="19" max="29" width="15.77734375" hidden="1" customWidth="1"/>
    <col min="30" max="30" width="13.77734375" customWidth="1"/>
    <col min="40" max="40" width="13.77734375" bestFit="1" customWidth="1"/>
    <col min="42" max="42" width="13.77734375" bestFit="1" customWidth="1"/>
  </cols>
  <sheetData>
    <row r="1" spans="2:42" ht="15" thickBot="1" x14ac:dyDescent="0.35"/>
    <row r="2" spans="2:42" ht="15.6" x14ac:dyDescent="0.3">
      <c r="B2" s="708" t="s">
        <v>69</v>
      </c>
      <c r="C2" s="709"/>
      <c r="D2" s="709"/>
      <c r="E2" s="203" t="s">
        <v>214</v>
      </c>
      <c r="G2" s="175"/>
      <c r="H2" s="710" t="s">
        <v>220</v>
      </c>
      <c r="I2" s="711"/>
      <c r="J2" s="712" t="s">
        <v>223</v>
      </c>
      <c r="K2" s="713"/>
    </row>
    <row r="3" spans="2:42" ht="20.100000000000001" customHeight="1" thickBot="1" x14ac:dyDescent="0.35">
      <c r="B3" s="706" t="s">
        <v>203</v>
      </c>
      <c r="C3" s="707"/>
      <c r="D3" s="707"/>
      <c r="E3" s="204" t="s">
        <v>209</v>
      </c>
      <c r="G3" s="175"/>
      <c r="H3" s="199" t="s">
        <v>204</v>
      </c>
      <c r="I3" s="200">
        <f>C6</f>
        <v>37212</v>
      </c>
      <c r="J3" s="201" t="s">
        <v>205</v>
      </c>
      <c r="K3" s="202">
        <f>MAX(C6:C55)</f>
        <v>39403</v>
      </c>
    </row>
    <row r="4" spans="2:42" ht="20.100000000000001" customHeight="1" thickBot="1" x14ac:dyDescent="0.35">
      <c r="B4" s="175"/>
      <c r="C4" s="175"/>
      <c r="D4" s="175"/>
      <c r="E4" s="175"/>
      <c r="G4" s="175"/>
    </row>
    <row r="5" spans="2:42" ht="29.25" customHeight="1" x14ac:dyDescent="0.3">
      <c r="B5" s="215" t="s">
        <v>198</v>
      </c>
      <c r="C5" s="187" t="s">
        <v>0</v>
      </c>
      <c r="D5" s="187" t="s">
        <v>192</v>
      </c>
      <c r="E5" s="187" t="s">
        <v>193</v>
      </c>
      <c r="F5" s="187" t="s">
        <v>194</v>
      </c>
      <c r="G5" s="187" t="s">
        <v>208</v>
      </c>
      <c r="H5" s="187" t="s">
        <v>213</v>
      </c>
      <c r="I5" s="216" t="s">
        <v>45</v>
      </c>
      <c r="J5" s="216" t="s">
        <v>46</v>
      </c>
      <c r="K5" s="217" t="s">
        <v>200</v>
      </c>
      <c r="L5" s="216" t="s">
        <v>47</v>
      </c>
      <c r="M5" s="216" t="s">
        <v>48</v>
      </c>
      <c r="N5" s="187" t="s">
        <v>19</v>
      </c>
      <c r="O5" s="187" t="s">
        <v>196</v>
      </c>
      <c r="P5" s="187" t="s">
        <v>197</v>
      </c>
      <c r="Q5" s="187" t="s">
        <v>201</v>
      </c>
      <c r="R5" s="187" t="s">
        <v>202</v>
      </c>
      <c r="S5" s="218"/>
      <c r="T5" s="219" t="s">
        <v>211</v>
      </c>
      <c r="U5" s="219" t="s">
        <v>212</v>
      </c>
      <c r="V5" s="219"/>
      <c r="W5" s="219"/>
      <c r="X5" s="219"/>
      <c r="Y5" s="219"/>
      <c r="Z5" s="219"/>
      <c r="AA5" s="219"/>
      <c r="AB5" s="219"/>
      <c r="AC5" s="218" t="s">
        <v>210</v>
      </c>
      <c r="AD5" s="220" t="s">
        <v>199</v>
      </c>
      <c r="AE5" s="176"/>
      <c r="AF5" s="714" t="s">
        <v>207</v>
      </c>
      <c r="AG5" s="715"/>
      <c r="AH5" s="689" t="str">
        <f>B2</f>
        <v>Quick Ash</v>
      </c>
      <c r="AI5" s="692"/>
      <c r="AJ5" s="692"/>
      <c r="AK5" s="693" t="s">
        <v>168</v>
      </c>
      <c r="AL5" s="693"/>
      <c r="AM5" s="693"/>
      <c r="AN5" s="689" t="str">
        <f>J2</f>
        <v>IMP-QASH-01</v>
      </c>
      <c r="AO5" s="689"/>
      <c r="AP5" s="691"/>
    </row>
    <row r="6" spans="2:42" x14ac:dyDescent="0.3">
      <c r="B6" s="188">
        <v>1</v>
      </c>
      <c r="C6" s="205">
        <v>37212</v>
      </c>
      <c r="D6" s="206"/>
      <c r="E6" s="207">
        <v>16.8</v>
      </c>
      <c r="F6" s="207">
        <v>16.899999999999999</v>
      </c>
      <c r="G6" s="183">
        <f t="shared" ref="G6:G55" si="0">IF(AND(E6="",F6=""),NA(),AVERAGE(E6:F6))</f>
        <v>16.850000000000001</v>
      </c>
      <c r="H6" s="183">
        <f>IF(AND(E6="",F6=""),NA(),ABS(E6-F6))</f>
        <v>9.9999999999997868E-2</v>
      </c>
      <c r="I6" s="221">
        <f>'Plot Data'!$H$67</f>
        <v>21.692864141671475</v>
      </c>
      <c r="J6" s="221">
        <f>'Plot Data'!$H$65</f>
        <v>21.858099903971461</v>
      </c>
      <c r="K6" s="222">
        <f>'Plot Data'!$H$58</f>
        <v>22.188571428571429</v>
      </c>
      <c r="L6" s="222">
        <f>'Plot Data'!$H$62</f>
        <v>22.519042953171397</v>
      </c>
      <c r="M6" s="222">
        <f>'Plot Data'!$H$64</f>
        <v>22.684278715471383</v>
      </c>
      <c r="N6" s="222">
        <f>'Plot Data'!$H$68</f>
        <v>0.44377142857142859</v>
      </c>
      <c r="O6" s="177" t="str">
        <f t="shared" ref="O6:O55" si="1">IF(G6&gt;M6,"&gt;+3s",IF(G6&lt;I6,"&lt;-3s","Pass"))</f>
        <v>&lt;-3s</v>
      </c>
      <c r="P6" s="191"/>
      <c r="Q6" s="191"/>
      <c r="R6" s="191"/>
      <c r="S6" s="178"/>
      <c r="T6" s="178"/>
      <c r="U6" s="178"/>
      <c r="V6" s="178"/>
      <c r="W6" s="178"/>
      <c r="X6" s="178"/>
      <c r="Y6" s="178"/>
      <c r="Z6" s="178"/>
      <c r="AA6" s="178"/>
      <c r="AB6" s="178"/>
      <c r="AC6" s="178"/>
      <c r="AD6" s="179" t="str">
        <f>IF(H6="","",IF(H6&gt;N6,"No","Yes"))</f>
        <v>Yes</v>
      </c>
      <c r="AF6" s="682" t="s">
        <v>203</v>
      </c>
      <c r="AG6" s="683"/>
      <c r="AH6" s="683" t="str">
        <f>E3</f>
        <v>034</v>
      </c>
      <c r="AI6" s="683"/>
      <c r="AJ6" s="683"/>
      <c r="AK6" s="696" t="s">
        <v>204</v>
      </c>
      <c r="AL6" s="697"/>
      <c r="AM6" s="698"/>
      <c r="AN6" s="686">
        <f>I3</f>
        <v>37212</v>
      </c>
      <c r="AO6" s="683" t="s">
        <v>205</v>
      </c>
      <c r="AP6" s="680">
        <f>K3</f>
        <v>39403</v>
      </c>
    </row>
    <row r="7" spans="2:42" ht="15" customHeight="1" x14ac:dyDescent="0.3">
      <c r="B7" s="188">
        <v>2</v>
      </c>
      <c r="C7" s="205">
        <v>37577</v>
      </c>
      <c r="D7" s="206"/>
      <c r="E7" s="207">
        <v>17</v>
      </c>
      <c r="F7" s="207">
        <v>17.399999999999999</v>
      </c>
      <c r="G7" s="183">
        <f t="shared" si="0"/>
        <v>17.2</v>
      </c>
      <c r="H7" s="183">
        <f t="shared" ref="H7:H55" si="2">IF(AND(E7="",F7=""),NA(),ABS(E7-F7))</f>
        <v>0.39999999999999858</v>
      </c>
      <c r="I7" s="221">
        <f>'Plot Data'!$H$67</f>
        <v>21.692864141671475</v>
      </c>
      <c r="J7" s="221">
        <f>'Plot Data'!$H$65</f>
        <v>21.858099903971461</v>
      </c>
      <c r="K7" s="222">
        <f>'Plot Data'!$H$58</f>
        <v>22.188571428571429</v>
      </c>
      <c r="L7" s="222">
        <f>'Plot Data'!$H$62</f>
        <v>22.519042953171397</v>
      </c>
      <c r="M7" s="222">
        <f>'Plot Data'!$H$64</f>
        <v>22.684278715471383</v>
      </c>
      <c r="N7" s="222">
        <f>'Plot Data'!$H$68</f>
        <v>0.44377142857142859</v>
      </c>
      <c r="O7" s="177" t="str">
        <f t="shared" si="1"/>
        <v>&lt;-3s</v>
      </c>
      <c r="P7" s="180" t="str">
        <f>IF(AND(G7&gt;L7,G6&gt;L6),"Fail &gt; +2s",IF(AND(G7&lt;J7,G6&lt;J6),"Fail &lt; -2s","Pass"))</f>
        <v>Fail &lt; -2s</v>
      </c>
      <c r="Q7" s="191"/>
      <c r="R7" s="191"/>
      <c r="S7" s="178" t="str">
        <f>IF(E7="","",IF(G7&gt;G6,"+",IF(G7&lt;G6,"-","")))</f>
        <v>+</v>
      </c>
      <c r="T7" s="178"/>
      <c r="U7" s="178"/>
      <c r="V7" s="178"/>
      <c r="W7" s="178"/>
      <c r="X7" s="178"/>
      <c r="Y7" s="178"/>
      <c r="Z7" s="178"/>
      <c r="AA7" s="178"/>
      <c r="AB7" s="178"/>
      <c r="AC7" s="178"/>
      <c r="AD7" s="179" t="str">
        <f t="shared" ref="AD7:AD55" si="3">IF(H7="","",IF(H7&gt;N7,"No","Yes"))</f>
        <v>Yes</v>
      </c>
      <c r="AF7" s="694"/>
      <c r="AG7" s="695"/>
      <c r="AH7" s="695"/>
      <c r="AI7" s="695"/>
      <c r="AJ7" s="695"/>
      <c r="AK7" s="699"/>
      <c r="AL7" s="700"/>
      <c r="AM7" s="701"/>
      <c r="AN7" s="702"/>
      <c r="AO7" s="695"/>
      <c r="AP7" s="688"/>
    </row>
    <row r="8" spans="2:42" x14ac:dyDescent="0.3">
      <c r="B8" s="188">
        <v>3</v>
      </c>
      <c r="C8" s="205">
        <v>37942</v>
      </c>
      <c r="D8" s="206"/>
      <c r="E8" s="207">
        <v>17.100000000000001</v>
      </c>
      <c r="F8" s="207">
        <v>16.8</v>
      </c>
      <c r="G8" s="183">
        <f t="shared" si="0"/>
        <v>16.950000000000003</v>
      </c>
      <c r="H8" s="183">
        <f t="shared" si="2"/>
        <v>0.30000000000000071</v>
      </c>
      <c r="I8" s="221">
        <f>'Plot Data'!$H$67</f>
        <v>21.692864141671475</v>
      </c>
      <c r="J8" s="221">
        <f>'Plot Data'!$H$65</f>
        <v>21.858099903971461</v>
      </c>
      <c r="K8" s="222">
        <f>'Plot Data'!$H$58</f>
        <v>22.188571428571429</v>
      </c>
      <c r="L8" s="222">
        <f>'Plot Data'!$H$62</f>
        <v>22.519042953171397</v>
      </c>
      <c r="M8" s="222">
        <f>'Plot Data'!$H$64</f>
        <v>22.684278715471383</v>
      </c>
      <c r="N8" s="222">
        <f>'Plot Data'!$H$68</f>
        <v>0.44377142857142859</v>
      </c>
      <c r="O8" s="177" t="str">
        <f t="shared" si="1"/>
        <v>&lt;-3s</v>
      </c>
      <c r="P8" s="180" t="str">
        <f t="shared" ref="P8:P55" si="4">IF(AND(G8&gt;L8,G7&gt;L7),"Fail &gt; +2s",IF(AND(G8&gt;L8,G6&gt;L6),"Fail &gt; +2s",IF(AND(G8&lt;J8,G7&lt;J7),"Fail &lt; -2s",IF(AND(G8&lt;J8,G6&lt;J6),"Fail &lt; -2s","Pass"))))</f>
        <v>Fail &lt; -2s</v>
      </c>
      <c r="Q8" s="191"/>
      <c r="R8" s="191"/>
      <c r="S8" s="178" t="str">
        <f t="shared" ref="S8:S55" si="5">IF(E8="","",IF(G8&gt;G7,"+",IF(G8&lt;G7,"-","")))</f>
        <v>-</v>
      </c>
      <c r="T8" s="178"/>
      <c r="U8" s="178"/>
      <c r="V8" s="178"/>
      <c r="W8" s="178"/>
      <c r="X8" s="181">
        <f>AVERAGE(G6:G8)</f>
        <v>17</v>
      </c>
      <c r="Y8" s="181"/>
      <c r="Z8" s="181"/>
      <c r="AA8" s="181"/>
      <c r="AB8" s="181"/>
      <c r="AC8" s="178"/>
      <c r="AD8" s="179" t="str">
        <f t="shared" si="3"/>
        <v>Yes</v>
      </c>
    </row>
    <row r="9" spans="2:42" x14ac:dyDescent="0.3">
      <c r="B9" s="188">
        <v>4</v>
      </c>
      <c r="C9" s="205">
        <v>38308</v>
      </c>
      <c r="D9" s="206"/>
      <c r="E9" s="207">
        <v>17.149999999999999</v>
      </c>
      <c r="F9" s="207">
        <v>16.77</v>
      </c>
      <c r="G9" s="183">
        <f t="shared" si="0"/>
        <v>16.96</v>
      </c>
      <c r="H9" s="183">
        <f t="shared" si="2"/>
        <v>0.37999999999999901</v>
      </c>
      <c r="I9" s="221">
        <f>'Plot Data'!$H$67</f>
        <v>21.692864141671475</v>
      </c>
      <c r="J9" s="221">
        <f>'Plot Data'!$H$65</f>
        <v>21.858099903971461</v>
      </c>
      <c r="K9" s="222">
        <f>'Plot Data'!$H$58</f>
        <v>22.188571428571429</v>
      </c>
      <c r="L9" s="222">
        <f>'Plot Data'!$H$62</f>
        <v>22.519042953171397</v>
      </c>
      <c r="M9" s="222">
        <f>'Plot Data'!$H$64</f>
        <v>22.684278715471383</v>
      </c>
      <c r="N9" s="222">
        <f>'Plot Data'!$H$68</f>
        <v>0.44377142857142859</v>
      </c>
      <c r="O9" s="177" t="str">
        <f t="shared" si="1"/>
        <v>&lt;-3s</v>
      </c>
      <c r="P9" s="180" t="str">
        <f t="shared" si="4"/>
        <v>Fail &lt; -2s</v>
      </c>
      <c r="Q9" s="191"/>
      <c r="R9" s="191"/>
      <c r="S9" s="178" t="str">
        <f t="shared" si="5"/>
        <v>+</v>
      </c>
      <c r="T9" s="178"/>
      <c r="U9" s="178"/>
      <c r="V9" s="178"/>
      <c r="W9" s="178"/>
      <c r="X9" s="181">
        <f t="shared" ref="X9:X17" si="6">AVERAGE(G7:G9)</f>
        <v>17.036666666666669</v>
      </c>
      <c r="Y9" s="181">
        <f>AVERAGE(G6:G9)</f>
        <v>16.990000000000002</v>
      </c>
      <c r="Z9" s="181"/>
      <c r="AA9" s="181"/>
      <c r="AB9" s="181"/>
      <c r="AC9" s="178"/>
      <c r="AD9" s="179" t="str">
        <f t="shared" si="3"/>
        <v>Yes</v>
      </c>
    </row>
    <row r="10" spans="2:42" x14ac:dyDescent="0.3">
      <c r="B10" s="188">
        <v>5</v>
      </c>
      <c r="C10" s="205">
        <v>38673</v>
      </c>
      <c r="D10" s="206"/>
      <c r="E10" s="207">
        <v>17.05</v>
      </c>
      <c r="F10" s="207">
        <v>17</v>
      </c>
      <c r="G10" s="183">
        <f t="shared" si="0"/>
        <v>17.024999999999999</v>
      </c>
      <c r="H10" s="183">
        <f t="shared" si="2"/>
        <v>5.0000000000000711E-2</v>
      </c>
      <c r="I10" s="221">
        <f>'Plot Data'!$H$67</f>
        <v>21.692864141671475</v>
      </c>
      <c r="J10" s="221">
        <f>'Plot Data'!$H$65</f>
        <v>21.858099903971461</v>
      </c>
      <c r="K10" s="222">
        <f>'Plot Data'!$H$58</f>
        <v>22.188571428571429</v>
      </c>
      <c r="L10" s="222">
        <f>'Plot Data'!$H$62</f>
        <v>22.519042953171397</v>
      </c>
      <c r="M10" s="222">
        <f>'Plot Data'!$H$64</f>
        <v>22.684278715471383</v>
      </c>
      <c r="N10" s="222">
        <f>'Plot Data'!$H$68</f>
        <v>0.44377142857142859</v>
      </c>
      <c r="O10" s="177" t="str">
        <f t="shared" si="1"/>
        <v>&lt;-3s</v>
      </c>
      <c r="P10" s="180" t="str">
        <f t="shared" si="4"/>
        <v>Fail &lt; -2s</v>
      </c>
      <c r="Q10" s="191"/>
      <c r="R10" s="191"/>
      <c r="S10" s="178" t="str">
        <f t="shared" si="5"/>
        <v>+</v>
      </c>
      <c r="T10" s="178"/>
      <c r="U10" s="178"/>
      <c r="V10" s="178"/>
      <c r="W10" s="178"/>
      <c r="X10" s="181">
        <f t="shared" si="6"/>
        <v>16.978333333333335</v>
      </c>
      <c r="Y10" s="181">
        <f t="shared" ref="Y10:Y16" si="7">AVERAGE(G7:G10)</f>
        <v>17.033750000000001</v>
      </c>
      <c r="Z10" s="181">
        <f>AVERAGE(G6:G10)</f>
        <v>16.997000000000003</v>
      </c>
      <c r="AA10" s="181"/>
      <c r="AB10" s="181"/>
      <c r="AC10" s="178"/>
      <c r="AD10" s="179" t="str">
        <f t="shared" si="3"/>
        <v>Yes</v>
      </c>
    </row>
    <row r="11" spans="2:42" x14ac:dyDescent="0.3">
      <c r="B11" s="188">
        <v>6</v>
      </c>
      <c r="C11" s="205">
        <v>39038</v>
      </c>
      <c r="D11" s="206"/>
      <c r="E11" s="207">
        <v>17.2</v>
      </c>
      <c r="F11" s="207">
        <v>17</v>
      </c>
      <c r="G11" s="183">
        <f t="shared" si="0"/>
        <v>17.100000000000001</v>
      </c>
      <c r="H11" s="183">
        <f t="shared" si="2"/>
        <v>0.19999999999999929</v>
      </c>
      <c r="I11" s="221">
        <f>'Plot Data'!$H$67</f>
        <v>21.692864141671475</v>
      </c>
      <c r="J11" s="221">
        <f>'Plot Data'!$H$65</f>
        <v>21.858099903971461</v>
      </c>
      <c r="K11" s="222">
        <f>'Plot Data'!$H$58</f>
        <v>22.188571428571429</v>
      </c>
      <c r="L11" s="222">
        <f>'Plot Data'!$H$62</f>
        <v>22.519042953171397</v>
      </c>
      <c r="M11" s="222">
        <f>'Plot Data'!$H$64</f>
        <v>22.684278715471383</v>
      </c>
      <c r="N11" s="222">
        <f>'Plot Data'!$H$68</f>
        <v>0.44377142857142859</v>
      </c>
      <c r="O11" s="177" t="str">
        <f t="shared" si="1"/>
        <v>&lt;-3s</v>
      </c>
      <c r="P11" s="180" t="str">
        <f t="shared" si="4"/>
        <v>Fail &lt; -2s</v>
      </c>
      <c r="Q11" s="191"/>
      <c r="R11" s="191"/>
      <c r="S11" s="178" t="str">
        <f t="shared" si="5"/>
        <v>+</v>
      </c>
      <c r="T11" s="178"/>
      <c r="U11" s="178"/>
      <c r="V11" s="178"/>
      <c r="W11" s="178"/>
      <c r="X11" s="181">
        <f t="shared" si="6"/>
        <v>17.028333333333332</v>
      </c>
      <c r="Y11" s="181">
        <f t="shared" si="7"/>
        <v>17.008749999999999</v>
      </c>
      <c r="Z11" s="181">
        <f t="shared" ref="Z11:Z16" si="8">AVERAGE(G7:G11)</f>
        <v>17.047000000000004</v>
      </c>
      <c r="AA11" s="181">
        <f>AVERAGE(G6:G11)</f>
        <v>17.014166666666668</v>
      </c>
      <c r="AB11" s="182"/>
      <c r="AC11" s="178"/>
      <c r="AD11" s="179" t="str">
        <f t="shared" si="3"/>
        <v>Yes</v>
      </c>
    </row>
    <row r="12" spans="2:42" x14ac:dyDescent="0.3">
      <c r="B12" s="188">
        <v>7</v>
      </c>
      <c r="C12" s="205">
        <v>39038</v>
      </c>
      <c r="D12" s="206"/>
      <c r="E12" s="207">
        <v>16.989999999999998</v>
      </c>
      <c r="F12" s="207">
        <v>17</v>
      </c>
      <c r="G12" s="183">
        <f t="shared" si="0"/>
        <v>16.994999999999997</v>
      </c>
      <c r="H12" s="183">
        <f t="shared" si="2"/>
        <v>1.0000000000001563E-2</v>
      </c>
      <c r="I12" s="221">
        <f>'Plot Data'!$H$67</f>
        <v>21.692864141671475</v>
      </c>
      <c r="J12" s="221">
        <f>'Plot Data'!$H$65</f>
        <v>21.858099903971461</v>
      </c>
      <c r="K12" s="222">
        <f>'Plot Data'!$H$58</f>
        <v>22.188571428571429</v>
      </c>
      <c r="L12" s="222">
        <f>'Plot Data'!$H$62</f>
        <v>22.519042953171397</v>
      </c>
      <c r="M12" s="222">
        <f>'Plot Data'!$H$64</f>
        <v>22.684278715471383</v>
      </c>
      <c r="N12" s="222">
        <f>'Plot Data'!$H$68</f>
        <v>0.44377142857142859</v>
      </c>
      <c r="O12" s="177" t="str">
        <f t="shared" si="1"/>
        <v>&lt;-3s</v>
      </c>
      <c r="P12" s="180" t="str">
        <f t="shared" si="4"/>
        <v>Fail &lt; -2s</v>
      </c>
      <c r="Q12" s="191"/>
      <c r="R12" s="180" t="str">
        <f>IF(AND(G12&gt;G11,G11&gt;G10,G10&gt;G9,G9&gt;G8,G8&gt;G7,G7&gt;G6),"Fail +ve trend",IF(AND(G12&lt;G11,G11&lt;G10,G10&lt;G9,G9&lt;G8,G8&lt;G7,G7&lt;G6),"Fail -ve trend","Pass"))</f>
        <v>Pass</v>
      </c>
      <c r="S12" s="178" t="str">
        <f t="shared" si="5"/>
        <v>-</v>
      </c>
      <c r="T12" s="178"/>
      <c r="U12" s="178"/>
      <c r="V12" s="178"/>
      <c r="W12" s="178"/>
      <c r="X12" s="181">
        <f t="shared" si="6"/>
        <v>17.04</v>
      </c>
      <c r="Y12" s="181">
        <f t="shared" si="7"/>
        <v>17.02</v>
      </c>
      <c r="Z12" s="181">
        <f t="shared" si="8"/>
        <v>17.006</v>
      </c>
      <c r="AA12" s="181">
        <f t="shared" ref="AA12:AA55" si="9">AVERAGE(G7:G12)</f>
        <v>17.038333333333338</v>
      </c>
      <c r="AB12" s="181"/>
      <c r="AC12" s="178"/>
      <c r="AD12" s="179" t="str">
        <f t="shared" si="3"/>
        <v>Yes</v>
      </c>
    </row>
    <row r="13" spans="2:42" x14ac:dyDescent="0.3">
      <c r="B13" s="188">
        <v>8</v>
      </c>
      <c r="C13" s="205">
        <v>39403</v>
      </c>
      <c r="D13" s="206"/>
      <c r="E13" s="207">
        <v>17.100000000000001</v>
      </c>
      <c r="F13" s="207">
        <v>16.8</v>
      </c>
      <c r="G13" s="183">
        <f t="shared" si="0"/>
        <v>16.950000000000003</v>
      </c>
      <c r="H13" s="183">
        <f t="shared" si="2"/>
        <v>0.30000000000000071</v>
      </c>
      <c r="I13" s="221">
        <f>'Plot Data'!$H$67</f>
        <v>21.692864141671475</v>
      </c>
      <c r="J13" s="221">
        <f>'Plot Data'!$H$65</f>
        <v>21.858099903971461</v>
      </c>
      <c r="K13" s="222">
        <f>'Plot Data'!$H$58</f>
        <v>22.188571428571429</v>
      </c>
      <c r="L13" s="222">
        <f>'Plot Data'!$H$62</f>
        <v>22.519042953171397</v>
      </c>
      <c r="M13" s="222">
        <f>'Plot Data'!$H$64</f>
        <v>22.684278715471383</v>
      </c>
      <c r="N13" s="222">
        <f>'Plot Data'!$H$68</f>
        <v>0.44377142857142859</v>
      </c>
      <c r="O13" s="177" t="str">
        <f t="shared" si="1"/>
        <v>&lt;-3s</v>
      </c>
      <c r="P13" s="180" t="str">
        <f t="shared" si="4"/>
        <v>Fail &lt; -2s</v>
      </c>
      <c r="Q13" s="180" t="str">
        <f t="shared" ref="Q13:Q55" si="10">IF(AND(G13&gt;K13,G12&gt;K13,G11&gt;K13,G10&gt;K13,G9&gt;K13,G8&gt;K13,G7&gt;K13,G6&gt;K13),"Fail +ve bias",IF(AND(G13&lt;K13,G12&lt;K13,G11&lt;K13,G10&lt;K13,G9&lt;K13,G8&lt;K13,G7&lt;K13,G6&lt;K13),"Fail -ve bias","Pass"))</f>
        <v>Fail -ve bias</v>
      </c>
      <c r="R13" s="180" t="str">
        <f t="shared" ref="R13:R55" si="11">IF(AND(G13&gt;G12,G12&gt;G11,G11&gt;G10,G10&gt;G9,G9&gt;G8,G8&gt;G7),"Fail +ve trend",IF(AND(G13&lt;G12,G12&lt;G11,G11&lt;G10,G10&lt;G9,G9&lt;G8,G8&lt;G7),"Fail -ve trend","Pass"))</f>
        <v>Pass</v>
      </c>
      <c r="S13" s="178" t="str">
        <f t="shared" si="5"/>
        <v>-</v>
      </c>
      <c r="T13" s="178"/>
      <c r="U13" s="178"/>
      <c r="V13" s="178"/>
      <c r="W13" s="178"/>
      <c r="X13" s="181">
        <f t="shared" si="6"/>
        <v>17.015000000000001</v>
      </c>
      <c r="Y13" s="181">
        <f t="shared" si="7"/>
        <v>17.017499999999998</v>
      </c>
      <c r="Z13" s="181">
        <f t="shared" si="8"/>
        <v>17.006</v>
      </c>
      <c r="AA13" s="181">
        <f t="shared" si="9"/>
        <v>16.996666666666666</v>
      </c>
      <c r="AB13" s="181"/>
      <c r="AC13" s="178"/>
      <c r="AD13" s="179" t="str">
        <f t="shared" si="3"/>
        <v>Yes</v>
      </c>
    </row>
    <row r="14" spans="2:42" x14ac:dyDescent="0.3">
      <c r="B14" s="188">
        <v>9</v>
      </c>
      <c r="C14" s="205"/>
      <c r="D14" s="206"/>
      <c r="E14" s="207">
        <v>17.149999999999999</v>
      </c>
      <c r="F14" s="207">
        <v>16.77</v>
      </c>
      <c r="G14" s="183">
        <f t="shared" si="0"/>
        <v>16.96</v>
      </c>
      <c r="H14" s="183">
        <f t="shared" si="2"/>
        <v>0.37999999999999901</v>
      </c>
      <c r="I14" s="221">
        <f>'Plot Data'!$H$67</f>
        <v>21.692864141671475</v>
      </c>
      <c r="J14" s="221">
        <f>'Plot Data'!$H$65</f>
        <v>21.858099903971461</v>
      </c>
      <c r="K14" s="222">
        <f>'Plot Data'!$H$58</f>
        <v>22.188571428571429</v>
      </c>
      <c r="L14" s="222">
        <f>'Plot Data'!$H$62</f>
        <v>22.519042953171397</v>
      </c>
      <c r="M14" s="222">
        <f>'Plot Data'!$H$64</f>
        <v>22.684278715471383</v>
      </c>
      <c r="N14" s="222">
        <f>'Plot Data'!$H$68</f>
        <v>0.44377142857142859</v>
      </c>
      <c r="O14" s="177" t="str">
        <f t="shared" si="1"/>
        <v>&lt;-3s</v>
      </c>
      <c r="P14" s="180" t="str">
        <f t="shared" si="4"/>
        <v>Fail &lt; -2s</v>
      </c>
      <c r="Q14" s="180" t="str">
        <f t="shared" si="10"/>
        <v>Fail -ve bias</v>
      </c>
      <c r="R14" s="180" t="str">
        <f t="shared" si="11"/>
        <v>Pass</v>
      </c>
      <c r="S14" s="178" t="str">
        <f t="shared" si="5"/>
        <v>+</v>
      </c>
      <c r="T14" s="178"/>
      <c r="U14" s="178"/>
      <c r="V14" s="178"/>
      <c r="W14" s="178"/>
      <c r="X14" s="181">
        <f t="shared" si="6"/>
        <v>16.968333333333334</v>
      </c>
      <c r="Y14" s="181">
        <f t="shared" si="7"/>
        <v>17.001249999999999</v>
      </c>
      <c r="Z14" s="181">
        <f t="shared" si="8"/>
        <v>17.006</v>
      </c>
      <c r="AA14" s="181">
        <f t="shared" si="9"/>
        <v>16.998333333333335</v>
      </c>
      <c r="AB14" s="181"/>
      <c r="AC14" s="178"/>
      <c r="AD14" s="179" t="str">
        <f t="shared" si="3"/>
        <v>Yes</v>
      </c>
    </row>
    <row r="15" spans="2:42" x14ac:dyDescent="0.3">
      <c r="B15" s="188">
        <v>10</v>
      </c>
      <c r="C15" s="205"/>
      <c r="D15" s="206"/>
      <c r="E15" s="207">
        <v>17.05</v>
      </c>
      <c r="F15" s="207">
        <v>17</v>
      </c>
      <c r="G15" s="183">
        <f t="shared" si="0"/>
        <v>17.024999999999999</v>
      </c>
      <c r="H15" s="183">
        <f t="shared" si="2"/>
        <v>5.0000000000000711E-2</v>
      </c>
      <c r="I15" s="221">
        <f>'Plot Data'!$H$67</f>
        <v>21.692864141671475</v>
      </c>
      <c r="J15" s="221">
        <f>'Plot Data'!$H$65</f>
        <v>21.858099903971461</v>
      </c>
      <c r="K15" s="222">
        <f>'Plot Data'!$H$58</f>
        <v>22.188571428571429</v>
      </c>
      <c r="L15" s="222">
        <f>'Plot Data'!$H$62</f>
        <v>22.519042953171397</v>
      </c>
      <c r="M15" s="222">
        <f>'Plot Data'!$H$64</f>
        <v>22.684278715471383</v>
      </c>
      <c r="N15" s="222">
        <f>'Plot Data'!$H$68</f>
        <v>0.44377142857142859</v>
      </c>
      <c r="O15" s="177" t="str">
        <f t="shared" si="1"/>
        <v>&lt;-3s</v>
      </c>
      <c r="P15" s="180" t="str">
        <f t="shared" si="4"/>
        <v>Fail &lt; -2s</v>
      </c>
      <c r="Q15" s="180" t="str">
        <f t="shared" si="10"/>
        <v>Fail -ve bias</v>
      </c>
      <c r="R15" s="180" t="str">
        <f t="shared" si="11"/>
        <v>Pass</v>
      </c>
      <c r="S15" s="178" t="str">
        <f t="shared" si="5"/>
        <v>+</v>
      </c>
      <c r="T15" s="178">
        <f>IF(OR(R6="Fail -ve trend",R7="Fail -ve trend",R8="Fail -ve trend",R9="Fail -ve trend",R10="Fail -ve trend",R11="Fail -ve trend",R12="Fail -ve trend",R13="Fail -ve trend",R14="Fail -ve trend",R15="Fail -ve trend",R6="Fail +ve trend",R7="Fail +ve trend",R8="Fail +ve trend",R9="Fail +ve trend",R10="Fail +ve trend",R11="Fail +ve trend",R12="Fail +ve trend",R13="Fail +ve trend",R14="Fail +ve trend",R15="Fail +ve trend"),"",COUNTIF(S6:S15,"+"))</f>
        <v>6</v>
      </c>
      <c r="U15" s="178">
        <f>IF(OR(R6="Fail -ve trend",R7="Fail -ve trend",R8="Fail -ve trend",R9="Fail -ve trend",R10="Fail -ve trend",R11="Fail -ve trend",R12="Fail -ve trend",R13="Fail -ve trend",R14="Fail -ve trend",R15="Fail -ve trend",R6="Fail +ve trend",R7="Fail +ve trend",R8="Fail +ve trend",R9="Fail +ve trend",R10="Fail +ve trend",R11="Fail +ve trend",R12="Fail +ve trend",R13="Fail +ve trend",R14="Fail +ve trend",R15="Fail +ve trend"),"",COUNTIF(T6:T15,"+"))</f>
        <v>0</v>
      </c>
      <c r="V15" s="178" t="str">
        <f>IF(AND(G10&gt;G7,G7&gt;G4,G4&gt;G1,G9&gt;G5,G5&gt;G1),"Fail +ve",IF(AND(G10&lt;G7,G7&lt;G4,G4&lt;G1,G9&lt;G5,G5&lt;G1),"Fail -ve","Pass"))</f>
        <v>Pass</v>
      </c>
      <c r="W15" s="178"/>
      <c r="X15" s="181">
        <f t="shared" si="6"/>
        <v>16.978333333333335</v>
      </c>
      <c r="Y15" s="181">
        <f t="shared" si="7"/>
        <v>16.982500000000002</v>
      </c>
      <c r="Z15" s="181">
        <f t="shared" si="8"/>
        <v>17.006</v>
      </c>
      <c r="AA15" s="181">
        <f t="shared" si="9"/>
        <v>17.009166666666669</v>
      </c>
      <c r="AB15" s="181" t="str">
        <f>IF(AND(AA15&gt;AA14,AA14&gt;AA13,AA13&gt;AA12,AA12&gt;AA11),"Fail +ve",IF(AND(AA15&lt;AA14,AA14&lt;AA13,AA13&lt;AA12,AA12&lt;AA11),"Fail -ve","Pass"))</f>
        <v>Pass</v>
      </c>
      <c r="AC15" s="178" t="str">
        <f>IF(T15="","Pass",IF(T15&gt;=7,"Fail +ve",IF(U15&gt;=7,"Fail -ve","Pass")))</f>
        <v>Pass</v>
      </c>
      <c r="AD15" s="179" t="str">
        <f t="shared" si="3"/>
        <v>Yes</v>
      </c>
    </row>
    <row r="16" spans="2:42" x14ac:dyDescent="0.3">
      <c r="B16" s="188">
        <v>11</v>
      </c>
      <c r="C16" s="205"/>
      <c r="D16" s="206"/>
      <c r="E16" s="207">
        <v>17.2</v>
      </c>
      <c r="F16" s="207">
        <v>17</v>
      </c>
      <c r="G16" s="183">
        <f t="shared" si="0"/>
        <v>17.100000000000001</v>
      </c>
      <c r="H16" s="183">
        <f t="shared" si="2"/>
        <v>0.19999999999999929</v>
      </c>
      <c r="I16" s="221">
        <f>'Plot Data'!$H$67</f>
        <v>21.692864141671475</v>
      </c>
      <c r="J16" s="221">
        <f>'Plot Data'!$H$65</f>
        <v>21.858099903971461</v>
      </c>
      <c r="K16" s="222">
        <f>'Plot Data'!$H$58</f>
        <v>22.188571428571429</v>
      </c>
      <c r="L16" s="222">
        <f>'Plot Data'!$H$62</f>
        <v>22.519042953171397</v>
      </c>
      <c r="M16" s="222">
        <f>'Plot Data'!$H$64</f>
        <v>22.684278715471383</v>
      </c>
      <c r="N16" s="222">
        <f>'Plot Data'!$H$68</f>
        <v>0.44377142857142859</v>
      </c>
      <c r="O16" s="177" t="str">
        <f t="shared" si="1"/>
        <v>&lt;-3s</v>
      </c>
      <c r="P16" s="180" t="str">
        <f t="shared" si="4"/>
        <v>Fail &lt; -2s</v>
      </c>
      <c r="Q16" s="180" t="str">
        <f t="shared" si="10"/>
        <v>Fail -ve bias</v>
      </c>
      <c r="R16" s="180" t="str">
        <f t="shared" si="11"/>
        <v>Pass</v>
      </c>
      <c r="S16" s="178" t="str">
        <f t="shared" si="5"/>
        <v>+</v>
      </c>
      <c r="T16" s="178">
        <f t="shared" ref="T16:T55" si="12">IF(OR(R7="Fail -ve trend",R8="Fail -ve trend",R9="Fail -ve trend",R10="Fail -ve trend",R11="Fail -ve trend",R12="Fail -ve trend",R13="Fail -ve trend",R14="Fail -ve trend",R15="Fail -ve trend",R16="Fail -ve trend",R7="Fail +ve trend",R8="Fail +ve trend",R9="Fail +ve trend",R10="Fail +ve trend",R11="Fail +ve trend",R12="Fail +ve trend",R13="Fail +ve trend",R14="Fail +ve trend",R15="Fail +ve trend",R16="Fail +ve trend"),"",COUNTIF(S7:S16,"+"))</f>
        <v>7</v>
      </c>
      <c r="U16" s="178">
        <f t="shared" ref="U16:U55" si="13">IF(OR(R7="Fail -ve trend",R8="Fail -ve trend",R9="Fail -ve trend",R10="Fail -ve trend",R11="Fail -ve trend",R12="Fail -ve trend",R13="Fail -ve trend",R14="Fail -ve trend",R15="Fail -ve trend",R16="Fail -ve trend",R7="Fail +ve trend",R8="Fail +ve trend",R9="Fail +ve trend",R10="Fail +ve trend",R11="Fail +ve trend",R12="Fail +ve trend",R13="Fail +ve trend",R14="Fail +ve trend",R15="Fail +ve trend",R16="Fail +ve trend"),"",COUNTIF(T7:T16,"+"))</f>
        <v>0</v>
      </c>
      <c r="V16" s="178"/>
      <c r="W16" s="178"/>
      <c r="X16" s="181">
        <f t="shared" si="6"/>
        <v>17.028333333333332</v>
      </c>
      <c r="Y16" s="181">
        <f t="shared" si="7"/>
        <v>17.008749999999999</v>
      </c>
      <c r="Z16" s="181">
        <f t="shared" si="8"/>
        <v>17.006</v>
      </c>
      <c r="AA16" s="181">
        <f t="shared" si="9"/>
        <v>17.021666666666665</v>
      </c>
      <c r="AB16" s="181" t="str">
        <f t="shared" ref="AB16:AB55" si="14">IF(AND(AA16&gt;AA15,AA15&gt;AA14,AA14&gt;AA13,AA13&gt;AA12),"Fail +ve",IF(AND(AA16&lt;AA15,AA15&lt;AA14,AA14&lt;AA13,AA13&lt;AA12),"Fail -ve","Pass"))</f>
        <v>Pass</v>
      </c>
      <c r="AC16" s="178" t="str">
        <f t="shared" ref="AC16:AC55" si="15">IF(T16="","Pass",IF(T16&gt;=7,"Fail +ve",IF(U16&gt;=7,"Fail -ve","Pass")))</f>
        <v>Fail +ve</v>
      </c>
      <c r="AD16" s="179" t="str">
        <f t="shared" si="3"/>
        <v>Yes</v>
      </c>
    </row>
    <row r="17" spans="2:42" x14ac:dyDescent="0.3">
      <c r="B17" s="188">
        <v>12</v>
      </c>
      <c r="C17" s="205"/>
      <c r="D17" s="206"/>
      <c r="E17" s="207">
        <v>16.989999999999998</v>
      </c>
      <c r="F17" s="207">
        <v>17</v>
      </c>
      <c r="G17" s="183">
        <f t="shared" si="0"/>
        <v>16.994999999999997</v>
      </c>
      <c r="H17" s="183">
        <f t="shared" si="2"/>
        <v>1.0000000000001563E-2</v>
      </c>
      <c r="I17" s="221">
        <f>'Plot Data'!$H$67</f>
        <v>21.692864141671475</v>
      </c>
      <c r="J17" s="221">
        <f>'Plot Data'!$H$65</f>
        <v>21.858099903971461</v>
      </c>
      <c r="K17" s="222">
        <f>'Plot Data'!$H$58</f>
        <v>22.188571428571429</v>
      </c>
      <c r="L17" s="222">
        <f>'Plot Data'!$H$62</f>
        <v>22.519042953171397</v>
      </c>
      <c r="M17" s="222">
        <f>'Plot Data'!$H$64</f>
        <v>22.684278715471383</v>
      </c>
      <c r="N17" s="222">
        <f>'Plot Data'!$H$68</f>
        <v>0.44377142857142859</v>
      </c>
      <c r="O17" s="177" t="str">
        <f t="shared" si="1"/>
        <v>&lt;-3s</v>
      </c>
      <c r="P17" s="180" t="str">
        <f t="shared" si="4"/>
        <v>Fail &lt; -2s</v>
      </c>
      <c r="Q17" s="180" t="str">
        <f t="shared" si="10"/>
        <v>Fail -ve bias</v>
      </c>
      <c r="R17" s="180" t="str">
        <f t="shared" si="11"/>
        <v>Pass</v>
      </c>
      <c r="S17" s="178" t="str">
        <f t="shared" si="5"/>
        <v>-</v>
      </c>
      <c r="T17" s="178">
        <f t="shared" si="12"/>
        <v>6</v>
      </c>
      <c r="U17" s="178">
        <f t="shared" si="13"/>
        <v>0</v>
      </c>
      <c r="V17" s="178"/>
      <c r="W17" s="178"/>
      <c r="X17" s="181">
        <f t="shared" si="6"/>
        <v>17.04</v>
      </c>
      <c r="Y17" s="181"/>
      <c r="Z17" s="181"/>
      <c r="AA17" s="181">
        <f t="shared" si="9"/>
        <v>17.004166666666666</v>
      </c>
      <c r="AB17" s="181" t="str">
        <f t="shared" si="14"/>
        <v>Pass</v>
      </c>
      <c r="AC17" s="178" t="str">
        <f t="shared" si="15"/>
        <v>Pass</v>
      </c>
      <c r="AD17" s="179" t="str">
        <f t="shared" si="3"/>
        <v>Yes</v>
      </c>
    </row>
    <row r="18" spans="2:42" x14ac:dyDescent="0.3">
      <c r="B18" s="188">
        <v>13</v>
      </c>
      <c r="C18" s="205"/>
      <c r="D18" s="206"/>
      <c r="E18" s="207">
        <v>17.3</v>
      </c>
      <c r="F18" s="207">
        <v>17.32</v>
      </c>
      <c r="G18" s="183">
        <f t="shared" si="0"/>
        <v>17.310000000000002</v>
      </c>
      <c r="H18" s="183">
        <f t="shared" si="2"/>
        <v>1.9999999999999574E-2</v>
      </c>
      <c r="I18" s="221">
        <f>'Plot Data'!$H$67</f>
        <v>21.692864141671475</v>
      </c>
      <c r="J18" s="221">
        <f>'Plot Data'!$H$65</f>
        <v>21.858099903971461</v>
      </c>
      <c r="K18" s="222">
        <f>'Plot Data'!$H$58</f>
        <v>22.188571428571429</v>
      </c>
      <c r="L18" s="222">
        <f>'Plot Data'!$H$62</f>
        <v>22.519042953171397</v>
      </c>
      <c r="M18" s="222">
        <f>'Plot Data'!$H$64</f>
        <v>22.684278715471383</v>
      </c>
      <c r="N18" s="222">
        <f>'Plot Data'!$H$68</f>
        <v>0.44377142857142859</v>
      </c>
      <c r="O18" s="177" t="str">
        <f t="shared" si="1"/>
        <v>&lt;-3s</v>
      </c>
      <c r="P18" s="180" t="str">
        <f t="shared" si="4"/>
        <v>Fail &lt; -2s</v>
      </c>
      <c r="Q18" s="180" t="str">
        <f t="shared" si="10"/>
        <v>Fail -ve bias</v>
      </c>
      <c r="R18" s="180" t="str">
        <f t="shared" si="11"/>
        <v>Pass</v>
      </c>
      <c r="S18" s="178" t="str">
        <f t="shared" si="5"/>
        <v>+</v>
      </c>
      <c r="T18" s="178">
        <f t="shared" si="12"/>
        <v>7</v>
      </c>
      <c r="U18" s="178">
        <f t="shared" si="13"/>
        <v>0</v>
      </c>
      <c r="V18" s="178"/>
      <c r="W18" s="178"/>
      <c r="X18" s="178"/>
      <c r="Y18" s="178"/>
      <c r="Z18" s="178"/>
      <c r="AA18" s="181">
        <f t="shared" si="9"/>
        <v>17.056666666666668</v>
      </c>
      <c r="AB18" s="178" t="str">
        <f t="shared" si="14"/>
        <v>Pass</v>
      </c>
      <c r="AC18" s="178" t="str">
        <f t="shared" si="15"/>
        <v>Fail +ve</v>
      </c>
      <c r="AD18" s="179" t="str">
        <f t="shared" si="3"/>
        <v>Yes</v>
      </c>
    </row>
    <row r="19" spans="2:42" x14ac:dyDescent="0.3">
      <c r="B19" s="188">
        <v>14</v>
      </c>
      <c r="C19" s="205"/>
      <c r="D19" s="206"/>
      <c r="E19" s="207">
        <v>17</v>
      </c>
      <c r="F19" s="207">
        <v>17.2</v>
      </c>
      <c r="G19" s="183">
        <f t="shared" si="0"/>
        <v>17.100000000000001</v>
      </c>
      <c r="H19" s="183">
        <f t="shared" si="2"/>
        <v>0.19999999999999929</v>
      </c>
      <c r="I19" s="221">
        <f>'Plot Data'!$H$67</f>
        <v>21.692864141671475</v>
      </c>
      <c r="J19" s="221">
        <f>'Plot Data'!$H$65</f>
        <v>21.858099903971461</v>
      </c>
      <c r="K19" s="222">
        <f>'Plot Data'!$H$58</f>
        <v>22.188571428571429</v>
      </c>
      <c r="L19" s="222">
        <f>'Plot Data'!$H$62</f>
        <v>22.519042953171397</v>
      </c>
      <c r="M19" s="222">
        <f>'Plot Data'!$H$64</f>
        <v>22.684278715471383</v>
      </c>
      <c r="N19" s="222">
        <f>'Plot Data'!$H$68</f>
        <v>0.44377142857142859</v>
      </c>
      <c r="O19" s="177" t="str">
        <f t="shared" si="1"/>
        <v>&lt;-3s</v>
      </c>
      <c r="P19" s="180" t="str">
        <f t="shared" si="4"/>
        <v>Fail &lt; -2s</v>
      </c>
      <c r="Q19" s="180" t="str">
        <f t="shared" si="10"/>
        <v>Fail -ve bias</v>
      </c>
      <c r="R19" s="180" t="str">
        <f t="shared" si="11"/>
        <v>Pass</v>
      </c>
      <c r="S19" s="178" t="str">
        <f t="shared" si="5"/>
        <v>-</v>
      </c>
      <c r="T19" s="178">
        <f t="shared" si="12"/>
        <v>6</v>
      </c>
      <c r="U19" s="178">
        <f t="shared" si="13"/>
        <v>0</v>
      </c>
      <c r="V19" s="178"/>
      <c r="W19" s="178"/>
      <c r="X19" s="178"/>
      <c r="Y19" s="178"/>
      <c r="Z19" s="178"/>
      <c r="AA19" s="181">
        <f t="shared" si="9"/>
        <v>17.081666666666667</v>
      </c>
      <c r="AB19" s="178" t="str">
        <f t="shared" si="14"/>
        <v>Pass</v>
      </c>
      <c r="AC19" s="178" t="str">
        <f t="shared" si="15"/>
        <v>Pass</v>
      </c>
      <c r="AD19" s="179" t="str">
        <f t="shared" si="3"/>
        <v>Yes</v>
      </c>
    </row>
    <row r="20" spans="2:42" x14ac:dyDescent="0.3">
      <c r="B20" s="188">
        <v>15</v>
      </c>
      <c r="C20" s="205"/>
      <c r="D20" s="206"/>
      <c r="E20" s="207">
        <v>17.350000000000001</v>
      </c>
      <c r="F20" s="207">
        <v>17.39</v>
      </c>
      <c r="G20" s="183">
        <f t="shared" si="0"/>
        <v>17.37</v>
      </c>
      <c r="H20" s="183">
        <f t="shared" si="2"/>
        <v>3.9999999999999147E-2</v>
      </c>
      <c r="I20" s="221">
        <f>'Plot Data'!$H$67</f>
        <v>21.692864141671475</v>
      </c>
      <c r="J20" s="221">
        <f>'Plot Data'!$H$65</f>
        <v>21.858099903971461</v>
      </c>
      <c r="K20" s="222">
        <f>'Plot Data'!$H$58</f>
        <v>22.188571428571429</v>
      </c>
      <c r="L20" s="222">
        <f>'Plot Data'!$H$62</f>
        <v>22.519042953171397</v>
      </c>
      <c r="M20" s="222">
        <f>'Plot Data'!$H$64</f>
        <v>22.684278715471383</v>
      </c>
      <c r="N20" s="222">
        <f>'Plot Data'!$H$68</f>
        <v>0.44377142857142859</v>
      </c>
      <c r="O20" s="177" t="str">
        <f t="shared" si="1"/>
        <v>&lt;-3s</v>
      </c>
      <c r="P20" s="180" t="str">
        <f t="shared" si="4"/>
        <v>Fail &lt; -2s</v>
      </c>
      <c r="Q20" s="180" t="str">
        <f t="shared" si="10"/>
        <v>Fail -ve bias</v>
      </c>
      <c r="R20" s="180" t="str">
        <f t="shared" si="11"/>
        <v>Pass</v>
      </c>
      <c r="S20" s="178" t="str">
        <f t="shared" si="5"/>
        <v>+</v>
      </c>
      <c r="T20" s="178">
        <f t="shared" si="12"/>
        <v>6</v>
      </c>
      <c r="U20" s="178">
        <f t="shared" si="13"/>
        <v>0</v>
      </c>
      <c r="V20" s="178"/>
      <c r="W20" s="178"/>
      <c r="X20" s="178"/>
      <c r="Y20" s="178"/>
      <c r="Z20" s="178"/>
      <c r="AA20" s="181">
        <f t="shared" si="9"/>
        <v>17.150000000000002</v>
      </c>
      <c r="AB20" s="178" t="str">
        <f t="shared" si="14"/>
        <v>Pass</v>
      </c>
      <c r="AC20" s="178" t="str">
        <f t="shared" si="15"/>
        <v>Pass</v>
      </c>
      <c r="AD20" s="179" t="str">
        <f t="shared" si="3"/>
        <v>Yes</v>
      </c>
    </row>
    <row r="21" spans="2:42" x14ac:dyDescent="0.3">
      <c r="B21" s="188">
        <v>16</v>
      </c>
      <c r="C21" s="205"/>
      <c r="D21" s="206"/>
      <c r="E21" s="207">
        <v>16.66</v>
      </c>
      <c r="F21" s="207">
        <v>16.66</v>
      </c>
      <c r="G21" s="183">
        <f t="shared" si="0"/>
        <v>16.66</v>
      </c>
      <c r="H21" s="183">
        <f t="shared" si="2"/>
        <v>0</v>
      </c>
      <c r="I21" s="221">
        <f>'Plot Data'!$H$67</f>
        <v>21.692864141671475</v>
      </c>
      <c r="J21" s="221">
        <f>'Plot Data'!$H$65</f>
        <v>21.858099903971461</v>
      </c>
      <c r="K21" s="222">
        <f>'Plot Data'!$H$58</f>
        <v>22.188571428571429</v>
      </c>
      <c r="L21" s="222">
        <f>'Plot Data'!$H$62</f>
        <v>22.519042953171397</v>
      </c>
      <c r="M21" s="222">
        <f>'Plot Data'!$H$64</f>
        <v>22.684278715471383</v>
      </c>
      <c r="N21" s="222">
        <f>'Plot Data'!$H$68</f>
        <v>0.44377142857142859</v>
      </c>
      <c r="O21" s="177" t="str">
        <f t="shared" si="1"/>
        <v>&lt;-3s</v>
      </c>
      <c r="P21" s="180" t="str">
        <f t="shared" si="4"/>
        <v>Fail &lt; -2s</v>
      </c>
      <c r="Q21" s="180" t="str">
        <f t="shared" si="10"/>
        <v>Fail -ve bias</v>
      </c>
      <c r="R21" s="180" t="str">
        <f t="shared" si="11"/>
        <v>Pass</v>
      </c>
      <c r="S21" s="178" t="str">
        <f t="shared" si="5"/>
        <v>-</v>
      </c>
      <c r="T21" s="178">
        <f t="shared" si="12"/>
        <v>5</v>
      </c>
      <c r="U21" s="178">
        <f t="shared" si="13"/>
        <v>0</v>
      </c>
      <c r="V21" s="178"/>
      <c r="W21" s="178"/>
      <c r="X21" s="178"/>
      <c r="Y21" s="178"/>
      <c r="Z21" s="178"/>
      <c r="AA21" s="181">
        <f t="shared" si="9"/>
        <v>17.089166666666667</v>
      </c>
      <c r="AB21" s="178" t="str">
        <f t="shared" si="14"/>
        <v>Pass</v>
      </c>
      <c r="AC21" s="178" t="str">
        <f t="shared" si="15"/>
        <v>Pass</v>
      </c>
      <c r="AD21" s="179" t="str">
        <f t="shared" si="3"/>
        <v>Yes</v>
      </c>
    </row>
    <row r="22" spans="2:42" x14ac:dyDescent="0.3">
      <c r="B22" s="188">
        <v>17</v>
      </c>
      <c r="C22" s="205"/>
      <c r="D22" s="206"/>
      <c r="E22" s="207">
        <v>17.45</v>
      </c>
      <c r="F22" s="207">
        <v>17.45</v>
      </c>
      <c r="G22" s="183">
        <f t="shared" si="0"/>
        <v>17.45</v>
      </c>
      <c r="H22" s="183">
        <f t="shared" si="2"/>
        <v>0</v>
      </c>
      <c r="I22" s="221">
        <f>'Plot Data'!$H$67</f>
        <v>21.692864141671475</v>
      </c>
      <c r="J22" s="221">
        <f>'Plot Data'!$H$65</f>
        <v>21.858099903971461</v>
      </c>
      <c r="K22" s="222">
        <f>'Plot Data'!$H$58</f>
        <v>22.188571428571429</v>
      </c>
      <c r="L22" s="222">
        <f>'Plot Data'!$H$62</f>
        <v>22.519042953171397</v>
      </c>
      <c r="M22" s="222">
        <f>'Plot Data'!$H$64</f>
        <v>22.684278715471383</v>
      </c>
      <c r="N22" s="222">
        <f>'Plot Data'!$H$68</f>
        <v>0.44377142857142859</v>
      </c>
      <c r="O22" s="177" t="str">
        <f t="shared" si="1"/>
        <v>&lt;-3s</v>
      </c>
      <c r="P22" s="180" t="str">
        <f t="shared" si="4"/>
        <v>Fail &lt; -2s</v>
      </c>
      <c r="Q22" s="180" t="str">
        <f t="shared" si="10"/>
        <v>Fail -ve bias</v>
      </c>
      <c r="R22" s="180" t="str">
        <f t="shared" si="11"/>
        <v>Pass</v>
      </c>
      <c r="S22" s="178" t="str">
        <f t="shared" si="5"/>
        <v>+</v>
      </c>
      <c r="T22" s="178">
        <f t="shared" si="12"/>
        <v>6</v>
      </c>
      <c r="U22" s="178">
        <f t="shared" si="13"/>
        <v>0</v>
      </c>
      <c r="V22" s="178"/>
      <c r="W22" s="178"/>
      <c r="X22" s="178"/>
      <c r="Y22" s="178"/>
      <c r="Z22" s="178"/>
      <c r="AA22" s="181">
        <f t="shared" si="9"/>
        <v>17.147500000000001</v>
      </c>
      <c r="AB22" s="178" t="str">
        <f t="shared" si="14"/>
        <v>Pass</v>
      </c>
      <c r="AC22" s="178" t="str">
        <f t="shared" si="15"/>
        <v>Pass</v>
      </c>
      <c r="AD22" s="179" t="str">
        <f t="shared" si="3"/>
        <v>Yes</v>
      </c>
    </row>
    <row r="23" spans="2:42" x14ac:dyDescent="0.3">
      <c r="B23" s="188">
        <v>18</v>
      </c>
      <c r="C23" s="205"/>
      <c r="D23" s="206"/>
      <c r="E23" s="207"/>
      <c r="F23" s="207"/>
      <c r="G23" s="183" t="e">
        <f t="shared" si="0"/>
        <v>#N/A</v>
      </c>
      <c r="H23" s="183" t="e">
        <f t="shared" si="2"/>
        <v>#N/A</v>
      </c>
      <c r="I23" s="221">
        <f>'Plot Data'!$H$67</f>
        <v>21.692864141671475</v>
      </c>
      <c r="J23" s="221">
        <f>'Plot Data'!$H$65</f>
        <v>21.858099903971461</v>
      </c>
      <c r="K23" s="222">
        <f>'Plot Data'!$H$58</f>
        <v>22.188571428571429</v>
      </c>
      <c r="L23" s="222">
        <f>'Plot Data'!$H$62</f>
        <v>22.519042953171397</v>
      </c>
      <c r="M23" s="222">
        <f>'Plot Data'!$H$64</f>
        <v>22.684278715471383</v>
      </c>
      <c r="N23" s="222">
        <f>'Plot Data'!$H$68</f>
        <v>0.44377142857142859</v>
      </c>
      <c r="O23" s="177" t="e">
        <f t="shared" si="1"/>
        <v>#N/A</v>
      </c>
      <c r="P23" s="180" t="e">
        <f t="shared" si="4"/>
        <v>#N/A</v>
      </c>
      <c r="Q23" s="180" t="e">
        <f t="shared" si="10"/>
        <v>#N/A</v>
      </c>
      <c r="R23" s="180" t="e">
        <f t="shared" si="11"/>
        <v>#N/A</v>
      </c>
      <c r="S23" s="178" t="str">
        <f t="shared" si="5"/>
        <v/>
      </c>
      <c r="T23" s="178" t="e">
        <f t="shared" si="12"/>
        <v>#N/A</v>
      </c>
      <c r="U23" s="178" t="e">
        <f t="shared" si="13"/>
        <v>#N/A</v>
      </c>
      <c r="V23" s="178"/>
      <c r="W23" s="178"/>
      <c r="X23" s="178"/>
      <c r="Y23" s="178"/>
      <c r="Z23" s="178"/>
      <c r="AA23" s="181" t="e">
        <f t="shared" si="9"/>
        <v>#N/A</v>
      </c>
      <c r="AB23" s="178" t="e">
        <f t="shared" si="14"/>
        <v>#N/A</v>
      </c>
      <c r="AC23" s="178" t="e">
        <f t="shared" si="15"/>
        <v>#N/A</v>
      </c>
      <c r="AD23" s="179" t="e">
        <f t="shared" si="3"/>
        <v>#N/A</v>
      </c>
    </row>
    <row r="24" spans="2:42" x14ac:dyDescent="0.3">
      <c r="B24" s="188">
        <v>19</v>
      </c>
      <c r="C24" s="205"/>
      <c r="D24" s="206"/>
      <c r="E24" s="207"/>
      <c r="F24" s="207"/>
      <c r="G24" s="183" t="e">
        <f t="shared" si="0"/>
        <v>#N/A</v>
      </c>
      <c r="H24" s="183" t="e">
        <f t="shared" si="2"/>
        <v>#N/A</v>
      </c>
      <c r="I24" s="221">
        <f>'Plot Data'!$H$67</f>
        <v>21.692864141671475</v>
      </c>
      <c r="J24" s="221">
        <f>'Plot Data'!$H$65</f>
        <v>21.858099903971461</v>
      </c>
      <c r="K24" s="222">
        <f>'Plot Data'!$H$58</f>
        <v>22.188571428571429</v>
      </c>
      <c r="L24" s="222">
        <f>'Plot Data'!$H$62</f>
        <v>22.519042953171397</v>
      </c>
      <c r="M24" s="222">
        <f>'Plot Data'!$H$64</f>
        <v>22.684278715471383</v>
      </c>
      <c r="N24" s="222">
        <f>'Plot Data'!$H$68</f>
        <v>0.44377142857142859</v>
      </c>
      <c r="O24" s="177" t="e">
        <f t="shared" si="1"/>
        <v>#N/A</v>
      </c>
      <c r="P24" s="180" t="e">
        <f t="shared" si="4"/>
        <v>#N/A</v>
      </c>
      <c r="Q24" s="180" t="e">
        <f t="shared" si="10"/>
        <v>#N/A</v>
      </c>
      <c r="R24" s="180" t="e">
        <f t="shared" si="11"/>
        <v>#N/A</v>
      </c>
      <c r="S24" s="178" t="str">
        <f t="shared" si="5"/>
        <v/>
      </c>
      <c r="T24" s="178" t="e">
        <f t="shared" si="12"/>
        <v>#N/A</v>
      </c>
      <c r="U24" s="178" t="e">
        <f t="shared" si="13"/>
        <v>#N/A</v>
      </c>
      <c r="V24" s="178"/>
      <c r="W24" s="178"/>
      <c r="X24" s="178"/>
      <c r="Y24" s="178"/>
      <c r="Z24" s="178"/>
      <c r="AA24" s="181" t="e">
        <f t="shared" si="9"/>
        <v>#N/A</v>
      </c>
      <c r="AB24" s="178" t="e">
        <f t="shared" si="14"/>
        <v>#N/A</v>
      </c>
      <c r="AC24" s="178" t="e">
        <f t="shared" si="15"/>
        <v>#N/A</v>
      </c>
      <c r="AD24" s="179" t="e">
        <f t="shared" si="3"/>
        <v>#N/A</v>
      </c>
    </row>
    <row r="25" spans="2:42" x14ac:dyDescent="0.3">
      <c r="B25" s="188">
        <v>20</v>
      </c>
      <c r="C25" s="205"/>
      <c r="D25" s="206"/>
      <c r="E25" s="207"/>
      <c r="F25" s="207"/>
      <c r="G25" s="183" t="e">
        <f t="shared" si="0"/>
        <v>#N/A</v>
      </c>
      <c r="H25" s="183" t="e">
        <f t="shared" si="2"/>
        <v>#N/A</v>
      </c>
      <c r="I25" s="221">
        <f>'Plot Data'!$H$67</f>
        <v>21.692864141671475</v>
      </c>
      <c r="J25" s="221">
        <f>'Plot Data'!$H$65</f>
        <v>21.858099903971461</v>
      </c>
      <c r="K25" s="222">
        <f>'Plot Data'!$H$58</f>
        <v>22.188571428571429</v>
      </c>
      <c r="L25" s="222">
        <f>'Plot Data'!$H$62</f>
        <v>22.519042953171397</v>
      </c>
      <c r="M25" s="222">
        <f>'Plot Data'!$H$64</f>
        <v>22.684278715471383</v>
      </c>
      <c r="N25" s="222">
        <f>'Plot Data'!$H$68</f>
        <v>0.44377142857142859</v>
      </c>
      <c r="O25" s="177" t="e">
        <f t="shared" si="1"/>
        <v>#N/A</v>
      </c>
      <c r="P25" s="180" t="e">
        <f t="shared" si="4"/>
        <v>#N/A</v>
      </c>
      <c r="Q25" s="180" t="e">
        <f t="shared" si="10"/>
        <v>#N/A</v>
      </c>
      <c r="R25" s="180" t="e">
        <f t="shared" si="11"/>
        <v>#N/A</v>
      </c>
      <c r="S25" s="178" t="str">
        <f t="shared" si="5"/>
        <v/>
      </c>
      <c r="T25" s="178" t="e">
        <f t="shared" si="12"/>
        <v>#N/A</v>
      </c>
      <c r="U25" s="178" t="e">
        <f t="shared" si="13"/>
        <v>#N/A</v>
      </c>
      <c r="V25" s="178"/>
      <c r="W25" s="178"/>
      <c r="X25" s="178"/>
      <c r="Y25" s="178"/>
      <c r="Z25" s="178"/>
      <c r="AA25" s="181" t="e">
        <f t="shared" si="9"/>
        <v>#N/A</v>
      </c>
      <c r="AB25" s="178" t="e">
        <f t="shared" si="14"/>
        <v>#N/A</v>
      </c>
      <c r="AC25" s="178" t="e">
        <f t="shared" si="15"/>
        <v>#N/A</v>
      </c>
      <c r="AD25" s="179" t="e">
        <f t="shared" si="3"/>
        <v>#N/A</v>
      </c>
    </row>
    <row r="26" spans="2:42" x14ac:dyDescent="0.3">
      <c r="B26" s="188">
        <v>21</v>
      </c>
      <c r="C26" s="205"/>
      <c r="D26" s="206"/>
      <c r="E26" s="207"/>
      <c r="F26" s="207"/>
      <c r="G26" s="183" t="e">
        <f t="shared" si="0"/>
        <v>#N/A</v>
      </c>
      <c r="H26" s="183" t="e">
        <f t="shared" si="2"/>
        <v>#N/A</v>
      </c>
      <c r="I26" s="221">
        <f>'Plot Data'!$H$67</f>
        <v>21.692864141671475</v>
      </c>
      <c r="J26" s="221">
        <f>'Plot Data'!$H$65</f>
        <v>21.858099903971461</v>
      </c>
      <c r="K26" s="222">
        <f>'Plot Data'!$H$58</f>
        <v>22.188571428571429</v>
      </c>
      <c r="L26" s="222">
        <f>'Plot Data'!$H$62</f>
        <v>22.519042953171397</v>
      </c>
      <c r="M26" s="222">
        <f>'Plot Data'!$H$64</f>
        <v>22.684278715471383</v>
      </c>
      <c r="N26" s="222">
        <f>'Plot Data'!$H$68</f>
        <v>0.44377142857142859</v>
      </c>
      <c r="O26" s="177" t="e">
        <f t="shared" si="1"/>
        <v>#N/A</v>
      </c>
      <c r="P26" s="180" t="e">
        <f t="shared" si="4"/>
        <v>#N/A</v>
      </c>
      <c r="Q26" s="180" t="e">
        <f t="shared" si="10"/>
        <v>#N/A</v>
      </c>
      <c r="R26" s="180" t="e">
        <f t="shared" si="11"/>
        <v>#N/A</v>
      </c>
      <c r="S26" s="178" t="str">
        <f t="shared" si="5"/>
        <v/>
      </c>
      <c r="T26" s="178" t="e">
        <f t="shared" si="12"/>
        <v>#N/A</v>
      </c>
      <c r="U26" s="178" t="e">
        <f t="shared" si="13"/>
        <v>#N/A</v>
      </c>
      <c r="V26" s="178"/>
      <c r="W26" s="178"/>
      <c r="X26" s="178"/>
      <c r="Y26" s="178"/>
      <c r="Z26" s="178"/>
      <c r="AA26" s="181" t="e">
        <f t="shared" si="9"/>
        <v>#N/A</v>
      </c>
      <c r="AB26" s="178" t="e">
        <f t="shared" si="14"/>
        <v>#N/A</v>
      </c>
      <c r="AC26" s="178" t="e">
        <f t="shared" si="15"/>
        <v>#N/A</v>
      </c>
      <c r="AD26" s="179" t="e">
        <f t="shared" si="3"/>
        <v>#N/A</v>
      </c>
    </row>
    <row r="27" spans="2:42" x14ac:dyDescent="0.3">
      <c r="B27" s="188">
        <v>22</v>
      </c>
      <c r="C27" s="205"/>
      <c r="D27" s="206"/>
      <c r="E27" s="207"/>
      <c r="F27" s="207"/>
      <c r="G27" s="183" t="e">
        <f t="shared" si="0"/>
        <v>#N/A</v>
      </c>
      <c r="H27" s="183" t="e">
        <f t="shared" si="2"/>
        <v>#N/A</v>
      </c>
      <c r="I27" s="221">
        <f>'Plot Data'!$H$67</f>
        <v>21.692864141671475</v>
      </c>
      <c r="J27" s="221">
        <f>'Plot Data'!$H$65</f>
        <v>21.858099903971461</v>
      </c>
      <c r="K27" s="222">
        <f>'Plot Data'!$H$58</f>
        <v>22.188571428571429</v>
      </c>
      <c r="L27" s="222">
        <f>'Plot Data'!$H$62</f>
        <v>22.519042953171397</v>
      </c>
      <c r="M27" s="222">
        <f>'Plot Data'!$H$64</f>
        <v>22.684278715471383</v>
      </c>
      <c r="N27" s="222">
        <f>'Plot Data'!$H$68</f>
        <v>0.44377142857142859</v>
      </c>
      <c r="O27" s="177" t="e">
        <f t="shared" si="1"/>
        <v>#N/A</v>
      </c>
      <c r="P27" s="180" t="e">
        <f t="shared" si="4"/>
        <v>#N/A</v>
      </c>
      <c r="Q27" s="180" t="e">
        <f t="shared" si="10"/>
        <v>#N/A</v>
      </c>
      <c r="R27" s="180" t="e">
        <f t="shared" si="11"/>
        <v>#N/A</v>
      </c>
      <c r="S27" s="178" t="str">
        <f t="shared" si="5"/>
        <v/>
      </c>
      <c r="T27" s="178" t="e">
        <f t="shared" si="12"/>
        <v>#N/A</v>
      </c>
      <c r="U27" s="178" t="e">
        <f t="shared" si="13"/>
        <v>#N/A</v>
      </c>
      <c r="V27" s="178"/>
      <c r="W27" s="178"/>
      <c r="X27" s="178"/>
      <c r="Y27" s="178"/>
      <c r="Z27" s="178"/>
      <c r="AA27" s="181" t="e">
        <f t="shared" si="9"/>
        <v>#N/A</v>
      </c>
      <c r="AB27" s="178" t="e">
        <f t="shared" si="14"/>
        <v>#N/A</v>
      </c>
      <c r="AC27" s="178" t="e">
        <f t="shared" si="15"/>
        <v>#N/A</v>
      </c>
      <c r="AD27" s="179" t="e">
        <f t="shared" si="3"/>
        <v>#N/A</v>
      </c>
    </row>
    <row r="28" spans="2:42" x14ac:dyDescent="0.3">
      <c r="B28" s="188">
        <v>23</v>
      </c>
      <c r="C28" s="205"/>
      <c r="D28" s="206"/>
      <c r="E28" s="207"/>
      <c r="F28" s="207"/>
      <c r="G28" s="183" t="e">
        <f t="shared" si="0"/>
        <v>#N/A</v>
      </c>
      <c r="H28" s="183" t="e">
        <f t="shared" si="2"/>
        <v>#N/A</v>
      </c>
      <c r="I28" s="221">
        <f>'Plot Data'!$H$67</f>
        <v>21.692864141671475</v>
      </c>
      <c r="J28" s="221">
        <f>'Plot Data'!$H$65</f>
        <v>21.858099903971461</v>
      </c>
      <c r="K28" s="222">
        <f>'Plot Data'!$H$58</f>
        <v>22.188571428571429</v>
      </c>
      <c r="L28" s="222">
        <f>'Plot Data'!$H$62</f>
        <v>22.519042953171397</v>
      </c>
      <c r="M28" s="222">
        <f>'Plot Data'!$H$64</f>
        <v>22.684278715471383</v>
      </c>
      <c r="N28" s="222">
        <f>'Plot Data'!$H$68</f>
        <v>0.44377142857142859</v>
      </c>
      <c r="O28" s="177" t="e">
        <f t="shared" si="1"/>
        <v>#N/A</v>
      </c>
      <c r="P28" s="180" t="e">
        <f t="shared" si="4"/>
        <v>#N/A</v>
      </c>
      <c r="Q28" s="180" t="e">
        <f t="shared" si="10"/>
        <v>#N/A</v>
      </c>
      <c r="R28" s="180" t="e">
        <f t="shared" si="11"/>
        <v>#N/A</v>
      </c>
      <c r="S28" s="178" t="str">
        <f t="shared" si="5"/>
        <v/>
      </c>
      <c r="T28" s="178" t="e">
        <f t="shared" si="12"/>
        <v>#N/A</v>
      </c>
      <c r="U28" s="178" t="e">
        <f t="shared" si="13"/>
        <v>#N/A</v>
      </c>
      <c r="V28" s="178"/>
      <c r="W28" s="178"/>
      <c r="X28" s="178"/>
      <c r="Y28" s="178"/>
      <c r="Z28" s="178"/>
      <c r="AA28" s="181" t="e">
        <f t="shared" si="9"/>
        <v>#N/A</v>
      </c>
      <c r="AB28" s="178" t="e">
        <f t="shared" si="14"/>
        <v>#N/A</v>
      </c>
      <c r="AC28" s="178" t="e">
        <f t="shared" si="15"/>
        <v>#N/A</v>
      </c>
      <c r="AD28" s="179" t="e">
        <f t="shared" si="3"/>
        <v>#N/A</v>
      </c>
    </row>
    <row r="29" spans="2:42" x14ac:dyDescent="0.3">
      <c r="B29" s="188">
        <v>24</v>
      </c>
      <c r="C29" s="205"/>
      <c r="D29" s="206"/>
      <c r="E29" s="207"/>
      <c r="F29" s="207"/>
      <c r="G29" s="183" t="e">
        <f t="shared" si="0"/>
        <v>#N/A</v>
      </c>
      <c r="H29" s="183" t="e">
        <f t="shared" si="2"/>
        <v>#N/A</v>
      </c>
      <c r="I29" s="221">
        <f>'Plot Data'!$H$67</f>
        <v>21.692864141671475</v>
      </c>
      <c r="J29" s="221">
        <f>'Plot Data'!$H$65</f>
        <v>21.858099903971461</v>
      </c>
      <c r="K29" s="222">
        <f>'Plot Data'!$H$58</f>
        <v>22.188571428571429</v>
      </c>
      <c r="L29" s="222">
        <f>'Plot Data'!$H$62</f>
        <v>22.519042953171397</v>
      </c>
      <c r="M29" s="222">
        <f>'Plot Data'!$H$64</f>
        <v>22.684278715471383</v>
      </c>
      <c r="N29" s="222">
        <f>'Plot Data'!$H$68</f>
        <v>0.44377142857142859</v>
      </c>
      <c r="O29" s="177" t="e">
        <f t="shared" si="1"/>
        <v>#N/A</v>
      </c>
      <c r="P29" s="180" t="e">
        <f t="shared" si="4"/>
        <v>#N/A</v>
      </c>
      <c r="Q29" s="180" t="e">
        <f t="shared" si="10"/>
        <v>#N/A</v>
      </c>
      <c r="R29" s="180" t="e">
        <f t="shared" si="11"/>
        <v>#N/A</v>
      </c>
      <c r="S29" s="178" t="str">
        <f t="shared" si="5"/>
        <v/>
      </c>
      <c r="T29" s="178" t="e">
        <f t="shared" si="12"/>
        <v>#N/A</v>
      </c>
      <c r="U29" s="178" t="e">
        <f t="shared" si="13"/>
        <v>#N/A</v>
      </c>
      <c r="V29" s="178"/>
      <c r="W29" s="178"/>
      <c r="X29" s="178"/>
      <c r="Y29" s="178"/>
      <c r="Z29" s="178"/>
      <c r="AA29" s="181" t="e">
        <f t="shared" si="9"/>
        <v>#N/A</v>
      </c>
      <c r="AB29" s="178" t="e">
        <f t="shared" si="14"/>
        <v>#N/A</v>
      </c>
      <c r="AC29" s="178" t="e">
        <f t="shared" si="15"/>
        <v>#N/A</v>
      </c>
      <c r="AD29" s="179" t="e">
        <f t="shared" si="3"/>
        <v>#N/A</v>
      </c>
    </row>
    <row r="30" spans="2:42" x14ac:dyDescent="0.3">
      <c r="B30" s="188">
        <v>25</v>
      </c>
      <c r="C30" s="205"/>
      <c r="D30" s="206"/>
      <c r="E30" s="207"/>
      <c r="F30" s="207"/>
      <c r="G30" s="183" t="e">
        <f t="shared" si="0"/>
        <v>#N/A</v>
      </c>
      <c r="H30" s="183" t="e">
        <f t="shared" si="2"/>
        <v>#N/A</v>
      </c>
      <c r="I30" s="221">
        <f>'Plot Data'!$H$67</f>
        <v>21.692864141671475</v>
      </c>
      <c r="J30" s="221">
        <f>'Plot Data'!$H$65</f>
        <v>21.858099903971461</v>
      </c>
      <c r="K30" s="222">
        <f>'Plot Data'!$H$58</f>
        <v>22.188571428571429</v>
      </c>
      <c r="L30" s="222">
        <f>'Plot Data'!$H$62</f>
        <v>22.519042953171397</v>
      </c>
      <c r="M30" s="222">
        <f>'Plot Data'!$H$64</f>
        <v>22.684278715471383</v>
      </c>
      <c r="N30" s="222">
        <f>'Plot Data'!$H$68</f>
        <v>0.44377142857142859</v>
      </c>
      <c r="O30" s="177" t="e">
        <f t="shared" si="1"/>
        <v>#N/A</v>
      </c>
      <c r="P30" s="180" t="e">
        <f t="shared" si="4"/>
        <v>#N/A</v>
      </c>
      <c r="Q30" s="180" t="e">
        <f t="shared" si="10"/>
        <v>#N/A</v>
      </c>
      <c r="R30" s="180" t="e">
        <f t="shared" si="11"/>
        <v>#N/A</v>
      </c>
      <c r="S30" s="178" t="str">
        <f t="shared" si="5"/>
        <v/>
      </c>
      <c r="T30" s="178" t="e">
        <f t="shared" si="12"/>
        <v>#N/A</v>
      </c>
      <c r="U30" s="178" t="e">
        <f t="shared" si="13"/>
        <v>#N/A</v>
      </c>
      <c r="V30" s="178"/>
      <c r="W30" s="178"/>
      <c r="X30" s="178"/>
      <c r="Y30" s="178"/>
      <c r="Z30" s="178"/>
      <c r="AA30" s="181" t="e">
        <f t="shared" si="9"/>
        <v>#N/A</v>
      </c>
      <c r="AB30" s="178" t="e">
        <f t="shared" si="14"/>
        <v>#N/A</v>
      </c>
      <c r="AC30" s="178" t="e">
        <f t="shared" si="15"/>
        <v>#N/A</v>
      </c>
      <c r="AD30" s="179" t="e">
        <f t="shared" si="3"/>
        <v>#N/A</v>
      </c>
    </row>
    <row r="31" spans="2:42" x14ac:dyDescent="0.3">
      <c r="B31" s="188">
        <v>26</v>
      </c>
      <c r="C31" s="205"/>
      <c r="D31" s="206"/>
      <c r="E31" s="207"/>
      <c r="F31" s="207"/>
      <c r="G31" s="183" t="e">
        <f t="shared" si="0"/>
        <v>#N/A</v>
      </c>
      <c r="H31" s="183" t="e">
        <f t="shared" si="2"/>
        <v>#N/A</v>
      </c>
      <c r="I31" s="221">
        <f>'Plot Data'!$H$67</f>
        <v>21.692864141671475</v>
      </c>
      <c r="J31" s="221">
        <f>'Plot Data'!$H$65</f>
        <v>21.858099903971461</v>
      </c>
      <c r="K31" s="222">
        <f>'Plot Data'!$H$58</f>
        <v>22.188571428571429</v>
      </c>
      <c r="L31" s="222">
        <f>'Plot Data'!$H$62</f>
        <v>22.519042953171397</v>
      </c>
      <c r="M31" s="222">
        <f>'Plot Data'!$H$64</f>
        <v>22.684278715471383</v>
      </c>
      <c r="N31" s="222">
        <f>'Plot Data'!$H$68</f>
        <v>0.44377142857142859</v>
      </c>
      <c r="O31" s="177" t="e">
        <f t="shared" si="1"/>
        <v>#N/A</v>
      </c>
      <c r="P31" s="180" t="e">
        <f t="shared" si="4"/>
        <v>#N/A</v>
      </c>
      <c r="Q31" s="180" t="e">
        <f t="shared" si="10"/>
        <v>#N/A</v>
      </c>
      <c r="R31" s="180" t="e">
        <f t="shared" si="11"/>
        <v>#N/A</v>
      </c>
      <c r="S31" s="178" t="str">
        <f t="shared" si="5"/>
        <v/>
      </c>
      <c r="T31" s="178" t="e">
        <f t="shared" si="12"/>
        <v>#N/A</v>
      </c>
      <c r="U31" s="178" t="e">
        <f t="shared" si="13"/>
        <v>#N/A</v>
      </c>
      <c r="V31" s="178"/>
      <c r="W31" s="178"/>
      <c r="X31" s="178"/>
      <c r="Y31" s="178"/>
      <c r="Z31" s="178"/>
      <c r="AA31" s="181" t="e">
        <f t="shared" si="9"/>
        <v>#N/A</v>
      </c>
      <c r="AB31" s="178" t="e">
        <f t="shared" si="14"/>
        <v>#N/A</v>
      </c>
      <c r="AC31" s="178" t="e">
        <f t="shared" si="15"/>
        <v>#N/A</v>
      </c>
      <c r="AD31" s="179" t="e">
        <f t="shared" si="3"/>
        <v>#N/A</v>
      </c>
      <c r="AF31" s="703"/>
      <c r="AG31" s="703"/>
      <c r="AH31" s="703"/>
      <c r="AI31" s="703"/>
      <c r="AJ31" s="703"/>
      <c r="AK31" s="703"/>
      <c r="AL31" s="703"/>
      <c r="AM31" s="703"/>
      <c r="AN31" s="703"/>
      <c r="AO31" s="703"/>
      <c r="AP31" s="703"/>
    </row>
    <row r="32" spans="2:42" ht="15" thickBot="1" x14ac:dyDescent="0.35">
      <c r="B32" s="188">
        <v>27</v>
      </c>
      <c r="C32" s="205"/>
      <c r="D32" s="206"/>
      <c r="E32" s="207"/>
      <c r="F32" s="207"/>
      <c r="G32" s="183" t="e">
        <f t="shared" si="0"/>
        <v>#N/A</v>
      </c>
      <c r="H32" s="183" t="e">
        <f t="shared" si="2"/>
        <v>#N/A</v>
      </c>
      <c r="I32" s="221">
        <f>'Plot Data'!$H$67</f>
        <v>21.692864141671475</v>
      </c>
      <c r="J32" s="221">
        <f>'Plot Data'!$H$65</f>
        <v>21.858099903971461</v>
      </c>
      <c r="K32" s="222">
        <f>'Plot Data'!$H$58</f>
        <v>22.188571428571429</v>
      </c>
      <c r="L32" s="222">
        <f>'Plot Data'!$H$62</f>
        <v>22.519042953171397</v>
      </c>
      <c r="M32" s="222">
        <f>'Plot Data'!$H$64</f>
        <v>22.684278715471383</v>
      </c>
      <c r="N32" s="222">
        <f>'Plot Data'!$H$68</f>
        <v>0.44377142857142859</v>
      </c>
      <c r="O32" s="177" t="e">
        <f t="shared" si="1"/>
        <v>#N/A</v>
      </c>
      <c r="P32" s="180" t="e">
        <f t="shared" si="4"/>
        <v>#N/A</v>
      </c>
      <c r="Q32" s="180" t="e">
        <f t="shared" si="10"/>
        <v>#N/A</v>
      </c>
      <c r="R32" s="180" t="e">
        <f t="shared" si="11"/>
        <v>#N/A</v>
      </c>
      <c r="S32" s="178" t="str">
        <f t="shared" si="5"/>
        <v/>
      </c>
      <c r="T32" s="178" t="e">
        <f t="shared" si="12"/>
        <v>#N/A</v>
      </c>
      <c r="U32" s="178" t="e">
        <f t="shared" si="13"/>
        <v>#N/A</v>
      </c>
      <c r="V32" s="178"/>
      <c r="W32" s="178"/>
      <c r="X32" s="178"/>
      <c r="Y32" s="178"/>
      <c r="Z32" s="178"/>
      <c r="AA32" s="181" t="e">
        <f t="shared" si="9"/>
        <v>#N/A</v>
      </c>
      <c r="AB32" s="178" t="e">
        <f t="shared" si="14"/>
        <v>#N/A</v>
      </c>
      <c r="AC32" s="178" t="e">
        <f t="shared" si="15"/>
        <v>#N/A</v>
      </c>
      <c r="AD32" s="179" t="e">
        <f t="shared" si="3"/>
        <v>#N/A</v>
      </c>
      <c r="AF32" s="704"/>
      <c r="AG32" s="704"/>
      <c r="AH32" s="704"/>
      <c r="AI32" s="704"/>
      <c r="AJ32" s="704"/>
      <c r="AK32" s="704"/>
      <c r="AL32" s="704"/>
      <c r="AM32" s="704"/>
      <c r="AN32" s="704"/>
      <c r="AO32" s="704"/>
      <c r="AP32" s="704"/>
    </row>
    <row r="33" spans="2:42" x14ac:dyDescent="0.3">
      <c r="B33" s="188">
        <v>28</v>
      </c>
      <c r="C33" s="205"/>
      <c r="D33" s="206"/>
      <c r="E33" s="207"/>
      <c r="F33" s="207"/>
      <c r="G33" s="183" t="e">
        <f t="shared" si="0"/>
        <v>#N/A</v>
      </c>
      <c r="H33" s="183" t="e">
        <f t="shared" si="2"/>
        <v>#N/A</v>
      </c>
      <c r="I33" s="221">
        <f>'Plot Data'!$H$67</f>
        <v>21.692864141671475</v>
      </c>
      <c r="J33" s="221">
        <f>'Plot Data'!$H$65</f>
        <v>21.858099903971461</v>
      </c>
      <c r="K33" s="222">
        <f>'Plot Data'!$H$58</f>
        <v>22.188571428571429</v>
      </c>
      <c r="L33" s="222">
        <f>'Plot Data'!$H$62</f>
        <v>22.519042953171397</v>
      </c>
      <c r="M33" s="222">
        <f>'Plot Data'!$H$64</f>
        <v>22.684278715471383</v>
      </c>
      <c r="N33" s="222">
        <f>'Plot Data'!$H$68</f>
        <v>0.44377142857142859</v>
      </c>
      <c r="O33" s="177" t="e">
        <f t="shared" si="1"/>
        <v>#N/A</v>
      </c>
      <c r="P33" s="180" t="e">
        <f t="shared" si="4"/>
        <v>#N/A</v>
      </c>
      <c r="Q33" s="180" t="e">
        <f t="shared" si="10"/>
        <v>#N/A</v>
      </c>
      <c r="R33" s="180" t="e">
        <f t="shared" si="11"/>
        <v>#N/A</v>
      </c>
      <c r="S33" s="178" t="str">
        <f t="shared" si="5"/>
        <v/>
      </c>
      <c r="T33" s="178" t="e">
        <f t="shared" si="12"/>
        <v>#N/A</v>
      </c>
      <c r="U33" s="178" t="e">
        <f t="shared" si="13"/>
        <v>#N/A</v>
      </c>
      <c r="V33" s="178"/>
      <c r="W33" s="178"/>
      <c r="X33" s="178"/>
      <c r="Y33" s="178"/>
      <c r="Z33" s="178"/>
      <c r="AA33" s="181" t="e">
        <f t="shared" si="9"/>
        <v>#N/A</v>
      </c>
      <c r="AB33" s="178" t="e">
        <f t="shared" si="14"/>
        <v>#N/A</v>
      </c>
      <c r="AC33" s="178" t="e">
        <f t="shared" si="15"/>
        <v>#N/A</v>
      </c>
      <c r="AD33" s="179" t="e">
        <f t="shared" si="3"/>
        <v>#N/A</v>
      </c>
      <c r="AF33" s="690" t="s">
        <v>7</v>
      </c>
      <c r="AG33" s="689"/>
      <c r="AH33" s="689" t="str">
        <f>AH5</f>
        <v>Quick Ash</v>
      </c>
      <c r="AI33" s="689"/>
      <c r="AJ33" s="689"/>
      <c r="AK33" s="689" t="s">
        <v>168</v>
      </c>
      <c r="AL33" s="689"/>
      <c r="AM33" s="689"/>
      <c r="AN33" s="689" t="str">
        <f>AN5</f>
        <v>IMP-QASH-01</v>
      </c>
      <c r="AO33" s="689"/>
      <c r="AP33" s="691"/>
    </row>
    <row r="34" spans="2:42" ht="15" customHeight="1" x14ac:dyDescent="0.3">
      <c r="B34" s="188">
        <v>29</v>
      </c>
      <c r="C34" s="205"/>
      <c r="D34" s="206"/>
      <c r="E34" s="207"/>
      <c r="F34" s="207"/>
      <c r="G34" s="183" t="e">
        <f t="shared" si="0"/>
        <v>#N/A</v>
      </c>
      <c r="H34" s="183" t="e">
        <f t="shared" si="2"/>
        <v>#N/A</v>
      </c>
      <c r="I34" s="221">
        <f>'Plot Data'!$H$67</f>
        <v>21.692864141671475</v>
      </c>
      <c r="J34" s="221">
        <f>'Plot Data'!$H$65</f>
        <v>21.858099903971461</v>
      </c>
      <c r="K34" s="222">
        <f>'Plot Data'!$H$58</f>
        <v>22.188571428571429</v>
      </c>
      <c r="L34" s="222">
        <f>'Plot Data'!$H$62</f>
        <v>22.519042953171397</v>
      </c>
      <c r="M34" s="222">
        <f>'Plot Data'!$H$64</f>
        <v>22.684278715471383</v>
      </c>
      <c r="N34" s="222">
        <f>'Plot Data'!$H$68</f>
        <v>0.44377142857142859</v>
      </c>
      <c r="O34" s="177" t="e">
        <f t="shared" si="1"/>
        <v>#N/A</v>
      </c>
      <c r="P34" s="180" t="e">
        <f t="shared" si="4"/>
        <v>#N/A</v>
      </c>
      <c r="Q34" s="180" t="e">
        <f t="shared" si="10"/>
        <v>#N/A</v>
      </c>
      <c r="R34" s="180" t="e">
        <f t="shared" si="11"/>
        <v>#N/A</v>
      </c>
      <c r="S34" s="178" t="str">
        <f t="shared" si="5"/>
        <v/>
      </c>
      <c r="T34" s="178" t="e">
        <f t="shared" si="12"/>
        <v>#N/A</v>
      </c>
      <c r="U34" s="178" t="e">
        <f t="shared" si="13"/>
        <v>#N/A</v>
      </c>
      <c r="V34" s="178"/>
      <c r="W34" s="178"/>
      <c r="X34" s="178"/>
      <c r="Y34" s="178"/>
      <c r="Z34" s="178"/>
      <c r="AA34" s="181" t="e">
        <f t="shared" si="9"/>
        <v>#N/A</v>
      </c>
      <c r="AB34" s="178" t="e">
        <f t="shared" si="14"/>
        <v>#N/A</v>
      </c>
      <c r="AC34" s="178" t="e">
        <f t="shared" si="15"/>
        <v>#N/A</v>
      </c>
      <c r="AD34" s="179" t="e">
        <f t="shared" si="3"/>
        <v>#N/A</v>
      </c>
      <c r="AF34" s="682"/>
      <c r="AG34" s="683"/>
      <c r="AH34" s="683"/>
      <c r="AI34" s="683"/>
      <c r="AJ34" s="683"/>
      <c r="AK34" s="683"/>
      <c r="AL34" s="683"/>
      <c r="AM34" s="683"/>
      <c r="AN34" s="683"/>
      <c r="AO34" s="683"/>
      <c r="AP34" s="705"/>
    </row>
    <row r="35" spans="2:42" ht="15" customHeight="1" x14ac:dyDescent="0.3">
      <c r="B35" s="188">
        <v>30</v>
      </c>
      <c r="C35" s="205"/>
      <c r="D35" s="206"/>
      <c r="E35" s="207"/>
      <c r="F35" s="207"/>
      <c r="G35" s="183" t="e">
        <f t="shared" si="0"/>
        <v>#N/A</v>
      </c>
      <c r="H35" s="183" t="e">
        <f t="shared" si="2"/>
        <v>#N/A</v>
      </c>
      <c r="I35" s="221">
        <f>'Plot Data'!$H$67</f>
        <v>21.692864141671475</v>
      </c>
      <c r="J35" s="221">
        <f>'Plot Data'!$H$65</f>
        <v>21.858099903971461</v>
      </c>
      <c r="K35" s="222">
        <f>'Plot Data'!$H$58</f>
        <v>22.188571428571429</v>
      </c>
      <c r="L35" s="222">
        <f>'Plot Data'!$H$62</f>
        <v>22.519042953171397</v>
      </c>
      <c r="M35" s="222">
        <f>'Plot Data'!$H$64</f>
        <v>22.684278715471383</v>
      </c>
      <c r="N35" s="222">
        <f>'Plot Data'!$H$68</f>
        <v>0.44377142857142859</v>
      </c>
      <c r="O35" s="177" t="e">
        <f t="shared" si="1"/>
        <v>#N/A</v>
      </c>
      <c r="P35" s="180" t="e">
        <f t="shared" si="4"/>
        <v>#N/A</v>
      </c>
      <c r="Q35" s="180" t="e">
        <f t="shared" si="10"/>
        <v>#N/A</v>
      </c>
      <c r="R35" s="180" t="e">
        <f t="shared" si="11"/>
        <v>#N/A</v>
      </c>
      <c r="S35" s="178" t="str">
        <f t="shared" si="5"/>
        <v/>
      </c>
      <c r="T35" s="178" t="e">
        <f t="shared" si="12"/>
        <v>#N/A</v>
      </c>
      <c r="U35" s="178" t="e">
        <f t="shared" si="13"/>
        <v>#N/A</v>
      </c>
      <c r="V35" s="178"/>
      <c r="W35" s="178"/>
      <c r="X35" s="178"/>
      <c r="Y35" s="178"/>
      <c r="Z35" s="178"/>
      <c r="AA35" s="181" t="e">
        <f t="shared" si="9"/>
        <v>#N/A</v>
      </c>
      <c r="AB35" s="178" t="e">
        <f t="shared" si="14"/>
        <v>#N/A</v>
      </c>
      <c r="AC35" s="178" t="e">
        <f t="shared" si="15"/>
        <v>#N/A</v>
      </c>
      <c r="AD35" s="179" t="e">
        <f t="shared" si="3"/>
        <v>#N/A</v>
      </c>
      <c r="AF35" s="682" t="s">
        <v>203</v>
      </c>
      <c r="AG35" s="683"/>
      <c r="AH35" s="683" t="str">
        <f>AH6</f>
        <v>034</v>
      </c>
      <c r="AI35" s="683"/>
      <c r="AJ35" s="683"/>
      <c r="AK35" s="683" t="s">
        <v>204</v>
      </c>
      <c r="AL35" s="683"/>
      <c r="AM35" s="683"/>
      <c r="AN35" s="686">
        <f>AN6</f>
        <v>37212</v>
      </c>
      <c r="AO35" s="683" t="s">
        <v>205</v>
      </c>
      <c r="AP35" s="680">
        <f>AP6</f>
        <v>39403</v>
      </c>
    </row>
    <row r="36" spans="2:42" ht="15" customHeight="1" thickBot="1" x14ac:dyDescent="0.35">
      <c r="B36" s="188">
        <v>31</v>
      </c>
      <c r="C36" s="205"/>
      <c r="D36" s="206"/>
      <c r="E36" s="207"/>
      <c r="F36" s="207"/>
      <c r="G36" s="183" t="e">
        <f t="shared" si="0"/>
        <v>#N/A</v>
      </c>
      <c r="H36" s="183" t="e">
        <f t="shared" si="2"/>
        <v>#N/A</v>
      </c>
      <c r="I36" s="221">
        <f>'Plot Data'!$H$67</f>
        <v>21.692864141671475</v>
      </c>
      <c r="J36" s="221">
        <f>'Plot Data'!$H$65</f>
        <v>21.858099903971461</v>
      </c>
      <c r="K36" s="222">
        <f>'Plot Data'!$H$58</f>
        <v>22.188571428571429</v>
      </c>
      <c r="L36" s="222">
        <f>'Plot Data'!$H$62</f>
        <v>22.519042953171397</v>
      </c>
      <c r="M36" s="222">
        <f>'Plot Data'!$H$64</f>
        <v>22.684278715471383</v>
      </c>
      <c r="N36" s="222">
        <f>'Plot Data'!$H$68</f>
        <v>0.44377142857142859</v>
      </c>
      <c r="O36" s="177" t="e">
        <f t="shared" si="1"/>
        <v>#N/A</v>
      </c>
      <c r="P36" s="180" t="e">
        <f t="shared" si="4"/>
        <v>#N/A</v>
      </c>
      <c r="Q36" s="180" t="e">
        <f t="shared" si="10"/>
        <v>#N/A</v>
      </c>
      <c r="R36" s="180" t="e">
        <f t="shared" si="11"/>
        <v>#N/A</v>
      </c>
      <c r="S36" s="178" t="str">
        <f t="shared" si="5"/>
        <v/>
      </c>
      <c r="T36" s="178" t="e">
        <f t="shared" si="12"/>
        <v>#N/A</v>
      </c>
      <c r="U36" s="178" t="e">
        <f t="shared" si="13"/>
        <v>#N/A</v>
      </c>
      <c r="V36" s="178"/>
      <c r="W36" s="178"/>
      <c r="X36" s="178"/>
      <c r="Y36" s="178"/>
      <c r="Z36" s="178"/>
      <c r="AA36" s="181" t="e">
        <f t="shared" si="9"/>
        <v>#N/A</v>
      </c>
      <c r="AB36" s="178" t="e">
        <f t="shared" si="14"/>
        <v>#N/A</v>
      </c>
      <c r="AC36" s="178" t="e">
        <f t="shared" si="15"/>
        <v>#N/A</v>
      </c>
      <c r="AD36" s="179" t="e">
        <f t="shared" si="3"/>
        <v>#N/A</v>
      </c>
      <c r="AF36" s="684"/>
      <c r="AG36" s="685"/>
      <c r="AH36" s="685"/>
      <c r="AI36" s="685"/>
      <c r="AJ36" s="685"/>
      <c r="AK36" s="685"/>
      <c r="AL36" s="685"/>
      <c r="AM36" s="685"/>
      <c r="AN36" s="687"/>
      <c r="AO36" s="685"/>
      <c r="AP36" s="681"/>
    </row>
    <row r="37" spans="2:42" x14ac:dyDescent="0.3">
      <c r="B37" s="188">
        <v>32</v>
      </c>
      <c r="C37" s="205"/>
      <c r="D37" s="206"/>
      <c r="E37" s="207"/>
      <c r="F37" s="207"/>
      <c r="G37" s="183" t="e">
        <f t="shared" si="0"/>
        <v>#N/A</v>
      </c>
      <c r="H37" s="183" t="e">
        <f t="shared" si="2"/>
        <v>#N/A</v>
      </c>
      <c r="I37" s="221">
        <f>'Plot Data'!$H$67</f>
        <v>21.692864141671475</v>
      </c>
      <c r="J37" s="221">
        <f>'Plot Data'!$H$65</f>
        <v>21.858099903971461</v>
      </c>
      <c r="K37" s="222">
        <f>'Plot Data'!$H$58</f>
        <v>22.188571428571429</v>
      </c>
      <c r="L37" s="222">
        <f>'Plot Data'!$H$62</f>
        <v>22.519042953171397</v>
      </c>
      <c r="M37" s="222">
        <f>'Plot Data'!$H$64</f>
        <v>22.684278715471383</v>
      </c>
      <c r="N37" s="222">
        <f>'Plot Data'!$H$68</f>
        <v>0.44377142857142859</v>
      </c>
      <c r="O37" s="177" t="e">
        <f t="shared" si="1"/>
        <v>#N/A</v>
      </c>
      <c r="P37" s="180" t="e">
        <f t="shared" si="4"/>
        <v>#N/A</v>
      </c>
      <c r="Q37" s="180" t="e">
        <f t="shared" si="10"/>
        <v>#N/A</v>
      </c>
      <c r="R37" s="180" t="e">
        <f t="shared" si="11"/>
        <v>#N/A</v>
      </c>
      <c r="S37" s="178" t="str">
        <f t="shared" si="5"/>
        <v/>
      </c>
      <c r="T37" s="178" t="e">
        <f t="shared" si="12"/>
        <v>#N/A</v>
      </c>
      <c r="U37" s="178" t="e">
        <f t="shared" si="13"/>
        <v>#N/A</v>
      </c>
      <c r="V37" s="178"/>
      <c r="W37" s="178"/>
      <c r="X37" s="178"/>
      <c r="Y37" s="178"/>
      <c r="Z37" s="178"/>
      <c r="AA37" s="181" t="e">
        <f t="shared" si="9"/>
        <v>#N/A</v>
      </c>
      <c r="AB37" s="178" t="e">
        <f t="shared" si="14"/>
        <v>#N/A</v>
      </c>
      <c r="AC37" s="178" t="e">
        <f t="shared" si="15"/>
        <v>#N/A</v>
      </c>
      <c r="AD37" s="179" t="e">
        <f t="shared" si="3"/>
        <v>#N/A</v>
      </c>
      <c r="AF37" s="211"/>
      <c r="AP37" s="92"/>
    </row>
    <row r="38" spans="2:42" x14ac:dyDescent="0.3">
      <c r="B38" s="188">
        <v>33</v>
      </c>
      <c r="C38" s="205"/>
      <c r="D38" s="206"/>
      <c r="E38" s="207"/>
      <c r="F38" s="207"/>
      <c r="G38" s="183" t="e">
        <f t="shared" si="0"/>
        <v>#N/A</v>
      </c>
      <c r="H38" s="183" t="e">
        <f t="shared" si="2"/>
        <v>#N/A</v>
      </c>
      <c r="I38" s="221">
        <f>'Plot Data'!$H$67</f>
        <v>21.692864141671475</v>
      </c>
      <c r="J38" s="221">
        <f>'Plot Data'!$H$65</f>
        <v>21.858099903971461</v>
      </c>
      <c r="K38" s="222">
        <f>'Plot Data'!$H$58</f>
        <v>22.188571428571429</v>
      </c>
      <c r="L38" s="222">
        <f>'Plot Data'!$H$62</f>
        <v>22.519042953171397</v>
      </c>
      <c r="M38" s="222">
        <f>'Plot Data'!$H$64</f>
        <v>22.684278715471383</v>
      </c>
      <c r="N38" s="222">
        <f>'Plot Data'!$H$68</f>
        <v>0.44377142857142859</v>
      </c>
      <c r="O38" s="177" t="e">
        <f t="shared" si="1"/>
        <v>#N/A</v>
      </c>
      <c r="P38" s="180" t="e">
        <f t="shared" si="4"/>
        <v>#N/A</v>
      </c>
      <c r="Q38" s="180" t="e">
        <f t="shared" si="10"/>
        <v>#N/A</v>
      </c>
      <c r="R38" s="180" t="e">
        <f t="shared" si="11"/>
        <v>#N/A</v>
      </c>
      <c r="S38" s="178" t="str">
        <f t="shared" si="5"/>
        <v/>
      </c>
      <c r="T38" s="178" t="e">
        <f t="shared" si="12"/>
        <v>#N/A</v>
      </c>
      <c r="U38" s="178" t="e">
        <f t="shared" si="13"/>
        <v>#N/A</v>
      </c>
      <c r="V38" s="178"/>
      <c r="W38" s="178"/>
      <c r="X38" s="178"/>
      <c r="Y38" s="178"/>
      <c r="Z38" s="178"/>
      <c r="AA38" s="181" t="e">
        <f t="shared" si="9"/>
        <v>#N/A</v>
      </c>
      <c r="AB38" s="178" t="e">
        <f t="shared" si="14"/>
        <v>#N/A</v>
      </c>
      <c r="AC38" s="178" t="e">
        <f t="shared" si="15"/>
        <v>#N/A</v>
      </c>
      <c r="AD38" s="179" t="e">
        <f t="shared" si="3"/>
        <v>#N/A</v>
      </c>
      <c r="AF38" s="211"/>
      <c r="AP38" s="92"/>
    </row>
    <row r="39" spans="2:42" x14ac:dyDescent="0.3">
      <c r="B39" s="188">
        <v>34</v>
      </c>
      <c r="C39" s="205"/>
      <c r="D39" s="206"/>
      <c r="E39" s="207"/>
      <c r="F39" s="207"/>
      <c r="G39" s="183" t="e">
        <f t="shared" si="0"/>
        <v>#N/A</v>
      </c>
      <c r="H39" s="183" t="e">
        <f t="shared" si="2"/>
        <v>#N/A</v>
      </c>
      <c r="I39" s="221">
        <f>'Plot Data'!$H$67</f>
        <v>21.692864141671475</v>
      </c>
      <c r="J39" s="221">
        <f>'Plot Data'!$H$65</f>
        <v>21.858099903971461</v>
      </c>
      <c r="K39" s="222">
        <f>'Plot Data'!$H$58</f>
        <v>22.188571428571429</v>
      </c>
      <c r="L39" s="222">
        <f>'Plot Data'!$H$62</f>
        <v>22.519042953171397</v>
      </c>
      <c r="M39" s="222">
        <f>'Plot Data'!$H$64</f>
        <v>22.684278715471383</v>
      </c>
      <c r="N39" s="222">
        <f>'Plot Data'!$H$68</f>
        <v>0.44377142857142859</v>
      </c>
      <c r="O39" s="177" t="e">
        <f t="shared" si="1"/>
        <v>#N/A</v>
      </c>
      <c r="P39" s="180" t="e">
        <f t="shared" si="4"/>
        <v>#N/A</v>
      </c>
      <c r="Q39" s="180" t="e">
        <f t="shared" si="10"/>
        <v>#N/A</v>
      </c>
      <c r="R39" s="180" t="e">
        <f t="shared" si="11"/>
        <v>#N/A</v>
      </c>
      <c r="S39" s="178" t="str">
        <f t="shared" si="5"/>
        <v/>
      </c>
      <c r="T39" s="178" t="e">
        <f t="shared" si="12"/>
        <v>#N/A</v>
      </c>
      <c r="U39" s="178" t="e">
        <f t="shared" si="13"/>
        <v>#N/A</v>
      </c>
      <c r="V39" s="178"/>
      <c r="W39" s="178"/>
      <c r="X39" s="178"/>
      <c r="Y39" s="178"/>
      <c r="Z39" s="178"/>
      <c r="AA39" s="181" t="e">
        <f t="shared" si="9"/>
        <v>#N/A</v>
      </c>
      <c r="AB39" s="178" t="e">
        <f t="shared" si="14"/>
        <v>#N/A</v>
      </c>
      <c r="AC39" s="178" t="e">
        <f t="shared" si="15"/>
        <v>#N/A</v>
      </c>
      <c r="AD39" s="179" t="e">
        <f t="shared" si="3"/>
        <v>#N/A</v>
      </c>
      <c r="AF39" s="211"/>
      <c r="AP39" s="92"/>
    </row>
    <row r="40" spans="2:42" x14ac:dyDescent="0.3">
      <c r="B40" s="188">
        <v>35</v>
      </c>
      <c r="C40" s="205"/>
      <c r="D40" s="206"/>
      <c r="E40" s="207"/>
      <c r="F40" s="207"/>
      <c r="G40" s="183" t="e">
        <f t="shared" si="0"/>
        <v>#N/A</v>
      </c>
      <c r="H40" s="183" t="e">
        <f t="shared" si="2"/>
        <v>#N/A</v>
      </c>
      <c r="I40" s="221">
        <f>'Plot Data'!$H$67</f>
        <v>21.692864141671475</v>
      </c>
      <c r="J40" s="221">
        <f>'Plot Data'!$H$65</f>
        <v>21.858099903971461</v>
      </c>
      <c r="K40" s="222">
        <f>'Plot Data'!$H$58</f>
        <v>22.188571428571429</v>
      </c>
      <c r="L40" s="222">
        <f>'Plot Data'!$H$62</f>
        <v>22.519042953171397</v>
      </c>
      <c r="M40" s="222">
        <f>'Plot Data'!$H$64</f>
        <v>22.684278715471383</v>
      </c>
      <c r="N40" s="222">
        <f>'Plot Data'!$H$68</f>
        <v>0.44377142857142859</v>
      </c>
      <c r="O40" s="177" t="e">
        <f t="shared" si="1"/>
        <v>#N/A</v>
      </c>
      <c r="P40" s="180" t="e">
        <f t="shared" si="4"/>
        <v>#N/A</v>
      </c>
      <c r="Q40" s="180" t="e">
        <f t="shared" si="10"/>
        <v>#N/A</v>
      </c>
      <c r="R40" s="180" t="e">
        <f t="shared" si="11"/>
        <v>#N/A</v>
      </c>
      <c r="S40" s="178" t="str">
        <f t="shared" si="5"/>
        <v/>
      </c>
      <c r="T40" s="178" t="e">
        <f t="shared" si="12"/>
        <v>#N/A</v>
      </c>
      <c r="U40" s="178" t="e">
        <f t="shared" si="13"/>
        <v>#N/A</v>
      </c>
      <c r="V40" s="178"/>
      <c r="W40" s="178"/>
      <c r="X40" s="178"/>
      <c r="Y40" s="178"/>
      <c r="Z40" s="178"/>
      <c r="AA40" s="181" t="e">
        <f t="shared" si="9"/>
        <v>#N/A</v>
      </c>
      <c r="AB40" s="178" t="e">
        <f t="shared" si="14"/>
        <v>#N/A</v>
      </c>
      <c r="AC40" s="178" t="e">
        <f t="shared" si="15"/>
        <v>#N/A</v>
      </c>
      <c r="AD40" s="179" t="e">
        <f t="shared" si="3"/>
        <v>#N/A</v>
      </c>
      <c r="AF40" s="211"/>
      <c r="AP40" s="92"/>
    </row>
    <row r="41" spans="2:42" x14ac:dyDescent="0.3">
      <c r="B41" s="188">
        <v>36</v>
      </c>
      <c r="C41" s="205"/>
      <c r="D41" s="206"/>
      <c r="E41" s="207"/>
      <c r="F41" s="207"/>
      <c r="G41" s="183" t="e">
        <f t="shared" si="0"/>
        <v>#N/A</v>
      </c>
      <c r="H41" s="183" t="e">
        <f t="shared" si="2"/>
        <v>#N/A</v>
      </c>
      <c r="I41" s="221">
        <f>'Plot Data'!$H$67</f>
        <v>21.692864141671475</v>
      </c>
      <c r="J41" s="221">
        <f>'Plot Data'!$H$65</f>
        <v>21.858099903971461</v>
      </c>
      <c r="K41" s="222">
        <f>'Plot Data'!$H$58</f>
        <v>22.188571428571429</v>
      </c>
      <c r="L41" s="222">
        <f>'Plot Data'!$H$62</f>
        <v>22.519042953171397</v>
      </c>
      <c r="M41" s="222">
        <f>'Plot Data'!$H$64</f>
        <v>22.684278715471383</v>
      </c>
      <c r="N41" s="222">
        <f>'Plot Data'!$H$68</f>
        <v>0.44377142857142859</v>
      </c>
      <c r="O41" s="177" t="e">
        <f t="shared" si="1"/>
        <v>#N/A</v>
      </c>
      <c r="P41" s="180" t="e">
        <f t="shared" si="4"/>
        <v>#N/A</v>
      </c>
      <c r="Q41" s="180" t="e">
        <f t="shared" si="10"/>
        <v>#N/A</v>
      </c>
      <c r="R41" s="180" t="e">
        <f t="shared" si="11"/>
        <v>#N/A</v>
      </c>
      <c r="S41" s="178" t="str">
        <f t="shared" si="5"/>
        <v/>
      </c>
      <c r="T41" s="178" t="e">
        <f t="shared" si="12"/>
        <v>#N/A</v>
      </c>
      <c r="U41" s="178" t="e">
        <f t="shared" si="13"/>
        <v>#N/A</v>
      </c>
      <c r="V41" s="178"/>
      <c r="W41" s="178"/>
      <c r="X41" s="178"/>
      <c r="Y41" s="178"/>
      <c r="Z41" s="178"/>
      <c r="AA41" s="181" t="e">
        <f t="shared" si="9"/>
        <v>#N/A</v>
      </c>
      <c r="AB41" s="178" t="e">
        <f t="shared" si="14"/>
        <v>#N/A</v>
      </c>
      <c r="AC41" s="178" t="e">
        <f t="shared" si="15"/>
        <v>#N/A</v>
      </c>
      <c r="AD41" s="179" t="e">
        <f t="shared" si="3"/>
        <v>#N/A</v>
      </c>
      <c r="AF41" s="211"/>
      <c r="AP41" s="92"/>
    </row>
    <row r="42" spans="2:42" x14ac:dyDescent="0.3">
      <c r="B42" s="188">
        <v>37</v>
      </c>
      <c r="C42" s="205"/>
      <c r="D42" s="206"/>
      <c r="E42" s="207"/>
      <c r="F42" s="207"/>
      <c r="G42" s="183" t="e">
        <f t="shared" si="0"/>
        <v>#N/A</v>
      </c>
      <c r="H42" s="183" t="e">
        <f t="shared" si="2"/>
        <v>#N/A</v>
      </c>
      <c r="I42" s="221">
        <f>'Plot Data'!$H$67</f>
        <v>21.692864141671475</v>
      </c>
      <c r="J42" s="221">
        <f>'Plot Data'!$H$65</f>
        <v>21.858099903971461</v>
      </c>
      <c r="K42" s="222">
        <f>'Plot Data'!$H$58</f>
        <v>22.188571428571429</v>
      </c>
      <c r="L42" s="222">
        <f>'Plot Data'!$H$62</f>
        <v>22.519042953171397</v>
      </c>
      <c r="M42" s="222">
        <f>'Plot Data'!$H$64</f>
        <v>22.684278715471383</v>
      </c>
      <c r="N42" s="222">
        <f>'Plot Data'!$H$68</f>
        <v>0.44377142857142859</v>
      </c>
      <c r="O42" s="177" t="e">
        <f t="shared" si="1"/>
        <v>#N/A</v>
      </c>
      <c r="P42" s="180" t="e">
        <f t="shared" si="4"/>
        <v>#N/A</v>
      </c>
      <c r="Q42" s="180" t="e">
        <f t="shared" si="10"/>
        <v>#N/A</v>
      </c>
      <c r="R42" s="180" t="e">
        <f t="shared" si="11"/>
        <v>#N/A</v>
      </c>
      <c r="S42" s="178" t="str">
        <f t="shared" si="5"/>
        <v/>
      </c>
      <c r="T42" s="178" t="e">
        <f t="shared" si="12"/>
        <v>#N/A</v>
      </c>
      <c r="U42" s="178" t="e">
        <f t="shared" si="13"/>
        <v>#N/A</v>
      </c>
      <c r="V42" s="178"/>
      <c r="W42" s="178"/>
      <c r="X42" s="178"/>
      <c r="Y42" s="178"/>
      <c r="Z42" s="178"/>
      <c r="AA42" s="181" t="e">
        <f t="shared" si="9"/>
        <v>#N/A</v>
      </c>
      <c r="AB42" s="178" t="e">
        <f t="shared" si="14"/>
        <v>#N/A</v>
      </c>
      <c r="AC42" s="178" t="e">
        <f t="shared" si="15"/>
        <v>#N/A</v>
      </c>
      <c r="AD42" s="179" t="e">
        <f t="shared" si="3"/>
        <v>#N/A</v>
      </c>
      <c r="AF42" s="211"/>
      <c r="AP42" s="92"/>
    </row>
    <row r="43" spans="2:42" x14ac:dyDescent="0.3">
      <c r="B43" s="188">
        <v>38</v>
      </c>
      <c r="C43" s="205"/>
      <c r="D43" s="206"/>
      <c r="E43" s="207"/>
      <c r="F43" s="207"/>
      <c r="G43" s="183" t="e">
        <f t="shared" si="0"/>
        <v>#N/A</v>
      </c>
      <c r="H43" s="183" t="e">
        <f t="shared" si="2"/>
        <v>#N/A</v>
      </c>
      <c r="I43" s="221">
        <f>'Plot Data'!$H$67</f>
        <v>21.692864141671475</v>
      </c>
      <c r="J43" s="221">
        <f>'Plot Data'!$H$65</f>
        <v>21.858099903971461</v>
      </c>
      <c r="K43" s="222">
        <f>'Plot Data'!$H$58</f>
        <v>22.188571428571429</v>
      </c>
      <c r="L43" s="222">
        <f>'Plot Data'!$H$62</f>
        <v>22.519042953171397</v>
      </c>
      <c r="M43" s="222">
        <f>'Plot Data'!$H$64</f>
        <v>22.684278715471383</v>
      </c>
      <c r="N43" s="222">
        <f>'Plot Data'!$H$68</f>
        <v>0.44377142857142859</v>
      </c>
      <c r="O43" s="177" t="e">
        <f t="shared" si="1"/>
        <v>#N/A</v>
      </c>
      <c r="P43" s="180" t="e">
        <f t="shared" si="4"/>
        <v>#N/A</v>
      </c>
      <c r="Q43" s="180" t="e">
        <f t="shared" si="10"/>
        <v>#N/A</v>
      </c>
      <c r="R43" s="180" t="e">
        <f t="shared" si="11"/>
        <v>#N/A</v>
      </c>
      <c r="S43" s="178" t="str">
        <f t="shared" si="5"/>
        <v/>
      </c>
      <c r="T43" s="178" t="e">
        <f t="shared" si="12"/>
        <v>#N/A</v>
      </c>
      <c r="U43" s="178" t="e">
        <f t="shared" si="13"/>
        <v>#N/A</v>
      </c>
      <c r="V43" s="178"/>
      <c r="W43" s="178"/>
      <c r="X43" s="178"/>
      <c r="Y43" s="178"/>
      <c r="Z43" s="178"/>
      <c r="AA43" s="181" t="e">
        <f t="shared" si="9"/>
        <v>#N/A</v>
      </c>
      <c r="AB43" s="178" t="e">
        <f t="shared" si="14"/>
        <v>#N/A</v>
      </c>
      <c r="AC43" s="178" t="e">
        <f t="shared" si="15"/>
        <v>#N/A</v>
      </c>
      <c r="AD43" s="179" t="e">
        <f t="shared" si="3"/>
        <v>#N/A</v>
      </c>
      <c r="AF43" s="211"/>
      <c r="AP43" s="92"/>
    </row>
    <row r="44" spans="2:42" x14ac:dyDescent="0.3">
      <c r="B44" s="188">
        <v>39</v>
      </c>
      <c r="C44" s="205"/>
      <c r="D44" s="206"/>
      <c r="E44" s="207"/>
      <c r="F44" s="207"/>
      <c r="G44" s="183" t="e">
        <f t="shared" si="0"/>
        <v>#N/A</v>
      </c>
      <c r="H44" s="183" t="e">
        <f t="shared" si="2"/>
        <v>#N/A</v>
      </c>
      <c r="I44" s="221">
        <f>'Plot Data'!$H$67</f>
        <v>21.692864141671475</v>
      </c>
      <c r="J44" s="221">
        <f>'Plot Data'!$H$65</f>
        <v>21.858099903971461</v>
      </c>
      <c r="K44" s="222">
        <f>'Plot Data'!$H$58</f>
        <v>22.188571428571429</v>
      </c>
      <c r="L44" s="222">
        <f>'Plot Data'!$H$62</f>
        <v>22.519042953171397</v>
      </c>
      <c r="M44" s="222">
        <f>'Plot Data'!$H$64</f>
        <v>22.684278715471383</v>
      </c>
      <c r="N44" s="222">
        <f>'Plot Data'!$H$68</f>
        <v>0.44377142857142859</v>
      </c>
      <c r="O44" s="190" t="e">
        <f t="shared" si="1"/>
        <v>#N/A</v>
      </c>
      <c r="P44" s="191" t="e">
        <f t="shared" si="4"/>
        <v>#N/A</v>
      </c>
      <c r="Q44" s="191" t="e">
        <f t="shared" si="10"/>
        <v>#N/A</v>
      </c>
      <c r="R44" s="191" t="e">
        <f t="shared" si="11"/>
        <v>#N/A</v>
      </c>
      <c r="S44" s="192" t="str">
        <f t="shared" si="5"/>
        <v/>
      </c>
      <c r="T44" s="192" t="e">
        <f t="shared" si="12"/>
        <v>#N/A</v>
      </c>
      <c r="U44" s="192" t="e">
        <f t="shared" si="13"/>
        <v>#N/A</v>
      </c>
      <c r="V44" s="192"/>
      <c r="W44" s="192"/>
      <c r="X44" s="192"/>
      <c r="Y44" s="192"/>
      <c r="Z44" s="192"/>
      <c r="AA44" s="193" t="e">
        <f t="shared" si="9"/>
        <v>#N/A</v>
      </c>
      <c r="AB44" s="192" t="e">
        <f t="shared" si="14"/>
        <v>#N/A</v>
      </c>
      <c r="AC44" s="192" t="e">
        <f t="shared" si="15"/>
        <v>#N/A</v>
      </c>
      <c r="AD44" s="194" t="e">
        <f t="shared" si="3"/>
        <v>#N/A</v>
      </c>
      <c r="AF44" s="211"/>
      <c r="AP44" s="92"/>
    </row>
    <row r="45" spans="2:42" x14ac:dyDescent="0.3">
      <c r="B45" s="188">
        <v>40</v>
      </c>
      <c r="C45" s="205"/>
      <c r="D45" s="206"/>
      <c r="E45" s="207"/>
      <c r="F45" s="207"/>
      <c r="G45" s="183" t="e">
        <f t="shared" si="0"/>
        <v>#N/A</v>
      </c>
      <c r="H45" s="183" t="e">
        <f t="shared" si="2"/>
        <v>#N/A</v>
      </c>
      <c r="I45" s="221">
        <f>'Plot Data'!$H$67</f>
        <v>21.692864141671475</v>
      </c>
      <c r="J45" s="221">
        <f>'Plot Data'!$H$65</f>
        <v>21.858099903971461</v>
      </c>
      <c r="K45" s="222">
        <f>'Plot Data'!$H$58</f>
        <v>22.188571428571429</v>
      </c>
      <c r="L45" s="222">
        <f>'Plot Data'!$H$62</f>
        <v>22.519042953171397</v>
      </c>
      <c r="M45" s="222">
        <f>'Plot Data'!$H$64</f>
        <v>22.684278715471383</v>
      </c>
      <c r="N45" s="222">
        <f>'Plot Data'!$H$68</f>
        <v>0.44377142857142859</v>
      </c>
      <c r="O45" s="190" t="e">
        <f t="shared" si="1"/>
        <v>#N/A</v>
      </c>
      <c r="P45" s="191" t="e">
        <f t="shared" si="4"/>
        <v>#N/A</v>
      </c>
      <c r="Q45" s="191" t="e">
        <f t="shared" si="10"/>
        <v>#N/A</v>
      </c>
      <c r="R45" s="191" t="e">
        <f t="shared" si="11"/>
        <v>#N/A</v>
      </c>
      <c r="S45" s="192" t="str">
        <f t="shared" si="5"/>
        <v/>
      </c>
      <c r="T45" s="192" t="e">
        <f t="shared" si="12"/>
        <v>#N/A</v>
      </c>
      <c r="U45" s="192" t="e">
        <f t="shared" si="13"/>
        <v>#N/A</v>
      </c>
      <c r="V45" s="192"/>
      <c r="W45" s="192"/>
      <c r="X45" s="192"/>
      <c r="Y45" s="192"/>
      <c r="Z45" s="192"/>
      <c r="AA45" s="193" t="e">
        <f t="shared" si="9"/>
        <v>#N/A</v>
      </c>
      <c r="AB45" s="192" t="e">
        <f t="shared" si="14"/>
        <v>#N/A</v>
      </c>
      <c r="AC45" s="192" t="e">
        <f t="shared" si="15"/>
        <v>#N/A</v>
      </c>
      <c r="AD45" s="194" t="e">
        <f t="shared" si="3"/>
        <v>#N/A</v>
      </c>
      <c r="AF45" s="211"/>
      <c r="AP45" s="92"/>
    </row>
    <row r="46" spans="2:42" x14ac:dyDescent="0.3">
      <c r="B46" s="188">
        <v>41</v>
      </c>
      <c r="C46" s="205"/>
      <c r="D46" s="206"/>
      <c r="E46" s="207"/>
      <c r="F46" s="207"/>
      <c r="G46" s="183" t="e">
        <f t="shared" si="0"/>
        <v>#N/A</v>
      </c>
      <c r="H46" s="183" t="e">
        <f t="shared" si="2"/>
        <v>#N/A</v>
      </c>
      <c r="I46" s="221">
        <f>'Plot Data'!$H$67</f>
        <v>21.692864141671475</v>
      </c>
      <c r="J46" s="221">
        <f>'Plot Data'!$H$65</f>
        <v>21.858099903971461</v>
      </c>
      <c r="K46" s="222">
        <f>'Plot Data'!$H$58</f>
        <v>22.188571428571429</v>
      </c>
      <c r="L46" s="222">
        <f>'Plot Data'!$H$62</f>
        <v>22.519042953171397</v>
      </c>
      <c r="M46" s="222">
        <f>'Plot Data'!$H$64</f>
        <v>22.684278715471383</v>
      </c>
      <c r="N46" s="222">
        <f>'Plot Data'!$H$68</f>
        <v>0.44377142857142859</v>
      </c>
      <c r="O46" s="190" t="e">
        <f t="shared" si="1"/>
        <v>#N/A</v>
      </c>
      <c r="P46" s="191" t="e">
        <f t="shared" si="4"/>
        <v>#N/A</v>
      </c>
      <c r="Q46" s="191" t="e">
        <f t="shared" si="10"/>
        <v>#N/A</v>
      </c>
      <c r="R46" s="191" t="e">
        <f t="shared" si="11"/>
        <v>#N/A</v>
      </c>
      <c r="S46" s="192" t="str">
        <f t="shared" si="5"/>
        <v/>
      </c>
      <c r="T46" s="192" t="e">
        <f t="shared" si="12"/>
        <v>#N/A</v>
      </c>
      <c r="U46" s="192" t="e">
        <f t="shared" si="13"/>
        <v>#N/A</v>
      </c>
      <c r="V46" s="192"/>
      <c r="W46" s="192"/>
      <c r="X46" s="192"/>
      <c r="Y46" s="192"/>
      <c r="Z46" s="192"/>
      <c r="AA46" s="193" t="e">
        <f t="shared" si="9"/>
        <v>#N/A</v>
      </c>
      <c r="AB46" s="192" t="e">
        <f t="shared" si="14"/>
        <v>#N/A</v>
      </c>
      <c r="AC46" s="192" t="e">
        <f t="shared" si="15"/>
        <v>#N/A</v>
      </c>
      <c r="AD46" s="194" t="e">
        <f t="shared" si="3"/>
        <v>#N/A</v>
      </c>
      <c r="AF46" s="211"/>
      <c r="AP46" s="92"/>
    </row>
    <row r="47" spans="2:42" x14ac:dyDescent="0.3">
      <c r="B47" s="188">
        <v>42</v>
      </c>
      <c r="C47" s="205"/>
      <c r="D47" s="206"/>
      <c r="E47" s="207"/>
      <c r="F47" s="207"/>
      <c r="G47" s="183" t="e">
        <f t="shared" si="0"/>
        <v>#N/A</v>
      </c>
      <c r="H47" s="183" t="e">
        <f t="shared" si="2"/>
        <v>#N/A</v>
      </c>
      <c r="I47" s="221">
        <f>'Plot Data'!$H$67</f>
        <v>21.692864141671475</v>
      </c>
      <c r="J47" s="221">
        <f>'Plot Data'!$H$65</f>
        <v>21.858099903971461</v>
      </c>
      <c r="K47" s="222">
        <f>'Plot Data'!$H$58</f>
        <v>22.188571428571429</v>
      </c>
      <c r="L47" s="222">
        <f>'Plot Data'!$H$62</f>
        <v>22.519042953171397</v>
      </c>
      <c r="M47" s="222">
        <f>'Plot Data'!$H$64</f>
        <v>22.684278715471383</v>
      </c>
      <c r="N47" s="222">
        <f>'Plot Data'!$H$68</f>
        <v>0.44377142857142859</v>
      </c>
      <c r="O47" s="190" t="e">
        <f t="shared" si="1"/>
        <v>#N/A</v>
      </c>
      <c r="P47" s="191" t="e">
        <f t="shared" si="4"/>
        <v>#N/A</v>
      </c>
      <c r="Q47" s="191" t="e">
        <f t="shared" si="10"/>
        <v>#N/A</v>
      </c>
      <c r="R47" s="191" t="e">
        <f t="shared" si="11"/>
        <v>#N/A</v>
      </c>
      <c r="S47" s="192" t="str">
        <f t="shared" si="5"/>
        <v/>
      </c>
      <c r="T47" s="192" t="e">
        <f t="shared" si="12"/>
        <v>#N/A</v>
      </c>
      <c r="U47" s="192" t="e">
        <f t="shared" si="13"/>
        <v>#N/A</v>
      </c>
      <c r="V47" s="192"/>
      <c r="W47" s="192"/>
      <c r="X47" s="192"/>
      <c r="Y47" s="192"/>
      <c r="Z47" s="192"/>
      <c r="AA47" s="193" t="e">
        <f t="shared" si="9"/>
        <v>#N/A</v>
      </c>
      <c r="AB47" s="192" t="e">
        <f t="shared" si="14"/>
        <v>#N/A</v>
      </c>
      <c r="AC47" s="192" t="e">
        <f t="shared" si="15"/>
        <v>#N/A</v>
      </c>
      <c r="AD47" s="194" t="e">
        <f t="shared" si="3"/>
        <v>#N/A</v>
      </c>
      <c r="AF47" s="211"/>
      <c r="AP47" s="92"/>
    </row>
    <row r="48" spans="2:42" x14ac:dyDescent="0.3">
      <c r="B48" s="188">
        <v>43</v>
      </c>
      <c r="C48" s="205"/>
      <c r="D48" s="206"/>
      <c r="E48" s="207"/>
      <c r="F48" s="207"/>
      <c r="G48" s="183" t="e">
        <f t="shared" si="0"/>
        <v>#N/A</v>
      </c>
      <c r="H48" s="183" t="e">
        <f t="shared" si="2"/>
        <v>#N/A</v>
      </c>
      <c r="I48" s="221">
        <f>'Plot Data'!$H$67</f>
        <v>21.692864141671475</v>
      </c>
      <c r="J48" s="221">
        <f>'Plot Data'!$H$65</f>
        <v>21.858099903971461</v>
      </c>
      <c r="K48" s="222">
        <f>'Plot Data'!$H$58</f>
        <v>22.188571428571429</v>
      </c>
      <c r="L48" s="222">
        <f>'Plot Data'!$H$62</f>
        <v>22.519042953171397</v>
      </c>
      <c r="M48" s="222">
        <f>'Plot Data'!$H$64</f>
        <v>22.684278715471383</v>
      </c>
      <c r="N48" s="222">
        <f>'Plot Data'!$H$68</f>
        <v>0.44377142857142859</v>
      </c>
      <c r="O48" s="190" t="e">
        <f t="shared" si="1"/>
        <v>#N/A</v>
      </c>
      <c r="P48" s="191" t="e">
        <f t="shared" si="4"/>
        <v>#N/A</v>
      </c>
      <c r="Q48" s="191" t="e">
        <f t="shared" si="10"/>
        <v>#N/A</v>
      </c>
      <c r="R48" s="191" t="e">
        <f t="shared" si="11"/>
        <v>#N/A</v>
      </c>
      <c r="S48" s="192" t="str">
        <f t="shared" si="5"/>
        <v/>
      </c>
      <c r="T48" s="192" t="e">
        <f t="shared" si="12"/>
        <v>#N/A</v>
      </c>
      <c r="U48" s="192" t="e">
        <f t="shared" si="13"/>
        <v>#N/A</v>
      </c>
      <c r="V48" s="192"/>
      <c r="W48" s="192"/>
      <c r="X48" s="192"/>
      <c r="Y48" s="192"/>
      <c r="Z48" s="192"/>
      <c r="AA48" s="193" t="e">
        <f t="shared" si="9"/>
        <v>#N/A</v>
      </c>
      <c r="AB48" s="192" t="e">
        <f t="shared" si="14"/>
        <v>#N/A</v>
      </c>
      <c r="AC48" s="192" t="e">
        <f t="shared" si="15"/>
        <v>#N/A</v>
      </c>
      <c r="AD48" s="194" t="e">
        <f t="shared" si="3"/>
        <v>#N/A</v>
      </c>
      <c r="AF48" s="211"/>
      <c r="AP48" s="92"/>
    </row>
    <row r="49" spans="2:42" x14ac:dyDescent="0.3">
      <c r="B49" s="188">
        <v>44</v>
      </c>
      <c r="C49" s="205"/>
      <c r="D49" s="206"/>
      <c r="E49" s="207"/>
      <c r="F49" s="207"/>
      <c r="G49" s="183" t="e">
        <f t="shared" si="0"/>
        <v>#N/A</v>
      </c>
      <c r="H49" s="183" t="e">
        <f t="shared" si="2"/>
        <v>#N/A</v>
      </c>
      <c r="I49" s="221">
        <f>'Plot Data'!$H$67</f>
        <v>21.692864141671475</v>
      </c>
      <c r="J49" s="221">
        <f>'Plot Data'!$H$65</f>
        <v>21.858099903971461</v>
      </c>
      <c r="K49" s="222">
        <f>'Plot Data'!$H$58</f>
        <v>22.188571428571429</v>
      </c>
      <c r="L49" s="222">
        <f>'Plot Data'!$H$62</f>
        <v>22.519042953171397</v>
      </c>
      <c r="M49" s="222">
        <f>'Plot Data'!$H$64</f>
        <v>22.684278715471383</v>
      </c>
      <c r="N49" s="222">
        <f>'Plot Data'!$H$68</f>
        <v>0.44377142857142859</v>
      </c>
      <c r="O49" s="190" t="e">
        <f t="shared" si="1"/>
        <v>#N/A</v>
      </c>
      <c r="P49" s="191" t="e">
        <f t="shared" si="4"/>
        <v>#N/A</v>
      </c>
      <c r="Q49" s="191" t="e">
        <f t="shared" si="10"/>
        <v>#N/A</v>
      </c>
      <c r="R49" s="191" t="e">
        <f t="shared" si="11"/>
        <v>#N/A</v>
      </c>
      <c r="S49" s="192" t="str">
        <f t="shared" si="5"/>
        <v/>
      </c>
      <c r="T49" s="192" t="e">
        <f t="shared" si="12"/>
        <v>#N/A</v>
      </c>
      <c r="U49" s="192" t="e">
        <f t="shared" si="13"/>
        <v>#N/A</v>
      </c>
      <c r="V49" s="192"/>
      <c r="W49" s="192"/>
      <c r="X49" s="192"/>
      <c r="Y49" s="192"/>
      <c r="Z49" s="192"/>
      <c r="AA49" s="193" t="e">
        <f t="shared" si="9"/>
        <v>#N/A</v>
      </c>
      <c r="AB49" s="192" t="e">
        <f t="shared" si="14"/>
        <v>#N/A</v>
      </c>
      <c r="AC49" s="192" t="e">
        <f t="shared" si="15"/>
        <v>#N/A</v>
      </c>
      <c r="AD49" s="194" t="e">
        <f t="shared" si="3"/>
        <v>#N/A</v>
      </c>
      <c r="AF49" s="211"/>
      <c r="AP49" s="92"/>
    </row>
    <row r="50" spans="2:42" x14ac:dyDescent="0.3">
      <c r="B50" s="188">
        <v>45</v>
      </c>
      <c r="C50" s="205"/>
      <c r="D50" s="206"/>
      <c r="E50" s="207"/>
      <c r="F50" s="207"/>
      <c r="G50" s="183" t="e">
        <f t="shared" si="0"/>
        <v>#N/A</v>
      </c>
      <c r="H50" s="183" t="e">
        <f t="shared" si="2"/>
        <v>#N/A</v>
      </c>
      <c r="I50" s="221">
        <f>'Plot Data'!$H$67</f>
        <v>21.692864141671475</v>
      </c>
      <c r="J50" s="221">
        <f>'Plot Data'!$H$65</f>
        <v>21.858099903971461</v>
      </c>
      <c r="K50" s="222">
        <f>'Plot Data'!$H$58</f>
        <v>22.188571428571429</v>
      </c>
      <c r="L50" s="222">
        <f>'Plot Data'!$H$62</f>
        <v>22.519042953171397</v>
      </c>
      <c r="M50" s="222">
        <f>'Plot Data'!$H$64</f>
        <v>22.684278715471383</v>
      </c>
      <c r="N50" s="222">
        <f>'Plot Data'!$H$68</f>
        <v>0.44377142857142859</v>
      </c>
      <c r="O50" s="190" t="e">
        <f t="shared" si="1"/>
        <v>#N/A</v>
      </c>
      <c r="P50" s="191" t="e">
        <f t="shared" si="4"/>
        <v>#N/A</v>
      </c>
      <c r="Q50" s="191" t="e">
        <f t="shared" si="10"/>
        <v>#N/A</v>
      </c>
      <c r="R50" s="191" t="e">
        <f t="shared" si="11"/>
        <v>#N/A</v>
      </c>
      <c r="S50" s="192" t="str">
        <f t="shared" si="5"/>
        <v/>
      </c>
      <c r="T50" s="192" t="e">
        <f t="shared" si="12"/>
        <v>#N/A</v>
      </c>
      <c r="U50" s="192" t="e">
        <f t="shared" si="13"/>
        <v>#N/A</v>
      </c>
      <c r="V50" s="192"/>
      <c r="W50" s="192"/>
      <c r="X50" s="192"/>
      <c r="Y50" s="192"/>
      <c r="Z50" s="192"/>
      <c r="AA50" s="193" t="e">
        <f t="shared" si="9"/>
        <v>#N/A</v>
      </c>
      <c r="AB50" s="192" t="e">
        <f t="shared" si="14"/>
        <v>#N/A</v>
      </c>
      <c r="AC50" s="192" t="e">
        <f t="shared" si="15"/>
        <v>#N/A</v>
      </c>
      <c r="AD50" s="194" t="e">
        <f t="shared" si="3"/>
        <v>#N/A</v>
      </c>
      <c r="AF50" s="211"/>
      <c r="AP50" s="92"/>
    </row>
    <row r="51" spans="2:42" x14ac:dyDescent="0.3">
      <c r="B51" s="188">
        <v>46</v>
      </c>
      <c r="C51" s="205"/>
      <c r="D51" s="206"/>
      <c r="E51" s="207"/>
      <c r="F51" s="207"/>
      <c r="G51" s="183" t="e">
        <f t="shared" si="0"/>
        <v>#N/A</v>
      </c>
      <c r="H51" s="183" t="e">
        <f t="shared" si="2"/>
        <v>#N/A</v>
      </c>
      <c r="I51" s="221">
        <f>'Plot Data'!$H$67</f>
        <v>21.692864141671475</v>
      </c>
      <c r="J51" s="221">
        <f>'Plot Data'!$H$65</f>
        <v>21.858099903971461</v>
      </c>
      <c r="K51" s="222">
        <f>'Plot Data'!$H$58</f>
        <v>22.188571428571429</v>
      </c>
      <c r="L51" s="222">
        <f>'Plot Data'!$H$62</f>
        <v>22.519042953171397</v>
      </c>
      <c r="M51" s="222">
        <f>'Plot Data'!$H$64</f>
        <v>22.684278715471383</v>
      </c>
      <c r="N51" s="222">
        <f>'Plot Data'!$H$68</f>
        <v>0.44377142857142859</v>
      </c>
      <c r="O51" s="190" t="e">
        <f t="shared" si="1"/>
        <v>#N/A</v>
      </c>
      <c r="P51" s="191" t="e">
        <f t="shared" si="4"/>
        <v>#N/A</v>
      </c>
      <c r="Q51" s="191" t="e">
        <f t="shared" si="10"/>
        <v>#N/A</v>
      </c>
      <c r="R51" s="191" t="e">
        <f t="shared" si="11"/>
        <v>#N/A</v>
      </c>
      <c r="S51" s="192" t="str">
        <f t="shared" si="5"/>
        <v/>
      </c>
      <c r="T51" s="192" t="e">
        <f t="shared" si="12"/>
        <v>#N/A</v>
      </c>
      <c r="U51" s="192" t="e">
        <f t="shared" si="13"/>
        <v>#N/A</v>
      </c>
      <c r="V51" s="192"/>
      <c r="W51" s="192"/>
      <c r="X51" s="192"/>
      <c r="Y51" s="192"/>
      <c r="Z51" s="192"/>
      <c r="AA51" s="193" t="e">
        <f t="shared" si="9"/>
        <v>#N/A</v>
      </c>
      <c r="AB51" s="192" t="e">
        <f t="shared" si="14"/>
        <v>#N/A</v>
      </c>
      <c r="AC51" s="192" t="e">
        <f t="shared" si="15"/>
        <v>#N/A</v>
      </c>
      <c r="AD51" s="194" t="e">
        <f t="shared" si="3"/>
        <v>#N/A</v>
      </c>
      <c r="AF51" s="211"/>
      <c r="AP51" s="92"/>
    </row>
    <row r="52" spans="2:42" x14ac:dyDescent="0.3">
      <c r="B52" s="188">
        <v>47</v>
      </c>
      <c r="C52" s="205"/>
      <c r="D52" s="206"/>
      <c r="E52" s="207"/>
      <c r="F52" s="207"/>
      <c r="G52" s="183" t="e">
        <f t="shared" si="0"/>
        <v>#N/A</v>
      </c>
      <c r="H52" s="183" t="e">
        <f t="shared" si="2"/>
        <v>#N/A</v>
      </c>
      <c r="I52" s="221">
        <f>'Plot Data'!$H$67</f>
        <v>21.692864141671475</v>
      </c>
      <c r="J52" s="221">
        <f>'Plot Data'!$H$65</f>
        <v>21.858099903971461</v>
      </c>
      <c r="K52" s="222">
        <f>'Plot Data'!$H$58</f>
        <v>22.188571428571429</v>
      </c>
      <c r="L52" s="222">
        <f>'Plot Data'!$H$62</f>
        <v>22.519042953171397</v>
      </c>
      <c r="M52" s="222">
        <f>'Plot Data'!$H$64</f>
        <v>22.684278715471383</v>
      </c>
      <c r="N52" s="222">
        <f>'Plot Data'!$H$68</f>
        <v>0.44377142857142859</v>
      </c>
      <c r="O52" s="190" t="e">
        <f t="shared" si="1"/>
        <v>#N/A</v>
      </c>
      <c r="P52" s="191" t="e">
        <f t="shared" si="4"/>
        <v>#N/A</v>
      </c>
      <c r="Q52" s="191" t="e">
        <f t="shared" si="10"/>
        <v>#N/A</v>
      </c>
      <c r="R52" s="191" t="e">
        <f t="shared" si="11"/>
        <v>#N/A</v>
      </c>
      <c r="S52" s="192" t="str">
        <f t="shared" si="5"/>
        <v/>
      </c>
      <c r="T52" s="192" t="e">
        <f t="shared" si="12"/>
        <v>#N/A</v>
      </c>
      <c r="U52" s="192" t="e">
        <f t="shared" si="13"/>
        <v>#N/A</v>
      </c>
      <c r="V52" s="192"/>
      <c r="W52" s="192"/>
      <c r="X52" s="192"/>
      <c r="Y52" s="192"/>
      <c r="Z52" s="192"/>
      <c r="AA52" s="193" t="e">
        <f t="shared" si="9"/>
        <v>#N/A</v>
      </c>
      <c r="AB52" s="192" t="e">
        <f t="shared" si="14"/>
        <v>#N/A</v>
      </c>
      <c r="AC52" s="192" t="e">
        <f t="shared" si="15"/>
        <v>#N/A</v>
      </c>
      <c r="AD52" s="194" t="e">
        <f t="shared" si="3"/>
        <v>#N/A</v>
      </c>
      <c r="AF52" s="211"/>
      <c r="AP52" s="92"/>
    </row>
    <row r="53" spans="2:42" x14ac:dyDescent="0.3">
      <c r="B53" s="188">
        <v>48</v>
      </c>
      <c r="C53" s="205"/>
      <c r="D53" s="206"/>
      <c r="E53" s="207"/>
      <c r="F53" s="207"/>
      <c r="G53" s="183" t="e">
        <f t="shared" si="0"/>
        <v>#N/A</v>
      </c>
      <c r="H53" s="183" t="e">
        <f t="shared" si="2"/>
        <v>#N/A</v>
      </c>
      <c r="I53" s="221">
        <f>'Plot Data'!$H$67</f>
        <v>21.692864141671475</v>
      </c>
      <c r="J53" s="221">
        <f>'Plot Data'!$H$65</f>
        <v>21.858099903971461</v>
      </c>
      <c r="K53" s="222">
        <f>'Plot Data'!$H$58</f>
        <v>22.188571428571429</v>
      </c>
      <c r="L53" s="222">
        <f>'Plot Data'!$H$62</f>
        <v>22.519042953171397</v>
      </c>
      <c r="M53" s="222">
        <f>'Plot Data'!$H$64</f>
        <v>22.684278715471383</v>
      </c>
      <c r="N53" s="222">
        <f>'Plot Data'!$H$68</f>
        <v>0.44377142857142859</v>
      </c>
      <c r="O53" s="190" t="e">
        <f t="shared" si="1"/>
        <v>#N/A</v>
      </c>
      <c r="P53" s="191" t="e">
        <f t="shared" si="4"/>
        <v>#N/A</v>
      </c>
      <c r="Q53" s="191" t="e">
        <f t="shared" si="10"/>
        <v>#N/A</v>
      </c>
      <c r="R53" s="191" t="e">
        <f t="shared" si="11"/>
        <v>#N/A</v>
      </c>
      <c r="S53" s="192" t="str">
        <f t="shared" si="5"/>
        <v/>
      </c>
      <c r="T53" s="192" t="e">
        <f t="shared" si="12"/>
        <v>#N/A</v>
      </c>
      <c r="U53" s="192" t="e">
        <f t="shared" si="13"/>
        <v>#N/A</v>
      </c>
      <c r="V53" s="192"/>
      <c r="W53" s="192"/>
      <c r="X53" s="192"/>
      <c r="Y53" s="192"/>
      <c r="Z53" s="192"/>
      <c r="AA53" s="193" t="e">
        <f t="shared" si="9"/>
        <v>#N/A</v>
      </c>
      <c r="AB53" s="192" t="e">
        <f t="shared" si="14"/>
        <v>#N/A</v>
      </c>
      <c r="AC53" s="192" t="e">
        <f t="shared" si="15"/>
        <v>#N/A</v>
      </c>
      <c r="AD53" s="194" t="e">
        <f t="shared" si="3"/>
        <v>#N/A</v>
      </c>
      <c r="AF53" s="211"/>
      <c r="AP53" s="92"/>
    </row>
    <row r="54" spans="2:42" x14ac:dyDescent="0.3">
      <c r="B54" s="188">
        <v>49</v>
      </c>
      <c r="C54" s="205"/>
      <c r="D54" s="206"/>
      <c r="E54" s="207"/>
      <c r="F54" s="207"/>
      <c r="G54" s="183" t="e">
        <f t="shared" si="0"/>
        <v>#N/A</v>
      </c>
      <c r="H54" s="183" t="e">
        <f t="shared" si="2"/>
        <v>#N/A</v>
      </c>
      <c r="I54" s="221">
        <f>'Plot Data'!$H$67</f>
        <v>21.692864141671475</v>
      </c>
      <c r="J54" s="221">
        <f>'Plot Data'!$H$65</f>
        <v>21.858099903971461</v>
      </c>
      <c r="K54" s="222">
        <f>'Plot Data'!$H$58</f>
        <v>22.188571428571429</v>
      </c>
      <c r="L54" s="222">
        <f>'Plot Data'!$H$62</f>
        <v>22.519042953171397</v>
      </c>
      <c r="M54" s="222">
        <f>'Plot Data'!$H$64</f>
        <v>22.684278715471383</v>
      </c>
      <c r="N54" s="222">
        <f>'Plot Data'!$H$68</f>
        <v>0.44377142857142859</v>
      </c>
      <c r="O54" s="190" t="e">
        <f t="shared" si="1"/>
        <v>#N/A</v>
      </c>
      <c r="P54" s="191" t="e">
        <f t="shared" si="4"/>
        <v>#N/A</v>
      </c>
      <c r="Q54" s="191" t="e">
        <f t="shared" si="10"/>
        <v>#N/A</v>
      </c>
      <c r="R54" s="191" t="e">
        <f t="shared" si="11"/>
        <v>#N/A</v>
      </c>
      <c r="S54" s="192" t="str">
        <f t="shared" si="5"/>
        <v/>
      </c>
      <c r="T54" s="192" t="e">
        <f t="shared" si="12"/>
        <v>#N/A</v>
      </c>
      <c r="U54" s="192" t="e">
        <f t="shared" si="13"/>
        <v>#N/A</v>
      </c>
      <c r="V54" s="192"/>
      <c r="W54" s="192"/>
      <c r="X54" s="192"/>
      <c r="Y54" s="192"/>
      <c r="Z54" s="192"/>
      <c r="AA54" s="193" t="e">
        <f t="shared" si="9"/>
        <v>#N/A</v>
      </c>
      <c r="AB54" s="192" t="e">
        <f t="shared" si="14"/>
        <v>#N/A</v>
      </c>
      <c r="AC54" s="192" t="e">
        <f t="shared" si="15"/>
        <v>#N/A</v>
      </c>
      <c r="AD54" s="194" t="e">
        <f t="shared" si="3"/>
        <v>#N/A</v>
      </c>
      <c r="AF54" s="211"/>
      <c r="AP54" s="92"/>
    </row>
    <row r="55" spans="2:42" ht="15" thickBot="1" x14ac:dyDescent="0.35">
      <c r="B55" s="189">
        <v>50</v>
      </c>
      <c r="C55" s="208"/>
      <c r="D55" s="209"/>
      <c r="E55" s="210"/>
      <c r="F55" s="210"/>
      <c r="G55" s="185" t="e">
        <f t="shared" si="0"/>
        <v>#N/A</v>
      </c>
      <c r="H55" s="185" t="e">
        <f t="shared" si="2"/>
        <v>#N/A</v>
      </c>
      <c r="I55" s="223">
        <f>'Plot Data'!$H$67</f>
        <v>21.692864141671475</v>
      </c>
      <c r="J55" s="223">
        <f>'Plot Data'!$H$65</f>
        <v>21.858099903971461</v>
      </c>
      <c r="K55" s="224">
        <f>'Plot Data'!$H$58</f>
        <v>22.188571428571429</v>
      </c>
      <c r="L55" s="224">
        <f>'Plot Data'!$H$62</f>
        <v>22.519042953171397</v>
      </c>
      <c r="M55" s="224">
        <f>'Plot Data'!$H$64</f>
        <v>22.684278715471383</v>
      </c>
      <c r="N55" s="224">
        <f>'Plot Data'!$H$68</f>
        <v>0.44377142857142859</v>
      </c>
      <c r="O55" s="195" t="e">
        <f t="shared" si="1"/>
        <v>#N/A</v>
      </c>
      <c r="P55" s="196" t="e">
        <f t="shared" si="4"/>
        <v>#N/A</v>
      </c>
      <c r="Q55" s="196" t="e">
        <f t="shared" si="10"/>
        <v>#N/A</v>
      </c>
      <c r="R55" s="196" t="e">
        <f t="shared" si="11"/>
        <v>#N/A</v>
      </c>
      <c r="S55" s="192" t="str">
        <f t="shared" si="5"/>
        <v/>
      </c>
      <c r="T55" s="197" t="e">
        <f t="shared" si="12"/>
        <v>#N/A</v>
      </c>
      <c r="U55" s="197" t="e">
        <f t="shared" si="13"/>
        <v>#N/A</v>
      </c>
      <c r="V55" s="197"/>
      <c r="W55" s="197"/>
      <c r="X55" s="197"/>
      <c r="Y55" s="197"/>
      <c r="Z55" s="197"/>
      <c r="AA55" s="193" t="e">
        <f t="shared" si="9"/>
        <v>#N/A</v>
      </c>
      <c r="AB55" s="197" t="e">
        <f t="shared" si="14"/>
        <v>#N/A</v>
      </c>
      <c r="AC55" s="192" t="e">
        <f t="shared" si="15"/>
        <v>#N/A</v>
      </c>
      <c r="AD55" s="198" t="e">
        <f t="shared" si="3"/>
        <v>#N/A</v>
      </c>
      <c r="AF55" s="212"/>
      <c r="AG55" s="213"/>
      <c r="AH55" s="213"/>
      <c r="AI55" s="213"/>
      <c r="AJ55" s="213"/>
      <c r="AK55" s="213"/>
      <c r="AL55" s="213"/>
      <c r="AM55" s="213"/>
      <c r="AN55" s="213"/>
      <c r="AO55" s="213"/>
      <c r="AP55" s="214"/>
    </row>
  </sheetData>
  <sheetProtection password="B7E1" sheet="1" objects="1" scenarios="1"/>
  <mergeCells count="25">
    <mergeCell ref="B2:D2"/>
    <mergeCell ref="H2:I2"/>
    <mergeCell ref="J2:K2"/>
    <mergeCell ref="B3:D3"/>
    <mergeCell ref="AF5:AG5"/>
    <mergeCell ref="AK5:AM5"/>
    <mergeCell ref="AN5:AP5"/>
    <mergeCell ref="AF6:AG7"/>
    <mergeCell ref="AH6:AJ7"/>
    <mergeCell ref="AK6:AM7"/>
    <mergeCell ref="AN6:AN7"/>
    <mergeCell ref="AO6:AO7"/>
    <mergeCell ref="AP6:AP7"/>
    <mergeCell ref="AH5:AJ5"/>
    <mergeCell ref="AP35:AP36"/>
    <mergeCell ref="AF31:AP32"/>
    <mergeCell ref="AF33:AG34"/>
    <mergeCell ref="AH33:AJ34"/>
    <mergeCell ref="AK33:AM34"/>
    <mergeCell ref="AN33:AP34"/>
    <mergeCell ref="AF35:AG36"/>
    <mergeCell ref="AH35:AJ36"/>
    <mergeCell ref="AK35:AM36"/>
    <mergeCell ref="AN35:AN36"/>
    <mergeCell ref="AO35:AO36"/>
  </mergeCells>
  <conditionalFormatting sqref="O6:O55">
    <cfRule type="cellIs" dxfId="138" priority="17" operator="equal">
      <formula>"Pass"</formula>
    </cfRule>
    <cfRule type="cellIs" dxfId="137" priority="18" operator="equal">
      <formula>"&lt;-3s"</formula>
    </cfRule>
    <cfRule type="cellIs" dxfId="136" priority="19" operator="equal">
      <formula>"&gt;+3s"</formula>
    </cfRule>
  </conditionalFormatting>
  <conditionalFormatting sqref="P7:P55">
    <cfRule type="cellIs" dxfId="135" priority="9" operator="equal">
      <formula>"Pass"</formula>
    </cfRule>
    <cfRule type="cellIs" dxfId="134" priority="14" operator="equal">
      <formula>""</formula>
    </cfRule>
    <cfRule type="cellIs" dxfId="133" priority="15" operator="equal">
      <formula>"Fail &gt; +2s"</formula>
    </cfRule>
    <cfRule type="cellIs" dxfId="132" priority="16" operator="equal">
      <formula>"Fail &lt; -2s"</formula>
    </cfRule>
  </conditionalFormatting>
  <conditionalFormatting sqref="Q13:Q55">
    <cfRule type="cellIs" dxfId="131" priority="5" operator="equal">
      <formula>""</formula>
    </cfRule>
    <cfRule type="cellIs" dxfId="130" priority="6" operator="equal">
      <formula>"Pass"</formula>
    </cfRule>
    <cfRule type="cellIs" dxfId="129" priority="7" operator="equal">
      <formula>"Fail -ve bias"</formula>
    </cfRule>
    <cfRule type="cellIs" dxfId="128" priority="8" operator="equal">
      <formula>"Fail +ve bias"</formula>
    </cfRule>
  </conditionalFormatting>
  <conditionalFormatting sqref="R12:R55">
    <cfRule type="cellIs" dxfId="127" priority="10" operator="equal">
      <formula>""</formula>
    </cfRule>
    <cfRule type="cellIs" dxfId="126" priority="11" operator="equal">
      <formula>"Fail -ve trend"</formula>
    </cfRule>
    <cfRule type="cellIs" dxfId="125" priority="12" operator="equal">
      <formula>"Fail +ve trend"</formula>
    </cfRule>
    <cfRule type="cellIs" dxfId="124" priority="13" operator="equal">
      <formula>"Pass"</formula>
    </cfRule>
  </conditionalFormatting>
  <conditionalFormatting sqref="AC15:AC55">
    <cfRule type="cellIs" dxfId="123" priority="1" operator="equal">
      <formula>"Pass"</formula>
    </cfRule>
    <cfRule type="cellIs" dxfId="122" priority="2" operator="equal">
      <formula>""</formula>
    </cfRule>
    <cfRule type="cellIs" dxfId="121" priority="3" operator="equal">
      <formula>"Fail -ve"</formula>
    </cfRule>
    <cfRule type="cellIs" dxfId="120" priority="4" operator="equal">
      <formula>"Fail +ve"</formula>
    </cfRule>
  </conditionalFormatting>
  <conditionalFormatting sqref="AD6:AD55">
    <cfRule type="cellIs" dxfId="119" priority="20" operator="equal">
      <formula>NA()</formula>
    </cfRule>
    <cfRule type="cellIs" dxfId="118" priority="21" operator="equal">
      <formula>"Yes"</formula>
    </cfRule>
    <cfRule type="cellIs" dxfId="117" priority="22" operator="equal">
      <formula>"No"</formula>
    </cfRule>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C3E02"/>
    <pageSetUpPr fitToPage="1"/>
  </sheetPr>
  <dimension ref="A3:C16"/>
  <sheetViews>
    <sheetView topLeftCell="A10" workbookViewId="0">
      <selection activeCell="B36" sqref="B1:G36"/>
    </sheetView>
  </sheetViews>
  <sheetFormatPr defaultRowHeight="14.4" x14ac:dyDescent="0.3"/>
  <cols>
    <col min="2" max="2" width="110.44140625" bestFit="1" customWidth="1"/>
    <col min="3" max="3" width="33.77734375" customWidth="1"/>
  </cols>
  <sheetData>
    <row r="3" spans="1:3" ht="28.8" x14ac:dyDescent="0.55000000000000004">
      <c r="A3" s="716" t="s">
        <v>24</v>
      </c>
      <c r="B3" s="716"/>
      <c r="C3" s="716"/>
    </row>
    <row r="6" spans="1:3" ht="15" thickBot="1" x14ac:dyDescent="0.35"/>
    <row r="7" spans="1:3" s="30" customFormat="1" ht="40.049999999999997" customHeight="1" x14ac:dyDescent="0.4">
      <c r="A7" s="27" t="s">
        <v>25</v>
      </c>
      <c r="B7" s="28" t="s">
        <v>26</v>
      </c>
      <c r="C7" s="29" t="s">
        <v>27</v>
      </c>
    </row>
    <row r="8" spans="1:3" s="30" customFormat="1" ht="40.049999999999997" customHeight="1" x14ac:dyDescent="0.4">
      <c r="A8" s="31">
        <v>1</v>
      </c>
      <c r="B8" s="32" t="s">
        <v>28</v>
      </c>
      <c r="C8" s="33" t="s">
        <v>29</v>
      </c>
    </row>
    <row r="9" spans="1:3" s="30" customFormat="1" ht="40.049999999999997" customHeight="1" x14ac:dyDescent="0.4">
      <c r="A9" s="31">
        <v>2</v>
      </c>
      <c r="B9" s="32" t="s">
        <v>30</v>
      </c>
      <c r="C9" s="33" t="s">
        <v>31</v>
      </c>
    </row>
    <row r="10" spans="1:3" s="30" customFormat="1" ht="40.049999999999997" customHeight="1" x14ac:dyDescent="0.4">
      <c r="A10" s="31">
        <v>3</v>
      </c>
      <c r="B10" s="32" t="s">
        <v>311</v>
      </c>
      <c r="C10" s="33" t="s">
        <v>312</v>
      </c>
    </row>
    <row r="11" spans="1:3" s="30" customFormat="1" ht="40.049999999999997" customHeight="1" x14ac:dyDescent="0.4">
      <c r="A11" s="31">
        <v>4</v>
      </c>
      <c r="B11" s="32" t="s">
        <v>32</v>
      </c>
      <c r="C11" s="33" t="s">
        <v>33</v>
      </c>
    </row>
    <row r="12" spans="1:3" s="30" customFormat="1" ht="40.049999999999997" customHeight="1" x14ac:dyDescent="0.4">
      <c r="A12" s="31">
        <v>5</v>
      </c>
      <c r="B12" s="32" t="s">
        <v>34</v>
      </c>
      <c r="C12" s="33" t="s">
        <v>35</v>
      </c>
    </row>
    <row r="13" spans="1:3" s="30" customFormat="1" ht="40.049999999999997" customHeight="1" thickBot="1" x14ac:dyDescent="0.45">
      <c r="A13" s="34">
        <v>6</v>
      </c>
      <c r="B13" s="35" t="s">
        <v>36</v>
      </c>
      <c r="C13" s="36" t="s">
        <v>37</v>
      </c>
    </row>
    <row r="16" spans="1:3" ht="42" x14ac:dyDescent="0.3">
      <c r="A16" s="37" t="s">
        <v>38</v>
      </c>
      <c r="B16" s="38" t="s">
        <v>39</v>
      </c>
    </row>
  </sheetData>
  <mergeCells count="1">
    <mergeCell ref="A3:C3"/>
  </mergeCells>
  <pageMargins left="0.70866141732283472" right="0.70866141732283472" top="0.74803149606299213" bottom="0.74803149606299213" header="0.31496062992125984" footer="0.31496062992125984"/>
  <pageSetup paperSize="9" scale="85" orientation="landscape"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C3E02"/>
  </sheetPr>
  <dimension ref="A1"/>
  <sheetViews>
    <sheetView topLeftCell="A34" workbookViewId="0">
      <selection activeCell="B36" sqref="B1:G36"/>
    </sheetView>
  </sheetViews>
  <sheetFormatPr defaultRowHeight="14.4" x14ac:dyDescent="0.3"/>
  <sheetData/>
  <sheetProtection password="B7E1" sheet="1" objects="1" scenarios="1"/>
  <pageMargins left="0.7" right="0.7" top="0.75" bottom="0.75" header="0.3" footer="0.3"/>
  <drawing r:id="rId1"/>
  <legacyDrawing r:id="rId2"/>
  <oleObjects>
    <mc:AlternateContent xmlns:mc="http://schemas.openxmlformats.org/markup-compatibility/2006">
      <mc:Choice Requires="x14">
        <oleObject progId="Visio.Drawing.11" shapeId="1025" r:id="rId3">
          <objectPr defaultSize="0" autoPict="0" r:id="rId4">
            <anchor moveWithCells="1" sizeWithCells="1">
              <from>
                <xdr:col>3</xdr:col>
                <xdr:colOff>0</xdr:colOff>
                <xdr:row>2</xdr:row>
                <xdr:rowOff>0</xdr:rowOff>
              </from>
              <to>
                <xdr:col>12</xdr:col>
                <xdr:colOff>281940</xdr:colOff>
                <xdr:row>43</xdr:row>
                <xdr:rowOff>15240</xdr:rowOff>
              </to>
            </anchor>
          </objectPr>
        </oleObject>
      </mc:Choice>
      <mc:Fallback>
        <oleObject progId="Visio.Drawing.11" shapeId="1025" r:id="rId3"/>
      </mc:Fallback>
    </mc:AlternateContent>
  </oleObjec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C3E02"/>
    <pageSetUpPr fitToPage="1"/>
  </sheetPr>
  <dimension ref="B2:Z132"/>
  <sheetViews>
    <sheetView topLeftCell="B129" zoomScale="80" zoomScaleNormal="80" workbookViewId="0">
      <selection activeCell="B36" sqref="B1:G36"/>
    </sheetView>
  </sheetViews>
  <sheetFormatPr defaultRowHeight="14.4" x14ac:dyDescent="0.3"/>
  <cols>
    <col min="12" max="12" width="15" customWidth="1"/>
    <col min="13" max="13" width="11.21875" customWidth="1"/>
    <col min="14" max="14" width="15" bestFit="1" customWidth="1"/>
    <col min="25" max="26" width="11.21875" customWidth="1"/>
  </cols>
  <sheetData>
    <row r="2" spans="2:17" ht="15" thickBot="1" x14ac:dyDescent="0.35"/>
    <row r="3" spans="2:17" x14ac:dyDescent="0.3">
      <c r="B3" s="726" t="s">
        <v>270</v>
      </c>
      <c r="C3" s="727"/>
      <c r="D3" s="727"/>
      <c r="E3" s="727"/>
      <c r="F3" s="727"/>
      <c r="G3" s="728"/>
    </row>
    <row r="4" spans="2:17" ht="15" thickBot="1" x14ac:dyDescent="0.35">
      <c r="B4" s="729"/>
      <c r="C4" s="730"/>
      <c r="D4" s="730"/>
      <c r="E4" s="730"/>
      <c r="F4" s="730"/>
      <c r="G4" s="731"/>
    </row>
    <row r="6" spans="2:17" ht="15" thickBot="1" x14ac:dyDescent="0.35"/>
    <row r="7" spans="2:17" ht="18" x14ac:dyDescent="0.35">
      <c r="B7" s="723" t="s">
        <v>266</v>
      </c>
      <c r="C7" s="724"/>
      <c r="D7" s="724"/>
      <c r="E7" s="724"/>
      <c r="F7" s="724"/>
      <c r="G7" s="725"/>
      <c r="I7" s="717" t="s">
        <v>265</v>
      </c>
      <c r="J7" s="718"/>
      <c r="K7" s="718"/>
      <c r="L7" s="719"/>
      <c r="M7" s="174"/>
      <c r="N7" s="720" t="s">
        <v>264</v>
      </c>
      <c r="O7" s="721"/>
      <c r="P7" s="721"/>
      <c r="Q7" s="722"/>
    </row>
    <row r="8" spans="2:17" x14ac:dyDescent="0.3">
      <c r="B8" s="211"/>
      <c r="G8" s="92"/>
      <c r="I8" s="364" t="s">
        <v>40</v>
      </c>
      <c r="J8" s="177" t="s">
        <v>41</v>
      </c>
      <c r="K8" s="177" t="s">
        <v>42</v>
      </c>
      <c r="L8" s="365" t="s">
        <v>43</v>
      </c>
      <c r="M8" s="174"/>
      <c r="N8" s="364" t="s">
        <v>40</v>
      </c>
      <c r="O8" s="177" t="s">
        <v>41</v>
      </c>
      <c r="P8" s="177" t="s">
        <v>42</v>
      </c>
      <c r="Q8" s="365" t="s">
        <v>43</v>
      </c>
    </row>
    <row r="9" spans="2:17" x14ac:dyDescent="0.3">
      <c r="B9" s="359"/>
      <c r="C9" s="180" t="s">
        <v>44</v>
      </c>
      <c r="D9" s="357" t="s">
        <v>45</v>
      </c>
      <c r="E9" s="357" t="s">
        <v>46</v>
      </c>
      <c r="F9" s="357" t="s">
        <v>47</v>
      </c>
      <c r="G9" s="360" t="s">
        <v>48</v>
      </c>
      <c r="H9" s="358"/>
      <c r="I9" s="364" t="s">
        <v>49</v>
      </c>
      <c r="J9" s="177" t="s">
        <v>49</v>
      </c>
      <c r="K9" s="177" t="s">
        <v>49</v>
      </c>
      <c r="L9" s="365" t="s">
        <v>49</v>
      </c>
      <c r="M9" s="174"/>
      <c r="N9" s="359" t="s">
        <v>49</v>
      </c>
      <c r="O9" s="356" t="s">
        <v>49</v>
      </c>
      <c r="P9" s="356" t="s">
        <v>49</v>
      </c>
      <c r="Q9" s="367" t="s">
        <v>49</v>
      </c>
    </row>
    <row r="10" spans="2:17" x14ac:dyDescent="0.3">
      <c r="B10" s="359">
        <v>0</v>
      </c>
      <c r="C10" s="238">
        <v>26.3</v>
      </c>
      <c r="D10" s="238">
        <v>25.9</v>
      </c>
      <c r="E10" s="238">
        <v>26</v>
      </c>
      <c r="F10" s="238">
        <v>26.5</v>
      </c>
      <c r="G10" s="361">
        <v>26.6</v>
      </c>
      <c r="H10" s="355"/>
      <c r="I10" s="364">
        <v>26.4</v>
      </c>
      <c r="J10" s="177">
        <v>26.4</v>
      </c>
      <c r="K10" s="177">
        <v>26.4</v>
      </c>
      <c r="L10" s="365">
        <v>26.4</v>
      </c>
      <c r="M10" s="174"/>
      <c r="N10" s="368">
        <v>26.4</v>
      </c>
      <c r="O10" s="238">
        <v>26.4</v>
      </c>
      <c r="P10" s="238">
        <v>26.4</v>
      </c>
      <c r="Q10" s="361">
        <v>26.4</v>
      </c>
    </row>
    <row r="11" spans="2:17" x14ac:dyDescent="0.3">
      <c r="B11" s="359">
        <v>1</v>
      </c>
      <c r="C11" s="238">
        <v>26.3</v>
      </c>
      <c r="D11" s="238">
        <v>25.9</v>
      </c>
      <c r="E11" s="238">
        <v>26</v>
      </c>
      <c r="F11" s="238">
        <v>26.5</v>
      </c>
      <c r="G11" s="361">
        <v>26.6</v>
      </c>
      <c r="H11" s="355"/>
      <c r="I11" s="364">
        <v>26.35</v>
      </c>
      <c r="J11" s="177">
        <v>26.35</v>
      </c>
      <c r="K11" s="177">
        <v>26.35</v>
      </c>
      <c r="L11" s="365">
        <v>26.35</v>
      </c>
      <c r="M11" s="174"/>
      <c r="N11" s="368">
        <v>26.35</v>
      </c>
      <c r="O11" s="238">
        <v>26.35</v>
      </c>
      <c r="P11" s="238">
        <v>26.35</v>
      </c>
      <c r="Q11" s="361">
        <v>26.35</v>
      </c>
    </row>
    <row r="12" spans="2:17" x14ac:dyDescent="0.3">
      <c r="B12" s="359">
        <v>2</v>
      </c>
      <c r="C12" s="238">
        <v>26.3</v>
      </c>
      <c r="D12" s="238">
        <v>25.9</v>
      </c>
      <c r="E12" s="238">
        <v>26</v>
      </c>
      <c r="F12" s="238">
        <v>26.5</v>
      </c>
      <c r="G12" s="361">
        <v>26.6</v>
      </c>
      <c r="H12" s="355"/>
      <c r="I12" s="364">
        <v>26.23</v>
      </c>
      <c r="J12" s="177">
        <v>26.23</v>
      </c>
      <c r="K12" s="177">
        <v>26.23</v>
      </c>
      <c r="L12" s="365">
        <v>26.23</v>
      </c>
      <c r="M12" s="174"/>
      <c r="N12" s="368">
        <v>26.23</v>
      </c>
      <c r="O12" s="238">
        <v>26.23</v>
      </c>
      <c r="P12" s="238">
        <v>26.23</v>
      </c>
      <c r="Q12" s="361">
        <v>26.23</v>
      </c>
    </row>
    <row r="13" spans="2:17" x14ac:dyDescent="0.3">
      <c r="B13" s="359">
        <v>3</v>
      </c>
      <c r="C13" s="238">
        <v>26.3</v>
      </c>
      <c r="D13" s="238">
        <v>25.9</v>
      </c>
      <c r="E13" s="238">
        <v>26</v>
      </c>
      <c r="F13" s="238">
        <v>26.5</v>
      </c>
      <c r="G13" s="361">
        <v>26.6</v>
      </c>
      <c r="H13" s="355"/>
      <c r="I13" s="364">
        <v>26.41</v>
      </c>
      <c r="J13" s="177">
        <v>26.41</v>
      </c>
      <c r="K13" s="177">
        <v>26.41</v>
      </c>
      <c r="L13" s="365">
        <v>26.41</v>
      </c>
      <c r="M13" s="174"/>
      <c r="N13" s="368">
        <v>26.41</v>
      </c>
      <c r="O13" s="238">
        <v>26.41</v>
      </c>
      <c r="P13" s="238">
        <v>26.41</v>
      </c>
      <c r="Q13" s="361">
        <v>26.41</v>
      </c>
    </row>
    <row r="14" spans="2:17" x14ac:dyDescent="0.3">
      <c r="B14" s="359">
        <v>4</v>
      </c>
      <c r="C14" s="238">
        <v>26.3</v>
      </c>
      <c r="D14" s="238">
        <v>25.9</v>
      </c>
      <c r="E14" s="238">
        <v>26</v>
      </c>
      <c r="F14" s="238">
        <v>26.5</v>
      </c>
      <c r="G14" s="361">
        <v>26.6</v>
      </c>
      <c r="H14" s="355"/>
      <c r="I14" s="364">
        <v>26.37</v>
      </c>
      <c r="J14" s="177">
        <v>26.37</v>
      </c>
      <c r="K14" s="177">
        <v>26.37</v>
      </c>
      <c r="L14" s="365">
        <v>26.37</v>
      </c>
      <c r="M14" s="174"/>
      <c r="N14" s="368">
        <v>26.1</v>
      </c>
      <c r="O14" s="238">
        <v>26.1</v>
      </c>
      <c r="P14" s="238">
        <v>26.1</v>
      </c>
      <c r="Q14" s="361">
        <v>26.1</v>
      </c>
    </row>
    <row r="15" spans="2:17" x14ac:dyDescent="0.3">
      <c r="B15" s="359">
        <v>5</v>
      </c>
      <c r="C15" s="238">
        <v>26.3</v>
      </c>
      <c r="D15" s="238">
        <v>25.9</v>
      </c>
      <c r="E15" s="238">
        <v>26</v>
      </c>
      <c r="F15" s="238">
        <v>26.5</v>
      </c>
      <c r="G15" s="361">
        <v>26.6</v>
      </c>
      <c r="H15" s="355"/>
      <c r="I15" s="364">
        <v>25.88</v>
      </c>
      <c r="J15" s="177">
        <v>25.88</v>
      </c>
      <c r="K15" s="177">
        <v>25.88</v>
      </c>
      <c r="L15" s="365">
        <v>25.88</v>
      </c>
      <c r="M15" s="174"/>
      <c r="N15" s="368">
        <v>26.65</v>
      </c>
      <c r="O15" s="238">
        <v>26.65</v>
      </c>
      <c r="P15" s="238">
        <v>26.65</v>
      </c>
      <c r="Q15" s="361">
        <v>26.65</v>
      </c>
    </row>
    <row r="16" spans="2:17" x14ac:dyDescent="0.3">
      <c r="B16" s="359">
        <v>6</v>
      </c>
      <c r="C16" s="238">
        <v>26.3</v>
      </c>
      <c r="D16" s="238">
        <v>25.9</v>
      </c>
      <c r="E16" s="238">
        <v>26</v>
      </c>
      <c r="F16" s="238">
        <v>26.5</v>
      </c>
      <c r="G16" s="361">
        <v>26.6</v>
      </c>
      <c r="H16" s="355"/>
      <c r="I16" s="364">
        <v>26.26</v>
      </c>
      <c r="J16" s="177">
        <v>25.78</v>
      </c>
      <c r="K16" s="177">
        <v>25.78</v>
      </c>
      <c r="L16" s="365">
        <v>25.78</v>
      </c>
      <c r="M16" s="174"/>
      <c r="N16" s="368">
        <v>26.46</v>
      </c>
      <c r="O16" s="238">
        <v>26.7</v>
      </c>
      <c r="P16" s="238">
        <v>26.7</v>
      </c>
      <c r="Q16" s="361">
        <v>26.7</v>
      </c>
    </row>
    <row r="17" spans="2:26" x14ac:dyDescent="0.3">
      <c r="B17" s="359">
        <v>7</v>
      </c>
      <c r="C17" s="238">
        <v>26.3</v>
      </c>
      <c r="D17" s="238">
        <v>25.9</v>
      </c>
      <c r="E17" s="238">
        <v>26</v>
      </c>
      <c r="F17" s="238">
        <v>26.5</v>
      </c>
      <c r="G17" s="361">
        <v>26.6</v>
      </c>
      <c r="H17" s="355"/>
      <c r="I17" s="364"/>
      <c r="J17" s="177">
        <v>26.1</v>
      </c>
      <c r="K17" s="177">
        <v>25.62</v>
      </c>
      <c r="L17" s="365">
        <v>25.62</v>
      </c>
      <c r="M17" s="174"/>
      <c r="N17" s="368"/>
      <c r="O17" s="232">
        <v>26.1</v>
      </c>
      <c r="P17" s="232">
        <v>26.63</v>
      </c>
      <c r="Q17" s="361">
        <v>26.63</v>
      </c>
    </row>
    <row r="18" spans="2:26" x14ac:dyDescent="0.3">
      <c r="B18" s="359">
        <v>8</v>
      </c>
      <c r="C18" s="238">
        <v>26.3</v>
      </c>
      <c r="D18" s="238">
        <v>25.9</v>
      </c>
      <c r="E18" s="238">
        <v>26</v>
      </c>
      <c r="F18" s="238">
        <v>26.5</v>
      </c>
      <c r="G18" s="361">
        <v>26.6</v>
      </c>
      <c r="H18" s="355"/>
      <c r="I18" s="364"/>
      <c r="J18" s="177"/>
      <c r="K18" s="177">
        <v>26.38</v>
      </c>
      <c r="L18" s="365">
        <v>25.82</v>
      </c>
      <c r="M18" s="174"/>
      <c r="N18" s="368"/>
      <c r="O18" s="238"/>
      <c r="P18" s="232">
        <v>26.35</v>
      </c>
      <c r="Q18" s="361">
        <v>26.7</v>
      </c>
    </row>
    <row r="19" spans="2:26" x14ac:dyDescent="0.3">
      <c r="B19" s="359">
        <v>9</v>
      </c>
      <c r="C19" s="238">
        <v>26.3</v>
      </c>
      <c r="D19" s="238">
        <v>25.9</v>
      </c>
      <c r="E19" s="238">
        <v>26</v>
      </c>
      <c r="F19" s="238">
        <v>26.5</v>
      </c>
      <c r="G19" s="361">
        <v>26.6</v>
      </c>
      <c r="H19" s="355"/>
      <c r="I19" s="364"/>
      <c r="J19" s="177"/>
      <c r="K19" s="177"/>
      <c r="L19" s="179"/>
      <c r="M19" s="327"/>
      <c r="N19" s="368"/>
      <c r="O19" s="238"/>
      <c r="P19" s="238"/>
      <c r="Q19" s="361"/>
    </row>
    <row r="20" spans="2:26" ht="15" thickBot="1" x14ac:dyDescent="0.35">
      <c r="B20" s="362">
        <v>10</v>
      </c>
      <c r="C20" s="245">
        <v>26.3</v>
      </c>
      <c r="D20" s="245">
        <v>25.9</v>
      </c>
      <c r="E20" s="245">
        <v>26</v>
      </c>
      <c r="F20" s="245">
        <v>26.5</v>
      </c>
      <c r="G20" s="363">
        <v>26.6</v>
      </c>
      <c r="H20" s="355"/>
      <c r="I20" s="366"/>
      <c r="J20" s="242"/>
      <c r="K20" s="242"/>
      <c r="L20" s="248"/>
      <c r="M20" s="327"/>
      <c r="N20" s="369"/>
      <c r="O20" s="245"/>
      <c r="P20" s="245"/>
      <c r="Q20" s="363"/>
    </row>
    <row r="29" spans="2:26" ht="15" thickBot="1" x14ac:dyDescent="0.35"/>
    <row r="30" spans="2:26" x14ac:dyDescent="0.3">
      <c r="B30" s="334"/>
      <c r="C30" s="344"/>
      <c r="D30" s="344"/>
      <c r="E30" s="344"/>
      <c r="F30" s="344"/>
      <c r="G30" s="344"/>
      <c r="H30" s="344"/>
      <c r="I30" s="344"/>
      <c r="J30" s="344"/>
      <c r="K30" s="344"/>
      <c r="L30" s="344"/>
      <c r="M30" s="335"/>
      <c r="O30" s="334"/>
      <c r="P30" s="344"/>
      <c r="Q30" s="344"/>
      <c r="R30" s="344"/>
      <c r="S30" s="344"/>
      <c r="T30" s="344"/>
      <c r="U30" s="344"/>
      <c r="V30" s="344"/>
      <c r="W30" s="344"/>
      <c r="X30" s="344"/>
      <c r="Y30" s="344"/>
      <c r="Z30" s="335"/>
    </row>
    <row r="31" spans="2:26" x14ac:dyDescent="0.3">
      <c r="B31" s="336"/>
      <c r="C31" s="337"/>
      <c r="D31" s="337"/>
      <c r="E31" s="337"/>
      <c r="F31" s="337"/>
      <c r="G31" s="337"/>
      <c r="H31" s="337"/>
      <c r="I31" s="337"/>
      <c r="J31" s="337"/>
      <c r="K31" s="337"/>
      <c r="L31" s="337"/>
      <c r="M31" s="338"/>
      <c r="O31" s="336"/>
      <c r="P31" s="337"/>
      <c r="Q31" s="337"/>
      <c r="R31" s="337"/>
      <c r="S31" s="337"/>
      <c r="T31" s="337"/>
      <c r="U31" s="337"/>
      <c r="V31" s="337"/>
      <c r="W31" s="337"/>
      <c r="X31" s="337"/>
      <c r="Y31" s="337"/>
      <c r="Z31" s="338"/>
    </row>
    <row r="32" spans="2:26" x14ac:dyDescent="0.3">
      <c r="B32" s="336"/>
      <c r="C32" s="337"/>
      <c r="D32" s="337"/>
      <c r="E32" s="337"/>
      <c r="F32" s="337"/>
      <c r="G32" s="337"/>
      <c r="H32" s="337"/>
      <c r="I32" s="337"/>
      <c r="J32" s="337"/>
      <c r="K32" s="337"/>
      <c r="L32" s="337"/>
      <c r="M32" s="338"/>
      <c r="O32" s="336"/>
      <c r="P32" s="337"/>
      <c r="Q32" s="337"/>
      <c r="R32" s="337"/>
      <c r="S32" s="337"/>
      <c r="T32" s="337"/>
      <c r="U32" s="337"/>
      <c r="V32" s="337"/>
      <c r="W32" s="337"/>
      <c r="X32" s="337"/>
      <c r="Y32" s="337"/>
      <c r="Z32" s="338"/>
    </row>
    <row r="33" spans="2:26" x14ac:dyDescent="0.3">
      <c r="B33" s="336"/>
      <c r="C33" s="337"/>
      <c r="D33" s="337"/>
      <c r="E33" s="337"/>
      <c r="F33" s="337"/>
      <c r="G33" s="337"/>
      <c r="H33" s="337"/>
      <c r="I33" s="337"/>
      <c r="J33" s="337"/>
      <c r="K33" s="337"/>
      <c r="L33" s="337"/>
      <c r="M33" s="338"/>
      <c r="O33" s="336"/>
      <c r="P33" s="337"/>
      <c r="Q33" s="337"/>
      <c r="R33" s="337"/>
      <c r="S33" s="337"/>
      <c r="T33" s="337"/>
      <c r="U33" s="337"/>
      <c r="V33" s="337"/>
      <c r="W33" s="337"/>
      <c r="X33" s="337"/>
      <c r="Y33" s="337"/>
      <c r="Z33" s="338"/>
    </row>
    <row r="34" spans="2:26" x14ac:dyDescent="0.3">
      <c r="B34" s="336"/>
      <c r="C34" s="337"/>
      <c r="D34" s="337"/>
      <c r="E34" s="337"/>
      <c r="F34" s="337"/>
      <c r="G34" s="337"/>
      <c r="H34" s="337"/>
      <c r="I34" s="337"/>
      <c r="J34" s="337"/>
      <c r="K34" s="337"/>
      <c r="L34" s="337"/>
      <c r="M34" s="338"/>
      <c r="O34" s="336"/>
      <c r="P34" s="337"/>
      <c r="Q34" s="337"/>
      <c r="R34" s="337"/>
      <c r="S34" s="337"/>
      <c r="T34" s="337"/>
      <c r="U34" s="337"/>
      <c r="V34" s="337"/>
      <c r="W34" s="337"/>
      <c r="X34" s="337"/>
      <c r="Y34" s="337"/>
      <c r="Z34" s="338"/>
    </row>
    <row r="35" spans="2:26" x14ac:dyDescent="0.3">
      <c r="B35" s="336"/>
      <c r="C35" s="337"/>
      <c r="D35" s="337"/>
      <c r="E35" s="337"/>
      <c r="F35" s="337"/>
      <c r="G35" s="337"/>
      <c r="H35" s="337"/>
      <c r="I35" s="337"/>
      <c r="J35" s="337"/>
      <c r="K35" s="337"/>
      <c r="L35" s="337"/>
      <c r="M35" s="338"/>
      <c r="O35" s="336"/>
      <c r="P35" s="337"/>
      <c r="Q35" s="337"/>
      <c r="R35" s="337"/>
      <c r="S35" s="337"/>
      <c r="T35" s="337"/>
      <c r="U35" s="337"/>
      <c r="V35" s="337"/>
      <c r="W35" s="337"/>
      <c r="X35" s="337"/>
      <c r="Y35" s="337"/>
      <c r="Z35" s="338"/>
    </row>
    <row r="36" spans="2:26" x14ac:dyDescent="0.3">
      <c r="B36" s="336"/>
      <c r="C36" s="337"/>
      <c r="D36" s="337"/>
      <c r="E36" s="337"/>
      <c r="F36" s="337"/>
      <c r="G36" s="337"/>
      <c r="H36" s="337"/>
      <c r="I36" s="337"/>
      <c r="J36" s="337"/>
      <c r="K36" s="337"/>
      <c r="L36" s="337"/>
      <c r="M36" s="338"/>
      <c r="O36" s="336"/>
      <c r="P36" s="337"/>
      <c r="Q36" s="337"/>
      <c r="R36" s="337"/>
      <c r="S36" s="337"/>
      <c r="T36" s="337"/>
      <c r="U36" s="337"/>
      <c r="V36" s="337"/>
      <c r="W36" s="337"/>
      <c r="X36" s="337"/>
      <c r="Y36" s="337"/>
      <c r="Z36" s="338"/>
    </row>
    <row r="37" spans="2:26" x14ac:dyDescent="0.3">
      <c r="B37" s="336"/>
      <c r="C37" s="337"/>
      <c r="D37" s="337"/>
      <c r="E37" s="337"/>
      <c r="F37" s="337"/>
      <c r="G37" s="337"/>
      <c r="H37" s="337"/>
      <c r="I37" s="337"/>
      <c r="J37" s="337"/>
      <c r="K37" s="337"/>
      <c r="L37" s="337"/>
      <c r="M37" s="338"/>
      <c r="O37" s="336"/>
      <c r="P37" s="337"/>
      <c r="Q37" s="337"/>
      <c r="R37" s="337"/>
      <c r="S37" s="337"/>
      <c r="T37" s="337"/>
      <c r="U37" s="337"/>
      <c r="V37" s="337"/>
      <c r="W37" s="337"/>
      <c r="X37" s="337"/>
      <c r="Y37" s="337"/>
      <c r="Z37" s="338"/>
    </row>
    <row r="38" spans="2:26" x14ac:dyDescent="0.3">
      <c r="B38" s="336"/>
      <c r="C38" s="337"/>
      <c r="D38" s="337"/>
      <c r="E38" s="337"/>
      <c r="F38" s="337"/>
      <c r="G38" s="337"/>
      <c r="H38" s="337"/>
      <c r="I38" s="337"/>
      <c r="J38" s="337"/>
      <c r="K38" s="337"/>
      <c r="L38" s="337"/>
      <c r="M38" s="338"/>
      <c r="O38" s="336"/>
      <c r="P38" s="337"/>
      <c r="Q38" s="337"/>
      <c r="R38" s="337"/>
      <c r="S38" s="337"/>
      <c r="T38" s="337"/>
      <c r="U38" s="337"/>
      <c r="V38" s="337"/>
      <c r="W38" s="337"/>
      <c r="X38" s="337"/>
      <c r="Y38" s="337"/>
      <c r="Z38" s="338"/>
    </row>
    <row r="39" spans="2:26" x14ac:dyDescent="0.3">
      <c r="B39" s="336"/>
      <c r="C39" s="337"/>
      <c r="D39" s="337"/>
      <c r="E39" s="337"/>
      <c r="F39" s="337"/>
      <c r="G39" s="337"/>
      <c r="H39" s="337"/>
      <c r="I39" s="337"/>
      <c r="J39" s="337"/>
      <c r="K39" s="337"/>
      <c r="L39" s="337"/>
      <c r="M39" s="338"/>
      <c r="O39" s="336"/>
      <c r="P39" s="337"/>
      <c r="Q39" s="337"/>
      <c r="R39" s="337"/>
      <c r="S39" s="337"/>
      <c r="T39" s="337"/>
      <c r="U39" s="337"/>
      <c r="V39" s="337"/>
      <c r="W39" s="337"/>
      <c r="X39" s="337"/>
      <c r="Y39" s="337"/>
      <c r="Z39" s="338"/>
    </row>
    <row r="40" spans="2:26" x14ac:dyDescent="0.3">
      <c r="B40" s="336"/>
      <c r="C40" s="337"/>
      <c r="D40" s="337"/>
      <c r="E40" s="337"/>
      <c r="F40" s="337"/>
      <c r="G40" s="337"/>
      <c r="H40" s="337"/>
      <c r="I40" s="337"/>
      <c r="J40" s="337"/>
      <c r="K40" s="337"/>
      <c r="L40" s="337"/>
      <c r="M40" s="338"/>
      <c r="O40" s="336"/>
      <c r="P40" s="337"/>
      <c r="Q40" s="337"/>
      <c r="R40" s="337"/>
      <c r="S40" s="337"/>
      <c r="T40" s="337"/>
      <c r="U40" s="337"/>
      <c r="V40" s="337"/>
      <c r="W40" s="337"/>
      <c r="X40" s="337"/>
      <c r="Y40" s="337"/>
      <c r="Z40" s="338"/>
    </row>
    <row r="41" spans="2:26" x14ac:dyDescent="0.3">
      <c r="B41" s="336"/>
      <c r="C41" s="337"/>
      <c r="D41" s="337"/>
      <c r="E41" s="337"/>
      <c r="F41" s="337"/>
      <c r="G41" s="337"/>
      <c r="H41" s="337"/>
      <c r="I41" s="337"/>
      <c r="J41" s="337"/>
      <c r="K41" s="337"/>
      <c r="L41" s="337"/>
      <c r="M41" s="338"/>
      <c r="O41" s="336"/>
      <c r="P41" s="337"/>
      <c r="Q41" s="337"/>
      <c r="R41" s="337"/>
      <c r="S41" s="337"/>
      <c r="T41" s="337"/>
      <c r="U41" s="337"/>
      <c r="V41" s="337"/>
      <c r="W41" s="337"/>
      <c r="X41" s="337"/>
      <c r="Y41" s="337"/>
      <c r="Z41" s="338"/>
    </row>
    <row r="42" spans="2:26" x14ac:dyDescent="0.3">
      <c r="B42" s="336"/>
      <c r="C42" s="337"/>
      <c r="D42" s="337"/>
      <c r="E42" s="337"/>
      <c r="F42" s="337"/>
      <c r="G42" s="337"/>
      <c r="H42" s="337"/>
      <c r="I42" s="337"/>
      <c r="J42" s="337"/>
      <c r="K42" s="337"/>
      <c r="L42" s="337"/>
      <c r="M42" s="338"/>
      <c r="O42" s="336"/>
      <c r="P42" s="337"/>
      <c r="Q42" s="337"/>
      <c r="R42" s="337"/>
      <c r="S42" s="337"/>
      <c r="T42" s="337"/>
      <c r="U42" s="337"/>
      <c r="V42" s="337"/>
      <c r="W42" s="337"/>
      <c r="X42" s="337"/>
      <c r="Y42" s="337"/>
      <c r="Z42" s="338"/>
    </row>
    <row r="43" spans="2:26" x14ac:dyDescent="0.3">
      <c r="B43" s="336"/>
      <c r="C43" s="337"/>
      <c r="D43" s="337"/>
      <c r="E43" s="337"/>
      <c r="F43" s="337"/>
      <c r="G43" s="337"/>
      <c r="H43" s="337"/>
      <c r="I43" s="337"/>
      <c r="J43" s="337"/>
      <c r="K43" s="337"/>
      <c r="L43" s="337"/>
      <c r="M43" s="338"/>
      <c r="O43" s="336"/>
      <c r="P43" s="337"/>
      <c r="Q43" s="337"/>
      <c r="R43" s="337"/>
      <c r="S43" s="337"/>
      <c r="T43" s="337"/>
      <c r="U43" s="337"/>
      <c r="V43" s="337"/>
      <c r="W43" s="337"/>
      <c r="X43" s="337"/>
      <c r="Y43" s="337"/>
      <c r="Z43" s="338"/>
    </row>
    <row r="44" spans="2:26" x14ac:dyDescent="0.3">
      <c r="B44" s="336"/>
      <c r="C44" s="337"/>
      <c r="D44" s="337"/>
      <c r="E44" s="337"/>
      <c r="F44" s="337"/>
      <c r="G44" s="337"/>
      <c r="H44" s="337"/>
      <c r="I44" s="337"/>
      <c r="J44" s="337"/>
      <c r="K44" s="337"/>
      <c r="L44" s="337"/>
      <c r="M44" s="338"/>
      <c r="O44" s="336"/>
      <c r="P44" s="337"/>
      <c r="Q44" s="337"/>
      <c r="R44" s="337"/>
      <c r="S44" s="337"/>
      <c r="T44" s="337"/>
      <c r="U44" s="337"/>
      <c r="V44" s="337"/>
      <c r="W44" s="337"/>
      <c r="X44" s="337"/>
      <c r="Y44" s="337"/>
      <c r="Z44" s="338"/>
    </row>
    <row r="45" spans="2:26" x14ac:dyDescent="0.3">
      <c r="B45" s="336"/>
      <c r="C45" s="337"/>
      <c r="D45" s="337"/>
      <c r="E45" s="337"/>
      <c r="F45" s="337"/>
      <c r="G45" s="337"/>
      <c r="H45" s="337"/>
      <c r="I45" s="337"/>
      <c r="J45" s="337"/>
      <c r="K45" s="337"/>
      <c r="L45" s="337"/>
      <c r="M45" s="338"/>
      <c r="O45" s="336"/>
      <c r="P45" s="337"/>
      <c r="Q45" s="337"/>
      <c r="R45" s="337"/>
      <c r="S45" s="337"/>
      <c r="T45" s="337"/>
      <c r="U45" s="337"/>
      <c r="V45" s="337"/>
      <c r="W45" s="337"/>
      <c r="X45" s="337"/>
      <c r="Y45" s="337"/>
      <c r="Z45" s="338"/>
    </row>
    <row r="46" spans="2:26" x14ac:dyDescent="0.3">
      <c r="B46" s="336"/>
      <c r="C46" s="337"/>
      <c r="D46" s="337"/>
      <c r="E46" s="337"/>
      <c r="F46" s="337"/>
      <c r="G46" s="337"/>
      <c r="H46" s="337"/>
      <c r="I46" s="337"/>
      <c r="J46" s="337"/>
      <c r="K46" s="337"/>
      <c r="L46" s="337"/>
      <c r="M46" s="338"/>
      <c r="O46" s="336"/>
      <c r="P46" s="337"/>
      <c r="Q46" s="337"/>
      <c r="R46" s="337"/>
      <c r="S46" s="337"/>
      <c r="T46" s="337"/>
      <c r="U46" s="337"/>
      <c r="V46" s="337"/>
      <c r="W46" s="337"/>
      <c r="X46" s="337"/>
      <c r="Y46" s="337"/>
      <c r="Z46" s="338"/>
    </row>
    <row r="47" spans="2:26" x14ac:dyDescent="0.3">
      <c r="B47" s="336"/>
      <c r="C47" s="337"/>
      <c r="D47" s="337"/>
      <c r="E47" s="337"/>
      <c r="F47" s="337"/>
      <c r="G47" s="337"/>
      <c r="H47" s="337"/>
      <c r="I47" s="337"/>
      <c r="J47" s="337"/>
      <c r="K47" s="337"/>
      <c r="L47" s="337"/>
      <c r="M47" s="338"/>
      <c r="O47" s="336"/>
      <c r="P47" s="337"/>
      <c r="Q47" s="337"/>
      <c r="R47" s="337"/>
      <c r="S47" s="337"/>
      <c r="T47" s="337"/>
      <c r="U47" s="337"/>
      <c r="V47" s="337"/>
      <c r="W47" s="337"/>
      <c r="X47" s="337"/>
      <c r="Y47" s="337"/>
      <c r="Z47" s="338"/>
    </row>
    <row r="48" spans="2:26" x14ac:dyDescent="0.3">
      <c r="B48" s="336"/>
      <c r="C48" s="337"/>
      <c r="D48" s="337"/>
      <c r="E48" s="337"/>
      <c r="F48" s="337"/>
      <c r="G48" s="337"/>
      <c r="H48" s="337"/>
      <c r="I48" s="337"/>
      <c r="J48" s="337"/>
      <c r="K48" s="337"/>
      <c r="L48" s="337"/>
      <c r="M48" s="338"/>
      <c r="O48" s="336"/>
      <c r="P48" s="337"/>
      <c r="Q48" s="337"/>
      <c r="R48" s="337"/>
      <c r="S48" s="337"/>
      <c r="T48" s="337"/>
      <c r="U48" s="337"/>
      <c r="V48" s="337"/>
      <c r="W48" s="337"/>
      <c r="X48" s="337"/>
      <c r="Y48" s="337"/>
      <c r="Z48" s="338"/>
    </row>
    <row r="49" spans="2:26" x14ac:dyDescent="0.3">
      <c r="B49" s="336"/>
      <c r="C49" s="337"/>
      <c r="D49" s="337"/>
      <c r="E49" s="337"/>
      <c r="F49" s="337"/>
      <c r="G49" s="337"/>
      <c r="H49" s="337"/>
      <c r="I49" s="337"/>
      <c r="J49" s="337"/>
      <c r="K49" s="337"/>
      <c r="L49" s="337"/>
      <c r="M49" s="338"/>
      <c r="O49" s="336"/>
      <c r="P49" s="337"/>
      <c r="Q49" s="337"/>
      <c r="R49" s="337"/>
      <c r="S49" s="337"/>
      <c r="T49" s="337"/>
      <c r="U49" s="337"/>
      <c r="V49" s="337"/>
      <c r="W49" s="337"/>
      <c r="X49" s="337"/>
      <c r="Y49" s="337"/>
      <c r="Z49" s="338"/>
    </row>
    <row r="50" spans="2:26" x14ac:dyDescent="0.3">
      <c r="B50" s="336"/>
      <c r="C50" s="337"/>
      <c r="D50" s="337"/>
      <c r="E50" s="337"/>
      <c r="F50" s="337"/>
      <c r="G50" s="337"/>
      <c r="H50" s="337"/>
      <c r="I50" s="337"/>
      <c r="J50" s="337"/>
      <c r="K50" s="337"/>
      <c r="L50" s="337"/>
      <c r="M50" s="338"/>
      <c r="O50" s="336"/>
      <c r="P50" s="337"/>
      <c r="Q50" s="337"/>
      <c r="R50" s="337"/>
      <c r="S50" s="337"/>
      <c r="T50" s="337"/>
      <c r="U50" s="337"/>
      <c r="V50" s="337"/>
      <c r="W50" s="337"/>
      <c r="X50" s="337"/>
      <c r="Y50" s="337"/>
      <c r="Z50" s="338"/>
    </row>
    <row r="51" spans="2:26" x14ac:dyDescent="0.3">
      <c r="B51" s="336"/>
      <c r="C51" s="337"/>
      <c r="D51" s="337"/>
      <c r="E51" s="337"/>
      <c r="F51" s="337"/>
      <c r="G51" s="337"/>
      <c r="H51" s="337"/>
      <c r="I51" s="337"/>
      <c r="J51" s="337"/>
      <c r="K51" s="337"/>
      <c r="L51" s="337"/>
      <c r="M51" s="338"/>
      <c r="O51" s="336"/>
      <c r="P51" s="337"/>
      <c r="Q51" s="337"/>
      <c r="R51" s="337"/>
      <c r="S51" s="337"/>
      <c r="T51" s="337"/>
      <c r="U51" s="337"/>
      <c r="V51" s="337"/>
      <c r="W51" s="337"/>
      <c r="X51" s="337"/>
      <c r="Y51" s="337"/>
      <c r="Z51" s="338"/>
    </row>
    <row r="52" spans="2:26" x14ac:dyDescent="0.3">
      <c r="B52" s="336"/>
      <c r="C52" s="337"/>
      <c r="D52" s="337"/>
      <c r="E52" s="337"/>
      <c r="F52" s="337"/>
      <c r="G52" s="337"/>
      <c r="H52" s="337"/>
      <c r="I52" s="337"/>
      <c r="J52" s="337"/>
      <c r="K52" s="337"/>
      <c r="L52" s="337"/>
      <c r="M52" s="338"/>
      <c r="O52" s="336"/>
      <c r="P52" s="337"/>
      <c r="Q52" s="337"/>
      <c r="R52" s="337"/>
      <c r="S52" s="337"/>
      <c r="T52" s="337"/>
      <c r="U52" s="337"/>
      <c r="V52" s="337"/>
      <c r="W52" s="337"/>
      <c r="X52" s="337"/>
      <c r="Y52" s="337"/>
      <c r="Z52" s="338"/>
    </row>
    <row r="53" spans="2:26" x14ac:dyDescent="0.3">
      <c r="B53" s="336"/>
      <c r="C53" s="337"/>
      <c r="D53" s="337"/>
      <c r="E53" s="337"/>
      <c r="F53" s="337"/>
      <c r="G53" s="337"/>
      <c r="H53" s="337"/>
      <c r="I53" s="337"/>
      <c r="J53" s="337"/>
      <c r="K53" s="337"/>
      <c r="L53" s="337"/>
      <c r="M53" s="338"/>
      <c r="O53" s="336"/>
      <c r="P53" s="337"/>
      <c r="Q53" s="337"/>
      <c r="R53" s="337"/>
      <c r="S53" s="337"/>
      <c r="T53" s="337"/>
      <c r="U53" s="337"/>
      <c r="V53" s="337"/>
      <c r="W53" s="337"/>
      <c r="X53" s="337"/>
      <c r="Y53" s="337"/>
      <c r="Z53" s="338"/>
    </row>
    <row r="54" spans="2:26" x14ac:dyDescent="0.3">
      <c r="B54" s="336"/>
      <c r="C54" s="337"/>
      <c r="D54" s="337"/>
      <c r="E54" s="337"/>
      <c r="F54" s="337"/>
      <c r="G54" s="337"/>
      <c r="H54" s="337"/>
      <c r="I54" s="337"/>
      <c r="J54" s="337"/>
      <c r="K54" s="337"/>
      <c r="L54" s="337"/>
      <c r="M54" s="338"/>
      <c r="O54" s="336"/>
      <c r="P54" s="337"/>
      <c r="Q54" s="337"/>
      <c r="R54" s="337"/>
      <c r="S54" s="337"/>
      <c r="T54" s="337"/>
      <c r="U54" s="337"/>
      <c r="V54" s="337"/>
      <c r="W54" s="337"/>
      <c r="X54" s="337"/>
      <c r="Y54" s="337"/>
      <c r="Z54" s="338"/>
    </row>
    <row r="55" spans="2:26" x14ac:dyDescent="0.3">
      <c r="B55" s="336"/>
      <c r="C55" s="337"/>
      <c r="D55" s="337"/>
      <c r="E55" s="337"/>
      <c r="F55" s="337"/>
      <c r="G55" s="337"/>
      <c r="H55" s="337"/>
      <c r="I55" s="337"/>
      <c r="J55" s="337"/>
      <c r="K55" s="337"/>
      <c r="L55" s="337"/>
      <c r="M55" s="338"/>
      <c r="O55" s="336"/>
      <c r="P55" s="337"/>
      <c r="Q55" s="337"/>
      <c r="R55" s="337"/>
      <c r="S55" s="337"/>
      <c r="T55" s="337"/>
      <c r="U55" s="337"/>
      <c r="V55" s="337"/>
      <c r="W55" s="337"/>
      <c r="X55" s="337"/>
      <c r="Y55" s="337"/>
      <c r="Z55" s="338"/>
    </row>
    <row r="56" spans="2:26" x14ac:dyDescent="0.3">
      <c r="B56" s="336"/>
      <c r="C56" s="337"/>
      <c r="D56" s="337"/>
      <c r="E56" s="337"/>
      <c r="F56" s="337"/>
      <c r="G56" s="337"/>
      <c r="H56" s="337"/>
      <c r="I56" s="337"/>
      <c r="J56" s="337"/>
      <c r="K56" s="337"/>
      <c r="L56" s="337"/>
      <c r="M56" s="338"/>
      <c r="O56" s="336"/>
      <c r="P56" s="337"/>
      <c r="Q56" s="337"/>
      <c r="R56" s="337"/>
      <c r="S56" s="337"/>
      <c r="T56" s="337"/>
      <c r="U56" s="337"/>
      <c r="V56" s="337"/>
      <c r="W56" s="337"/>
      <c r="X56" s="337"/>
      <c r="Y56" s="337"/>
      <c r="Z56" s="338"/>
    </row>
    <row r="57" spans="2:26" x14ac:dyDescent="0.3">
      <c r="B57" s="336"/>
      <c r="C57" s="337"/>
      <c r="D57" s="337"/>
      <c r="E57" s="337"/>
      <c r="F57" s="337"/>
      <c r="G57" s="337"/>
      <c r="H57" s="337"/>
      <c r="I57" s="337"/>
      <c r="J57" s="337"/>
      <c r="K57" s="337"/>
      <c r="L57" s="337"/>
      <c r="M57" s="338"/>
      <c r="O57" s="336"/>
      <c r="P57" s="337"/>
      <c r="Q57" s="337"/>
      <c r="R57" s="337"/>
      <c r="S57" s="337"/>
      <c r="T57" s="337"/>
      <c r="U57" s="337"/>
      <c r="V57" s="337"/>
      <c r="W57" s="337"/>
      <c r="X57" s="337"/>
      <c r="Y57" s="337"/>
      <c r="Z57" s="338"/>
    </row>
    <row r="58" spans="2:26" x14ac:dyDescent="0.3">
      <c r="B58" s="336"/>
      <c r="C58" s="337"/>
      <c r="D58" s="337"/>
      <c r="E58" s="337"/>
      <c r="F58" s="337"/>
      <c r="G58" s="337"/>
      <c r="H58" s="337"/>
      <c r="I58" s="337"/>
      <c r="J58" s="337"/>
      <c r="K58" s="337"/>
      <c r="L58" s="337"/>
      <c r="M58" s="338"/>
      <c r="O58" s="336"/>
      <c r="P58" s="337"/>
      <c r="Q58" s="337"/>
      <c r="R58" s="337"/>
      <c r="S58" s="337"/>
      <c r="T58" s="337"/>
      <c r="U58" s="337"/>
      <c r="V58" s="337"/>
      <c r="W58" s="337"/>
      <c r="X58" s="337"/>
      <c r="Y58" s="337"/>
      <c r="Z58" s="338"/>
    </row>
    <row r="59" spans="2:26" x14ac:dyDescent="0.3">
      <c r="B59" s="336"/>
      <c r="C59" s="337"/>
      <c r="D59" s="337"/>
      <c r="E59" s="337"/>
      <c r="F59" s="337"/>
      <c r="G59" s="337"/>
      <c r="H59" s="337"/>
      <c r="I59" s="337"/>
      <c r="J59" s="337"/>
      <c r="K59" s="337"/>
      <c r="L59" s="337"/>
      <c r="M59" s="338"/>
      <c r="O59" s="336"/>
      <c r="P59" s="337"/>
      <c r="Q59" s="337"/>
      <c r="R59" s="337"/>
      <c r="S59" s="337"/>
      <c r="T59" s="337"/>
      <c r="U59" s="337"/>
      <c r="V59" s="337"/>
      <c r="W59" s="337"/>
      <c r="X59" s="337"/>
      <c r="Y59" s="337"/>
      <c r="Z59" s="338"/>
    </row>
    <row r="60" spans="2:26" x14ac:dyDescent="0.3">
      <c r="B60" s="336"/>
      <c r="C60" s="337"/>
      <c r="D60" s="337"/>
      <c r="E60" s="337"/>
      <c r="F60" s="337"/>
      <c r="G60" s="337"/>
      <c r="H60" s="337"/>
      <c r="I60" s="337"/>
      <c r="J60" s="337"/>
      <c r="K60" s="337"/>
      <c r="L60" s="337"/>
      <c r="M60" s="338"/>
      <c r="O60" s="336"/>
      <c r="P60" s="337"/>
      <c r="Q60" s="337"/>
      <c r="R60" s="337"/>
      <c r="S60" s="337"/>
      <c r="T60" s="337"/>
      <c r="U60" s="337"/>
      <c r="V60" s="337"/>
      <c r="W60" s="337"/>
      <c r="X60" s="337"/>
      <c r="Y60" s="337"/>
      <c r="Z60" s="338"/>
    </row>
    <row r="61" spans="2:26" x14ac:dyDescent="0.3">
      <c r="B61" s="336"/>
      <c r="C61" s="337"/>
      <c r="D61" s="337"/>
      <c r="E61" s="337"/>
      <c r="F61" s="337"/>
      <c r="G61" s="337"/>
      <c r="H61" s="337"/>
      <c r="I61" s="337"/>
      <c r="J61" s="337"/>
      <c r="K61" s="337"/>
      <c r="L61" s="337"/>
      <c r="M61" s="338"/>
      <c r="O61" s="336"/>
      <c r="P61" s="337"/>
      <c r="Q61" s="337"/>
      <c r="R61" s="337"/>
      <c r="S61" s="337"/>
      <c r="T61" s="337"/>
      <c r="U61" s="337"/>
      <c r="V61" s="337"/>
      <c r="W61" s="337"/>
      <c r="X61" s="337"/>
      <c r="Y61" s="337"/>
      <c r="Z61" s="338"/>
    </row>
    <row r="62" spans="2:26" x14ac:dyDescent="0.3">
      <c r="B62" s="336"/>
      <c r="C62" s="337"/>
      <c r="D62" s="337"/>
      <c r="E62" s="337"/>
      <c r="F62" s="337"/>
      <c r="G62" s="337"/>
      <c r="H62" s="337"/>
      <c r="I62" s="337"/>
      <c r="J62" s="337"/>
      <c r="K62" s="337"/>
      <c r="L62" s="337"/>
      <c r="M62" s="338"/>
      <c r="O62" s="336"/>
      <c r="P62" s="337"/>
      <c r="Q62" s="337"/>
      <c r="R62" s="337"/>
      <c r="S62" s="337"/>
      <c r="T62" s="337"/>
      <c r="U62" s="337"/>
      <c r="V62" s="337"/>
      <c r="W62" s="337"/>
      <c r="X62" s="337"/>
      <c r="Y62" s="337"/>
      <c r="Z62" s="338"/>
    </row>
    <row r="63" spans="2:26" x14ac:dyDescent="0.3">
      <c r="B63" s="336"/>
      <c r="C63" s="337"/>
      <c r="D63" s="337"/>
      <c r="E63" s="337"/>
      <c r="F63" s="337"/>
      <c r="G63" s="337"/>
      <c r="H63" s="337"/>
      <c r="I63" s="337"/>
      <c r="J63" s="337"/>
      <c r="K63" s="337"/>
      <c r="L63" s="337"/>
      <c r="M63" s="338"/>
      <c r="O63" s="336"/>
      <c r="P63" s="337"/>
      <c r="Q63" s="337"/>
      <c r="R63" s="337"/>
      <c r="S63" s="337"/>
      <c r="T63" s="337"/>
      <c r="U63" s="337"/>
      <c r="V63" s="337"/>
      <c r="W63" s="337"/>
      <c r="X63" s="337"/>
      <c r="Y63" s="337"/>
      <c r="Z63" s="338"/>
    </row>
    <row r="64" spans="2:26" x14ac:dyDescent="0.3">
      <c r="B64" s="336"/>
      <c r="C64" s="337"/>
      <c r="D64" s="337"/>
      <c r="E64" s="337"/>
      <c r="F64" s="337"/>
      <c r="G64" s="337"/>
      <c r="H64" s="337"/>
      <c r="I64" s="337"/>
      <c r="J64" s="337"/>
      <c r="K64" s="337"/>
      <c r="L64" s="337"/>
      <c r="M64" s="338"/>
      <c r="O64" s="336"/>
      <c r="P64" s="337"/>
      <c r="Q64" s="337"/>
      <c r="R64" s="337"/>
      <c r="S64" s="337"/>
      <c r="T64" s="337"/>
      <c r="U64" s="337"/>
      <c r="V64" s="337"/>
      <c r="W64" s="337"/>
      <c r="X64" s="337"/>
      <c r="Y64" s="337"/>
      <c r="Z64" s="338"/>
    </row>
    <row r="65" spans="2:26" x14ac:dyDescent="0.3">
      <c r="B65" s="336"/>
      <c r="C65" s="337"/>
      <c r="D65" s="337"/>
      <c r="E65" s="337"/>
      <c r="F65" s="337"/>
      <c r="G65" s="337"/>
      <c r="H65" s="337"/>
      <c r="I65" s="337"/>
      <c r="J65" s="337"/>
      <c r="K65" s="337"/>
      <c r="L65" s="337"/>
      <c r="M65" s="338"/>
      <c r="O65" s="336"/>
      <c r="P65" s="337"/>
      <c r="Q65" s="337"/>
      <c r="R65" s="337"/>
      <c r="S65" s="337"/>
      <c r="T65" s="337"/>
      <c r="U65" s="337"/>
      <c r="V65" s="337"/>
      <c r="W65" s="337"/>
      <c r="X65" s="337"/>
      <c r="Y65" s="337"/>
      <c r="Z65" s="338"/>
    </row>
    <row r="66" spans="2:26" x14ac:dyDescent="0.3">
      <c r="B66" s="336"/>
      <c r="C66" s="337"/>
      <c r="D66" s="337"/>
      <c r="E66" s="337"/>
      <c r="F66" s="337"/>
      <c r="G66" s="337"/>
      <c r="H66" s="337"/>
      <c r="I66" s="337"/>
      <c r="J66" s="337"/>
      <c r="K66" s="337"/>
      <c r="L66" s="337"/>
      <c r="M66" s="338"/>
      <c r="O66" s="336"/>
      <c r="P66" s="337"/>
      <c r="Q66" s="337"/>
      <c r="R66" s="337"/>
      <c r="S66" s="337"/>
      <c r="T66" s="337"/>
      <c r="U66" s="337"/>
      <c r="V66" s="337"/>
      <c r="W66" s="337"/>
      <c r="X66" s="337"/>
      <c r="Y66" s="337"/>
      <c r="Z66" s="338"/>
    </row>
    <row r="67" spans="2:26" x14ac:dyDescent="0.3">
      <c r="B67" s="336"/>
      <c r="C67" s="337"/>
      <c r="D67" s="337"/>
      <c r="E67" s="337"/>
      <c r="F67" s="337"/>
      <c r="G67" s="337"/>
      <c r="H67" s="337"/>
      <c r="I67" s="337"/>
      <c r="J67" s="337"/>
      <c r="K67" s="337"/>
      <c r="L67" s="337"/>
      <c r="M67" s="338"/>
      <c r="O67" s="336"/>
      <c r="P67" s="337"/>
      <c r="Q67" s="337"/>
      <c r="R67" s="337"/>
      <c r="S67" s="337"/>
      <c r="T67" s="337"/>
      <c r="U67" s="337"/>
      <c r="V67" s="337"/>
      <c r="W67" s="337"/>
      <c r="X67" s="337"/>
      <c r="Y67" s="337"/>
      <c r="Z67" s="338"/>
    </row>
    <row r="68" spans="2:26" x14ac:dyDescent="0.3">
      <c r="B68" s="336"/>
      <c r="C68" s="337"/>
      <c r="D68" s="337"/>
      <c r="E68" s="337"/>
      <c r="F68" s="337"/>
      <c r="G68" s="337"/>
      <c r="H68" s="337"/>
      <c r="I68" s="337"/>
      <c r="J68" s="337"/>
      <c r="K68" s="337"/>
      <c r="L68" s="337"/>
      <c r="M68" s="338"/>
      <c r="O68" s="336"/>
      <c r="P68" s="337"/>
      <c r="Q68" s="337"/>
      <c r="R68" s="337"/>
      <c r="S68" s="337"/>
      <c r="T68" s="337"/>
      <c r="U68" s="337"/>
      <c r="V68" s="337"/>
      <c r="W68" s="337"/>
      <c r="X68" s="337"/>
      <c r="Y68" s="337"/>
      <c r="Z68" s="338"/>
    </row>
    <row r="69" spans="2:26" x14ac:dyDescent="0.3">
      <c r="B69" s="336"/>
      <c r="C69" s="337"/>
      <c r="D69" s="337"/>
      <c r="E69" s="337"/>
      <c r="F69" s="337"/>
      <c r="G69" s="337"/>
      <c r="H69" s="337"/>
      <c r="I69" s="337"/>
      <c r="J69" s="337"/>
      <c r="K69" s="337"/>
      <c r="L69" s="337"/>
      <c r="M69" s="338"/>
      <c r="O69" s="336"/>
      <c r="P69" s="337"/>
      <c r="Q69" s="337"/>
      <c r="R69" s="337"/>
      <c r="S69" s="337"/>
      <c r="T69" s="337"/>
      <c r="U69" s="337"/>
      <c r="V69" s="337"/>
      <c r="W69" s="337"/>
      <c r="X69" s="337"/>
      <c r="Y69" s="337"/>
      <c r="Z69" s="338"/>
    </row>
    <row r="70" spans="2:26" x14ac:dyDescent="0.3">
      <c r="B70" s="336"/>
      <c r="C70" s="337"/>
      <c r="D70" s="337"/>
      <c r="E70" s="337"/>
      <c r="F70" s="337"/>
      <c r="G70" s="337"/>
      <c r="H70" s="337"/>
      <c r="I70" s="337"/>
      <c r="J70" s="337"/>
      <c r="K70" s="337"/>
      <c r="L70" s="337"/>
      <c r="M70" s="338"/>
      <c r="O70" s="336"/>
      <c r="P70" s="337"/>
      <c r="Q70" s="337"/>
      <c r="R70" s="337"/>
      <c r="S70" s="337"/>
      <c r="T70" s="337"/>
      <c r="U70" s="337"/>
      <c r="V70" s="337"/>
      <c r="W70" s="337"/>
      <c r="X70" s="337"/>
      <c r="Y70" s="337"/>
      <c r="Z70" s="338"/>
    </row>
    <row r="71" spans="2:26" x14ac:dyDescent="0.3">
      <c r="B71" s="336"/>
      <c r="C71" s="337"/>
      <c r="D71" s="337"/>
      <c r="E71" s="337"/>
      <c r="F71" s="337"/>
      <c r="G71" s="337"/>
      <c r="H71" s="337"/>
      <c r="I71" s="337"/>
      <c r="J71" s="337"/>
      <c r="K71" s="337"/>
      <c r="L71" s="337"/>
      <c r="M71" s="338"/>
      <c r="O71" s="336"/>
      <c r="P71" s="337"/>
      <c r="Q71" s="337"/>
      <c r="R71" s="337"/>
      <c r="S71" s="337"/>
      <c r="T71" s="337"/>
      <c r="U71" s="337"/>
      <c r="V71" s="337"/>
      <c r="W71" s="337"/>
      <c r="X71" s="337"/>
      <c r="Y71" s="337"/>
      <c r="Z71" s="338"/>
    </row>
    <row r="72" spans="2:26" x14ac:dyDescent="0.3">
      <c r="B72" s="336"/>
      <c r="C72" s="337"/>
      <c r="D72" s="337"/>
      <c r="E72" s="337"/>
      <c r="F72" s="337"/>
      <c r="G72" s="337"/>
      <c r="H72" s="337"/>
      <c r="I72" s="337"/>
      <c r="J72" s="337"/>
      <c r="K72" s="337"/>
      <c r="L72" s="337"/>
      <c r="M72" s="338"/>
      <c r="O72" s="336"/>
      <c r="P72" s="337"/>
      <c r="Q72" s="337"/>
      <c r="R72" s="337"/>
      <c r="S72" s="337"/>
      <c r="T72" s="337"/>
      <c r="U72" s="337"/>
      <c r="V72" s="337"/>
      <c r="W72" s="337"/>
      <c r="X72" s="337"/>
      <c r="Y72" s="337"/>
      <c r="Z72" s="338"/>
    </row>
    <row r="73" spans="2:26" x14ac:dyDescent="0.3">
      <c r="B73" s="336"/>
      <c r="C73" s="337"/>
      <c r="D73" s="337"/>
      <c r="E73" s="337"/>
      <c r="F73" s="337"/>
      <c r="G73" s="337"/>
      <c r="H73" s="337"/>
      <c r="I73" s="337"/>
      <c r="J73" s="337"/>
      <c r="K73" s="337"/>
      <c r="L73" s="337"/>
      <c r="M73" s="338"/>
      <c r="O73" s="336"/>
      <c r="P73" s="337"/>
      <c r="Q73" s="337"/>
      <c r="R73" s="337"/>
      <c r="S73" s="337"/>
      <c r="T73" s="337"/>
      <c r="U73" s="337"/>
      <c r="V73" s="337"/>
      <c r="W73" s="337"/>
      <c r="X73" s="337"/>
      <c r="Y73" s="337"/>
      <c r="Z73" s="338"/>
    </row>
    <row r="74" spans="2:26" x14ac:dyDescent="0.3">
      <c r="B74" s="336"/>
      <c r="C74" s="337"/>
      <c r="D74" s="337"/>
      <c r="E74" s="337"/>
      <c r="F74" s="337"/>
      <c r="G74" s="337"/>
      <c r="H74" s="337"/>
      <c r="I74" s="337"/>
      <c r="J74" s="337"/>
      <c r="K74" s="337"/>
      <c r="L74" s="337"/>
      <c r="M74" s="338"/>
      <c r="O74" s="336"/>
      <c r="P74" s="337"/>
      <c r="Q74" s="337"/>
      <c r="R74" s="337"/>
      <c r="S74" s="337"/>
      <c r="T74" s="337"/>
      <c r="U74" s="337"/>
      <c r="V74" s="337"/>
      <c r="W74" s="337"/>
      <c r="X74" s="337"/>
      <c r="Y74" s="337"/>
      <c r="Z74" s="338"/>
    </row>
    <row r="75" spans="2:26" x14ac:dyDescent="0.3">
      <c r="B75" s="336"/>
      <c r="C75" s="337"/>
      <c r="D75" s="337"/>
      <c r="E75" s="337"/>
      <c r="F75" s="337"/>
      <c r="G75" s="337"/>
      <c r="H75" s="337"/>
      <c r="I75" s="337"/>
      <c r="J75" s="337"/>
      <c r="K75" s="337"/>
      <c r="L75" s="337"/>
      <c r="M75" s="338"/>
      <c r="O75" s="336"/>
      <c r="P75" s="337"/>
      <c r="Q75" s="337"/>
      <c r="R75" s="337"/>
      <c r="S75" s="337"/>
      <c r="T75" s="337"/>
      <c r="U75" s="337"/>
      <c r="V75" s="337"/>
      <c r="W75" s="337"/>
      <c r="X75" s="337"/>
      <c r="Y75" s="337"/>
      <c r="Z75" s="338"/>
    </row>
    <row r="76" spans="2:26" x14ac:dyDescent="0.3">
      <c r="B76" s="336"/>
      <c r="C76" s="337"/>
      <c r="D76" s="337"/>
      <c r="E76" s="337"/>
      <c r="F76" s="337"/>
      <c r="G76" s="337"/>
      <c r="H76" s="337"/>
      <c r="I76" s="337"/>
      <c r="J76" s="337"/>
      <c r="K76" s="337"/>
      <c r="L76" s="337"/>
      <c r="M76" s="338"/>
      <c r="O76" s="336"/>
      <c r="P76" s="337"/>
      <c r="Q76" s="337"/>
      <c r="R76" s="337"/>
      <c r="S76" s="337"/>
      <c r="T76" s="337"/>
      <c r="U76" s="337"/>
      <c r="V76" s="337"/>
      <c r="W76" s="337"/>
      <c r="X76" s="337"/>
      <c r="Y76" s="337"/>
      <c r="Z76" s="338"/>
    </row>
    <row r="77" spans="2:26" x14ac:dyDescent="0.3">
      <c r="B77" s="336"/>
      <c r="C77" s="337"/>
      <c r="D77" s="337"/>
      <c r="E77" s="337"/>
      <c r="F77" s="337"/>
      <c r="G77" s="337"/>
      <c r="H77" s="337"/>
      <c r="I77" s="337"/>
      <c r="J77" s="337"/>
      <c r="K77" s="337"/>
      <c r="L77" s="337"/>
      <c r="M77" s="338"/>
      <c r="O77" s="336"/>
      <c r="P77" s="337"/>
      <c r="Q77" s="337"/>
      <c r="R77" s="337"/>
      <c r="S77" s="337"/>
      <c r="T77" s="337"/>
      <c r="U77" s="337"/>
      <c r="V77" s="337"/>
      <c r="W77" s="337"/>
      <c r="X77" s="337"/>
      <c r="Y77" s="337"/>
      <c r="Z77" s="338"/>
    </row>
    <row r="78" spans="2:26" x14ac:dyDescent="0.3">
      <c r="B78" s="336"/>
      <c r="C78" s="337"/>
      <c r="D78" s="337"/>
      <c r="E78" s="337"/>
      <c r="F78" s="337"/>
      <c r="G78" s="337"/>
      <c r="H78" s="337"/>
      <c r="I78" s="337"/>
      <c r="J78" s="337"/>
      <c r="K78" s="337"/>
      <c r="L78" s="337"/>
      <c r="M78" s="338"/>
      <c r="O78" s="336"/>
      <c r="P78" s="337"/>
      <c r="Q78" s="337"/>
      <c r="R78" s="337"/>
      <c r="S78" s="337"/>
      <c r="T78" s="337"/>
      <c r="U78" s="337"/>
      <c r="V78" s="337"/>
      <c r="W78" s="337"/>
      <c r="X78" s="337"/>
      <c r="Y78" s="337"/>
      <c r="Z78" s="338"/>
    </row>
    <row r="79" spans="2:26" x14ac:dyDescent="0.3">
      <c r="B79" s="336"/>
      <c r="C79" s="337"/>
      <c r="D79" s="337"/>
      <c r="E79" s="337"/>
      <c r="F79" s="337"/>
      <c r="G79" s="337"/>
      <c r="H79" s="337"/>
      <c r="I79" s="337"/>
      <c r="J79" s="337"/>
      <c r="K79" s="337"/>
      <c r="L79" s="337"/>
      <c r="M79" s="338"/>
      <c r="O79" s="336"/>
      <c r="P79" s="337"/>
      <c r="Q79" s="337"/>
      <c r="R79" s="337"/>
      <c r="S79" s="337"/>
      <c r="T79" s="337"/>
      <c r="U79" s="337"/>
      <c r="V79" s="337"/>
      <c r="W79" s="337"/>
      <c r="X79" s="337"/>
      <c r="Y79" s="337"/>
      <c r="Z79" s="338"/>
    </row>
    <row r="80" spans="2:26" x14ac:dyDescent="0.3">
      <c r="B80" s="336"/>
      <c r="C80" s="337"/>
      <c r="D80" s="337"/>
      <c r="E80" s="337"/>
      <c r="F80" s="337"/>
      <c r="G80" s="337"/>
      <c r="H80" s="337"/>
      <c r="I80" s="337"/>
      <c r="J80" s="337"/>
      <c r="K80" s="337"/>
      <c r="L80" s="337"/>
      <c r="M80" s="338"/>
      <c r="O80" s="336"/>
      <c r="P80" s="337"/>
      <c r="Q80" s="337"/>
      <c r="R80" s="337"/>
      <c r="S80" s="337"/>
      <c r="T80" s="337"/>
      <c r="U80" s="337"/>
      <c r="V80" s="337"/>
      <c r="W80" s="337"/>
      <c r="X80" s="337"/>
      <c r="Y80" s="337"/>
      <c r="Z80" s="338"/>
    </row>
    <row r="81" spans="2:26" ht="15" thickBot="1" x14ac:dyDescent="0.35">
      <c r="B81" s="341"/>
      <c r="C81" s="342"/>
      <c r="D81" s="342"/>
      <c r="E81" s="342"/>
      <c r="F81" s="342"/>
      <c r="G81" s="342"/>
      <c r="H81" s="342"/>
      <c r="I81" s="342"/>
      <c r="J81" s="342"/>
      <c r="K81" s="342"/>
      <c r="L81" s="342"/>
      <c r="M81" s="343"/>
      <c r="O81" s="341"/>
      <c r="P81" s="342"/>
      <c r="Q81" s="342"/>
      <c r="R81" s="342"/>
      <c r="S81" s="342"/>
      <c r="T81" s="342"/>
      <c r="U81" s="342"/>
      <c r="V81" s="342"/>
      <c r="W81" s="342"/>
      <c r="X81" s="342"/>
      <c r="Y81" s="342"/>
      <c r="Z81" s="343"/>
    </row>
    <row r="84" spans="2:26" ht="15" thickBot="1" x14ac:dyDescent="0.35"/>
    <row r="85" spans="2:26" x14ac:dyDescent="0.3">
      <c r="B85" s="334"/>
      <c r="C85" s="344"/>
      <c r="D85" s="344"/>
      <c r="E85" s="344"/>
      <c r="F85" s="344"/>
      <c r="G85" s="344"/>
      <c r="H85" s="344"/>
      <c r="I85" s="344"/>
      <c r="J85" s="344"/>
      <c r="K85" s="344"/>
      <c r="L85" s="344"/>
      <c r="M85" s="335"/>
      <c r="O85" s="334"/>
      <c r="P85" s="344"/>
      <c r="Q85" s="344"/>
      <c r="R85" s="344"/>
      <c r="S85" s="344"/>
      <c r="T85" s="344"/>
      <c r="U85" s="344"/>
      <c r="V85" s="344"/>
      <c r="W85" s="344"/>
      <c r="X85" s="344"/>
      <c r="Y85" s="344"/>
      <c r="Z85" s="335"/>
    </row>
    <row r="86" spans="2:26" x14ac:dyDescent="0.3">
      <c r="B86" s="336"/>
      <c r="C86" s="337"/>
      <c r="D86" s="337"/>
      <c r="E86" s="337"/>
      <c r="F86" s="337"/>
      <c r="G86" s="337"/>
      <c r="H86" s="337"/>
      <c r="I86" s="337"/>
      <c r="J86" s="337"/>
      <c r="K86" s="337"/>
      <c r="L86" s="337"/>
      <c r="M86" s="338"/>
      <c r="O86" s="336"/>
      <c r="P86" s="337"/>
      <c r="Q86" s="337"/>
      <c r="R86" s="337"/>
      <c r="S86" s="337"/>
      <c r="T86" s="337"/>
      <c r="U86" s="337"/>
      <c r="V86" s="337"/>
      <c r="W86" s="337"/>
      <c r="X86" s="337"/>
      <c r="Y86" s="337"/>
      <c r="Z86" s="338"/>
    </row>
    <row r="87" spans="2:26" x14ac:dyDescent="0.3">
      <c r="B87" s="336"/>
      <c r="C87" s="337"/>
      <c r="D87" s="337"/>
      <c r="E87" s="337"/>
      <c r="F87" s="337"/>
      <c r="G87" s="337"/>
      <c r="H87" s="337"/>
      <c r="I87" s="337"/>
      <c r="J87" s="337"/>
      <c r="K87" s="337"/>
      <c r="L87" s="337"/>
      <c r="M87" s="338"/>
      <c r="O87" s="336"/>
      <c r="P87" s="337"/>
      <c r="Q87" s="337"/>
      <c r="R87" s="337"/>
      <c r="S87" s="337"/>
      <c r="T87" s="337"/>
      <c r="U87" s="337"/>
      <c r="V87" s="337"/>
      <c r="W87" s="337"/>
      <c r="X87" s="337"/>
      <c r="Y87" s="337"/>
      <c r="Z87" s="338"/>
    </row>
    <row r="88" spans="2:26" x14ac:dyDescent="0.3">
      <c r="B88" s="336"/>
      <c r="C88" s="337"/>
      <c r="D88" s="337"/>
      <c r="E88" s="337"/>
      <c r="F88" s="337"/>
      <c r="G88" s="337"/>
      <c r="H88" s="337"/>
      <c r="I88" s="337"/>
      <c r="J88" s="337"/>
      <c r="K88" s="337"/>
      <c r="L88" s="337"/>
      <c r="M88" s="338"/>
      <c r="O88" s="336"/>
      <c r="P88" s="337"/>
      <c r="Q88" s="337"/>
      <c r="R88" s="337"/>
      <c r="S88" s="337"/>
      <c r="T88" s="337"/>
      <c r="U88" s="337"/>
      <c r="V88" s="337"/>
      <c r="W88" s="337"/>
      <c r="X88" s="337"/>
      <c r="Y88" s="337"/>
      <c r="Z88" s="338"/>
    </row>
    <row r="89" spans="2:26" x14ac:dyDescent="0.3">
      <c r="B89" s="336"/>
      <c r="C89" s="337"/>
      <c r="D89" s="337"/>
      <c r="E89" s="337"/>
      <c r="F89" s="337"/>
      <c r="G89" s="337"/>
      <c r="H89" s="337"/>
      <c r="I89" s="337"/>
      <c r="J89" s="337"/>
      <c r="K89" s="337"/>
      <c r="L89" s="337"/>
      <c r="M89" s="338"/>
      <c r="O89" s="336"/>
      <c r="P89" s="337"/>
      <c r="Q89" s="337"/>
      <c r="R89" s="337"/>
      <c r="S89" s="337"/>
      <c r="T89" s="337"/>
      <c r="U89" s="337"/>
      <c r="V89" s="337"/>
      <c r="W89" s="337"/>
      <c r="X89" s="337"/>
      <c r="Y89" s="337"/>
      <c r="Z89" s="338"/>
    </row>
    <row r="90" spans="2:26" x14ac:dyDescent="0.3">
      <c r="B90" s="336"/>
      <c r="C90" s="337"/>
      <c r="D90" s="337"/>
      <c r="E90" s="337"/>
      <c r="F90" s="337"/>
      <c r="G90" s="337"/>
      <c r="H90" s="337"/>
      <c r="I90" s="337"/>
      <c r="J90" s="337"/>
      <c r="K90" s="337"/>
      <c r="L90" s="337"/>
      <c r="M90" s="338"/>
      <c r="O90" s="336"/>
      <c r="P90" s="337"/>
      <c r="Q90" s="337"/>
      <c r="R90" s="337"/>
      <c r="S90" s="337"/>
      <c r="T90" s="337"/>
      <c r="U90" s="337"/>
      <c r="V90" s="337"/>
      <c r="W90" s="337"/>
      <c r="X90" s="337"/>
      <c r="Y90" s="337"/>
      <c r="Z90" s="338"/>
    </row>
    <row r="91" spans="2:26" x14ac:dyDescent="0.3">
      <c r="B91" s="336"/>
      <c r="C91" s="337"/>
      <c r="D91" s="337"/>
      <c r="E91" s="337"/>
      <c r="F91" s="337"/>
      <c r="G91" s="337"/>
      <c r="H91" s="337"/>
      <c r="I91" s="337"/>
      <c r="J91" s="337"/>
      <c r="K91" s="337"/>
      <c r="L91" s="337"/>
      <c r="M91" s="338"/>
      <c r="O91" s="336"/>
      <c r="P91" s="337"/>
      <c r="Q91" s="337"/>
      <c r="R91" s="337"/>
      <c r="S91" s="337"/>
      <c r="T91" s="337"/>
      <c r="U91" s="337"/>
      <c r="V91" s="337"/>
      <c r="W91" s="337"/>
      <c r="X91" s="337"/>
      <c r="Y91" s="337"/>
      <c r="Z91" s="338"/>
    </row>
    <row r="92" spans="2:26" x14ac:dyDescent="0.3">
      <c r="B92" s="336"/>
      <c r="C92" s="337"/>
      <c r="D92" s="337"/>
      <c r="E92" s="337"/>
      <c r="F92" s="337"/>
      <c r="G92" s="337"/>
      <c r="H92" s="337"/>
      <c r="I92" s="337"/>
      <c r="J92" s="337"/>
      <c r="K92" s="337"/>
      <c r="L92" s="337"/>
      <c r="M92" s="338"/>
      <c r="O92" s="336"/>
      <c r="P92" s="337"/>
      <c r="Q92" s="337"/>
      <c r="R92" s="337"/>
      <c r="S92" s="337"/>
      <c r="T92" s="337"/>
      <c r="U92" s="337"/>
      <c r="V92" s="337"/>
      <c r="W92" s="337"/>
      <c r="X92" s="337"/>
      <c r="Y92" s="337"/>
      <c r="Z92" s="338"/>
    </row>
    <row r="93" spans="2:26" x14ac:dyDescent="0.3">
      <c r="B93" s="336"/>
      <c r="C93" s="337"/>
      <c r="D93" s="337"/>
      <c r="E93" s="337"/>
      <c r="F93" s="337"/>
      <c r="G93" s="337"/>
      <c r="H93" s="337"/>
      <c r="I93" s="337"/>
      <c r="J93" s="337"/>
      <c r="K93" s="337"/>
      <c r="L93" s="337"/>
      <c r="M93" s="338"/>
      <c r="O93" s="336"/>
      <c r="P93" s="337"/>
      <c r="Q93" s="337"/>
      <c r="R93" s="337"/>
      <c r="S93" s="337"/>
      <c r="T93" s="337"/>
      <c r="U93" s="337"/>
      <c r="V93" s="337"/>
      <c r="W93" s="337"/>
      <c r="X93" s="337"/>
      <c r="Y93" s="337"/>
      <c r="Z93" s="338"/>
    </row>
    <row r="94" spans="2:26" x14ac:dyDescent="0.3">
      <c r="B94" s="336"/>
      <c r="C94" s="337"/>
      <c r="D94" s="337"/>
      <c r="E94" s="337"/>
      <c r="F94" s="337"/>
      <c r="G94" s="337"/>
      <c r="H94" s="337"/>
      <c r="I94" s="337"/>
      <c r="J94" s="337"/>
      <c r="K94" s="337"/>
      <c r="L94" s="337"/>
      <c r="M94" s="338"/>
      <c r="O94" s="336"/>
      <c r="P94" s="337"/>
      <c r="Q94" s="337"/>
      <c r="R94" s="337"/>
      <c r="S94" s="337"/>
      <c r="T94" s="337"/>
      <c r="U94" s="337"/>
      <c r="V94" s="337"/>
      <c r="W94" s="337"/>
      <c r="X94" s="337"/>
      <c r="Y94" s="337"/>
      <c r="Z94" s="338"/>
    </row>
    <row r="95" spans="2:26" x14ac:dyDescent="0.3">
      <c r="B95" s="336"/>
      <c r="C95" s="337"/>
      <c r="D95" s="337"/>
      <c r="E95" s="337"/>
      <c r="F95" s="337"/>
      <c r="G95" s="337"/>
      <c r="H95" s="337"/>
      <c r="I95" s="337"/>
      <c r="J95" s="337"/>
      <c r="K95" s="337"/>
      <c r="L95" s="337"/>
      <c r="M95" s="338"/>
      <c r="O95" s="336"/>
      <c r="P95" s="337"/>
      <c r="Q95" s="337"/>
      <c r="R95" s="337"/>
      <c r="S95" s="337"/>
      <c r="T95" s="337"/>
      <c r="U95" s="337"/>
      <c r="V95" s="337"/>
      <c r="W95" s="337"/>
      <c r="X95" s="337"/>
      <c r="Y95" s="337"/>
      <c r="Z95" s="338"/>
    </row>
    <row r="96" spans="2:26" x14ac:dyDescent="0.3">
      <c r="B96" s="336"/>
      <c r="C96" s="337"/>
      <c r="D96" s="337"/>
      <c r="E96" s="337"/>
      <c r="F96" s="337"/>
      <c r="G96" s="337"/>
      <c r="H96" s="337"/>
      <c r="I96" s="337"/>
      <c r="J96" s="337"/>
      <c r="K96" s="337"/>
      <c r="L96" s="337"/>
      <c r="M96" s="338"/>
      <c r="O96" s="336"/>
      <c r="P96" s="337"/>
      <c r="Q96" s="337"/>
      <c r="R96" s="337"/>
      <c r="S96" s="337"/>
      <c r="T96" s="337"/>
      <c r="U96" s="337"/>
      <c r="V96" s="337"/>
      <c r="W96" s="337"/>
      <c r="X96" s="337"/>
      <c r="Y96" s="337"/>
      <c r="Z96" s="338"/>
    </row>
    <row r="97" spans="2:26" x14ac:dyDescent="0.3">
      <c r="B97" s="336"/>
      <c r="C97" s="337"/>
      <c r="D97" s="337"/>
      <c r="E97" s="337"/>
      <c r="F97" s="337"/>
      <c r="G97" s="337"/>
      <c r="H97" s="337"/>
      <c r="I97" s="337"/>
      <c r="J97" s="337"/>
      <c r="K97" s="337"/>
      <c r="L97" s="337"/>
      <c r="M97" s="338"/>
      <c r="O97" s="336"/>
      <c r="P97" s="337"/>
      <c r="Q97" s="337"/>
      <c r="R97" s="337"/>
      <c r="S97" s="337"/>
      <c r="T97" s="337"/>
      <c r="U97" s="337"/>
      <c r="V97" s="337"/>
      <c r="W97" s="337"/>
      <c r="X97" s="337"/>
      <c r="Y97" s="337"/>
      <c r="Z97" s="338"/>
    </row>
    <row r="98" spans="2:26" x14ac:dyDescent="0.3">
      <c r="B98" s="336"/>
      <c r="C98" s="337"/>
      <c r="D98" s="337"/>
      <c r="E98" s="337"/>
      <c r="F98" s="337"/>
      <c r="G98" s="337"/>
      <c r="H98" s="337"/>
      <c r="I98" s="337"/>
      <c r="J98" s="337"/>
      <c r="K98" s="337"/>
      <c r="L98" s="337"/>
      <c r="M98" s="338"/>
      <c r="O98" s="336"/>
      <c r="P98" s="337"/>
      <c r="Q98" s="337"/>
      <c r="R98" s="337"/>
      <c r="S98" s="337"/>
      <c r="T98" s="337"/>
      <c r="U98" s="337"/>
      <c r="V98" s="337"/>
      <c r="W98" s="337"/>
      <c r="X98" s="337"/>
      <c r="Y98" s="337"/>
      <c r="Z98" s="338"/>
    </row>
    <row r="99" spans="2:26" x14ac:dyDescent="0.3">
      <c r="B99" s="336"/>
      <c r="C99" s="337"/>
      <c r="D99" s="337"/>
      <c r="E99" s="337"/>
      <c r="F99" s="337"/>
      <c r="G99" s="337"/>
      <c r="H99" s="337"/>
      <c r="I99" s="337"/>
      <c r="J99" s="337"/>
      <c r="K99" s="337"/>
      <c r="L99" s="337"/>
      <c r="M99" s="338"/>
      <c r="O99" s="336"/>
      <c r="P99" s="337"/>
      <c r="Q99" s="337"/>
      <c r="R99" s="337"/>
      <c r="S99" s="337"/>
      <c r="T99" s="337"/>
      <c r="U99" s="337"/>
      <c r="V99" s="337"/>
      <c r="W99" s="337"/>
      <c r="X99" s="337"/>
      <c r="Y99" s="337"/>
      <c r="Z99" s="338"/>
    </row>
    <row r="100" spans="2:26" x14ac:dyDescent="0.3">
      <c r="B100" s="336"/>
      <c r="C100" s="337"/>
      <c r="D100" s="337"/>
      <c r="E100" s="337"/>
      <c r="F100" s="337"/>
      <c r="G100" s="337"/>
      <c r="H100" s="337"/>
      <c r="I100" s="337"/>
      <c r="J100" s="337"/>
      <c r="K100" s="337"/>
      <c r="L100" s="337"/>
      <c r="M100" s="338"/>
      <c r="O100" s="336"/>
      <c r="P100" s="337"/>
      <c r="Q100" s="337"/>
      <c r="R100" s="337"/>
      <c r="S100" s="337"/>
      <c r="T100" s="337"/>
      <c r="U100" s="337"/>
      <c r="V100" s="337"/>
      <c r="W100" s="337"/>
      <c r="X100" s="337"/>
      <c r="Y100" s="337"/>
      <c r="Z100" s="338"/>
    </row>
    <row r="101" spans="2:26" x14ac:dyDescent="0.3">
      <c r="B101" s="336"/>
      <c r="C101" s="337"/>
      <c r="D101" s="337"/>
      <c r="E101" s="337"/>
      <c r="F101" s="337"/>
      <c r="G101" s="337"/>
      <c r="H101" s="337"/>
      <c r="I101" s="337"/>
      <c r="J101" s="337"/>
      <c r="K101" s="337"/>
      <c r="L101" s="337"/>
      <c r="M101" s="338"/>
      <c r="O101" s="336"/>
      <c r="P101" s="337"/>
      <c r="Q101" s="337"/>
      <c r="R101" s="337"/>
      <c r="S101" s="337"/>
      <c r="T101" s="337"/>
      <c r="U101" s="337"/>
      <c r="V101" s="337"/>
      <c r="W101" s="337"/>
      <c r="X101" s="337"/>
      <c r="Y101" s="337"/>
      <c r="Z101" s="338"/>
    </row>
    <row r="102" spans="2:26" x14ac:dyDescent="0.3">
      <c r="B102" s="336"/>
      <c r="C102" s="337"/>
      <c r="D102" s="337"/>
      <c r="E102" s="337"/>
      <c r="F102" s="337"/>
      <c r="G102" s="337"/>
      <c r="H102" s="337"/>
      <c r="I102" s="337"/>
      <c r="J102" s="337"/>
      <c r="K102" s="337"/>
      <c r="L102" s="337"/>
      <c r="M102" s="338"/>
      <c r="O102" s="336"/>
      <c r="P102" s="337"/>
      <c r="Q102" s="337"/>
      <c r="R102" s="337"/>
      <c r="S102" s="337"/>
      <c r="T102" s="337"/>
      <c r="U102" s="337"/>
      <c r="V102" s="337"/>
      <c r="W102" s="337"/>
      <c r="X102" s="337"/>
      <c r="Y102" s="337"/>
      <c r="Z102" s="338"/>
    </row>
    <row r="103" spans="2:26" x14ac:dyDescent="0.3">
      <c r="B103" s="336"/>
      <c r="C103" s="337"/>
      <c r="D103" s="337"/>
      <c r="E103" s="337"/>
      <c r="F103" s="337"/>
      <c r="G103" s="337"/>
      <c r="H103" s="337"/>
      <c r="I103" s="337"/>
      <c r="J103" s="337"/>
      <c r="K103" s="337"/>
      <c r="L103" s="337"/>
      <c r="M103" s="338"/>
      <c r="O103" s="336"/>
      <c r="P103" s="337"/>
      <c r="Q103" s="337"/>
      <c r="R103" s="337"/>
      <c r="S103" s="337"/>
      <c r="T103" s="337"/>
      <c r="U103" s="337"/>
      <c r="V103" s="337"/>
      <c r="W103" s="337"/>
      <c r="X103" s="337"/>
      <c r="Y103" s="337"/>
      <c r="Z103" s="338"/>
    </row>
    <row r="104" spans="2:26" x14ac:dyDescent="0.3">
      <c r="B104" s="336"/>
      <c r="C104" s="337"/>
      <c r="D104" s="337"/>
      <c r="E104" s="337"/>
      <c r="F104" s="337"/>
      <c r="G104" s="337"/>
      <c r="H104" s="337"/>
      <c r="I104" s="337"/>
      <c r="J104" s="337"/>
      <c r="K104" s="337"/>
      <c r="L104" s="337"/>
      <c r="M104" s="338"/>
      <c r="O104" s="336"/>
      <c r="P104" s="337"/>
      <c r="Q104" s="337"/>
      <c r="R104" s="337"/>
      <c r="S104" s="337"/>
      <c r="T104" s="337"/>
      <c r="U104" s="337"/>
      <c r="V104" s="337"/>
      <c r="W104" s="337"/>
      <c r="X104" s="337"/>
      <c r="Y104" s="337"/>
      <c r="Z104" s="338"/>
    </row>
    <row r="105" spans="2:26" x14ac:dyDescent="0.3">
      <c r="B105" s="336"/>
      <c r="C105" s="337"/>
      <c r="D105" s="337"/>
      <c r="E105" s="337"/>
      <c r="F105" s="337"/>
      <c r="G105" s="337"/>
      <c r="H105" s="337"/>
      <c r="I105" s="337"/>
      <c r="J105" s="337"/>
      <c r="K105" s="337"/>
      <c r="L105" s="337"/>
      <c r="M105" s="338"/>
      <c r="O105" s="336"/>
      <c r="P105" s="337"/>
      <c r="Q105" s="337"/>
      <c r="R105" s="337"/>
      <c r="S105" s="337"/>
      <c r="T105" s="337"/>
      <c r="U105" s="337"/>
      <c r="V105" s="337"/>
      <c r="W105" s="337"/>
      <c r="X105" s="337"/>
      <c r="Y105" s="337"/>
      <c r="Z105" s="338"/>
    </row>
    <row r="106" spans="2:26" x14ac:dyDescent="0.3">
      <c r="B106" s="336"/>
      <c r="C106" s="337"/>
      <c r="D106" s="337"/>
      <c r="E106" s="337"/>
      <c r="F106" s="337"/>
      <c r="G106" s="337"/>
      <c r="H106" s="337"/>
      <c r="I106" s="337"/>
      <c r="J106" s="337"/>
      <c r="K106" s="337"/>
      <c r="L106" s="337"/>
      <c r="M106" s="338"/>
      <c r="O106" s="336"/>
      <c r="P106" s="337"/>
      <c r="Q106" s="337"/>
      <c r="R106" s="337"/>
      <c r="S106" s="337"/>
      <c r="T106" s="337"/>
      <c r="U106" s="337"/>
      <c r="V106" s="337"/>
      <c r="W106" s="337"/>
      <c r="X106" s="337"/>
      <c r="Y106" s="337"/>
      <c r="Z106" s="338"/>
    </row>
    <row r="107" spans="2:26" x14ac:dyDescent="0.3">
      <c r="B107" s="336"/>
      <c r="C107" s="337"/>
      <c r="D107" s="337"/>
      <c r="E107" s="337"/>
      <c r="F107" s="337"/>
      <c r="G107" s="337"/>
      <c r="H107" s="337"/>
      <c r="I107" s="337"/>
      <c r="J107" s="337"/>
      <c r="K107" s="337"/>
      <c r="L107" s="337"/>
      <c r="M107" s="338"/>
      <c r="O107" s="336"/>
      <c r="P107" s="337"/>
      <c r="Q107" s="337"/>
      <c r="R107" s="337"/>
      <c r="S107" s="337"/>
      <c r="T107" s="337"/>
      <c r="U107" s="337"/>
      <c r="V107" s="337"/>
      <c r="W107" s="337"/>
      <c r="X107" s="337"/>
      <c r="Y107" s="337"/>
      <c r="Z107" s="338"/>
    </row>
    <row r="108" spans="2:26" x14ac:dyDescent="0.3">
      <c r="B108" s="336"/>
      <c r="C108" s="337"/>
      <c r="D108" s="337"/>
      <c r="E108" s="337"/>
      <c r="F108" s="337"/>
      <c r="G108" s="337"/>
      <c r="H108" s="337"/>
      <c r="I108" s="337"/>
      <c r="J108" s="337"/>
      <c r="K108" s="337"/>
      <c r="L108" s="337"/>
      <c r="M108" s="338"/>
      <c r="O108" s="336"/>
      <c r="P108" s="337"/>
      <c r="Q108" s="337"/>
      <c r="R108" s="337"/>
      <c r="S108" s="337"/>
      <c r="T108" s="337"/>
      <c r="U108" s="337"/>
      <c r="V108" s="337"/>
      <c r="W108" s="337"/>
      <c r="X108" s="337"/>
      <c r="Y108" s="337"/>
      <c r="Z108" s="338"/>
    </row>
    <row r="109" spans="2:26" x14ac:dyDescent="0.3">
      <c r="B109" s="336"/>
      <c r="C109" s="337"/>
      <c r="D109" s="337"/>
      <c r="E109" s="337"/>
      <c r="F109" s="337"/>
      <c r="G109" s="337"/>
      <c r="H109" s="337"/>
      <c r="I109" s="337"/>
      <c r="J109" s="337"/>
      <c r="K109" s="337"/>
      <c r="L109" s="337"/>
      <c r="M109" s="338"/>
      <c r="O109" s="336"/>
      <c r="P109" s="337"/>
      <c r="Q109" s="337"/>
      <c r="R109" s="337"/>
      <c r="S109" s="337"/>
      <c r="T109" s="337"/>
      <c r="U109" s="337"/>
      <c r="V109" s="337"/>
      <c r="W109" s="337"/>
      <c r="X109" s="337"/>
      <c r="Y109" s="337"/>
      <c r="Z109" s="338"/>
    </row>
    <row r="110" spans="2:26" x14ac:dyDescent="0.3">
      <c r="B110" s="336"/>
      <c r="C110" s="337"/>
      <c r="D110" s="337"/>
      <c r="E110" s="337"/>
      <c r="F110" s="337"/>
      <c r="G110" s="337"/>
      <c r="H110" s="337"/>
      <c r="I110" s="337"/>
      <c r="J110" s="337"/>
      <c r="K110" s="337"/>
      <c r="L110" s="337"/>
      <c r="M110" s="338"/>
      <c r="O110" s="336"/>
      <c r="P110" s="337"/>
      <c r="Q110" s="337"/>
      <c r="R110" s="337"/>
      <c r="S110" s="337"/>
      <c r="T110" s="337"/>
      <c r="U110" s="337"/>
      <c r="V110" s="337"/>
      <c r="W110" s="337"/>
      <c r="X110" s="337"/>
      <c r="Y110" s="337"/>
      <c r="Z110" s="338"/>
    </row>
    <row r="111" spans="2:26" x14ac:dyDescent="0.3">
      <c r="B111" s="336"/>
      <c r="C111" s="337"/>
      <c r="D111" s="337"/>
      <c r="E111" s="337"/>
      <c r="F111" s="337"/>
      <c r="G111" s="337"/>
      <c r="H111" s="337"/>
      <c r="I111" s="337"/>
      <c r="J111" s="337"/>
      <c r="K111" s="337"/>
      <c r="L111" s="337"/>
      <c r="M111" s="338"/>
      <c r="O111" s="336"/>
      <c r="P111" s="337"/>
      <c r="Q111" s="337"/>
      <c r="R111" s="337"/>
      <c r="S111" s="337"/>
      <c r="T111" s="337"/>
      <c r="U111" s="337"/>
      <c r="V111" s="337"/>
      <c r="W111" s="337"/>
      <c r="X111" s="337"/>
      <c r="Y111" s="337"/>
      <c r="Z111" s="338"/>
    </row>
    <row r="112" spans="2:26" x14ac:dyDescent="0.3">
      <c r="B112" s="336"/>
      <c r="C112" s="337"/>
      <c r="D112" s="337"/>
      <c r="E112" s="337"/>
      <c r="F112" s="337"/>
      <c r="G112" s="337"/>
      <c r="H112" s="337"/>
      <c r="I112" s="337"/>
      <c r="J112" s="337"/>
      <c r="K112" s="337"/>
      <c r="L112" s="337"/>
      <c r="M112" s="338"/>
      <c r="O112" s="336"/>
      <c r="P112" s="337"/>
      <c r="Q112" s="337"/>
      <c r="R112" s="337"/>
      <c r="S112" s="337"/>
      <c r="T112" s="337"/>
      <c r="U112" s="337"/>
      <c r="V112" s="337"/>
      <c r="W112" s="337"/>
      <c r="X112" s="337"/>
      <c r="Y112" s="337"/>
      <c r="Z112" s="338"/>
    </row>
    <row r="113" spans="2:26" x14ac:dyDescent="0.3">
      <c r="B113" s="336"/>
      <c r="C113" s="337"/>
      <c r="D113" s="337"/>
      <c r="E113" s="337"/>
      <c r="F113" s="337"/>
      <c r="G113" s="337"/>
      <c r="H113" s="337"/>
      <c r="I113" s="337"/>
      <c r="J113" s="337"/>
      <c r="K113" s="337"/>
      <c r="L113" s="337"/>
      <c r="M113" s="338"/>
      <c r="O113" s="336"/>
      <c r="P113" s="337"/>
      <c r="Q113" s="337"/>
      <c r="R113" s="337"/>
      <c r="S113" s="337"/>
      <c r="T113" s="337"/>
      <c r="U113" s="337"/>
      <c r="V113" s="337"/>
      <c r="W113" s="337"/>
      <c r="X113" s="337"/>
      <c r="Y113" s="337"/>
      <c r="Z113" s="338"/>
    </row>
    <row r="114" spans="2:26" x14ac:dyDescent="0.3">
      <c r="B114" s="336"/>
      <c r="C114" s="337"/>
      <c r="D114" s="337"/>
      <c r="E114" s="337"/>
      <c r="F114" s="337"/>
      <c r="G114" s="337"/>
      <c r="H114" s="337"/>
      <c r="I114" s="337"/>
      <c r="J114" s="337"/>
      <c r="K114" s="337"/>
      <c r="L114" s="337"/>
      <c r="M114" s="338"/>
      <c r="O114" s="336"/>
      <c r="P114" s="337"/>
      <c r="Q114" s="337"/>
      <c r="R114" s="337"/>
      <c r="S114" s="337"/>
      <c r="T114" s="337"/>
      <c r="U114" s="337"/>
      <c r="V114" s="337"/>
      <c r="W114" s="337"/>
      <c r="X114" s="337"/>
      <c r="Y114" s="337"/>
      <c r="Z114" s="338"/>
    </row>
    <row r="115" spans="2:26" x14ac:dyDescent="0.3">
      <c r="B115" s="336"/>
      <c r="C115" s="337"/>
      <c r="D115" s="337"/>
      <c r="E115" s="337"/>
      <c r="F115" s="337"/>
      <c r="G115" s="337"/>
      <c r="H115" s="337"/>
      <c r="I115" s="337"/>
      <c r="J115" s="337"/>
      <c r="K115" s="337"/>
      <c r="L115" s="337"/>
      <c r="M115" s="338"/>
      <c r="O115" s="336"/>
      <c r="P115" s="337"/>
      <c r="Q115" s="337"/>
      <c r="R115" s="337"/>
      <c r="S115" s="337"/>
      <c r="T115" s="337"/>
      <c r="U115" s="337"/>
      <c r="V115" s="337"/>
      <c r="W115" s="337"/>
      <c r="X115" s="337"/>
      <c r="Y115" s="337"/>
      <c r="Z115" s="338"/>
    </row>
    <row r="116" spans="2:26" x14ac:dyDescent="0.3">
      <c r="B116" s="336"/>
      <c r="C116" s="337"/>
      <c r="D116" s="337"/>
      <c r="E116" s="337"/>
      <c r="F116" s="337"/>
      <c r="G116" s="337"/>
      <c r="H116" s="337"/>
      <c r="I116" s="337"/>
      <c r="J116" s="337"/>
      <c r="K116" s="337"/>
      <c r="L116" s="337"/>
      <c r="M116" s="338"/>
      <c r="O116" s="336"/>
      <c r="P116" s="337"/>
      <c r="Q116" s="337"/>
      <c r="R116" s="337"/>
      <c r="S116" s="337"/>
      <c r="T116" s="337"/>
      <c r="U116" s="337"/>
      <c r="V116" s="337"/>
      <c r="W116" s="337"/>
      <c r="X116" s="337"/>
      <c r="Y116" s="337"/>
      <c r="Z116" s="338"/>
    </row>
    <row r="117" spans="2:26" x14ac:dyDescent="0.3">
      <c r="B117" s="336"/>
      <c r="C117" s="337"/>
      <c r="D117" s="337"/>
      <c r="E117" s="337"/>
      <c r="F117" s="337"/>
      <c r="G117" s="337"/>
      <c r="H117" s="337"/>
      <c r="I117" s="337"/>
      <c r="J117" s="337"/>
      <c r="K117" s="337"/>
      <c r="L117" s="337"/>
      <c r="M117" s="338"/>
      <c r="O117" s="336"/>
      <c r="P117" s="337"/>
      <c r="Q117" s="337"/>
      <c r="R117" s="337"/>
      <c r="S117" s="337"/>
      <c r="T117" s="337"/>
      <c r="U117" s="337"/>
      <c r="V117" s="337"/>
      <c r="W117" s="337"/>
      <c r="X117" s="337"/>
      <c r="Y117" s="337"/>
      <c r="Z117" s="338"/>
    </row>
    <row r="118" spans="2:26" x14ac:dyDescent="0.3">
      <c r="B118" s="336"/>
      <c r="C118" s="337"/>
      <c r="D118" s="337"/>
      <c r="E118" s="337"/>
      <c r="F118" s="337"/>
      <c r="G118" s="337"/>
      <c r="H118" s="337"/>
      <c r="I118" s="337"/>
      <c r="J118" s="337"/>
      <c r="K118" s="337"/>
      <c r="L118" s="337"/>
      <c r="M118" s="338"/>
      <c r="O118" s="336"/>
      <c r="P118" s="337"/>
      <c r="Q118" s="337"/>
      <c r="R118" s="337"/>
      <c r="S118" s="337"/>
      <c r="T118" s="337"/>
      <c r="U118" s="337"/>
      <c r="V118" s="337"/>
      <c r="W118" s="337"/>
      <c r="X118" s="337"/>
      <c r="Y118" s="337"/>
      <c r="Z118" s="338"/>
    </row>
    <row r="119" spans="2:26" x14ac:dyDescent="0.3">
      <c r="B119" s="336"/>
      <c r="C119" s="337"/>
      <c r="D119" s="337"/>
      <c r="E119" s="337"/>
      <c r="F119" s="337"/>
      <c r="G119" s="337"/>
      <c r="H119" s="337"/>
      <c r="I119" s="337"/>
      <c r="J119" s="337"/>
      <c r="K119" s="337"/>
      <c r="L119" s="337"/>
      <c r="M119" s="338"/>
      <c r="O119" s="336"/>
      <c r="P119" s="337"/>
      <c r="Q119" s="337"/>
      <c r="R119" s="337"/>
      <c r="S119" s="337"/>
      <c r="T119" s="337"/>
      <c r="U119" s="337"/>
      <c r="V119" s="337"/>
      <c r="W119" s="337"/>
      <c r="X119" s="337"/>
      <c r="Y119" s="337"/>
      <c r="Z119" s="338"/>
    </row>
    <row r="120" spans="2:26" x14ac:dyDescent="0.3">
      <c r="B120" s="336"/>
      <c r="C120" s="337"/>
      <c r="D120" s="337"/>
      <c r="E120" s="337"/>
      <c r="F120" s="337"/>
      <c r="G120" s="337"/>
      <c r="H120" s="337"/>
      <c r="I120" s="337"/>
      <c r="J120" s="337"/>
      <c r="K120" s="337"/>
      <c r="L120" s="337"/>
      <c r="M120" s="338"/>
      <c r="O120" s="336"/>
      <c r="P120" s="337"/>
      <c r="Q120" s="337"/>
      <c r="R120" s="337"/>
      <c r="S120" s="337"/>
      <c r="T120" s="337"/>
      <c r="U120" s="337"/>
      <c r="V120" s="337"/>
      <c r="W120" s="337"/>
      <c r="X120" s="337"/>
      <c r="Y120" s="337"/>
      <c r="Z120" s="338"/>
    </row>
    <row r="121" spans="2:26" x14ac:dyDescent="0.3">
      <c r="B121" s="336"/>
      <c r="C121" s="337"/>
      <c r="D121" s="337"/>
      <c r="E121" s="337"/>
      <c r="F121" s="337"/>
      <c r="G121" s="337"/>
      <c r="H121" s="337"/>
      <c r="I121" s="337"/>
      <c r="J121" s="337"/>
      <c r="K121" s="337"/>
      <c r="L121" s="337"/>
      <c r="M121" s="338"/>
      <c r="O121" s="336"/>
      <c r="P121" s="337"/>
      <c r="Q121" s="337"/>
      <c r="R121" s="337"/>
      <c r="S121" s="337"/>
      <c r="T121" s="337"/>
      <c r="U121" s="337"/>
      <c r="V121" s="337"/>
      <c r="W121" s="337"/>
      <c r="X121" s="337"/>
      <c r="Y121" s="337"/>
      <c r="Z121" s="338"/>
    </row>
    <row r="122" spans="2:26" x14ac:dyDescent="0.3">
      <c r="B122" s="336"/>
      <c r="C122" s="337"/>
      <c r="D122" s="337"/>
      <c r="E122" s="337"/>
      <c r="F122" s="337"/>
      <c r="G122" s="337"/>
      <c r="H122" s="337"/>
      <c r="I122" s="337"/>
      <c r="J122" s="337"/>
      <c r="K122" s="337"/>
      <c r="L122" s="337"/>
      <c r="M122" s="338"/>
      <c r="O122" s="336"/>
      <c r="P122" s="337"/>
      <c r="Q122" s="337"/>
      <c r="R122" s="337"/>
      <c r="S122" s="337"/>
      <c r="T122" s="337"/>
      <c r="U122" s="337"/>
      <c r="V122" s="337"/>
      <c r="W122" s="337"/>
      <c r="X122" s="337"/>
      <c r="Y122" s="337"/>
      <c r="Z122" s="338"/>
    </row>
    <row r="123" spans="2:26" x14ac:dyDescent="0.3">
      <c r="B123" s="336"/>
      <c r="C123" s="337"/>
      <c r="D123" s="337"/>
      <c r="E123" s="337"/>
      <c r="F123" s="337"/>
      <c r="G123" s="337"/>
      <c r="H123" s="337"/>
      <c r="I123" s="337"/>
      <c r="J123" s="337"/>
      <c r="K123" s="337"/>
      <c r="L123" s="337"/>
      <c r="M123" s="338"/>
      <c r="O123" s="336"/>
      <c r="P123" s="337"/>
      <c r="Q123" s="337"/>
      <c r="R123" s="337"/>
      <c r="S123" s="337"/>
      <c r="T123" s="337"/>
      <c r="U123" s="337"/>
      <c r="V123" s="337"/>
      <c r="W123" s="337"/>
      <c r="X123" s="337"/>
      <c r="Y123" s="337"/>
      <c r="Z123" s="338"/>
    </row>
    <row r="124" spans="2:26" x14ac:dyDescent="0.3">
      <c r="B124" s="336"/>
      <c r="C124" s="337"/>
      <c r="D124" s="337"/>
      <c r="E124" s="337"/>
      <c r="F124" s="337"/>
      <c r="G124" s="337"/>
      <c r="H124" s="337"/>
      <c r="I124" s="337"/>
      <c r="J124" s="337"/>
      <c r="K124" s="337"/>
      <c r="L124" s="337"/>
      <c r="M124" s="338"/>
      <c r="O124" s="336"/>
      <c r="P124" s="337"/>
      <c r="Q124" s="337"/>
      <c r="R124" s="337"/>
      <c r="S124" s="337"/>
      <c r="T124" s="337"/>
      <c r="U124" s="337"/>
      <c r="V124" s="337"/>
      <c r="W124" s="337"/>
      <c r="X124" s="337"/>
      <c r="Y124" s="337"/>
      <c r="Z124" s="338"/>
    </row>
    <row r="125" spans="2:26" x14ac:dyDescent="0.3">
      <c r="B125" s="336"/>
      <c r="C125" s="337"/>
      <c r="D125" s="337"/>
      <c r="E125" s="337"/>
      <c r="F125" s="337"/>
      <c r="G125" s="337"/>
      <c r="H125" s="337"/>
      <c r="I125" s="337"/>
      <c r="J125" s="337"/>
      <c r="K125" s="337"/>
      <c r="L125" s="337"/>
      <c r="M125" s="338"/>
      <c r="O125" s="336"/>
      <c r="P125" s="337"/>
      <c r="Q125" s="337"/>
      <c r="R125" s="337"/>
      <c r="S125" s="337"/>
      <c r="T125" s="337"/>
      <c r="U125" s="337"/>
      <c r="V125" s="337"/>
      <c r="W125" s="337"/>
      <c r="X125" s="337"/>
      <c r="Y125" s="337"/>
      <c r="Z125" s="338"/>
    </row>
    <row r="126" spans="2:26" x14ac:dyDescent="0.3">
      <c r="B126" s="336"/>
      <c r="C126" s="337"/>
      <c r="D126" s="337"/>
      <c r="E126" s="337"/>
      <c r="F126" s="337"/>
      <c r="G126" s="337"/>
      <c r="H126" s="337"/>
      <c r="I126" s="337"/>
      <c r="J126" s="337"/>
      <c r="K126" s="337"/>
      <c r="L126" s="337"/>
      <c r="M126" s="338"/>
      <c r="O126" s="336"/>
      <c r="P126" s="337"/>
      <c r="Q126" s="337"/>
      <c r="R126" s="337"/>
      <c r="S126" s="337"/>
      <c r="T126" s="337"/>
      <c r="U126" s="337"/>
      <c r="V126" s="337"/>
      <c r="W126" s="337"/>
      <c r="X126" s="337"/>
      <c r="Y126" s="337"/>
      <c r="Z126" s="338"/>
    </row>
    <row r="127" spans="2:26" x14ac:dyDescent="0.3">
      <c r="B127" s="336"/>
      <c r="C127" s="337"/>
      <c r="D127" s="337"/>
      <c r="E127" s="337"/>
      <c r="F127" s="337"/>
      <c r="G127" s="337"/>
      <c r="H127" s="337"/>
      <c r="I127" s="337"/>
      <c r="J127" s="337"/>
      <c r="K127" s="337"/>
      <c r="L127" s="337"/>
      <c r="M127" s="338"/>
      <c r="O127" s="336"/>
      <c r="P127" s="337"/>
      <c r="Q127" s="337"/>
      <c r="R127" s="337"/>
      <c r="S127" s="337"/>
      <c r="T127" s="337"/>
      <c r="U127" s="337"/>
      <c r="V127" s="337"/>
      <c r="W127" s="337"/>
      <c r="X127" s="337"/>
      <c r="Y127" s="337"/>
      <c r="Z127" s="338"/>
    </row>
    <row r="128" spans="2:26" x14ac:dyDescent="0.3">
      <c r="B128" s="336"/>
      <c r="C128" s="337"/>
      <c r="D128" s="337"/>
      <c r="E128" s="337"/>
      <c r="F128" s="337"/>
      <c r="G128" s="337"/>
      <c r="H128" s="337"/>
      <c r="I128" s="337"/>
      <c r="J128" s="337"/>
      <c r="K128" s="337"/>
      <c r="L128" s="337"/>
      <c r="M128" s="338"/>
      <c r="O128" s="336"/>
      <c r="P128" s="337"/>
      <c r="Q128" s="337"/>
      <c r="R128" s="337"/>
      <c r="S128" s="337"/>
      <c r="T128" s="337"/>
      <c r="U128" s="337"/>
      <c r="V128" s="337"/>
      <c r="W128" s="337"/>
      <c r="X128" s="337"/>
      <c r="Y128" s="337"/>
      <c r="Z128" s="338"/>
    </row>
    <row r="129" spans="2:26" x14ac:dyDescent="0.3">
      <c r="B129" s="336"/>
      <c r="C129" s="337"/>
      <c r="D129" s="337"/>
      <c r="E129" s="337"/>
      <c r="F129" s="337"/>
      <c r="G129" s="337"/>
      <c r="H129" s="337"/>
      <c r="I129" s="337"/>
      <c r="J129" s="337"/>
      <c r="K129" s="337"/>
      <c r="L129" s="337"/>
      <c r="M129" s="338"/>
      <c r="O129" s="336"/>
      <c r="P129" s="337"/>
      <c r="Q129" s="337"/>
      <c r="R129" s="337"/>
      <c r="S129" s="337"/>
      <c r="T129" s="337"/>
      <c r="U129" s="337"/>
      <c r="V129" s="337"/>
      <c r="W129" s="337"/>
      <c r="X129" s="337"/>
      <c r="Y129" s="337"/>
      <c r="Z129" s="338"/>
    </row>
    <row r="130" spans="2:26" x14ac:dyDescent="0.3">
      <c r="B130" s="336"/>
      <c r="C130" s="337"/>
      <c r="D130" s="337"/>
      <c r="E130" s="337"/>
      <c r="F130" s="337"/>
      <c r="G130" s="337"/>
      <c r="H130" s="337"/>
      <c r="I130" s="337"/>
      <c r="J130" s="337"/>
      <c r="K130" s="337"/>
      <c r="L130" s="337"/>
      <c r="M130" s="338"/>
      <c r="O130" s="336"/>
      <c r="P130" s="337"/>
      <c r="Q130" s="337"/>
      <c r="R130" s="337"/>
      <c r="S130" s="337"/>
      <c r="T130" s="337"/>
      <c r="U130" s="337"/>
      <c r="V130" s="337"/>
      <c r="W130" s="337"/>
      <c r="X130" s="337"/>
      <c r="Y130" s="337"/>
      <c r="Z130" s="338"/>
    </row>
    <row r="131" spans="2:26" x14ac:dyDescent="0.3">
      <c r="B131" s="336"/>
      <c r="C131" s="337"/>
      <c r="D131" s="337"/>
      <c r="E131" s="337"/>
      <c r="F131" s="337"/>
      <c r="G131" s="337"/>
      <c r="H131" s="337"/>
      <c r="I131" s="337"/>
      <c r="J131" s="337"/>
      <c r="K131" s="337"/>
      <c r="L131" s="337"/>
      <c r="M131" s="338"/>
      <c r="N131" s="337"/>
      <c r="O131" s="336"/>
      <c r="P131" s="337"/>
      <c r="Q131" s="337"/>
      <c r="R131" s="337"/>
      <c r="S131" s="337"/>
      <c r="T131" s="337"/>
      <c r="U131" s="337"/>
      <c r="V131" s="337"/>
      <c r="W131" s="337"/>
      <c r="X131" s="337"/>
      <c r="Y131" s="337"/>
      <c r="Z131" s="338"/>
    </row>
    <row r="132" spans="2:26" ht="15" thickBot="1" x14ac:dyDescent="0.35">
      <c r="B132" s="341"/>
      <c r="C132" s="342"/>
      <c r="D132" s="342"/>
      <c r="E132" s="342"/>
      <c r="F132" s="342"/>
      <c r="G132" s="342"/>
      <c r="H132" s="342"/>
      <c r="I132" s="342"/>
      <c r="J132" s="342"/>
      <c r="K132" s="342"/>
      <c r="L132" s="342"/>
      <c r="M132" s="343"/>
      <c r="N132" s="337"/>
      <c r="O132" s="341"/>
      <c r="P132" s="342"/>
      <c r="Q132" s="342"/>
      <c r="R132" s="342"/>
      <c r="S132" s="342"/>
      <c r="T132" s="342"/>
      <c r="U132" s="342"/>
      <c r="V132" s="342"/>
      <c r="W132" s="342"/>
      <c r="X132" s="342"/>
      <c r="Y132" s="342"/>
      <c r="Z132" s="343"/>
    </row>
  </sheetData>
  <sheetProtection sheet="1" objects="1" scenarios="1"/>
  <mergeCells count="4">
    <mergeCell ref="I7:L7"/>
    <mergeCell ref="N7:Q7"/>
    <mergeCell ref="B7:G7"/>
    <mergeCell ref="B3:G4"/>
  </mergeCells>
  <pageMargins left="0.70866141732283472" right="0.70866141732283472" top="0.74803149606299213" bottom="0.74803149606299213" header="0.31496062992125984" footer="0.31496062992125984"/>
  <pageSetup paperSize="9" scale="80"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C3E02"/>
    <pageSetUpPr fitToPage="1"/>
  </sheetPr>
  <dimension ref="B1:Z130"/>
  <sheetViews>
    <sheetView topLeftCell="A72" zoomScale="90" zoomScaleNormal="90" workbookViewId="0">
      <selection activeCell="B36" sqref="B1:G36"/>
    </sheetView>
  </sheetViews>
  <sheetFormatPr defaultRowHeight="14.4" x14ac:dyDescent="0.3"/>
  <cols>
    <col min="12" max="12" width="15" customWidth="1"/>
    <col min="13" max="13" width="11.21875" customWidth="1"/>
    <col min="14" max="14" width="15" bestFit="1" customWidth="1"/>
    <col min="25" max="26" width="11.21875" customWidth="1"/>
  </cols>
  <sheetData>
    <row r="1" spans="2:17" ht="15" thickBot="1" x14ac:dyDescent="0.35"/>
    <row r="2" spans="2:17" x14ac:dyDescent="0.3">
      <c r="B2" s="726" t="s">
        <v>269</v>
      </c>
      <c r="C2" s="727"/>
      <c r="D2" s="727"/>
      <c r="E2" s="727"/>
      <c r="F2" s="727"/>
      <c r="G2" s="728"/>
    </row>
    <row r="3" spans="2:17" ht="15" thickBot="1" x14ac:dyDescent="0.35">
      <c r="B3" s="729"/>
      <c r="C3" s="730"/>
      <c r="D3" s="730"/>
      <c r="E3" s="730"/>
      <c r="F3" s="730"/>
      <c r="G3" s="731"/>
    </row>
    <row r="4" spans="2:17" ht="15" thickBot="1" x14ac:dyDescent="0.35"/>
    <row r="5" spans="2:17" ht="18" x14ac:dyDescent="0.3">
      <c r="B5" s="723" t="s">
        <v>266</v>
      </c>
      <c r="C5" s="724"/>
      <c r="D5" s="724"/>
      <c r="E5" s="724"/>
      <c r="F5" s="724"/>
      <c r="G5" s="725"/>
      <c r="I5" s="717" t="s">
        <v>267</v>
      </c>
      <c r="J5" s="718"/>
      <c r="K5" s="718"/>
      <c r="L5" s="719"/>
      <c r="M5" s="174"/>
      <c r="N5" s="717" t="s">
        <v>268</v>
      </c>
      <c r="O5" s="718"/>
      <c r="P5" s="718"/>
      <c r="Q5" s="719"/>
    </row>
    <row r="6" spans="2:17" x14ac:dyDescent="0.3">
      <c r="B6" s="211"/>
      <c r="G6" s="92"/>
      <c r="I6" s="364" t="s">
        <v>40</v>
      </c>
      <c r="J6" s="177" t="s">
        <v>41</v>
      </c>
      <c r="K6" s="177" t="s">
        <v>42</v>
      </c>
      <c r="L6" s="365" t="s">
        <v>43</v>
      </c>
      <c r="M6" s="174"/>
      <c r="N6" s="364" t="s">
        <v>40</v>
      </c>
      <c r="O6" s="177" t="s">
        <v>41</v>
      </c>
      <c r="P6" s="177" t="s">
        <v>42</v>
      </c>
      <c r="Q6" s="365" t="s">
        <v>43</v>
      </c>
    </row>
    <row r="7" spans="2:17" x14ac:dyDescent="0.3">
      <c r="B7" s="359"/>
      <c r="C7" s="180" t="s">
        <v>44</v>
      </c>
      <c r="D7" s="357" t="s">
        <v>45</v>
      </c>
      <c r="E7" s="357" t="s">
        <v>46</v>
      </c>
      <c r="F7" s="357" t="s">
        <v>47</v>
      </c>
      <c r="G7" s="360" t="s">
        <v>48</v>
      </c>
      <c r="H7" s="358"/>
      <c r="I7" s="364" t="s">
        <v>49</v>
      </c>
      <c r="J7" s="177" t="s">
        <v>49</v>
      </c>
      <c r="K7" s="177" t="s">
        <v>49</v>
      </c>
      <c r="L7" s="365" t="s">
        <v>49</v>
      </c>
      <c r="M7" s="174"/>
      <c r="N7" s="359" t="s">
        <v>49</v>
      </c>
      <c r="O7" s="356" t="s">
        <v>49</v>
      </c>
      <c r="P7" s="356" t="s">
        <v>49</v>
      </c>
      <c r="Q7" s="367" t="s">
        <v>49</v>
      </c>
    </row>
    <row r="8" spans="2:17" x14ac:dyDescent="0.3">
      <c r="B8" s="359">
        <v>0</v>
      </c>
      <c r="C8" s="238">
        <v>26.3</v>
      </c>
      <c r="D8" s="238">
        <v>25.9</v>
      </c>
      <c r="E8" s="238">
        <v>26</v>
      </c>
      <c r="F8" s="238">
        <v>26.5</v>
      </c>
      <c r="G8" s="361">
        <v>26.6</v>
      </c>
      <c r="H8" s="355"/>
      <c r="I8" s="364">
        <v>26.4</v>
      </c>
      <c r="J8" s="177">
        <v>26.4</v>
      </c>
      <c r="K8" s="177">
        <v>26.4</v>
      </c>
      <c r="L8" s="365">
        <v>26.4</v>
      </c>
      <c r="M8" s="174"/>
      <c r="N8" s="368">
        <v>26.4</v>
      </c>
      <c r="O8" s="238">
        <v>26.4</v>
      </c>
      <c r="P8" s="238">
        <v>26.4</v>
      </c>
      <c r="Q8" s="361">
        <v>26.4</v>
      </c>
    </row>
    <row r="9" spans="2:17" x14ac:dyDescent="0.3">
      <c r="B9" s="359">
        <v>1</v>
      </c>
      <c r="C9" s="238">
        <v>26.3</v>
      </c>
      <c r="D9" s="238">
        <v>25.9</v>
      </c>
      <c r="E9" s="238">
        <v>26</v>
      </c>
      <c r="F9" s="238">
        <v>26.5</v>
      </c>
      <c r="G9" s="361">
        <v>26.6</v>
      </c>
      <c r="H9" s="355"/>
      <c r="I9" s="364">
        <v>26.35</v>
      </c>
      <c r="J9" s="177">
        <v>26.35</v>
      </c>
      <c r="K9" s="177">
        <v>26.35</v>
      </c>
      <c r="L9" s="365">
        <v>26.35</v>
      </c>
      <c r="M9" s="174"/>
      <c r="N9" s="368">
        <v>26.35</v>
      </c>
      <c r="O9" s="238">
        <v>26.35</v>
      </c>
      <c r="P9" s="238">
        <v>26.35</v>
      </c>
      <c r="Q9" s="361">
        <v>26.35</v>
      </c>
    </row>
    <row r="10" spans="2:17" x14ac:dyDescent="0.3">
      <c r="B10" s="359">
        <v>2</v>
      </c>
      <c r="C10" s="238">
        <v>26.3</v>
      </c>
      <c r="D10" s="238">
        <v>25.9</v>
      </c>
      <c r="E10" s="238">
        <v>26</v>
      </c>
      <c r="F10" s="238">
        <v>26.5</v>
      </c>
      <c r="G10" s="361">
        <v>26.6</v>
      </c>
      <c r="H10" s="355"/>
      <c r="I10" s="364">
        <v>26.23</v>
      </c>
      <c r="J10" s="177">
        <v>26.23</v>
      </c>
      <c r="K10" s="177">
        <v>26.23</v>
      </c>
      <c r="L10" s="365">
        <v>26.23</v>
      </c>
      <c r="M10" s="174"/>
      <c r="N10" s="368">
        <v>26.23</v>
      </c>
      <c r="O10" s="238">
        <v>26.23</v>
      </c>
      <c r="P10" s="238">
        <v>26.23</v>
      </c>
      <c r="Q10" s="361">
        <v>26.23</v>
      </c>
    </row>
    <row r="11" spans="2:17" x14ac:dyDescent="0.3">
      <c r="B11" s="359">
        <v>3</v>
      </c>
      <c r="C11" s="238">
        <v>26.3</v>
      </c>
      <c r="D11" s="238">
        <v>25.9</v>
      </c>
      <c r="E11" s="238">
        <v>26</v>
      </c>
      <c r="F11" s="238">
        <v>26.5</v>
      </c>
      <c r="G11" s="361">
        <v>26.6</v>
      </c>
      <c r="H11" s="355"/>
      <c r="I11" s="364">
        <v>26.41</v>
      </c>
      <c r="J11" s="177">
        <v>26.41</v>
      </c>
      <c r="K11" s="177">
        <v>26.41</v>
      </c>
      <c r="L11" s="365">
        <v>26.41</v>
      </c>
      <c r="M11" s="174"/>
      <c r="N11" s="368">
        <v>26.41</v>
      </c>
      <c r="O11" s="238">
        <v>26.41</v>
      </c>
      <c r="P11" s="238">
        <v>26.41</v>
      </c>
      <c r="Q11" s="361">
        <v>26.41</v>
      </c>
    </row>
    <row r="12" spans="2:17" x14ac:dyDescent="0.3">
      <c r="B12" s="359">
        <v>4</v>
      </c>
      <c r="C12" s="238">
        <v>26.3</v>
      </c>
      <c r="D12" s="238">
        <v>25.9</v>
      </c>
      <c r="E12" s="238">
        <v>26</v>
      </c>
      <c r="F12" s="238">
        <v>26.5</v>
      </c>
      <c r="G12" s="361">
        <v>26.6</v>
      </c>
      <c r="H12" s="355"/>
      <c r="I12" s="364">
        <v>26.22</v>
      </c>
      <c r="J12" s="177">
        <v>26.22</v>
      </c>
      <c r="K12" s="177">
        <v>26.22</v>
      </c>
      <c r="L12" s="365">
        <v>26.22</v>
      </c>
      <c r="M12" s="174"/>
      <c r="N12" s="368">
        <v>26.37</v>
      </c>
      <c r="O12" s="238">
        <v>26.37</v>
      </c>
      <c r="P12" s="238">
        <v>26.37</v>
      </c>
      <c r="Q12" s="361">
        <v>26.37</v>
      </c>
    </row>
    <row r="13" spans="2:17" x14ac:dyDescent="0.3">
      <c r="B13" s="359">
        <v>5</v>
      </c>
      <c r="C13" s="238">
        <v>26.3</v>
      </c>
      <c r="D13" s="238">
        <v>25.9</v>
      </c>
      <c r="E13" s="238">
        <v>26</v>
      </c>
      <c r="F13" s="238">
        <v>26.5</v>
      </c>
      <c r="G13" s="361">
        <v>26.6</v>
      </c>
      <c r="H13" s="355"/>
      <c r="I13" s="364">
        <v>25.94</v>
      </c>
      <c r="J13" s="177">
        <v>25.94</v>
      </c>
      <c r="K13" s="177">
        <v>25.94</v>
      </c>
      <c r="L13" s="365">
        <v>25.94</v>
      </c>
      <c r="M13" s="174"/>
      <c r="N13" s="368">
        <v>26.54</v>
      </c>
      <c r="O13" s="238">
        <v>26.54</v>
      </c>
      <c r="P13" s="238">
        <v>26.54</v>
      </c>
      <c r="Q13" s="361">
        <v>26.54</v>
      </c>
    </row>
    <row r="14" spans="2:17" x14ac:dyDescent="0.3">
      <c r="B14" s="359">
        <v>6</v>
      </c>
      <c r="C14" s="238">
        <v>26.3</v>
      </c>
      <c r="D14" s="238">
        <v>25.9</v>
      </c>
      <c r="E14" s="238">
        <v>26</v>
      </c>
      <c r="F14" s="238">
        <v>26.5</v>
      </c>
      <c r="G14" s="361">
        <v>26.6</v>
      </c>
      <c r="H14" s="355"/>
      <c r="I14" s="364">
        <v>26.12</v>
      </c>
      <c r="J14" s="177">
        <v>26.12</v>
      </c>
      <c r="K14" s="177">
        <v>26.12</v>
      </c>
      <c r="L14" s="365">
        <v>26.12</v>
      </c>
      <c r="M14" s="174"/>
      <c r="N14" s="368">
        <v>26.26</v>
      </c>
      <c r="O14" s="238">
        <v>26.26</v>
      </c>
      <c r="P14" s="238">
        <v>26.26</v>
      </c>
      <c r="Q14" s="361">
        <v>26.26</v>
      </c>
    </row>
    <row r="15" spans="2:17" x14ac:dyDescent="0.3">
      <c r="B15" s="359">
        <v>7</v>
      </c>
      <c r="C15" s="238">
        <v>26.3</v>
      </c>
      <c r="D15" s="238">
        <v>25.9</v>
      </c>
      <c r="E15" s="238">
        <v>26</v>
      </c>
      <c r="F15" s="238">
        <v>26.5</v>
      </c>
      <c r="G15" s="361">
        <v>26.6</v>
      </c>
      <c r="H15" s="355"/>
      <c r="I15" s="364">
        <v>25.94</v>
      </c>
      <c r="J15" s="177">
        <v>25.94</v>
      </c>
      <c r="K15" s="177">
        <v>25.94</v>
      </c>
      <c r="L15" s="365">
        <v>25.94</v>
      </c>
      <c r="M15" s="174"/>
      <c r="N15" s="368">
        <v>26.55</v>
      </c>
      <c r="O15" s="232">
        <v>26.55</v>
      </c>
      <c r="P15" s="232">
        <v>26.55</v>
      </c>
      <c r="Q15" s="361">
        <v>26.55</v>
      </c>
    </row>
    <row r="16" spans="2:17" x14ac:dyDescent="0.3">
      <c r="B16" s="359">
        <v>8</v>
      </c>
      <c r="C16" s="238">
        <v>26.3</v>
      </c>
      <c r="D16" s="238">
        <v>25.9</v>
      </c>
      <c r="E16" s="238">
        <v>26</v>
      </c>
      <c r="F16" s="238">
        <v>26.5</v>
      </c>
      <c r="G16" s="361">
        <v>26.6</v>
      </c>
      <c r="H16" s="355"/>
      <c r="I16" s="364">
        <v>26.55</v>
      </c>
      <c r="J16" s="177">
        <v>25.91</v>
      </c>
      <c r="K16" s="177">
        <v>25.91</v>
      </c>
      <c r="L16" s="365">
        <v>25.91</v>
      </c>
      <c r="M16" s="174"/>
      <c r="N16" s="368">
        <v>26.22</v>
      </c>
      <c r="O16" s="238">
        <v>26.58</v>
      </c>
      <c r="P16" s="232">
        <v>26.58</v>
      </c>
      <c r="Q16" s="361">
        <v>26.58</v>
      </c>
    </row>
    <row r="17" spans="2:26" x14ac:dyDescent="0.3">
      <c r="B17" s="359">
        <v>9</v>
      </c>
      <c r="C17" s="238">
        <v>26.3</v>
      </c>
      <c r="D17" s="238">
        <v>25.9</v>
      </c>
      <c r="E17" s="238">
        <v>26</v>
      </c>
      <c r="F17" s="238">
        <v>26.5</v>
      </c>
      <c r="G17" s="361">
        <v>26.6</v>
      </c>
      <c r="H17" s="355"/>
      <c r="I17" s="364"/>
      <c r="J17" s="177">
        <v>26.33</v>
      </c>
      <c r="K17" s="177">
        <v>25.94</v>
      </c>
      <c r="L17" s="179">
        <v>25.94</v>
      </c>
      <c r="M17" s="327"/>
      <c r="N17" s="368"/>
      <c r="O17" s="238">
        <v>26.33</v>
      </c>
      <c r="P17" s="238">
        <v>26.55</v>
      </c>
      <c r="Q17" s="361">
        <v>26.52</v>
      </c>
    </row>
    <row r="18" spans="2:26" ht="15" thickBot="1" x14ac:dyDescent="0.35">
      <c r="B18" s="362">
        <v>10</v>
      </c>
      <c r="C18" s="245">
        <v>26.3</v>
      </c>
      <c r="D18" s="245">
        <v>25.9</v>
      </c>
      <c r="E18" s="245">
        <v>26</v>
      </c>
      <c r="F18" s="245">
        <v>26.5</v>
      </c>
      <c r="G18" s="363">
        <v>26.6</v>
      </c>
      <c r="H18" s="355"/>
      <c r="I18" s="366"/>
      <c r="J18" s="242"/>
      <c r="K18" s="242">
        <v>26.33</v>
      </c>
      <c r="L18" s="248">
        <v>25.9</v>
      </c>
      <c r="M18" s="327"/>
      <c r="N18" s="369"/>
      <c r="O18" s="245"/>
      <c r="P18" s="245">
        <v>26.33</v>
      </c>
      <c r="Q18" s="363">
        <v>26.59</v>
      </c>
    </row>
    <row r="27" spans="2:26" ht="15" thickBot="1" x14ac:dyDescent="0.35"/>
    <row r="28" spans="2:26" x14ac:dyDescent="0.3">
      <c r="B28" s="334"/>
      <c r="C28" s="344"/>
      <c r="D28" s="344"/>
      <c r="E28" s="344"/>
      <c r="F28" s="344"/>
      <c r="G28" s="344"/>
      <c r="H28" s="344"/>
      <c r="I28" s="344"/>
      <c r="J28" s="344"/>
      <c r="K28" s="344"/>
      <c r="L28" s="344"/>
      <c r="M28" s="335"/>
      <c r="O28" s="334"/>
      <c r="P28" s="344"/>
      <c r="Q28" s="344"/>
      <c r="R28" s="344"/>
      <c r="S28" s="344"/>
      <c r="T28" s="344"/>
      <c r="U28" s="344"/>
      <c r="V28" s="344"/>
      <c r="W28" s="344"/>
      <c r="X28" s="344"/>
      <c r="Y28" s="344"/>
      <c r="Z28" s="335"/>
    </row>
    <row r="29" spans="2:26" x14ac:dyDescent="0.3">
      <c r="B29" s="336"/>
      <c r="C29" s="337"/>
      <c r="D29" s="337"/>
      <c r="E29" s="337"/>
      <c r="F29" s="337"/>
      <c r="G29" s="337"/>
      <c r="H29" s="337"/>
      <c r="I29" s="337"/>
      <c r="J29" s="337"/>
      <c r="K29" s="337"/>
      <c r="L29" s="337"/>
      <c r="M29" s="338"/>
      <c r="O29" s="336"/>
      <c r="P29" s="337"/>
      <c r="Q29" s="337"/>
      <c r="R29" s="337"/>
      <c r="S29" s="337"/>
      <c r="T29" s="337"/>
      <c r="U29" s="337"/>
      <c r="V29" s="337"/>
      <c r="W29" s="337"/>
      <c r="X29" s="337"/>
      <c r="Y29" s="337"/>
      <c r="Z29" s="338"/>
    </row>
    <row r="30" spans="2:26" x14ac:dyDescent="0.3">
      <c r="B30" s="336"/>
      <c r="C30" s="337"/>
      <c r="D30" s="337"/>
      <c r="E30" s="337"/>
      <c r="F30" s="337"/>
      <c r="G30" s="337"/>
      <c r="H30" s="337"/>
      <c r="I30" s="337"/>
      <c r="J30" s="337"/>
      <c r="K30" s="337"/>
      <c r="L30" s="337"/>
      <c r="M30" s="338"/>
      <c r="O30" s="336"/>
      <c r="P30" s="337"/>
      <c r="Q30" s="337"/>
      <c r="R30" s="337"/>
      <c r="S30" s="337"/>
      <c r="T30" s="337"/>
      <c r="U30" s="337"/>
      <c r="V30" s="337"/>
      <c r="W30" s="337"/>
      <c r="X30" s="337"/>
      <c r="Y30" s="337"/>
      <c r="Z30" s="338"/>
    </row>
    <row r="31" spans="2:26" x14ac:dyDescent="0.3">
      <c r="B31" s="336"/>
      <c r="C31" s="337"/>
      <c r="D31" s="337"/>
      <c r="E31" s="337"/>
      <c r="F31" s="337"/>
      <c r="G31" s="337"/>
      <c r="H31" s="337"/>
      <c r="I31" s="337"/>
      <c r="J31" s="337"/>
      <c r="K31" s="337"/>
      <c r="L31" s="337"/>
      <c r="M31" s="338"/>
      <c r="O31" s="336"/>
      <c r="P31" s="337"/>
      <c r="Q31" s="337"/>
      <c r="R31" s="337"/>
      <c r="S31" s="337"/>
      <c r="T31" s="337"/>
      <c r="U31" s="337"/>
      <c r="V31" s="337"/>
      <c r="W31" s="337"/>
      <c r="X31" s="337"/>
      <c r="Y31" s="337"/>
      <c r="Z31" s="338"/>
    </row>
    <row r="32" spans="2:26" x14ac:dyDescent="0.3">
      <c r="B32" s="336"/>
      <c r="C32" s="337"/>
      <c r="D32" s="337"/>
      <c r="E32" s="337"/>
      <c r="F32" s="337"/>
      <c r="G32" s="337"/>
      <c r="H32" s="337"/>
      <c r="I32" s="337"/>
      <c r="J32" s="337"/>
      <c r="K32" s="337"/>
      <c r="L32" s="337"/>
      <c r="M32" s="338"/>
      <c r="O32" s="336"/>
      <c r="P32" s="337"/>
      <c r="Q32" s="337"/>
      <c r="R32" s="337"/>
      <c r="S32" s="337"/>
      <c r="T32" s="337"/>
      <c r="U32" s="337"/>
      <c r="V32" s="337"/>
      <c r="W32" s="337"/>
      <c r="X32" s="337"/>
      <c r="Y32" s="337"/>
      <c r="Z32" s="338"/>
    </row>
    <row r="33" spans="2:26" x14ac:dyDescent="0.3">
      <c r="B33" s="336"/>
      <c r="C33" s="337"/>
      <c r="D33" s="337"/>
      <c r="E33" s="337"/>
      <c r="F33" s="337"/>
      <c r="G33" s="337"/>
      <c r="H33" s="337"/>
      <c r="I33" s="337"/>
      <c r="J33" s="337"/>
      <c r="K33" s="337"/>
      <c r="L33" s="337"/>
      <c r="M33" s="338"/>
      <c r="O33" s="336"/>
      <c r="P33" s="337"/>
      <c r="Q33" s="337"/>
      <c r="R33" s="337"/>
      <c r="S33" s="337"/>
      <c r="T33" s="337"/>
      <c r="U33" s="337"/>
      <c r="V33" s="337"/>
      <c r="W33" s="337"/>
      <c r="X33" s="337"/>
      <c r="Y33" s="337"/>
      <c r="Z33" s="338"/>
    </row>
    <row r="34" spans="2:26" x14ac:dyDescent="0.3">
      <c r="B34" s="336"/>
      <c r="C34" s="337"/>
      <c r="D34" s="337"/>
      <c r="E34" s="337"/>
      <c r="F34" s="337"/>
      <c r="G34" s="337"/>
      <c r="H34" s="337"/>
      <c r="I34" s="337"/>
      <c r="J34" s="337"/>
      <c r="K34" s="337"/>
      <c r="L34" s="337"/>
      <c r="M34" s="338"/>
      <c r="O34" s="336"/>
      <c r="P34" s="337"/>
      <c r="Q34" s="337"/>
      <c r="R34" s="337"/>
      <c r="S34" s="337"/>
      <c r="T34" s="337"/>
      <c r="U34" s="337"/>
      <c r="V34" s="337"/>
      <c r="W34" s="337"/>
      <c r="X34" s="337"/>
      <c r="Y34" s="337"/>
      <c r="Z34" s="338"/>
    </row>
    <row r="35" spans="2:26" x14ac:dyDescent="0.3">
      <c r="B35" s="336"/>
      <c r="C35" s="337"/>
      <c r="D35" s="337"/>
      <c r="E35" s="337"/>
      <c r="F35" s="337"/>
      <c r="G35" s="337"/>
      <c r="H35" s="337"/>
      <c r="I35" s="337"/>
      <c r="J35" s="337"/>
      <c r="K35" s="337"/>
      <c r="L35" s="337"/>
      <c r="M35" s="338"/>
      <c r="O35" s="336"/>
      <c r="P35" s="337"/>
      <c r="Q35" s="337"/>
      <c r="R35" s="337"/>
      <c r="S35" s="337"/>
      <c r="T35" s="337"/>
      <c r="U35" s="337"/>
      <c r="V35" s="337"/>
      <c r="W35" s="337"/>
      <c r="X35" s="337"/>
      <c r="Y35" s="337"/>
      <c r="Z35" s="338"/>
    </row>
    <row r="36" spans="2:26" x14ac:dyDescent="0.3">
      <c r="B36" s="336"/>
      <c r="C36" s="337"/>
      <c r="D36" s="337"/>
      <c r="E36" s="337"/>
      <c r="F36" s="337"/>
      <c r="G36" s="337"/>
      <c r="H36" s="337"/>
      <c r="I36" s="337"/>
      <c r="J36" s="337"/>
      <c r="K36" s="337"/>
      <c r="L36" s="337"/>
      <c r="M36" s="338"/>
      <c r="O36" s="336"/>
      <c r="P36" s="337"/>
      <c r="Q36" s="337"/>
      <c r="R36" s="337"/>
      <c r="S36" s="337"/>
      <c r="T36" s="337"/>
      <c r="U36" s="337"/>
      <c r="V36" s="337"/>
      <c r="W36" s="337"/>
      <c r="X36" s="337"/>
      <c r="Y36" s="337"/>
      <c r="Z36" s="338"/>
    </row>
    <row r="37" spans="2:26" x14ac:dyDescent="0.3">
      <c r="B37" s="336"/>
      <c r="C37" s="337"/>
      <c r="D37" s="337"/>
      <c r="E37" s="337"/>
      <c r="F37" s="337"/>
      <c r="G37" s="337"/>
      <c r="H37" s="337"/>
      <c r="I37" s="337"/>
      <c r="J37" s="337"/>
      <c r="K37" s="337"/>
      <c r="L37" s="337"/>
      <c r="M37" s="338"/>
      <c r="O37" s="336"/>
      <c r="P37" s="337"/>
      <c r="Q37" s="337"/>
      <c r="R37" s="337"/>
      <c r="S37" s="337"/>
      <c r="T37" s="337"/>
      <c r="U37" s="337"/>
      <c r="V37" s="337"/>
      <c r="W37" s="337"/>
      <c r="X37" s="337"/>
      <c r="Y37" s="337"/>
      <c r="Z37" s="338"/>
    </row>
    <row r="38" spans="2:26" x14ac:dyDescent="0.3">
      <c r="B38" s="336"/>
      <c r="C38" s="337"/>
      <c r="D38" s="337"/>
      <c r="E38" s="337"/>
      <c r="F38" s="337"/>
      <c r="G38" s="337"/>
      <c r="H38" s="337"/>
      <c r="I38" s="337"/>
      <c r="J38" s="337"/>
      <c r="K38" s="337"/>
      <c r="L38" s="337"/>
      <c r="M38" s="338"/>
      <c r="O38" s="336"/>
      <c r="P38" s="337"/>
      <c r="Q38" s="337"/>
      <c r="R38" s="337"/>
      <c r="S38" s="337"/>
      <c r="T38" s="337"/>
      <c r="U38" s="337"/>
      <c r="V38" s="337"/>
      <c r="W38" s="337"/>
      <c r="X38" s="337"/>
      <c r="Y38" s="337"/>
      <c r="Z38" s="338"/>
    </row>
    <row r="39" spans="2:26" x14ac:dyDescent="0.3">
      <c r="B39" s="336"/>
      <c r="C39" s="337"/>
      <c r="D39" s="337"/>
      <c r="E39" s="337"/>
      <c r="F39" s="337"/>
      <c r="G39" s="337"/>
      <c r="H39" s="337"/>
      <c r="I39" s="337"/>
      <c r="J39" s="337"/>
      <c r="K39" s="337"/>
      <c r="L39" s="337"/>
      <c r="M39" s="338"/>
      <c r="O39" s="336"/>
      <c r="P39" s="337"/>
      <c r="Q39" s="337"/>
      <c r="R39" s="337"/>
      <c r="S39" s="337"/>
      <c r="T39" s="337"/>
      <c r="U39" s="337"/>
      <c r="V39" s="337"/>
      <c r="W39" s="337"/>
      <c r="X39" s="337"/>
      <c r="Y39" s="337"/>
      <c r="Z39" s="338"/>
    </row>
    <row r="40" spans="2:26" x14ac:dyDescent="0.3">
      <c r="B40" s="336"/>
      <c r="C40" s="337"/>
      <c r="D40" s="337"/>
      <c r="E40" s="337"/>
      <c r="F40" s="337"/>
      <c r="G40" s="337"/>
      <c r="H40" s="337"/>
      <c r="I40" s="337"/>
      <c r="J40" s="337"/>
      <c r="K40" s="337"/>
      <c r="L40" s="337"/>
      <c r="M40" s="338"/>
      <c r="O40" s="336"/>
      <c r="P40" s="337"/>
      <c r="Q40" s="337"/>
      <c r="R40" s="337"/>
      <c r="S40" s="337"/>
      <c r="T40" s="337"/>
      <c r="U40" s="337"/>
      <c r="V40" s="337"/>
      <c r="W40" s="337"/>
      <c r="X40" s="337"/>
      <c r="Y40" s="337"/>
      <c r="Z40" s="338"/>
    </row>
    <row r="41" spans="2:26" x14ac:dyDescent="0.3">
      <c r="B41" s="336"/>
      <c r="C41" s="337"/>
      <c r="D41" s="337"/>
      <c r="E41" s="337"/>
      <c r="F41" s="337"/>
      <c r="G41" s="337"/>
      <c r="H41" s="337"/>
      <c r="I41" s="337"/>
      <c r="J41" s="337"/>
      <c r="K41" s="337"/>
      <c r="L41" s="337"/>
      <c r="M41" s="338"/>
      <c r="O41" s="336"/>
      <c r="P41" s="337"/>
      <c r="Q41" s="337"/>
      <c r="R41" s="337"/>
      <c r="S41" s="337"/>
      <c r="T41" s="337"/>
      <c r="U41" s="337"/>
      <c r="V41" s="337"/>
      <c r="W41" s="337"/>
      <c r="X41" s="337"/>
      <c r="Y41" s="337"/>
      <c r="Z41" s="338"/>
    </row>
    <row r="42" spans="2:26" x14ac:dyDescent="0.3">
      <c r="B42" s="336"/>
      <c r="C42" s="337"/>
      <c r="D42" s="337"/>
      <c r="E42" s="337"/>
      <c r="F42" s="337"/>
      <c r="G42" s="337"/>
      <c r="H42" s="337"/>
      <c r="I42" s="337"/>
      <c r="J42" s="337"/>
      <c r="K42" s="337"/>
      <c r="L42" s="337"/>
      <c r="M42" s="338"/>
      <c r="O42" s="336"/>
      <c r="P42" s="337"/>
      <c r="Q42" s="337"/>
      <c r="R42" s="337"/>
      <c r="S42" s="337"/>
      <c r="T42" s="337"/>
      <c r="U42" s="337"/>
      <c r="V42" s="337"/>
      <c r="W42" s="337"/>
      <c r="X42" s="337"/>
      <c r="Y42" s="337"/>
      <c r="Z42" s="338"/>
    </row>
    <row r="43" spans="2:26" x14ac:dyDescent="0.3">
      <c r="B43" s="336"/>
      <c r="C43" s="337"/>
      <c r="D43" s="337"/>
      <c r="E43" s="337"/>
      <c r="F43" s="337"/>
      <c r="G43" s="337"/>
      <c r="H43" s="337"/>
      <c r="I43" s="337"/>
      <c r="J43" s="337"/>
      <c r="K43" s="337"/>
      <c r="L43" s="337"/>
      <c r="M43" s="338"/>
      <c r="O43" s="336"/>
      <c r="P43" s="337"/>
      <c r="Q43" s="337"/>
      <c r="R43" s="337"/>
      <c r="S43" s="337"/>
      <c r="T43" s="337"/>
      <c r="U43" s="337"/>
      <c r="V43" s="337"/>
      <c r="W43" s="337"/>
      <c r="X43" s="337"/>
      <c r="Y43" s="337"/>
      <c r="Z43" s="338"/>
    </row>
    <row r="44" spans="2:26" x14ac:dyDescent="0.3">
      <c r="B44" s="336"/>
      <c r="C44" s="337"/>
      <c r="D44" s="337"/>
      <c r="E44" s="337"/>
      <c r="F44" s="337"/>
      <c r="G44" s="337"/>
      <c r="H44" s="337"/>
      <c r="I44" s="337"/>
      <c r="J44" s="337"/>
      <c r="K44" s="337"/>
      <c r="L44" s="337"/>
      <c r="M44" s="338"/>
      <c r="O44" s="336"/>
      <c r="P44" s="337"/>
      <c r="Q44" s="337"/>
      <c r="R44" s="337"/>
      <c r="S44" s="337"/>
      <c r="T44" s="337"/>
      <c r="U44" s="337"/>
      <c r="V44" s="337"/>
      <c r="W44" s="337"/>
      <c r="X44" s="337"/>
      <c r="Y44" s="337"/>
      <c r="Z44" s="338"/>
    </row>
    <row r="45" spans="2:26" x14ac:dyDescent="0.3">
      <c r="B45" s="336"/>
      <c r="C45" s="337"/>
      <c r="D45" s="337"/>
      <c r="E45" s="337"/>
      <c r="F45" s="337"/>
      <c r="G45" s="337"/>
      <c r="H45" s="337"/>
      <c r="I45" s="337"/>
      <c r="J45" s="337"/>
      <c r="K45" s="337"/>
      <c r="L45" s="337"/>
      <c r="M45" s="338"/>
      <c r="O45" s="336"/>
      <c r="P45" s="337"/>
      <c r="Q45" s="337"/>
      <c r="R45" s="337"/>
      <c r="S45" s="337"/>
      <c r="T45" s="337"/>
      <c r="U45" s="337"/>
      <c r="V45" s="337"/>
      <c r="W45" s="337"/>
      <c r="X45" s="337"/>
      <c r="Y45" s="337"/>
      <c r="Z45" s="338"/>
    </row>
    <row r="46" spans="2:26" x14ac:dyDescent="0.3">
      <c r="B46" s="336"/>
      <c r="C46" s="337"/>
      <c r="D46" s="337"/>
      <c r="E46" s="337"/>
      <c r="F46" s="337"/>
      <c r="G46" s="337"/>
      <c r="H46" s="337"/>
      <c r="I46" s="337"/>
      <c r="J46" s="337"/>
      <c r="K46" s="337"/>
      <c r="L46" s="337"/>
      <c r="M46" s="338"/>
      <c r="O46" s="336"/>
      <c r="P46" s="337"/>
      <c r="Q46" s="337"/>
      <c r="R46" s="337"/>
      <c r="S46" s="337"/>
      <c r="T46" s="337"/>
      <c r="U46" s="337"/>
      <c r="V46" s="337"/>
      <c r="W46" s="337"/>
      <c r="X46" s="337"/>
      <c r="Y46" s="337"/>
      <c r="Z46" s="338"/>
    </row>
    <row r="47" spans="2:26" x14ac:dyDescent="0.3">
      <c r="B47" s="336"/>
      <c r="C47" s="337"/>
      <c r="D47" s="337"/>
      <c r="E47" s="337"/>
      <c r="F47" s="337"/>
      <c r="G47" s="337"/>
      <c r="H47" s="337"/>
      <c r="I47" s="337"/>
      <c r="J47" s="337"/>
      <c r="K47" s="337"/>
      <c r="L47" s="337"/>
      <c r="M47" s="338"/>
      <c r="O47" s="336"/>
      <c r="P47" s="337"/>
      <c r="Q47" s="337"/>
      <c r="R47" s="337"/>
      <c r="S47" s="337"/>
      <c r="T47" s="337"/>
      <c r="U47" s="337"/>
      <c r="V47" s="337"/>
      <c r="W47" s="337"/>
      <c r="X47" s="337"/>
      <c r="Y47" s="337"/>
      <c r="Z47" s="338"/>
    </row>
    <row r="48" spans="2:26" x14ac:dyDescent="0.3">
      <c r="B48" s="336"/>
      <c r="C48" s="337"/>
      <c r="D48" s="337"/>
      <c r="E48" s="337"/>
      <c r="F48" s="337"/>
      <c r="G48" s="337"/>
      <c r="H48" s="337"/>
      <c r="I48" s="337"/>
      <c r="J48" s="337"/>
      <c r="K48" s="337"/>
      <c r="L48" s="337"/>
      <c r="M48" s="338"/>
      <c r="O48" s="336"/>
      <c r="P48" s="337"/>
      <c r="Q48" s="337"/>
      <c r="R48" s="337"/>
      <c r="S48" s="337"/>
      <c r="T48" s="337"/>
      <c r="U48" s="337"/>
      <c r="V48" s="337"/>
      <c r="W48" s="337"/>
      <c r="X48" s="337"/>
      <c r="Y48" s="337"/>
      <c r="Z48" s="338"/>
    </row>
    <row r="49" spans="2:26" x14ac:dyDescent="0.3">
      <c r="B49" s="336"/>
      <c r="C49" s="337"/>
      <c r="D49" s="337"/>
      <c r="E49" s="337"/>
      <c r="F49" s="337"/>
      <c r="G49" s="337"/>
      <c r="H49" s="337"/>
      <c r="I49" s="337"/>
      <c r="J49" s="337"/>
      <c r="K49" s="337"/>
      <c r="L49" s="337"/>
      <c r="M49" s="338"/>
      <c r="O49" s="336"/>
      <c r="P49" s="337"/>
      <c r="Q49" s="337"/>
      <c r="R49" s="337"/>
      <c r="S49" s="337"/>
      <c r="T49" s="337"/>
      <c r="U49" s="337"/>
      <c r="V49" s="337"/>
      <c r="W49" s="337"/>
      <c r="X49" s="337"/>
      <c r="Y49" s="337"/>
      <c r="Z49" s="338"/>
    </row>
    <row r="50" spans="2:26" x14ac:dyDescent="0.3">
      <c r="B50" s="336"/>
      <c r="C50" s="337"/>
      <c r="D50" s="337"/>
      <c r="E50" s="337"/>
      <c r="F50" s="337"/>
      <c r="G50" s="337"/>
      <c r="H50" s="337"/>
      <c r="I50" s="337"/>
      <c r="J50" s="337"/>
      <c r="K50" s="337"/>
      <c r="L50" s="337"/>
      <c r="M50" s="338"/>
      <c r="O50" s="336"/>
      <c r="P50" s="337"/>
      <c r="Q50" s="337"/>
      <c r="R50" s="337"/>
      <c r="S50" s="337"/>
      <c r="T50" s="337"/>
      <c r="U50" s="337"/>
      <c r="V50" s="337"/>
      <c r="W50" s="337"/>
      <c r="X50" s="337"/>
      <c r="Y50" s="337"/>
      <c r="Z50" s="338"/>
    </row>
    <row r="51" spans="2:26" x14ac:dyDescent="0.3">
      <c r="B51" s="336"/>
      <c r="C51" s="337"/>
      <c r="D51" s="337"/>
      <c r="E51" s="337"/>
      <c r="F51" s="337"/>
      <c r="G51" s="337"/>
      <c r="H51" s="337"/>
      <c r="I51" s="337"/>
      <c r="J51" s="337"/>
      <c r="K51" s="337"/>
      <c r="L51" s="337"/>
      <c r="M51" s="338"/>
      <c r="O51" s="336"/>
      <c r="P51" s="337"/>
      <c r="Q51" s="337"/>
      <c r="R51" s="337"/>
      <c r="S51" s="337"/>
      <c r="T51" s="337"/>
      <c r="U51" s="337"/>
      <c r="V51" s="337"/>
      <c r="W51" s="337"/>
      <c r="X51" s="337"/>
      <c r="Y51" s="337"/>
      <c r="Z51" s="338"/>
    </row>
    <row r="52" spans="2:26" x14ac:dyDescent="0.3">
      <c r="B52" s="336"/>
      <c r="C52" s="337"/>
      <c r="D52" s="337"/>
      <c r="E52" s="337"/>
      <c r="F52" s="337"/>
      <c r="G52" s="337"/>
      <c r="H52" s="337"/>
      <c r="I52" s="337"/>
      <c r="J52" s="337"/>
      <c r="K52" s="337"/>
      <c r="L52" s="337"/>
      <c r="M52" s="338"/>
      <c r="O52" s="336"/>
      <c r="P52" s="337"/>
      <c r="Q52" s="337"/>
      <c r="R52" s="337"/>
      <c r="S52" s="337"/>
      <c r="T52" s="337"/>
      <c r="U52" s="337"/>
      <c r="V52" s="337"/>
      <c r="W52" s="337"/>
      <c r="X52" s="337"/>
      <c r="Y52" s="337"/>
      <c r="Z52" s="338"/>
    </row>
    <row r="53" spans="2:26" x14ac:dyDescent="0.3">
      <c r="B53" s="336"/>
      <c r="C53" s="337"/>
      <c r="D53" s="337"/>
      <c r="E53" s="337"/>
      <c r="F53" s="337"/>
      <c r="G53" s="337"/>
      <c r="H53" s="337"/>
      <c r="I53" s="337"/>
      <c r="J53" s="337"/>
      <c r="K53" s="337"/>
      <c r="L53" s="337"/>
      <c r="M53" s="338"/>
      <c r="O53" s="336"/>
      <c r="P53" s="337"/>
      <c r="Q53" s="337"/>
      <c r="R53" s="337"/>
      <c r="S53" s="337"/>
      <c r="T53" s="337"/>
      <c r="U53" s="337"/>
      <c r="V53" s="337"/>
      <c r="W53" s="337"/>
      <c r="X53" s="337"/>
      <c r="Y53" s="337"/>
      <c r="Z53" s="338"/>
    </row>
    <row r="54" spans="2:26" x14ac:dyDescent="0.3">
      <c r="B54" s="336"/>
      <c r="C54" s="337"/>
      <c r="D54" s="337"/>
      <c r="E54" s="337"/>
      <c r="F54" s="337"/>
      <c r="G54" s="337"/>
      <c r="H54" s="337"/>
      <c r="I54" s="337"/>
      <c r="J54" s="337"/>
      <c r="K54" s="337"/>
      <c r="L54" s="337"/>
      <c r="M54" s="338"/>
      <c r="O54" s="336"/>
      <c r="P54" s="337"/>
      <c r="Q54" s="337"/>
      <c r="R54" s="337"/>
      <c r="S54" s="337"/>
      <c r="T54" s="337"/>
      <c r="U54" s="337"/>
      <c r="V54" s="337"/>
      <c r="W54" s="337"/>
      <c r="X54" s="337"/>
      <c r="Y54" s="337"/>
      <c r="Z54" s="338"/>
    </row>
    <row r="55" spans="2:26" x14ac:dyDescent="0.3">
      <c r="B55" s="336"/>
      <c r="C55" s="337"/>
      <c r="D55" s="337"/>
      <c r="E55" s="337"/>
      <c r="F55" s="337"/>
      <c r="G55" s="337"/>
      <c r="H55" s="337"/>
      <c r="I55" s="337"/>
      <c r="J55" s="337"/>
      <c r="K55" s="337"/>
      <c r="L55" s="337"/>
      <c r="M55" s="338"/>
      <c r="O55" s="336"/>
      <c r="P55" s="337"/>
      <c r="Q55" s="337"/>
      <c r="R55" s="337"/>
      <c r="S55" s="337"/>
      <c r="T55" s="337"/>
      <c r="U55" s="337"/>
      <c r="V55" s="337"/>
      <c r="W55" s="337"/>
      <c r="X55" s="337"/>
      <c r="Y55" s="337"/>
      <c r="Z55" s="338"/>
    </row>
    <row r="56" spans="2:26" x14ac:dyDescent="0.3">
      <c r="B56" s="336"/>
      <c r="C56" s="337"/>
      <c r="D56" s="337"/>
      <c r="E56" s="337"/>
      <c r="F56" s="337"/>
      <c r="G56" s="337"/>
      <c r="H56" s="337"/>
      <c r="I56" s="337"/>
      <c r="J56" s="337"/>
      <c r="K56" s="337"/>
      <c r="L56" s="337"/>
      <c r="M56" s="338"/>
      <c r="O56" s="336"/>
      <c r="P56" s="337"/>
      <c r="Q56" s="337"/>
      <c r="R56" s="337"/>
      <c r="S56" s="337"/>
      <c r="T56" s="337"/>
      <c r="U56" s="337"/>
      <c r="V56" s="337"/>
      <c r="W56" s="337"/>
      <c r="X56" s="337"/>
      <c r="Y56" s="337"/>
      <c r="Z56" s="338"/>
    </row>
    <row r="57" spans="2:26" x14ac:dyDescent="0.3">
      <c r="B57" s="336"/>
      <c r="C57" s="337"/>
      <c r="D57" s="337"/>
      <c r="E57" s="337"/>
      <c r="F57" s="337"/>
      <c r="G57" s="337"/>
      <c r="H57" s="337"/>
      <c r="I57" s="337"/>
      <c r="J57" s="337"/>
      <c r="K57" s="337"/>
      <c r="L57" s="337"/>
      <c r="M57" s="338"/>
      <c r="O57" s="336"/>
      <c r="P57" s="337"/>
      <c r="Q57" s="337"/>
      <c r="R57" s="337"/>
      <c r="S57" s="337"/>
      <c r="T57" s="337"/>
      <c r="U57" s="337"/>
      <c r="V57" s="337"/>
      <c r="W57" s="337"/>
      <c r="X57" s="337"/>
      <c r="Y57" s="337"/>
      <c r="Z57" s="338"/>
    </row>
    <row r="58" spans="2:26" x14ac:dyDescent="0.3">
      <c r="B58" s="336"/>
      <c r="C58" s="337"/>
      <c r="D58" s="337"/>
      <c r="E58" s="337"/>
      <c r="F58" s="337"/>
      <c r="G58" s="337"/>
      <c r="H58" s="337"/>
      <c r="I58" s="337"/>
      <c r="J58" s="337"/>
      <c r="K58" s="337"/>
      <c r="L58" s="337"/>
      <c r="M58" s="338"/>
      <c r="O58" s="336"/>
      <c r="P58" s="337"/>
      <c r="Q58" s="337"/>
      <c r="R58" s="337"/>
      <c r="S58" s="337"/>
      <c r="T58" s="337"/>
      <c r="U58" s="337"/>
      <c r="V58" s="337"/>
      <c r="W58" s="337"/>
      <c r="X58" s="337"/>
      <c r="Y58" s="337"/>
      <c r="Z58" s="338"/>
    </row>
    <row r="59" spans="2:26" x14ac:dyDescent="0.3">
      <c r="B59" s="336"/>
      <c r="C59" s="337"/>
      <c r="D59" s="337"/>
      <c r="E59" s="337"/>
      <c r="F59" s="337"/>
      <c r="G59" s="337"/>
      <c r="H59" s="337"/>
      <c r="I59" s="337"/>
      <c r="J59" s="337"/>
      <c r="K59" s="337"/>
      <c r="L59" s="337"/>
      <c r="M59" s="338"/>
      <c r="O59" s="336"/>
      <c r="P59" s="337"/>
      <c r="Q59" s="337"/>
      <c r="R59" s="337"/>
      <c r="S59" s="337"/>
      <c r="T59" s="337"/>
      <c r="U59" s="337"/>
      <c r="V59" s="337"/>
      <c r="W59" s="337"/>
      <c r="X59" s="337"/>
      <c r="Y59" s="337"/>
      <c r="Z59" s="338"/>
    </row>
    <row r="60" spans="2:26" x14ac:dyDescent="0.3">
      <c r="B60" s="336"/>
      <c r="C60" s="337"/>
      <c r="D60" s="337"/>
      <c r="E60" s="337"/>
      <c r="F60" s="337"/>
      <c r="G60" s="337"/>
      <c r="H60" s="337"/>
      <c r="I60" s="337"/>
      <c r="J60" s="337"/>
      <c r="K60" s="337"/>
      <c r="L60" s="337"/>
      <c r="M60" s="338"/>
      <c r="O60" s="336"/>
      <c r="P60" s="337"/>
      <c r="Q60" s="337"/>
      <c r="R60" s="337"/>
      <c r="S60" s="337"/>
      <c r="T60" s="337"/>
      <c r="U60" s="337"/>
      <c r="V60" s="337"/>
      <c r="W60" s="337"/>
      <c r="X60" s="337"/>
      <c r="Y60" s="337"/>
      <c r="Z60" s="338"/>
    </row>
    <row r="61" spans="2:26" x14ac:dyDescent="0.3">
      <c r="B61" s="336"/>
      <c r="C61" s="337"/>
      <c r="D61" s="337"/>
      <c r="E61" s="337"/>
      <c r="F61" s="337"/>
      <c r="G61" s="337"/>
      <c r="H61" s="337"/>
      <c r="I61" s="337"/>
      <c r="J61" s="337"/>
      <c r="K61" s="337"/>
      <c r="L61" s="337"/>
      <c r="M61" s="338"/>
      <c r="O61" s="336"/>
      <c r="P61" s="337"/>
      <c r="Q61" s="337"/>
      <c r="R61" s="337"/>
      <c r="S61" s="337"/>
      <c r="T61" s="337"/>
      <c r="U61" s="337"/>
      <c r="V61" s="337"/>
      <c r="W61" s="337"/>
      <c r="X61" s="337"/>
      <c r="Y61" s="337"/>
      <c r="Z61" s="338"/>
    </row>
    <row r="62" spans="2:26" x14ac:dyDescent="0.3">
      <c r="B62" s="336"/>
      <c r="C62" s="337"/>
      <c r="D62" s="337"/>
      <c r="E62" s="337"/>
      <c r="F62" s="337"/>
      <c r="G62" s="337"/>
      <c r="H62" s="337"/>
      <c r="I62" s="337"/>
      <c r="J62" s="337"/>
      <c r="K62" s="337"/>
      <c r="L62" s="337"/>
      <c r="M62" s="338"/>
      <c r="O62" s="336"/>
      <c r="P62" s="337"/>
      <c r="Q62" s="337"/>
      <c r="R62" s="337"/>
      <c r="S62" s="337"/>
      <c r="T62" s="337"/>
      <c r="U62" s="337"/>
      <c r="V62" s="337"/>
      <c r="W62" s="337"/>
      <c r="X62" s="337"/>
      <c r="Y62" s="337"/>
      <c r="Z62" s="338"/>
    </row>
    <row r="63" spans="2:26" x14ac:dyDescent="0.3">
      <c r="B63" s="336"/>
      <c r="C63" s="337"/>
      <c r="D63" s="337"/>
      <c r="E63" s="337"/>
      <c r="F63" s="337"/>
      <c r="G63" s="337"/>
      <c r="H63" s="337"/>
      <c r="I63" s="337"/>
      <c r="J63" s="337"/>
      <c r="K63" s="337"/>
      <c r="L63" s="337"/>
      <c r="M63" s="338"/>
      <c r="O63" s="336"/>
      <c r="P63" s="337"/>
      <c r="Q63" s="337"/>
      <c r="R63" s="337"/>
      <c r="S63" s="337"/>
      <c r="T63" s="337"/>
      <c r="U63" s="337"/>
      <c r="V63" s="337"/>
      <c r="W63" s="337"/>
      <c r="X63" s="337"/>
      <c r="Y63" s="337"/>
      <c r="Z63" s="338"/>
    </row>
    <row r="64" spans="2:26" x14ac:dyDescent="0.3">
      <c r="B64" s="336"/>
      <c r="C64" s="337"/>
      <c r="D64" s="337"/>
      <c r="E64" s="337"/>
      <c r="F64" s="337"/>
      <c r="G64" s="337"/>
      <c r="H64" s="337"/>
      <c r="I64" s="337"/>
      <c r="J64" s="337"/>
      <c r="K64" s="337"/>
      <c r="L64" s="337"/>
      <c r="M64" s="338"/>
      <c r="O64" s="336"/>
      <c r="P64" s="337"/>
      <c r="Q64" s="337"/>
      <c r="R64" s="337"/>
      <c r="S64" s="337"/>
      <c r="T64" s="337"/>
      <c r="U64" s="337"/>
      <c r="V64" s="337"/>
      <c r="W64" s="337"/>
      <c r="X64" s="337"/>
      <c r="Y64" s="337"/>
      <c r="Z64" s="338"/>
    </row>
    <row r="65" spans="2:26" x14ac:dyDescent="0.3">
      <c r="B65" s="336"/>
      <c r="C65" s="337"/>
      <c r="D65" s="337"/>
      <c r="E65" s="337"/>
      <c r="F65" s="337"/>
      <c r="G65" s="337"/>
      <c r="H65" s="337"/>
      <c r="I65" s="337"/>
      <c r="J65" s="337"/>
      <c r="K65" s="337"/>
      <c r="L65" s="337"/>
      <c r="M65" s="338"/>
      <c r="O65" s="336"/>
      <c r="P65" s="337"/>
      <c r="Q65" s="337"/>
      <c r="R65" s="337"/>
      <c r="S65" s="337"/>
      <c r="T65" s="337"/>
      <c r="U65" s="337"/>
      <c r="V65" s="337"/>
      <c r="W65" s="337"/>
      <c r="X65" s="337"/>
      <c r="Y65" s="337"/>
      <c r="Z65" s="338"/>
    </row>
    <row r="66" spans="2:26" x14ac:dyDescent="0.3">
      <c r="B66" s="336"/>
      <c r="C66" s="337"/>
      <c r="D66" s="337"/>
      <c r="E66" s="337"/>
      <c r="F66" s="337"/>
      <c r="G66" s="337"/>
      <c r="H66" s="337"/>
      <c r="I66" s="337"/>
      <c r="J66" s="337"/>
      <c r="K66" s="337"/>
      <c r="L66" s="337"/>
      <c r="M66" s="338"/>
      <c r="O66" s="336"/>
      <c r="P66" s="337"/>
      <c r="Q66" s="337"/>
      <c r="R66" s="337"/>
      <c r="S66" s="337"/>
      <c r="T66" s="337"/>
      <c r="U66" s="337"/>
      <c r="V66" s="337"/>
      <c r="W66" s="337"/>
      <c r="X66" s="337"/>
      <c r="Y66" s="337"/>
      <c r="Z66" s="338"/>
    </row>
    <row r="67" spans="2:26" x14ac:dyDescent="0.3">
      <c r="B67" s="336"/>
      <c r="C67" s="337"/>
      <c r="D67" s="337"/>
      <c r="E67" s="337"/>
      <c r="F67" s="337"/>
      <c r="G67" s="337"/>
      <c r="H67" s="337"/>
      <c r="I67" s="337"/>
      <c r="J67" s="337"/>
      <c r="K67" s="337"/>
      <c r="L67" s="337"/>
      <c r="M67" s="338"/>
      <c r="O67" s="336"/>
      <c r="P67" s="337"/>
      <c r="Q67" s="337"/>
      <c r="R67" s="337"/>
      <c r="S67" s="337"/>
      <c r="T67" s="337"/>
      <c r="U67" s="337"/>
      <c r="V67" s="337"/>
      <c r="W67" s="337"/>
      <c r="X67" s="337"/>
      <c r="Y67" s="337"/>
      <c r="Z67" s="338"/>
    </row>
    <row r="68" spans="2:26" x14ac:dyDescent="0.3">
      <c r="B68" s="336"/>
      <c r="C68" s="337"/>
      <c r="D68" s="337"/>
      <c r="E68" s="337"/>
      <c r="F68" s="337"/>
      <c r="G68" s="337"/>
      <c r="H68" s="337"/>
      <c r="I68" s="337"/>
      <c r="J68" s="337"/>
      <c r="K68" s="337"/>
      <c r="L68" s="337"/>
      <c r="M68" s="338"/>
      <c r="O68" s="336"/>
      <c r="P68" s="337"/>
      <c r="Q68" s="337"/>
      <c r="R68" s="337"/>
      <c r="S68" s="337"/>
      <c r="T68" s="337"/>
      <c r="U68" s="337"/>
      <c r="V68" s="337"/>
      <c r="W68" s="337"/>
      <c r="X68" s="337"/>
      <c r="Y68" s="337"/>
      <c r="Z68" s="338"/>
    </row>
    <row r="69" spans="2:26" x14ac:dyDescent="0.3">
      <c r="B69" s="336"/>
      <c r="C69" s="337"/>
      <c r="D69" s="337"/>
      <c r="E69" s="337"/>
      <c r="F69" s="337"/>
      <c r="G69" s="337"/>
      <c r="H69" s="337"/>
      <c r="I69" s="337"/>
      <c r="J69" s="337"/>
      <c r="K69" s="337"/>
      <c r="L69" s="337"/>
      <c r="M69" s="338"/>
      <c r="O69" s="336"/>
      <c r="P69" s="337"/>
      <c r="Q69" s="337"/>
      <c r="R69" s="337"/>
      <c r="S69" s="337"/>
      <c r="T69" s="337"/>
      <c r="U69" s="337"/>
      <c r="V69" s="337"/>
      <c r="W69" s="337"/>
      <c r="X69" s="337"/>
      <c r="Y69" s="337"/>
      <c r="Z69" s="338"/>
    </row>
    <row r="70" spans="2:26" x14ac:dyDescent="0.3">
      <c r="B70" s="336"/>
      <c r="C70" s="337"/>
      <c r="D70" s="337"/>
      <c r="E70" s="337"/>
      <c r="F70" s="337"/>
      <c r="G70" s="337"/>
      <c r="H70" s="337"/>
      <c r="I70" s="337"/>
      <c r="J70" s="337"/>
      <c r="K70" s="337"/>
      <c r="L70" s="337"/>
      <c r="M70" s="338"/>
      <c r="O70" s="336"/>
      <c r="P70" s="337"/>
      <c r="Q70" s="337"/>
      <c r="R70" s="337"/>
      <c r="S70" s="337"/>
      <c r="T70" s="337"/>
      <c r="U70" s="337"/>
      <c r="V70" s="337"/>
      <c r="W70" s="337"/>
      <c r="X70" s="337"/>
      <c r="Y70" s="337"/>
      <c r="Z70" s="338"/>
    </row>
    <row r="71" spans="2:26" x14ac:dyDescent="0.3">
      <c r="B71" s="336"/>
      <c r="C71" s="337"/>
      <c r="D71" s="337"/>
      <c r="E71" s="337"/>
      <c r="F71" s="337"/>
      <c r="G71" s="337"/>
      <c r="H71" s="337"/>
      <c r="I71" s="337"/>
      <c r="J71" s="337"/>
      <c r="K71" s="337"/>
      <c r="L71" s="337"/>
      <c r="M71" s="338"/>
      <c r="O71" s="336"/>
      <c r="P71" s="337"/>
      <c r="Q71" s="337"/>
      <c r="R71" s="337"/>
      <c r="S71" s="337"/>
      <c r="T71" s="337"/>
      <c r="U71" s="337"/>
      <c r="V71" s="337"/>
      <c r="W71" s="337"/>
      <c r="X71" s="337"/>
      <c r="Y71" s="337"/>
      <c r="Z71" s="338"/>
    </row>
    <row r="72" spans="2:26" x14ac:dyDescent="0.3">
      <c r="B72" s="336"/>
      <c r="C72" s="337"/>
      <c r="D72" s="337"/>
      <c r="E72" s="337"/>
      <c r="F72" s="337"/>
      <c r="G72" s="337"/>
      <c r="H72" s="337"/>
      <c r="I72" s="337"/>
      <c r="J72" s="337"/>
      <c r="K72" s="337"/>
      <c r="L72" s="337"/>
      <c r="M72" s="338"/>
      <c r="O72" s="336"/>
      <c r="P72" s="337"/>
      <c r="Q72" s="337"/>
      <c r="R72" s="337"/>
      <c r="S72" s="337"/>
      <c r="T72" s="337"/>
      <c r="U72" s="337"/>
      <c r="V72" s="337"/>
      <c r="W72" s="337"/>
      <c r="X72" s="337"/>
      <c r="Y72" s="337"/>
      <c r="Z72" s="338"/>
    </row>
    <row r="73" spans="2:26" x14ac:dyDescent="0.3">
      <c r="B73" s="336"/>
      <c r="C73" s="337"/>
      <c r="D73" s="337"/>
      <c r="E73" s="337"/>
      <c r="F73" s="337"/>
      <c r="G73" s="337"/>
      <c r="H73" s="337"/>
      <c r="I73" s="337"/>
      <c r="J73" s="337"/>
      <c r="K73" s="337"/>
      <c r="L73" s="337"/>
      <c r="M73" s="338"/>
      <c r="O73" s="336"/>
      <c r="P73" s="337"/>
      <c r="Q73" s="337"/>
      <c r="R73" s="337"/>
      <c r="S73" s="337"/>
      <c r="T73" s="337"/>
      <c r="U73" s="337"/>
      <c r="V73" s="337"/>
      <c r="W73" s="337"/>
      <c r="X73" s="337"/>
      <c r="Y73" s="337"/>
      <c r="Z73" s="338"/>
    </row>
    <row r="74" spans="2:26" x14ac:dyDescent="0.3">
      <c r="B74" s="336"/>
      <c r="C74" s="337"/>
      <c r="D74" s="337"/>
      <c r="E74" s="337"/>
      <c r="F74" s="337"/>
      <c r="G74" s="337"/>
      <c r="H74" s="337"/>
      <c r="I74" s="337"/>
      <c r="J74" s="337"/>
      <c r="K74" s="337"/>
      <c r="L74" s="337"/>
      <c r="M74" s="338"/>
      <c r="O74" s="336"/>
      <c r="P74" s="337"/>
      <c r="Q74" s="337"/>
      <c r="R74" s="337"/>
      <c r="S74" s="337"/>
      <c r="T74" s="337"/>
      <c r="U74" s="337"/>
      <c r="V74" s="337"/>
      <c r="W74" s="337"/>
      <c r="X74" s="337"/>
      <c r="Y74" s="337"/>
      <c r="Z74" s="338"/>
    </row>
    <row r="75" spans="2:26" x14ac:dyDescent="0.3">
      <c r="B75" s="336"/>
      <c r="C75" s="337"/>
      <c r="D75" s="337"/>
      <c r="E75" s="337"/>
      <c r="F75" s="337"/>
      <c r="G75" s="337"/>
      <c r="H75" s="337"/>
      <c r="I75" s="337"/>
      <c r="J75" s="337"/>
      <c r="K75" s="337"/>
      <c r="L75" s="337"/>
      <c r="M75" s="338"/>
      <c r="O75" s="336"/>
      <c r="P75" s="337"/>
      <c r="Q75" s="337"/>
      <c r="R75" s="337"/>
      <c r="S75" s="337"/>
      <c r="T75" s="337"/>
      <c r="U75" s="337"/>
      <c r="V75" s="337"/>
      <c r="W75" s="337"/>
      <c r="X75" s="337"/>
      <c r="Y75" s="337"/>
      <c r="Z75" s="338"/>
    </row>
    <row r="76" spans="2:26" x14ac:dyDescent="0.3">
      <c r="B76" s="336"/>
      <c r="C76" s="337"/>
      <c r="D76" s="337"/>
      <c r="E76" s="337"/>
      <c r="F76" s="337"/>
      <c r="G76" s="337"/>
      <c r="H76" s="337"/>
      <c r="I76" s="337"/>
      <c r="J76" s="337"/>
      <c r="K76" s="337"/>
      <c r="L76" s="337"/>
      <c r="M76" s="338"/>
      <c r="O76" s="336"/>
      <c r="P76" s="337"/>
      <c r="Q76" s="337"/>
      <c r="R76" s="337"/>
      <c r="S76" s="337"/>
      <c r="T76" s="337"/>
      <c r="U76" s="337"/>
      <c r="V76" s="337"/>
      <c r="W76" s="337"/>
      <c r="X76" s="337"/>
      <c r="Y76" s="337"/>
      <c r="Z76" s="338"/>
    </row>
    <row r="77" spans="2:26" x14ac:dyDescent="0.3">
      <c r="B77" s="336"/>
      <c r="C77" s="337"/>
      <c r="D77" s="337"/>
      <c r="E77" s="337"/>
      <c r="F77" s="337"/>
      <c r="G77" s="337"/>
      <c r="H77" s="337"/>
      <c r="I77" s="337"/>
      <c r="J77" s="337"/>
      <c r="K77" s="337"/>
      <c r="L77" s="337"/>
      <c r="M77" s="338"/>
      <c r="O77" s="336"/>
      <c r="P77" s="337"/>
      <c r="Q77" s="337"/>
      <c r="R77" s="337"/>
      <c r="S77" s="337"/>
      <c r="T77" s="337"/>
      <c r="U77" s="337"/>
      <c r="V77" s="337"/>
      <c r="W77" s="337"/>
      <c r="X77" s="337"/>
      <c r="Y77" s="337"/>
      <c r="Z77" s="338"/>
    </row>
    <row r="78" spans="2:26" x14ac:dyDescent="0.3">
      <c r="B78" s="336"/>
      <c r="C78" s="337"/>
      <c r="D78" s="337"/>
      <c r="E78" s="337"/>
      <c r="F78" s="337"/>
      <c r="G78" s="337"/>
      <c r="H78" s="337"/>
      <c r="I78" s="337"/>
      <c r="J78" s="337"/>
      <c r="K78" s="337"/>
      <c r="L78" s="337"/>
      <c r="M78" s="338"/>
      <c r="O78" s="336"/>
      <c r="P78" s="337"/>
      <c r="Q78" s="337"/>
      <c r="R78" s="337"/>
      <c r="S78" s="337"/>
      <c r="T78" s="337"/>
      <c r="U78" s="337"/>
      <c r="V78" s="337"/>
      <c r="W78" s="337"/>
      <c r="X78" s="337"/>
      <c r="Y78" s="337"/>
      <c r="Z78" s="338"/>
    </row>
    <row r="79" spans="2:26" ht="15" thickBot="1" x14ac:dyDescent="0.35">
      <c r="B79" s="341"/>
      <c r="C79" s="342"/>
      <c r="D79" s="342"/>
      <c r="E79" s="342"/>
      <c r="F79" s="342"/>
      <c r="G79" s="342"/>
      <c r="H79" s="342"/>
      <c r="I79" s="342"/>
      <c r="J79" s="342"/>
      <c r="K79" s="342"/>
      <c r="L79" s="342"/>
      <c r="M79" s="343"/>
      <c r="O79" s="341"/>
      <c r="P79" s="342"/>
      <c r="Q79" s="342"/>
      <c r="R79" s="342"/>
      <c r="S79" s="342"/>
      <c r="T79" s="342"/>
      <c r="U79" s="342"/>
      <c r="V79" s="342"/>
      <c r="W79" s="342"/>
      <c r="X79" s="342"/>
      <c r="Y79" s="342"/>
      <c r="Z79" s="343"/>
    </row>
    <row r="82" spans="2:26" ht="15" thickBot="1" x14ac:dyDescent="0.35"/>
    <row r="83" spans="2:26" x14ac:dyDescent="0.3">
      <c r="B83" s="334"/>
      <c r="C83" s="344"/>
      <c r="D83" s="344"/>
      <c r="E83" s="344"/>
      <c r="F83" s="344"/>
      <c r="G83" s="344"/>
      <c r="H83" s="344"/>
      <c r="I83" s="344"/>
      <c r="J83" s="344"/>
      <c r="K83" s="344"/>
      <c r="L83" s="344"/>
      <c r="M83" s="335"/>
      <c r="O83" s="334"/>
      <c r="P83" s="344"/>
      <c r="Q83" s="344"/>
      <c r="R83" s="344"/>
      <c r="S83" s="344"/>
      <c r="T83" s="344"/>
      <c r="U83" s="344"/>
      <c r="V83" s="344"/>
      <c r="W83" s="344"/>
      <c r="X83" s="344"/>
      <c r="Y83" s="344"/>
      <c r="Z83" s="335"/>
    </row>
    <row r="84" spans="2:26" x14ac:dyDescent="0.3">
      <c r="B84" s="336"/>
      <c r="C84" s="337"/>
      <c r="D84" s="337"/>
      <c r="E84" s="337"/>
      <c r="F84" s="337"/>
      <c r="G84" s="337"/>
      <c r="H84" s="337"/>
      <c r="I84" s="337"/>
      <c r="J84" s="337"/>
      <c r="K84" s="337"/>
      <c r="L84" s="337"/>
      <c r="M84" s="338"/>
      <c r="O84" s="336"/>
      <c r="P84" s="337"/>
      <c r="Q84" s="337"/>
      <c r="R84" s="337"/>
      <c r="S84" s="337"/>
      <c r="T84" s="337"/>
      <c r="U84" s="337"/>
      <c r="V84" s="337"/>
      <c r="W84" s="337"/>
      <c r="X84" s="337"/>
      <c r="Y84" s="337"/>
      <c r="Z84" s="338"/>
    </row>
    <row r="85" spans="2:26" x14ac:dyDescent="0.3">
      <c r="B85" s="336"/>
      <c r="C85" s="337"/>
      <c r="D85" s="337"/>
      <c r="E85" s="337"/>
      <c r="F85" s="337"/>
      <c r="G85" s="337"/>
      <c r="H85" s="337"/>
      <c r="I85" s="337"/>
      <c r="J85" s="337"/>
      <c r="K85" s="337"/>
      <c r="L85" s="337"/>
      <c r="M85" s="338"/>
      <c r="O85" s="336"/>
      <c r="P85" s="337"/>
      <c r="Q85" s="337"/>
      <c r="R85" s="337"/>
      <c r="S85" s="337"/>
      <c r="T85" s="337"/>
      <c r="U85" s="337"/>
      <c r="V85" s="337"/>
      <c r="W85" s="337"/>
      <c r="X85" s="337"/>
      <c r="Y85" s="337"/>
      <c r="Z85" s="338"/>
    </row>
    <row r="86" spans="2:26" x14ac:dyDescent="0.3">
      <c r="B86" s="336"/>
      <c r="C86" s="337"/>
      <c r="D86" s="337"/>
      <c r="E86" s="337"/>
      <c r="F86" s="337"/>
      <c r="G86" s="337"/>
      <c r="H86" s="337"/>
      <c r="I86" s="337"/>
      <c r="J86" s="337"/>
      <c r="K86" s="337"/>
      <c r="L86" s="337"/>
      <c r="M86" s="338"/>
      <c r="O86" s="336"/>
      <c r="P86" s="337"/>
      <c r="Q86" s="337"/>
      <c r="R86" s="337"/>
      <c r="S86" s="337"/>
      <c r="T86" s="337"/>
      <c r="U86" s="337"/>
      <c r="V86" s="337"/>
      <c r="W86" s="337"/>
      <c r="X86" s="337"/>
      <c r="Y86" s="337"/>
      <c r="Z86" s="338"/>
    </row>
    <row r="87" spans="2:26" x14ac:dyDescent="0.3">
      <c r="B87" s="336"/>
      <c r="C87" s="337"/>
      <c r="D87" s="337"/>
      <c r="E87" s="337"/>
      <c r="F87" s="337"/>
      <c r="G87" s="337"/>
      <c r="H87" s="337"/>
      <c r="I87" s="337"/>
      <c r="J87" s="337"/>
      <c r="K87" s="337"/>
      <c r="L87" s="337"/>
      <c r="M87" s="338"/>
      <c r="O87" s="336"/>
      <c r="P87" s="337"/>
      <c r="Q87" s="337"/>
      <c r="R87" s="337"/>
      <c r="S87" s="337"/>
      <c r="T87" s="337"/>
      <c r="U87" s="337"/>
      <c r="V87" s="337"/>
      <c r="W87" s="337"/>
      <c r="X87" s="337"/>
      <c r="Y87" s="337"/>
      <c r="Z87" s="338"/>
    </row>
    <row r="88" spans="2:26" x14ac:dyDescent="0.3">
      <c r="B88" s="336"/>
      <c r="C88" s="337"/>
      <c r="D88" s="337"/>
      <c r="E88" s="337"/>
      <c r="F88" s="337"/>
      <c r="G88" s="337"/>
      <c r="H88" s="337"/>
      <c r="I88" s="337"/>
      <c r="J88" s="337"/>
      <c r="K88" s="337"/>
      <c r="L88" s="337"/>
      <c r="M88" s="338"/>
      <c r="O88" s="336"/>
      <c r="P88" s="337"/>
      <c r="Q88" s="337"/>
      <c r="R88" s="337"/>
      <c r="S88" s="337"/>
      <c r="T88" s="337"/>
      <c r="U88" s="337"/>
      <c r="V88" s="337"/>
      <c r="W88" s="337"/>
      <c r="X88" s="337"/>
      <c r="Y88" s="337"/>
      <c r="Z88" s="338"/>
    </row>
    <row r="89" spans="2:26" x14ac:dyDescent="0.3">
      <c r="B89" s="336"/>
      <c r="C89" s="337"/>
      <c r="D89" s="337"/>
      <c r="E89" s="337"/>
      <c r="F89" s="337"/>
      <c r="G89" s="337"/>
      <c r="H89" s="337"/>
      <c r="I89" s="337"/>
      <c r="J89" s="337"/>
      <c r="K89" s="337"/>
      <c r="L89" s="337"/>
      <c r="M89" s="338"/>
      <c r="O89" s="336"/>
      <c r="P89" s="337"/>
      <c r="Q89" s="337"/>
      <c r="R89" s="337"/>
      <c r="S89" s="337"/>
      <c r="T89" s="337"/>
      <c r="U89" s="337"/>
      <c r="V89" s="337"/>
      <c r="W89" s="337"/>
      <c r="X89" s="337"/>
      <c r="Y89" s="337"/>
      <c r="Z89" s="338"/>
    </row>
    <row r="90" spans="2:26" x14ac:dyDescent="0.3">
      <c r="B90" s="336"/>
      <c r="C90" s="337"/>
      <c r="D90" s="337"/>
      <c r="E90" s="337"/>
      <c r="F90" s="337"/>
      <c r="G90" s="337"/>
      <c r="H90" s="337"/>
      <c r="I90" s="337"/>
      <c r="J90" s="337"/>
      <c r="K90" s="337"/>
      <c r="L90" s="337"/>
      <c r="M90" s="338"/>
      <c r="O90" s="336"/>
      <c r="P90" s="337"/>
      <c r="Q90" s="337"/>
      <c r="R90" s="337"/>
      <c r="S90" s="337"/>
      <c r="T90" s="337"/>
      <c r="U90" s="337"/>
      <c r="V90" s="337"/>
      <c r="W90" s="337"/>
      <c r="X90" s="337"/>
      <c r="Y90" s="337"/>
      <c r="Z90" s="338"/>
    </row>
    <row r="91" spans="2:26" x14ac:dyDescent="0.3">
      <c r="B91" s="336"/>
      <c r="C91" s="337"/>
      <c r="D91" s="337"/>
      <c r="E91" s="337"/>
      <c r="F91" s="337"/>
      <c r="G91" s="337"/>
      <c r="H91" s="337"/>
      <c r="I91" s="337"/>
      <c r="J91" s="337"/>
      <c r="K91" s="337"/>
      <c r="L91" s="337"/>
      <c r="M91" s="338"/>
      <c r="O91" s="336"/>
      <c r="P91" s="337"/>
      <c r="Q91" s="337"/>
      <c r="R91" s="337"/>
      <c r="S91" s="337"/>
      <c r="T91" s="337"/>
      <c r="U91" s="337"/>
      <c r="V91" s="337"/>
      <c r="W91" s="337"/>
      <c r="X91" s="337"/>
      <c r="Y91" s="337"/>
      <c r="Z91" s="338"/>
    </row>
    <row r="92" spans="2:26" x14ac:dyDescent="0.3">
      <c r="B92" s="336"/>
      <c r="C92" s="337"/>
      <c r="D92" s="337"/>
      <c r="E92" s="337"/>
      <c r="F92" s="337"/>
      <c r="G92" s="337"/>
      <c r="H92" s="337"/>
      <c r="I92" s="337"/>
      <c r="J92" s="337"/>
      <c r="K92" s="337"/>
      <c r="L92" s="337"/>
      <c r="M92" s="338"/>
      <c r="O92" s="336"/>
      <c r="P92" s="337"/>
      <c r="Q92" s="337"/>
      <c r="R92" s="337"/>
      <c r="S92" s="337"/>
      <c r="T92" s="337"/>
      <c r="U92" s="337"/>
      <c r="V92" s="337"/>
      <c r="W92" s="337"/>
      <c r="X92" s="337"/>
      <c r="Y92" s="337"/>
      <c r="Z92" s="338"/>
    </row>
    <row r="93" spans="2:26" x14ac:dyDescent="0.3">
      <c r="B93" s="336"/>
      <c r="C93" s="337"/>
      <c r="D93" s="337"/>
      <c r="E93" s="337"/>
      <c r="F93" s="337"/>
      <c r="G93" s="337"/>
      <c r="H93" s="337"/>
      <c r="I93" s="337"/>
      <c r="J93" s="337"/>
      <c r="K93" s="337"/>
      <c r="L93" s="337"/>
      <c r="M93" s="338"/>
      <c r="O93" s="336"/>
      <c r="P93" s="337"/>
      <c r="Q93" s="337"/>
      <c r="R93" s="337"/>
      <c r="S93" s="337"/>
      <c r="T93" s="337"/>
      <c r="U93" s="337"/>
      <c r="V93" s="337"/>
      <c r="W93" s="337"/>
      <c r="X93" s="337"/>
      <c r="Y93" s="337"/>
      <c r="Z93" s="338"/>
    </row>
    <row r="94" spans="2:26" x14ac:dyDescent="0.3">
      <c r="B94" s="336"/>
      <c r="C94" s="337"/>
      <c r="D94" s="337"/>
      <c r="E94" s="337"/>
      <c r="F94" s="337"/>
      <c r="G94" s="337"/>
      <c r="H94" s="337"/>
      <c r="I94" s="337"/>
      <c r="J94" s="337"/>
      <c r="K94" s="337"/>
      <c r="L94" s="337"/>
      <c r="M94" s="338"/>
      <c r="O94" s="336"/>
      <c r="P94" s="337"/>
      <c r="Q94" s="337"/>
      <c r="R94" s="337"/>
      <c r="S94" s="337"/>
      <c r="T94" s="337"/>
      <c r="U94" s="337"/>
      <c r="V94" s="337"/>
      <c r="W94" s="337"/>
      <c r="X94" s="337"/>
      <c r="Y94" s="337"/>
      <c r="Z94" s="338"/>
    </row>
    <row r="95" spans="2:26" x14ac:dyDescent="0.3">
      <c r="B95" s="336"/>
      <c r="C95" s="337"/>
      <c r="D95" s="337"/>
      <c r="E95" s="337"/>
      <c r="F95" s="337"/>
      <c r="G95" s="337"/>
      <c r="H95" s="337"/>
      <c r="I95" s="337"/>
      <c r="J95" s="337"/>
      <c r="K95" s="337"/>
      <c r="L95" s="337"/>
      <c r="M95" s="338"/>
      <c r="O95" s="336"/>
      <c r="P95" s="337"/>
      <c r="Q95" s="337"/>
      <c r="R95" s="337"/>
      <c r="S95" s="337"/>
      <c r="T95" s="337"/>
      <c r="U95" s="337"/>
      <c r="V95" s="337"/>
      <c r="W95" s="337"/>
      <c r="X95" s="337"/>
      <c r="Y95" s="337"/>
      <c r="Z95" s="338"/>
    </row>
    <row r="96" spans="2:26" x14ac:dyDescent="0.3">
      <c r="B96" s="336"/>
      <c r="C96" s="337"/>
      <c r="D96" s="337"/>
      <c r="E96" s="337"/>
      <c r="F96" s="337"/>
      <c r="G96" s="337"/>
      <c r="H96" s="337"/>
      <c r="I96" s="337"/>
      <c r="J96" s="337"/>
      <c r="K96" s="337"/>
      <c r="L96" s="337"/>
      <c r="M96" s="338"/>
      <c r="O96" s="336"/>
      <c r="P96" s="337"/>
      <c r="Q96" s="337"/>
      <c r="R96" s="337"/>
      <c r="S96" s="337"/>
      <c r="T96" s="337"/>
      <c r="U96" s="337"/>
      <c r="V96" s="337"/>
      <c r="W96" s="337"/>
      <c r="X96" s="337"/>
      <c r="Y96" s="337"/>
      <c r="Z96" s="338"/>
    </row>
    <row r="97" spans="2:26" x14ac:dyDescent="0.3">
      <c r="B97" s="336"/>
      <c r="C97" s="337"/>
      <c r="D97" s="337"/>
      <c r="E97" s="337"/>
      <c r="F97" s="337"/>
      <c r="G97" s="337"/>
      <c r="H97" s="337"/>
      <c r="I97" s="337"/>
      <c r="J97" s="337"/>
      <c r="K97" s="337"/>
      <c r="L97" s="337"/>
      <c r="M97" s="338"/>
      <c r="O97" s="336"/>
      <c r="P97" s="337"/>
      <c r="Q97" s="337"/>
      <c r="R97" s="337"/>
      <c r="S97" s="337"/>
      <c r="T97" s="337"/>
      <c r="U97" s="337"/>
      <c r="V97" s="337"/>
      <c r="W97" s="337"/>
      <c r="X97" s="337"/>
      <c r="Y97" s="337"/>
      <c r="Z97" s="338"/>
    </row>
    <row r="98" spans="2:26" x14ac:dyDescent="0.3">
      <c r="B98" s="336"/>
      <c r="C98" s="337"/>
      <c r="D98" s="337"/>
      <c r="E98" s="337"/>
      <c r="F98" s="337"/>
      <c r="G98" s="337"/>
      <c r="H98" s="337"/>
      <c r="I98" s="337"/>
      <c r="J98" s="337"/>
      <c r="K98" s="337"/>
      <c r="L98" s="337"/>
      <c r="M98" s="338"/>
      <c r="O98" s="336"/>
      <c r="P98" s="337"/>
      <c r="Q98" s="337"/>
      <c r="R98" s="337"/>
      <c r="S98" s="337"/>
      <c r="T98" s="337"/>
      <c r="U98" s="337"/>
      <c r="V98" s="337"/>
      <c r="W98" s="337"/>
      <c r="X98" s="337"/>
      <c r="Y98" s="337"/>
      <c r="Z98" s="338"/>
    </row>
    <row r="99" spans="2:26" x14ac:dyDescent="0.3">
      <c r="B99" s="336"/>
      <c r="C99" s="337"/>
      <c r="D99" s="337"/>
      <c r="E99" s="337"/>
      <c r="F99" s="337"/>
      <c r="G99" s="337"/>
      <c r="H99" s="337"/>
      <c r="I99" s="337"/>
      <c r="J99" s="337"/>
      <c r="K99" s="337"/>
      <c r="L99" s="337"/>
      <c r="M99" s="338"/>
      <c r="O99" s="336"/>
      <c r="P99" s="337"/>
      <c r="Q99" s="337"/>
      <c r="R99" s="337"/>
      <c r="S99" s="337"/>
      <c r="T99" s="337"/>
      <c r="U99" s="337"/>
      <c r="V99" s="337"/>
      <c r="W99" s="337"/>
      <c r="X99" s="337"/>
      <c r="Y99" s="337"/>
      <c r="Z99" s="338"/>
    </row>
    <row r="100" spans="2:26" x14ac:dyDescent="0.3">
      <c r="B100" s="336"/>
      <c r="C100" s="337"/>
      <c r="D100" s="337"/>
      <c r="E100" s="337"/>
      <c r="F100" s="337"/>
      <c r="G100" s="337"/>
      <c r="H100" s="337"/>
      <c r="I100" s="337"/>
      <c r="J100" s="337"/>
      <c r="K100" s="337"/>
      <c r="L100" s="337"/>
      <c r="M100" s="338"/>
      <c r="O100" s="336"/>
      <c r="P100" s="337"/>
      <c r="Q100" s="337"/>
      <c r="R100" s="337"/>
      <c r="S100" s="337"/>
      <c r="T100" s="337"/>
      <c r="U100" s="337"/>
      <c r="V100" s="337"/>
      <c r="W100" s="337"/>
      <c r="X100" s="337"/>
      <c r="Y100" s="337"/>
      <c r="Z100" s="338"/>
    </row>
    <row r="101" spans="2:26" x14ac:dyDescent="0.3">
      <c r="B101" s="336"/>
      <c r="C101" s="337"/>
      <c r="D101" s="337"/>
      <c r="E101" s="337"/>
      <c r="F101" s="337"/>
      <c r="G101" s="337"/>
      <c r="H101" s="337"/>
      <c r="I101" s="337"/>
      <c r="J101" s="337"/>
      <c r="K101" s="337"/>
      <c r="L101" s="337"/>
      <c r="M101" s="338"/>
      <c r="O101" s="336"/>
      <c r="P101" s="337"/>
      <c r="Q101" s="337"/>
      <c r="R101" s="337"/>
      <c r="S101" s="337"/>
      <c r="T101" s="337"/>
      <c r="U101" s="337"/>
      <c r="V101" s="337"/>
      <c r="W101" s="337"/>
      <c r="X101" s="337"/>
      <c r="Y101" s="337"/>
      <c r="Z101" s="338"/>
    </row>
    <row r="102" spans="2:26" x14ac:dyDescent="0.3">
      <c r="B102" s="336"/>
      <c r="C102" s="337"/>
      <c r="D102" s="337"/>
      <c r="E102" s="337"/>
      <c r="F102" s="337"/>
      <c r="G102" s="337"/>
      <c r="H102" s="337"/>
      <c r="I102" s="337"/>
      <c r="J102" s="337"/>
      <c r="K102" s="337"/>
      <c r="L102" s="337"/>
      <c r="M102" s="338"/>
      <c r="O102" s="336"/>
      <c r="P102" s="337"/>
      <c r="Q102" s="337"/>
      <c r="R102" s="337"/>
      <c r="S102" s="337"/>
      <c r="T102" s="337"/>
      <c r="U102" s="337"/>
      <c r="V102" s="337"/>
      <c r="W102" s="337"/>
      <c r="X102" s="337"/>
      <c r="Y102" s="337"/>
      <c r="Z102" s="338"/>
    </row>
    <row r="103" spans="2:26" x14ac:dyDescent="0.3">
      <c r="B103" s="336"/>
      <c r="C103" s="337"/>
      <c r="D103" s="337"/>
      <c r="E103" s="337"/>
      <c r="F103" s="337"/>
      <c r="G103" s="337"/>
      <c r="H103" s="337"/>
      <c r="I103" s="337"/>
      <c r="J103" s="337"/>
      <c r="K103" s="337"/>
      <c r="L103" s="337"/>
      <c r="M103" s="338"/>
      <c r="O103" s="336"/>
      <c r="P103" s="337"/>
      <c r="Q103" s="337"/>
      <c r="R103" s="337"/>
      <c r="S103" s="337"/>
      <c r="T103" s="337"/>
      <c r="U103" s="337"/>
      <c r="V103" s="337"/>
      <c r="W103" s="337"/>
      <c r="X103" s="337"/>
      <c r="Y103" s="337"/>
      <c r="Z103" s="338"/>
    </row>
    <row r="104" spans="2:26" x14ac:dyDescent="0.3">
      <c r="B104" s="336"/>
      <c r="C104" s="337"/>
      <c r="D104" s="337"/>
      <c r="E104" s="337"/>
      <c r="F104" s="337"/>
      <c r="G104" s="337"/>
      <c r="H104" s="337"/>
      <c r="I104" s="337"/>
      <c r="J104" s="337"/>
      <c r="K104" s="337"/>
      <c r="L104" s="337"/>
      <c r="M104" s="338"/>
      <c r="O104" s="336"/>
      <c r="P104" s="337"/>
      <c r="Q104" s="337"/>
      <c r="R104" s="337"/>
      <c r="S104" s="337"/>
      <c r="T104" s="337"/>
      <c r="U104" s="337"/>
      <c r="V104" s="337"/>
      <c r="W104" s="337"/>
      <c r="X104" s="337"/>
      <c r="Y104" s="337"/>
      <c r="Z104" s="338"/>
    </row>
    <row r="105" spans="2:26" x14ac:dyDescent="0.3">
      <c r="B105" s="336"/>
      <c r="C105" s="337"/>
      <c r="D105" s="337"/>
      <c r="E105" s="337"/>
      <c r="F105" s="337"/>
      <c r="G105" s="337"/>
      <c r="H105" s="337"/>
      <c r="I105" s="337"/>
      <c r="J105" s="337"/>
      <c r="K105" s="337"/>
      <c r="L105" s="337"/>
      <c r="M105" s="338"/>
      <c r="O105" s="336"/>
      <c r="P105" s="337"/>
      <c r="Q105" s="337"/>
      <c r="R105" s="337"/>
      <c r="S105" s="337"/>
      <c r="T105" s="337"/>
      <c r="U105" s="337"/>
      <c r="V105" s="337"/>
      <c r="W105" s="337"/>
      <c r="X105" s="337"/>
      <c r="Y105" s="337"/>
      <c r="Z105" s="338"/>
    </row>
    <row r="106" spans="2:26" x14ac:dyDescent="0.3">
      <c r="B106" s="336"/>
      <c r="C106" s="337"/>
      <c r="D106" s="337"/>
      <c r="E106" s="337"/>
      <c r="F106" s="337"/>
      <c r="G106" s="337"/>
      <c r="H106" s="337"/>
      <c r="I106" s="337"/>
      <c r="J106" s="337"/>
      <c r="K106" s="337"/>
      <c r="L106" s="337"/>
      <c r="M106" s="338"/>
      <c r="O106" s="336"/>
      <c r="P106" s="337"/>
      <c r="Q106" s="337"/>
      <c r="R106" s="337"/>
      <c r="S106" s="337"/>
      <c r="T106" s="337"/>
      <c r="U106" s="337"/>
      <c r="V106" s="337"/>
      <c r="W106" s="337"/>
      <c r="X106" s="337"/>
      <c r="Y106" s="337"/>
      <c r="Z106" s="338"/>
    </row>
    <row r="107" spans="2:26" x14ac:dyDescent="0.3">
      <c r="B107" s="336"/>
      <c r="C107" s="337"/>
      <c r="D107" s="337"/>
      <c r="E107" s="337"/>
      <c r="F107" s="337"/>
      <c r="G107" s="337"/>
      <c r="H107" s="337"/>
      <c r="I107" s="337"/>
      <c r="J107" s="337"/>
      <c r="K107" s="337"/>
      <c r="L107" s="337"/>
      <c r="M107" s="338"/>
      <c r="O107" s="336"/>
      <c r="P107" s="337"/>
      <c r="Q107" s="337"/>
      <c r="R107" s="337"/>
      <c r="S107" s="337"/>
      <c r="T107" s="337"/>
      <c r="U107" s="337"/>
      <c r="V107" s="337"/>
      <c r="W107" s="337"/>
      <c r="X107" s="337"/>
      <c r="Y107" s="337"/>
      <c r="Z107" s="338"/>
    </row>
    <row r="108" spans="2:26" x14ac:dyDescent="0.3">
      <c r="B108" s="336"/>
      <c r="C108" s="337"/>
      <c r="D108" s="337"/>
      <c r="E108" s="337"/>
      <c r="F108" s="337"/>
      <c r="G108" s="337"/>
      <c r="H108" s="337"/>
      <c r="I108" s="337"/>
      <c r="J108" s="337"/>
      <c r="K108" s="337"/>
      <c r="L108" s="337"/>
      <c r="M108" s="338"/>
      <c r="O108" s="336"/>
      <c r="P108" s="337"/>
      <c r="Q108" s="337"/>
      <c r="R108" s="337"/>
      <c r="S108" s="337"/>
      <c r="T108" s="337"/>
      <c r="U108" s="337"/>
      <c r="V108" s="337"/>
      <c r="W108" s="337"/>
      <c r="X108" s="337"/>
      <c r="Y108" s="337"/>
      <c r="Z108" s="338"/>
    </row>
    <row r="109" spans="2:26" x14ac:dyDescent="0.3">
      <c r="B109" s="336"/>
      <c r="C109" s="337"/>
      <c r="D109" s="337"/>
      <c r="E109" s="337"/>
      <c r="F109" s="337"/>
      <c r="G109" s="337"/>
      <c r="H109" s="337"/>
      <c r="I109" s="337"/>
      <c r="J109" s="337"/>
      <c r="K109" s="337"/>
      <c r="L109" s="337"/>
      <c r="M109" s="338"/>
      <c r="O109" s="336"/>
      <c r="P109" s="337"/>
      <c r="Q109" s="337"/>
      <c r="R109" s="337"/>
      <c r="S109" s="337"/>
      <c r="T109" s="337"/>
      <c r="U109" s="337"/>
      <c r="V109" s="337"/>
      <c r="W109" s="337"/>
      <c r="X109" s="337"/>
      <c r="Y109" s="337"/>
      <c r="Z109" s="338"/>
    </row>
    <row r="110" spans="2:26" x14ac:dyDescent="0.3">
      <c r="B110" s="336"/>
      <c r="C110" s="337"/>
      <c r="D110" s="337"/>
      <c r="E110" s="337"/>
      <c r="F110" s="337"/>
      <c r="G110" s="337"/>
      <c r="H110" s="337"/>
      <c r="I110" s="337"/>
      <c r="J110" s="337"/>
      <c r="K110" s="337"/>
      <c r="L110" s="337"/>
      <c r="M110" s="338"/>
      <c r="O110" s="336"/>
      <c r="P110" s="337"/>
      <c r="Q110" s="337"/>
      <c r="R110" s="337"/>
      <c r="S110" s="337"/>
      <c r="T110" s="337"/>
      <c r="U110" s="337"/>
      <c r="V110" s="337"/>
      <c r="W110" s="337"/>
      <c r="X110" s="337"/>
      <c r="Y110" s="337"/>
      <c r="Z110" s="338"/>
    </row>
    <row r="111" spans="2:26" x14ac:dyDescent="0.3">
      <c r="B111" s="336"/>
      <c r="C111" s="337"/>
      <c r="D111" s="337"/>
      <c r="E111" s="337"/>
      <c r="F111" s="337"/>
      <c r="G111" s="337"/>
      <c r="H111" s="337"/>
      <c r="I111" s="337"/>
      <c r="J111" s="337"/>
      <c r="K111" s="337"/>
      <c r="L111" s="337"/>
      <c r="M111" s="338"/>
      <c r="O111" s="336"/>
      <c r="P111" s="337"/>
      <c r="Q111" s="337"/>
      <c r="R111" s="337"/>
      <c r="S111" s="337"/>
      <c r="T111" s="337"/>
      <c r="U111" s="337"/>
      <c r="V111" s="337"/>
      <c r="W111" s="337"/>
      <c r="X111" s="337"/>
      <c r="Y111" s="337"/>
      <c r="Z111" s="338"/>
    </row>
    <row r="112" spans="2:26" x14ac:dyDescent="0.3">
      <c r="B112" s="336"/>
      <c r="C112" s="337"/>
      <c r="D112" s="337"/>
      <c r="E112" s="337"/>
      <c r="F112" s="337"/>
      <c r="G112" s="337"/>
      <c r="H112" s="337"/>
      <c r="I112" s="337"/>
      <c r="J112" s="337"/>
      <c r="K112" s="337"/>
      <c r="L112" s="337"/>
      <c r="M112" s="338"/>
      <c r="O112" s="336"/>
      <c r="P112" s="337"/>
      <c r="Q112" s="337"/>
      <c r="R112" s="337"/>
      <c r="S112" s="337"/>
      <c r="T112" s="337"/>
      <c r="U112" s="337"/>
      <c r="V112" s="337"/>
      <c r="W112" s="337"/>
      <c r="X112" s="337"/>
      <c r="Y112" s="337"/>
      <c r="Z112" s="338"/>
    </row>
    <row r="113" spans="2:26" x14ac:dyDescent="0.3">
      <c r="B113" s="336"/>
      <c r="C113" s="337"/>
      <c r="D113" s="337"/>
      <c r="E113" s="337"/>
      <c r="F113" s="337"/>
      <c r="G113" s="337"/>
      <c r="H113" s="337"/>
      <c r="I113" s="337"/>
      <c r="J113" s="337"/>
      <c r="K113" s="337"/>
      <c r="L113" s="337"/>
      <c r="M113" s="338"/>
      <c r="O113" s="336"/>
      <c r="P113" s="337"/>
      <c r="Q113" s="337"/>
      <c r="R113" s="337"/>
      <c r="S113" s="337"/>
      <c r="T113" s="337"/>
      <c r="U113" s="337"/>
      <c r="V113" s="337"/>
      <c r="W113" s="337"/>
      <c r="X113" s="337"/>
      <c r="Y113" s="337"/>
      <c r="Z113" s="338"/>
    </row>
    <row r="114" spans="2:26" x14ac:dyDescent="0.3">
      <c r="B114" s="336"/>
      <c r="C114" s="337"/>
      <c r="D114" s="337"/>
      <c r="E114" s="337"/>
      <c r="F114" s="337"/>
      <c r="G114" s="337"/>
      <c r="H114" s="337"/>
      <c r="I114" s="337"/>
      <c r="J114" s="337"/>
      <c r="K114" s="337"/>
      <c r="L114" s="337"/>
      <c r="M114" s="338"/>
      <c r="O114" s="336"/>
      <c r="P114" s="337"/>
      <c r="Q114" s="337"/>
      <c r="R114" s="337"/>
      <c r="S114" s="337"/>
      <c r="T114" s="337"/>
      <c r="U114" s="337"/>
      <c r="V114" s="337"/>
      <c r="W114" s="337"/>
      <c r="X114" s="337"/>
      <c r="Y114" s="337"/>
      <c r="Z114" s="338"/>
    </row>
    <row r="115" spans="2:26" x14ac:dyDescent="0.3">
      <c r="B115" s="336"/>
      <c r="C115" s="337"/>
      <c r="D115" s="337"/>
      <c r="E115" s="337"/>
      <c r="F115" s="337"/>
      <c r="G115" s="337"/>
      <c r="H115" s="337"/>
      <c r="I115" s="337"/>
      <c r="J115" s="337"/>
      <c r="K115" s="337"/>
      <c r="L115" s="337"/>
      <c r="M115" s="338"/>
      <c r="O115" s="336"/>
      <c r="P115" s="337"/>
      <c r="Q115" s="337"/>
      <c r="R115" s="337"/>
      <c r="S115" s="337"/>
      <c r="T115" s="337"/>
      <c r="U115" s="337"/>
      <c r="V115" s="337"/>
      <c r="W115" s="337"/>
      <c r="X115" s="337"/>
      <c r="Y115" s="337"/>
      <c r="Z115" s="338"/>
    </row>
    <row r="116" spans="2:26" x14ac:dyDescent="0.3">
      <c r="B116" s="336"/>
      <c r="C116" s="337"/>
      <c r="D116" s="337"/>
      <c r="E116" s="337"/>
      <c r="F116" s="337"/>
      <c r="G116" s="337"/>
      <c r="H116" s="337"/>
      <c r="I116" s="337"/>
      <c r="J116" s="337"/>
      <c r="K116" s="337"/>
      <c r="L116" s="337"/>
      <c r="M116" s="338"/>
      <c r="O116" s="336"/>
      <c r="P116" s="337"/>
      <c r="Q116" s="337"/>
      <c r="R116" s="337"/>
      <c r="S116" s="337"/>
      <c r="T116" s="337"/>
      <c r="U116" s="337"/>
      <c r="V116" s="337"/>
      <c r="W116" s="337"/>
      <c r="X116" s="337"/>
      <c r="Y116" s="337"/>
      <c r="Z116" s="338"/>
    </row>
    <row r="117" spans="2:26" x14ac:dyDescent="0.3">
      <c r="B117" s="336"/>
      <c r="C117" s="337"/>
      <c r="D117" s="337"/>
      <c r="E117" s="337"/>
      <c r="F117" s="337"/>
      <c r="G117" s="337"/>
      <c r="H117" s="337"/>
      <c r="I117" s="337"/>
      <c r="J117" s="337"/>
      <c r="K117" s="337"/>
      <c r="L117" s="337"/>
      <c r="M117" s="338"/>
      <c r="O117" s="336"/>
      <c r="P117" s="337"/>
      <c r="Q117" s="337"/>
      <c r="R117" s="337"/>
      <c r="S117" s="337"/>
      <c r="T117" s="337"/>
      <c r="U117" s="337"/>
      <c r="V117" s="337"/>
      <c r="W117" s="337"/>
      <c r="X117" s="337"/>
      <c r="Y117" s="337"/>
      <c r="Z117" s="338"/>
    </row>
    <row r="118" spans="2:26" x14ac:dyDescent="0.3">
      <c r="B118" s="336"/>
      <c r="C118" s="337"/>
      <c r="D118" s="337"/>
      <c r="E118" s="337"/>
      <c r="F118" s="337"/>
      <c r="G118" s="337"/>
      <c r="H118" s="337"/>
      <c r="I118" s="337"/>
      <c r="J118" s="337"/>
      <c r="K118" s="337"/>
      <c r="L118" s="337"/>
      <c r="M118" s="338"/>
      <c r="O118" s="336"/>
      <c r="P118" s="337"/>
      <c r="Q118" s="337"/>
      <c r="R118" s="337"/>
      <c r="S118" s="337"/>
      <c r="T118" s="337"/>
      <c r="U118" s="337"/>
      <c r="V118" s="337"/>
      <c r="W118" s="337"/>
      <c r="X118" s="337"/>
      <c r="Y118" s="337"/>
      <c r="Z118" s="338"/>
    </row>
    <row r="119" spans="2:26" x14ac:dyDescent="0.3">
      <c r="B119" s="336"/>
      <c r="C119" s="337"/>
      <c r="D119" s="337"/>
      <c r="E119" s="337"/>
      <c r="F119" s="337"/>
      <c r="G119" s="337"/>
      <c r="H119" s="337"/>
      <c r="I119" s="337"/>
      <c r="J119" s="337"/>
      <c r="K119" s="337"/>
      <c r="L119" s="337"/>
      <c r="M119" s="338"/>
      <c r="O119" s="336"/>
      <c r="P119" s="337"/>
      <c r="Q119" s="337"/>
      <c r="R119" s="337"/>
      <c r="S119" s="337"/>
      <c r="T119" s="337"/>
      <c r="U119" s="337"/>
      <c r="V119" s="337"/>
      <c r="W119" s="337"/>
      <c r="X119" s="337"/>
      <c r="Y119" s="337"/>
      <c r="Z119" s="338"/>
    </row>
    <row r="120" spans="2:26" x14ac:dyDescent="0.3">
      <c r="B120" s="336"/>
      <c r="C120" s="337"/>
      <c r="D120" s="337"/>
      <c r="E120" s="337"/>
      <c r="F120" s="337"/>
      <c r="G120" s="337"/>
      <c r="H120" s="337"/>
      <c r="I120" s="337"/>
      <c r="J120" s="337"/>
      <c r="K120" s="337"/>
      <c r="L120" s="337"/>
      <c r="M120" s="338"/>
      <c r="O120" s="336"/>
      <c r="P120" s="337"/>
      <c r="Q120" s="337"/>
      <c r="R120" s="337"/>
      <c r="S120" s="337"/>
      <c r="T120" s="337"/>
      <c r="U120" s="337"/>
      <c r="V120" s="337"/>
      <c r="W120" s="337"/>
      <c r="X120" s="337"/>
      <c r="Y120" s="337"/>
      <c r="Z120" s="338"/>
    </row>
    <row r="121" spans="2:26" x14ac:dyDescent="0.3">
      <c r="B121" s="336"/>
      <c r="C121" s="337"/>
      <c r="D121" s="337"/>
      <c r="E121" s="337"/>
      <c r="F121" s="337"/>
      <c r="G121" s="337"/>
      <c r="H121" s="337"/>
      <c r="I121" s="337"/>
      <c r="J121" s="337"/>
      <c r="K121" s="337"/>
      <c r="L121" s="337"/>
      <c r="M121" s="338"/>
      <c r="O121" s="336"/>
      <c r="P121" s="337"/>
      <c r="Q121" s="337"/>
      <c r="R121" s="337"/>
      <c r="S121" s="337"/>
      <c r="T121" s="337"/>
      <c r="U121" s="337"/>
      <c r="V121" s="337"/>
      <c r="W121" s="337"/>
      <c r="X121" s="337"/>
      <c r="Y121" s="337"/>
      <c r="Z121" s="338"/>
    </row>
    <row r="122" spans="2:26" x14ac:dyDescent="0.3">
      <c r="B122" s="336"/>
      <c r="C122" s="337"/>
      <c r="D122" s="337"/>
      <c r="E122" s="337"/>
      <c r="F122" s="337"/>
      <c r="G122" s="337"/>
      <c r="H122" s="337"/>
      <c r="I122" s="337"/>
      <c r="J122" s="337"/>
      <c r="K122" s="337"/>
      <c r="L122" s="337"/>
      <c r="M122" s="338"/>
      <c r="O122" s="336"/>
      <c r="P122" s="337"/>
      <c r="Q122" s="337"/>
      <c r="R122" s="337"/>
      <c r="S122" s="337"/>
      <c r="T122" s="337"/>
      <c r="U122" s="337"/>
      <c r="V122" s="337"/>
      <c r="W122" s="337"/>
      <c r="X122" s="337"/>
      <c r="Y122" s="337"/>
      <c r="Z122" s="338"/>
    </row>
    <row r="123" spans="2:26" x14ac:dyDescent="0.3">
      <c r="B123" s="336"/>
      <c r="C123" s="337"/>
      <c r="D123" s="337"/>
      <c r="E123" s="337"/>
      <c r="F123" s="337"/>
      <c r="G123" s="337"/>
      <c r="H123" s="337"/>
      <c r="I123" s="337"/>
      <c r="J123" s="337"/>
      <c r="K123" s="337"/>
      <c r="L123" s="337"/>
      <c r="M123" s="338"/>
      <c r="O123" s="336"/>
      <c r="P123" s="337"/>
      <c r="Q123" s="337"/>
      <c r="R123" s="337"/>
      <c r="S123" s="337"/>
      <c r="T123" s="337"/>
      <c r="U123" s="337"/>
      <c r="V123" s="337"/>
      <c r="W123" s="337"/>
      <c r="X123" s="337"/>
      <c r="Y123" s="337"/>
      <c r="Z123" s="338"/>
    </row>
    <row r="124" spans="2:26" x14ac:dyDescent="0.3">
      <c r="B124" s="336"/>
      <c r="C124" s="337"/>
      <c r="D124" s="337"/>
      <c r="E124" s="337"/>
      <c r="F124" s="337"/>
      <c r="G124" s="337"/>
      <c r="H124" s="337"/>
      <c r="I124" s="337"/>
      <c r="J124" s="337"/>
      <c r="K124" s="337"/>
      <c r="L124" s="337"/>
      <c r="M124" s="338"/>
      <c r="O124" s="336"/>
      <c r="P124" s="337"/>
      <c r="Q124" s="337"/>
      <c r="R124" s="337"/>
      <c r="S124" s="337"/>
      <c r="T124" s="337"/>
      <c r="U124" s="337"/>
      <c r="V124" s="337"/>
      <c r="W124" s="337"/>
      <c r="X124" s="337"/>
      <c r="Y124" s="337"/>
      <c r="Z124" s="338"/>
    </row>
    <row r="125" spans="2:26" x14ac:dyDescent="0.3">
      <c r="B125" s="336"/>
      <c r="C125" s="337"/>
      <c r="D125" s="337"/>
      <c r="E125" s="337"/>
      <c r="F125" s="337"/>
      <c r="G125" s="337"/>
      <c r="H125" s="337"/>
      <c r="I125" s="337"/>
      <c r="J125" s="337"/>
      <c r="K125" s="337"/>
      <c r="L125" s="337"/>
      <c r="M125" s="338"/>
      <c r="O125" s="336"/>
      <c r="P125" s="337"/>
      <c r="Q125" s="337"/>
      <c r="R125" s="337"/>
      <c r="S125" s="337"/>
      <c r="T125" s="337"/>
      <c r="U125" s="337"/>
      <c r="V125" s="337"/>
      <c r="W125" s="337"/>
      <c r="X125" s="337"/>
      <c r="Y125" s="337"/>
      <c r="Z125" s="338"/>
    </row>
    <row r="126" spans="2:26" x14ac:dyDescent="0.3">
      <c r="B126" s="336"/>
      <c r="C126" s="337"/>
      <c r="D126" s="337"/>
      <c r="E126" s="337"/>
      <c r="F126" s="337"/>
      <c r="G126" s="337"/>
      <c r="H126" s="337"/>
      <c r="I126" s="337"/>
      <c r="J126" s="337"/>
      <c r="K126" s="337"/>
      <c r="L126" s="337"/>
      <c r="M126" s="338"/>
      <c r="O126" s="336"/>
      <c r="P126" s="337"/>
      <c r="Q126" s="337"/>
      <c r="R126" s="337"/>
      <c r="S126" s="337"/>
      <c r="T126" s="337"/>
      <c r="U126" s="337"/>
      <c r="V126" s="337"/>
      <c r="W126" s="337"/>
      <c r="X126" s="337"/>
      <c r="Y126" s="337"/>
      <c r="Z126" s="338"/>
    </row>
    <row r="127" spans="2:26" x14ac:dyDescent="0.3">
      <c r="B127" s="336"/>
      <c r="C127" s="337"/>
      <c r="D127" s="337"/>
      <c r="E127" s="337"/>
      <c r="F127" s="337"/>
      <c r="G127" s="337"/>
      <c r="H127" s="337"/>
      <c r="I127" s="337"/>
      <c r="J127" s="337"/>
      <c r="K127" s="337"/>
      <c r="L127" s="337"/>
      <c r="M127" s="338"/>
      <c r="O127" s="336"/>
      <c r="P127" s="337"/>
      <c r="Q127" s="337"/>
      <c r="R127" s="337"/>
      <c r="S127" s="337"/>
      <c r="T127" s="337"/>
      <c r="U127" s="337"/>
      <c r="V127" s="337"/>
      <c r="W127" s="337"/>
      <c r="X127" s="337"/>
      <c r="Y127" s="337"/>
      <c r="Z127" s="338"/>
    </row>
    <row r="128" spans="2:26" x14ac:dyDescent="0.3">
      <c r="B128" s="336"/>
      <c r="C128" s="337"/>
      <c r="D128" s="337"/>
      <c r="E128" s="337"/>
      <c r="F128" s="337"/>
      <c r="G128" s="337"/>
      <c r="H128" s="337"/>
      <c r="I128" s="337"/>
      <c r="J128" s="337"/>
      <c r="K128" s="337"/>
      <c r="L128" s="337"/>
      <c r="M128" s="338"/>
      <c r="O128" s="336"/>
      <c r="P128" s="337"/>
      <c r="Q128" s="337"/>
      <c r="R128" s="337"/>
      <c r="S128" s="337"/>
      <c r="T128" s="337"/>
      <c r="U128" s="337"/>
      <c r="V128" s="337"/>
      <c r="W128" s="337"/>
      <c r="X128" s="337"/>
      <c r="Y128" s="337"/>
      <c r="Z128" s="338"/>
    </row>
    <row r="129" spans="2:26" x14ac:dyDescent="0.3">
      <c r="B129" s="336"/>
      <c r="C129" s="337"/>
      <c r="D129" s="337"/>
      <c r="E129" s="337"/>
      <c r="F129" s="337"/>
      <c r="G129" s="337"/>
      <c r="H129" s="337"/>
      <c r="I129" s="337"/>
      <c r="J129" s="337"/>
      <c r="K129" s="337"/>
      <c r="L129" s="337"/>
      <c r="M129" s="338"/>
      <c r="N129" s="337"/>
      <c r="O129" s="336"/>
      <c r="P129" s="337"/>
      <c r="Q129" s="337"/>
      <c r="R129" s="337"/>
      <c r="S129" s="337"/>
      <c r="T129" s="337"/>
      <c r="U129" s="337"/>
      <c r="V129" s="337"/>
      <c r="W129" s="337"/>
      <c r="X129" s="337"/>
      <c r="Y129" s="337"/>
      <c r="Z129" s="338"/>
    </row>
    <row r="130" spans="2:26" ht="15" thickBot="1" x14ac:dyDescent="0.35">
      <c r="B130" s="341"/>
      <c r="C130" s="342"/>
      <c r="D130" s="342"/>
      <c r="E130" s="342"/>
      <c r="F130" s="342"/>
      <c r="G130" s="342"/>
      <c r="H130" s="342"/>
      <c r="I130" s="342"/>
      <c r="J130" s="342"/>
      <c r="K130" s="342"/>
      <c r="L130" s="342"/>
      <c r="M130" s="343"/>
      <c r="N130" s="337"/>
      <c r="O130" s="341"/>
      <c r="P130" s="342"/>
      <c r="Q130" s="342"/>
      <c r="R130" s="342"/>
      <c r="S130" s="342"/>
      <c r="T130" s="342"/>
      <c r="U130" s="342"/>
      <c r="V130" s="342"/>
      <c r="W130" s="342"/>
      <c r="X130" s="342"/>
      <c r="Y130" s="342"/>
      <c r="Z130" s="343"/>
    </row>
  </sheetData>
  <sheetProtection password="B7E1" sheet="1" objects="1" scenarios="1"/>
  <mergeCells count="4">
    <mergeCell ref="B5:G5"/>
    <mergeCell ref="I5:L5"/>
    <mergeCell ref="N5:Q5"/>
    <mergeCell ref="B2:G3"/>
  </mergeCells>
  <pageMargins left="0.70866141732283472" right="0.70866141732283472" top="0.74803149606299213" bottom="0.74803149606299213" header="0.31496062992125984" footer="0.31496062992125984"/>
  <pageSetup paperSize="9" scale="80"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C3E02"/>
    <pageSetUpPr fitToPage="1"/>
  </sheetPr>
  <dimension ref="B1:Z130"/>
  <sheetViews>
    <sheetView topLeftCell="H104" zoomScale="120" zoomScaleNormal="120" workbookViewId="0">
      <selection activeCell="B36" sqref="B1:G36"/>
    </sheetView>
  </sheetViews>
  <sheetFormatPr defaultRowHeight="14.4" x14ac:dyDescent="0.3"/>
  <cols>
    <col min="12" max="12" width="15" customWidth="1"/>
    <col min="13" max="13" width="11.21875" customWidth="1"/>
    <col min="14" max="14" width="15" bestFit="1" customWidth="1"/>
    <col min="25" max="26" width="11.21875" customWidth="1"/>
  </cols>
  <sheetData>
    <row r="1" spans="2:17" ht="15" thickBot="1" x14ac:dyDescent="0.35"/>
    <row r="2" spans="2:17" x14ac:dyDescent="0.3">
      <c r="B2" s="726" t="s">
        <v>271</v>
      </c>
      <c r="C2" s="727"/>
      <c r="D2" s="727"/>
      <c r="E2" s="727"/>
      <c r="F2" s="727"/>
      <c r="G2" s="728"/>
    </row>
    <row r="3" spans="2:17" ht="15" thickBot="1" x14ac:dyDescent="0.35">
      <c r="B3" s="729"/>
      <c r="C3" s="730"/>
      <c r="D3" s="730"/>
      <c r="E3" s="730"/>
      <c r="F3" s="730"/>
      <c r="G3" s="731"/>
    </row>
    <row r="4" spans="2:17" ht="15" thickBot="1" x14ac:dyDescent="0.35"/>
    <row r="5" spans="2:17" ht="18" x14ac:dyDescent="0.3">
      <c r="B5" s="723" t="s">
        <v>266</v>
      </c>
      <c r="C5" s="724"/>
      <c r="D5" s="724"/>
      <c r="E5" s="724"/>
      <c r="F5" s="724"/>
      <c r="G5" s="725"/>
      <c r="I5" s="732" t="s">
        <v>272</v>
      </c>
      <c r="J5" s="718"/>
      <c r="K5" s="718"/>
      <c r="L5" s="719"/>
      <c r="M5" s="174"/>
      <c r="N5" s="732" t="s">
        <v>273</v>
      </c>
      <c r="O5" s="718"/>
      <c r="P5" s="718"/>
      <c r="Q5" s="719"/>
    </row>
    <row r="6" spans="2:17" x14ac:dyDescent="0.3">
      <c r="B6" s="211"/>
      <c r="G6" s="92"/>
      <c r="I6" s="364" t="s">
        <v>40</v>
      </c>
      <c r="J6" s="177" t="s">
        <v>41</v>
      </c>
      <c r="K6" s="177" t="s">
        <v>42</v>
      </c>
      <c r="L6" s="365" t="s">
        <v>43</v>
      </c>
      <c r="M6" s="174"/>
      <c r="N6" s="364" t="s">
        <v>40</v>
      </c>
      <c r="O6" s="177" t="s">
        <v>41</v>
      </c>
      <c r="P6" s="177" t="s">
        <v>42</v>
      </c>
      <c r="Q6" s="365" t="s">
        <v>43</v>
      </c>
    </row>
    <row r="7" spans="2:17" x14ac:dyDescent="0.3">
      <c r="B7" s="359"/>
      <c r="C7" s="180" t="s">
        <v>44</v>
      </c>
      <c r="D7" s="357" t="s">
        <v>45</v>
      </c>
      <c r="E7" s="357" t="s">
        <v>46</v>
      </c>
      <c r="F7" s="357" t="s">
        <v>47</v>
      </c>
      <c r="G7" s="360" t="s">
        <v>48</v>
      </c>
      <c r="H7" s="358"/>
      <c r="I7" s="364" t="s">
        <v>49</v>
      </c>
      <c r="J7" s="177" t="s">
        <v>49</v>
      </c>
      <c r="K7" s="177" t="s">
        <v>49</v>
      </c>
      <c r="L7" s="365" t="s">
        <v>49</v>
      </c>
      <c r="M7" s="174"/>
      <c r="N7" s="359" t="s">
        <v>49</v>
      </c>
      <c r="O7" s="356" t="s">
        <v>49</v>
      </c>
      <c r="P7" s="356" t="s">
        <v>49</v>
      </c>
      <c r="Q7" s="367" t="s">
        <v>49</v>
      </c>
    </row>
    <row r="8" spans="2:17" x14ac:dyDescent="0.3">
      <c r="B8" s="359">
        <v>0</v>
      </c>
      <c r="C8" s="238">
        <v>26.3</v>
      </c>
      <c r="D8" s="238">
        <v>25.9</v>
      </c>
      <c r="E8" s="238">
        <v>26</v>
      </c>
      <c r="F8" s="238">
        <v>26.5</v>
      </c>
      <c r="G8" s="361">
        <v>26.6</v>
      </c>
      <c r="H8" s="355"/>
      <c r="I8" s="364">
        <v>26.4</v>
      </c>
      <c r="J8" s="177">
        <v>26.4</v>
      </c>
      <c r="K8" s="177">
        <v>26.4</v>
      </c>
      <c r="L8" s="365">
        <v>26.4</v>
      </c>
      <c r="M8" s="174"/>
      <c r="N8" s="368">
        <v>26.4</v>
      </c>
      <c r="O8" s="238">
        <v>26.4</v>
      </c>
      <c r="P8" s="238">
        <v>26.4</v>
      </c>
      <c r="Q8" s="361">
        <v>26.4</v>
      </c>
    </row>
    <row r="9" spans="2:17" x14ac:dyDescent="0.3">
      <c r="B9" s="359">
        <v>1</v>
      </c>
      <c r="C9" s="238">
        <v>26.3</v>
      </c>
      <c r="D9" s="238">
        <v>25.9</v>
      </c>
      <c r="E9" s="238">
        <v>26</v>
      </c>
      <c r="F9" s="238">
        <v>26.5</v>
      </c>
      <c r="G9" s="361">
        <v>26.6</v>
      </c>
      <c r="H9" s="355"/>
      <c r="I9" s="364">
        <v>26.35</v>
      </c>
      <c r="J9" s="177">
        <v>26.35</v>
      </c>
      <c r="K9" s="177">
        <v>26.35</v>
      </c>
      <c r="L9" s="365">
        <v>26.35</v>
      </c>
      <c r="M9" s="174"/>
      <c r="N9" s="368">
        <v>26.35</v>
      </c>
      <c r="O9" s="238">
        <v>26.35</v>
      </c>
      <c r="P9" s="238">
        <v>26.35</v>
      </c>
      <c r="Q9" s="361">
        <v>26.35</v>
      </c>
    </row>
    <row r="10" spans="2:17" x14ac:dyDescent="0.3">
      <c r="B10" s="359">
        <v>2</v>
      </c>
      <c r="C10" s="238">
        <v>26.3</v>
      </c>
      <c r="D10" s="238">
        <v>25.9</v>
      </c>
      <c r="E10" s="238">
        <v>26</v>
      </c>
      <c r="F10" s="238">
        <v>26.5</v>
      </c>
      <c r="G10" s="361">
        <v>26.6</v>
      </c>
      <c r="H10" s="355"/>
      <c r="I10" s="364">
        <v>26.23</v>
      </c>
      <c r="J10" s="177">
        <v>26.23</v>
      </c>
      <c r="K10" s="177">
        <v>26.23</v>
      </c>
      <c r="L10" s="365">
        <v>26.23</v>
      </c>
      <c r="M10" s="174"/>
      <c r="N10" s="368">
        <v>26.44</v>
      </c>
      <c r="O10" s="238">
        <v>26.44</v>
      </c>
      <c r="P10" s="238">
        <v>26.44</v>
      </c>
      <c r="Q10" s="361">
        <v>26.44</v>
      </c>
    </row>
    <row r="11" spans="2:17" x14ac:dyDescent="0.3">
      <c r="B11" s="359">
        <v>3</v>
      </c>
      <c r="C11" s="238">
        <v>26.3</v>
      </c>
      <c r="D11" s="238">
        <v>25.9</v>
      </c>
      <c r="E11" s="238">
        <v>26</v>
      </c>
      <c r="F11" s="238">
        <v>26.5</v>
      </c>
      <c r="G11" s="361">
        <v>26.6</v>
      </c>
      <c r="H11" s="355"/>
      <c r="I11" s="364">
        <v>26.41</v>
      </c>
      <c r="J11" s="177">
        <v>26.41</v>
      </c>
      <c r="K11" s="177">
        <v>26.41</v>
      </c>
      <c r="L11" s="365">
        <v>26.41</v>
      </c>
      <c r="M11" s="174"/>
      <c r="N11" s="368">
        <v>26.32</v>
      </c>
      <c r="O11" s="238">
        <v>26.32</v>
      </c>
      <c r="P11" s="238">
        <v>26.32</v>
      </c>
      <c r="Q11" s="361">
        <v>26.32</v>
      </c>
    </row>
    <row r="12" spans="2:17" x14ac:dyDescent="0.3">
      <c r="B12" s="359">
        <v>4</v>
      </c>
      <c r="C12" s="238">
        <v>26.3</v>
      </c>
      <c r="D12" s="238">
        <v>25.9</v>
      </c>
      <c r="E12" s="238">
        <v>26</v>
      </c>
      <c r="F12" s="238">
        <v>26.5</v>
      </c>
      <c r="G12" s="361">
        <v>26.6</v>
      </c>
      <c r="H12" s="355"/>
      <c r="I12" s="364">
        <v>26.22</v>
      </c>
      <c r="J12" s="177">
        <v>26.22</v>
      </c>
      <c r="K12" s="177">
        <v>26.22</v>
      </c>
      <c r="L12" s="365">
        <v>26.22</v>
      </c>
      <c r="M12" s="174"/>
      <c r="N12" s="368">
        <v>26.37</v>
      </c>
      <c r="O12" s="238">
        <v>26.37</v>
      </c>
      <c r="P12" s="238">
        <v>26.37</v>
      </c>
      <c r="Q12" s="361">
        <v>26.37</v>
      </c>
    </row>
    <row r="13" spans="2:17" x14ac:dyDescent="0.3">
      <c r="B13" s="359">
        <v>5</v>
      </c>
      <c r="C13" s="238">
        <v>26.3</v>
      </c>
      <c r="D13" s="238">
        <v>25.9</v>
      </c>
      <c r="E13" s="238">
        <v>26</v>
      </c>
      <c r="F13" s="238">
        <v>26.5</v>
      </c>
      <c r="G13" s="361">
        <v>26.6</v>
      </c>
      <c r="H13" s="355"/>
      <c r="I13" s="364">
        <v>25.94</v>
      </c>
      <c r="J13" s="177">
        <v>25.94</v>
      </c>
      <c r="K13" s="177">
        <v>25.94</v>
      </c>
      <c r="L13" s="365">
        <v>25.94</v>
      </c>
      <c r="M13" s="174"/>
      <c r="N13" s="368">
        <v>26.44</v>
      </c>
      <c r="O13" s="238">
        <v>26.44</v>
      </c>
      <c r="P13" s="238">
        <v>26.44</v>
      </c>
      <c r="Q13" s="361">
        <v>26.44</v>
      </c>
    </row>
    <row r="14" spans="2:17" x14ac:dyDescent="0.3">
      <c r="B14" s="359">
        <v>6</v>
      </c>
      <c r="C14" s="238">
        <v>26.3</v>
      </c>
      <c r="D14" s="238">
        <v>25.9</v>
      </c>
      <c r="E14" s="238">
        <v>26</v>
      </c>
      <c r="F14" s="238">
        <v>26.5</v>
      </c>
      <c r="G14" s="361">
        <v>26.6</v>
      </c>
      <c r="H14" s="355"/>
      <c r="I14" s="364">
        <v>26.12</v>
      </c>
      <c r="J14" s="177">
        <v>26.12</v>
      </c>
      <c r="K14" s="177">
        <v>26.12</v>
      </c>
      <c r="L14" s="365">
        <v>26.12</v>
      </c>
      <c r="M14" s="174"/>
      <c r="N14" s="368">
        <v>26.34</v>
      </c>
      <c r="O14" s="238">
        <v>26.34</v>
      </c>
      <c r="P14" s="238">
        <v>26.34</v>
      </c>
      <c r="Q14" s="361">
        <v>26.34</v>
      </c>
    </row>
    <row r="15" spans="2:17" x14ac:dyDescent="0.3">
      <c r="B15" s="359">
        <v>7</v>
      </c>
      <c r="C15" s="238">
        <v>26.3</v>
      </c>
      <c r="D15" s="238">
        <v>25.9</v>
      </c>
      <c r="E15" s="238">
        <v>26</v>
      </c>
      <c r="F15" s="238">
        <v>26.5</v>
      </c>
      <c r="G15" s="361">
        <v>26.6</v>
      </c>
      <c r="H15" s="355"/>
      <c r="I15" s="364">
        <v>25.94</v>
      </c>
      <c r="J15" s="177">
        <v>25.94</v>
      </c>
      <c r="K15" s="177">
        <v>25.94</v>
      </c>
      <c r="L15" s="365">
        <v>25.94</v>
      </c>
      <c r="M15" s="174"/>
      <c r="N15" s="368">
        <v>26.47</v>
      </c>
      <c r="O15" s="232">
        <v>26.47</v>
      </c>
      <c r="P15" s="232">
        <v>26.47</v>
      </c>
      <c r="Q15" s="361">
        <v>26.47</v>
      </c>
    </row>
    <row r="16" spans="2:17" x14ac:dyDescent="0.3">
      <c r="B16" s="359">
        <v>8</v>
      </c>
      <c r="C16" s="238">
        <v>26.3</v>
      </c>
      <c r="D16" s="238">
        <v>25.9</v>
      </c>
      <c r="E16" s="238">
        <v>26</v>
      </c>
      <c r="F16" s="238">
        <v>26.5</v>
      </c>
      <c r="G16" s="361">
        <v>26.6</v>
      </c>
      <c r="H16" s="355"/>
      <c r="I16" s="364">
        <v>26.55</v>
      </c>
      <c r="J16" s="177">
        <v>25.91</v>
      </c>
      <c r="K16" s="177">
        <v>25.91</v>
      </c>
      <c r="L16" s="365">
        <v>25.91</v>
      </c>
      <c r="M16" s="174"/>
      <c r="N16" s="368">
        <v>26.22</v>
      </c>
      <c r="O16" s="238">
        <v>26.35</v>
      </c>
      <c r="P16" s="232">
        <v>26.35</v>
      </c>
      <c r="Q16" s="361">
        <v>26.35</v>
      </c>
    </row>
    <row r="17" spans="2:26" x14ac:dyDescent="0.3">
      <c r="B17" s="359">
        <v>9</v>
      </c>
      <c r="C17" s="238">
        <v>26.3</v>
      </c>
      <c r="D17" s="238">
        <v>25.9</v>
      </c>
      <c r="E17" s="238">
        <v>26</v>
      </c>
      <c r="F17" s="238">
        <v>26.5</v>
      </c>
      <c r="G17" s="361">
        <v>26.6</v>
      </c>
      <c r="H17" s="355"/>
      <c r="I17" s="364"/>
      <c r="J17" s="177">
        <v>26.33</v>
      </c>
      <c r="K17" s="177">
        <v>25.94</v>
      </c>
      <c r="L17" s="179">
        <v>25.94</v>
      </c>
      <c r="M17" s="327"/>
      <c r="N17" s="368"/>
      <c r="O17" s="238">
        <v>26.2</v>
      </c>
      <c r="P17" s="238">
        <v>26.4</v>
      </c>
      <c r="Q17" s="361">
        <v>26.4</v>
      </c>
    </row>
    <row r="18" spans="2:26" ht="15" thickBot="1" x14ac:dyDescent="0.35">
      <c r="B18" s="362">
        <v>10</v>
      </c>
      <c r="C18" s="245">
        <v>26.3</v>
      </c>
      <c r="D18" s="245">
        <v>25.9</v>
      </c>
      <c r="E18" s="245">
        <v>26</v>
      </c>
      <c r="F18" s="245">
        <v>26.5</v>
      </c>
      <c r="G18" s="363">
        <v>26.6</v>
      </c>
      <c r="H18" s="355"/>
      <c r="I18" s="366"/>
      <c r="J18" s="242"/>
      <c r="K18" s="242">
        <v>26.33</v>
      </c>
      <c r="L18" s="248">
        <v>25.9</v>
      </c>
      <c r="M18" s="327"/>
      <c r="N18" s="369"/>
      <c r="O18" s="245"/>
      <c r="P18" s="245">
        <v>26.24</v>
      </c>
      <c r="Q18" s="363">
        <v>26.33</v>
      </c>
    </row>
    <row r="27" spans="2:26" ht="15" thickBot="1" x14ac:dyDescent="0.35"/>
    <row r="28" spans="2:26" x14ac:dyDescent="0.3">
      <c r="B28" s="334"/>
      <c r="C28" s="344"/>
      <c r="D28" s="344"/>
      <c r="E28" s="344"/>
      <c r="F28" s="344"/>
      <c r="G28" s="344"/>
      <c r="H28" s="344"/>
      <c r="I28" s="344"/>
      <c r="J28" s="344"/>
      <c r="K28" s="344"/>
      <c r="L28" s="344"/>
      <c r="M28" s="335"/>
      <c r="O28" s="334"/>
      <c r="P28" s="344"/>
      <c r="Q28" s="344"/>
      <c r="R28" s="344"/>
      <c r="S28" s="344"/>
      <c r="T28" s="344"/>
      <c r="U28" s="344"/>
      <c r="V28" s="344"/>
      <c r="W28" s="344"/>
      <c r="X28" s="344"/>
      <c r="Y28" s="344"/>
      <c r="Z28" s="335"/>
    </row>
    <row r="29" spans="2:26" x14ac:dyDescent="0.3">
      <c r="B29" s="336"/>
      <c r="C29" s="337"/>
      <c r="D29" s="337"/>
      <c r="E29" s="337"/>
      <c r="F29" s="337"/>
      <c r="G29" s="337"/>
      <c r="H29" s="337"/>
      <c r="I29" s="337"/>
      <c r="J29" s="337"/>
      <c r="K29" s="337"/>
      <c r="L29" s="337"/>
      <c r="M29" s="338"/>
      <c r="O29" s="336"/>
      <c r="P29" s="337"/>
      <c r="Q29" s="337"/>
      <c r="R29" s="337"/>
      <c r="S29" s="337"/>
      <c r="T29" s="337"/>
      <c r="U29" s="337"/>
      <c r="V29" s="337"/>
      <c r="W29" s="337"/>
      <c r="X29" s="337"/>
      <c r="Y29" s="337"/>
      <c r="Z29" s="338"/>
    </row>
    <row r="30" spans="2:26" x14ac:dyDescent="0.3">
      <c r="B30" s="336"/>
      <c r="C30" s="337"/>
      <c r="D30" s="337"/>
      <c r="E30" s="337"/>
      <c r="F30" s="337"/>
      <c r="G30" s="337"/>
      <c r="H30" s="337"/>
      <c r="I30" s="337"/>
      <c r="J30" s="337"/>
      <c r="K30" s="337"/>
      <c r="L30" s="337"/>
      <c r="M30" s="338"/>
      <c r="O30" s="336"/>
      <c r="P30" s="337"/>
      <c r="Q30" s="337"/>
      <c r="R30" s="337"/>
      <c r="S30" s="337"/>
      <c r="T30" s="337"/>
      <c r="U30" s="337"/>
      <c r="V30" s="337"/>
      <c r="W30" s="337"/>
      <c r="X30" s="337"/>
      <c r="Y30" s="337"/>
      <c r="Z30" s="338"/>
    </row>
    <row r="31" spans="2:26" x14ac:dyDescent="0.3">
      <c r="B31" s="336"/>
      <c r="C31" s="337"/>
      <c r="D31" s="337"/>
      <c r="E31" s="337"/>
      <c r="F31" s="337"/>
      <c r="G31" s="337"/>
      <c r="H31" s="337"/>
      <c r="I31" s="337"/>
      <c r="J31" s="337"/>
      <c r="K31" s="337"/>
      <c r="L31" s="337"/>
      <c r="M31" s="338"/>
      <c r="O31" s="336"/>
      <c r="P31" s="337"/>
      <c r="Q31" s="337"/>
      <c r="R31" s="337"/>
      <c r="S31" s="337"/>
      <c r="T31" s="337"/>
      <c r="U31" s="337"/>
      <c r="V31" s="337"/>
      <c r="W31" s="337"/>
      <c r="X31" s="337"/>
      <c r="Y31" s="337"/>
      <c r="Z31" s="338"/>
    </row>
    <row r="32" spans="2:26" x14ac:dyDescent="0.3">
      <c r="B32" s="336"/>
      <c r="C32" s="337"/>
      <c r="D32" s="337"/>
      <c r="E32" s="337"/>
      <c r="F32" s="337"/>
      <c r="G32" s="337"/>
      <c r="H32" s="337"/>
      <c r="I32" s="337"/>
      <c r="J32" s="337"/>
      <c r="K32" s="337"/>
      <c r="L32" s="337"/>
      <c r="M32" s="338"/>
      <c r="O32" s="336"/>
      <c r="P32" s="337"/>
      <c r="Q32" s="337"/>
      <c r="R32" s="337"/>
      <c r="S32" s="337"/>
      <c r="T32" s="337"/>
      <c r="U32" s="337"/>
      <c r="V32" s="337"/>
      <c r="W32" s="337"/>
      <c r="X32" s="337"/>
      <c r="Y32" s="337"/>
      <c r="Z32" s="338"/>
    </row>
    <row r="33" spans="2:26" x14ac:dyDescent="0.3">
      <c r="B33" s="336"/>
      <c r="C33" s="337"/>
      <c r="D33" s="337"/>
      <c r="E33" s="337"/>
      <c r="F33" s="337"/>
      <c r="G33" s="337"/>
      <c r="H33" s="337"/>
      <c r="I33" s="337"/>
      <c r="J33" s="337"/>
      <c r="K33" s="337"/>
      <c r="L33" s="337"/>
      <c r="M33" s="338"/>
      <c r="O33" s="336"/>
      <c r="P33" s="337"/>
      <c r="Q33" s="337"/>
      <c r="R33" s="337"/>
      <c r="S33" s="337"/>
      <c r="T33" s="337"/>
      <c r="U33" s="337"/>
      <c r="V33" s="337"/>
      <c r="W33" s="337"/>
      <c r="X33" s="337"/>
      <c r="Y33" s="337"/>
      <c r="Z33" s="338"/>
    </row>
    <row r="34" spans="2:26" x14ac:dyDescent="0.3">
      <c r="B34" s="336"/>
      <c r="C34" s="337"/>
      <c r="D34" s="337"/>
      <c r="E34" s="337"/>
      <c r="F34" s="337"/>
      <c r="G34" s="337"/>
      <c r="H34" s="337"/>
      <c r="I34" s="337"/>
      <c r="J34" s="337"/>
      <c r="K34" s="337"/>
      <c r="L34" s="337"/>
      <c r="M34" s="338"/>
      <c r="O34" s="336"/>
      <c r="P34" s="337"/>
      <c r="Q34" s="337"/>
      <c r="R34" s="337"/>
      <c r="S34" s="337"/>
      <c r="T34" s="337"/>
      <c r="U34" s="337"/>
      <c r="V34" s="337"/>
      <c r="W34" s="337"/>
      <c r="X34" s="337"/>
      <c r="Y34" s="337"/>
      <c r="Z34" s="338"/>
    </row>
    <row r="35" spans="2:26" x14ac:dyDescent="0.3">
      <c r="B35" s="336"/>
      <c r="C35" s="337"/>
      <c r="D35" s="337"/>
      <c r="E35" s="337"/>
      <c r="F35" s="337"/>
      <c r="G35" s="337"/>
      <c r="H35" s="337"/>
      <c r="I35" s="337"/>
      <c r="J35" s="337"/>
      <c r="K35" s="337"/>
      <c r="L35" s="337"/>
      <c r="M35" s="338"/>
      <c r="O35" s="336"/>
      <c r="P35" s="337"/>
      <c r="Q35" s="337"/>
      <c r="R35" s="337"/>
      <c r="S35" s="337"/>
      <c r="T35" s="337"/>
      <c r="U35" s="337"/>
      <c r="V35" s="337"/>
      <c r="W35" s="337"/>
      <c r="X35" s="337"/>
      <c r="Y35" s="337"/>
      <c r="Z35" s="338"/>
    </row>
    <row r="36" spans="2:26" x14ac:dyDescent="0.3">
      <c r="B36" s="336"/>
      <c r="C36" s="337"/>
      <c r="D36" s="337"/>
      <c r="E36" s="337"/>
      <c r="F36" s="337"/>
      <c r="G36" s="337"/>
      <c r="H36" s="337"/>
      <c r="I36" s="337"/>
      <c r="J36" s="337"/>
      <c r="K36" s="337"/>
      <c r="L36" s="337"/>
      <c r="M36" s="338"/>
      <c r="O36" s="336"/>
      <c r="P36" s="337"/>
      <c r="Q36" s="337"/>
      <c r="R36" s="337"/>
      <c r="S36" s="337"/>
      <c r="T36" s="337"/>
      <c r="U36" s="337"/>
      <c r="V36" s="337"/>
      <c r="W36" s="337"/>
      <c r="X36" s="337"/>
      <c r="Y36" s="337"/>
      <c r="Z36" s="338"/>
    </row>
    <row r="37" spans="2:26" x14ac:dyDescent="0.3">
      <c r="B37" s="336"/>
      <c r="C37" s="337"/>
      <c r="D37" s="337"/>
      <c r="E37" s="337"/>
      <c r="F37" s="337"/>
      <c r="G37" s="337"/>
      <c r="H37" s="337"/>
      <c r="I37" s="337"/>
      <c r="J37" s="337"/>
      <c r="K37" s="337"/>
      <c r="L37" s="337"/>
      <c r="M37" s="338"/>
      <c r="O37" s="336"/>
      <c r="P37" s="337"/>
      <c r="Q37" s="337"/>
      <c r="R37" s="337"/>
      <c r="S37" s="337"/>
      <c r="T37" s="337"/>
      <c r="U37" s="337"/>
      <c r="V37" s="337"/>
      <c r="W37" s="337"/>
      <c r="X37" s="337"/>
      <c r="Y37" s="337"/>
      <c r="Z37" s="338"/>
    </row>
    <row r="38" spans="2:26" x14ac:dyDescent="0.3">
      <c r="B38" s="336"/>
      <c r="C38" s="337"/>
      <c r="D38" s="337"/>
      <c r="E38" s="337"/>
      <c r="F38" s="337"/>
      <c r="G38" s="337"/>
      <c r="H38" s="337"/>
      <c r="I38" s="337"/>
      <c r="J38" s="337"/>
      <c r="K38" s="337"/>
      <c r="L38" s="337"/>
      <c r="M38" s="338"/>
      <c r="O38" s="336"/>
      <c r="P38" s="337"/>
      <c r="Q38" s="337"/>
      <c r="R38" s="337"/>
      <c r="S38" s="337"/>
      <c r="T38" s="337"/>
      <c r="U38" s="337"/>
      <c r="V38" s="337"/>
      <c r="W38" s="337"/>
      <c r="X38" s="337"/>
      <c r="Y38" s="337"/>
      <c r="Z38" s="338"/>
    </row>
    <row r="39" spans="2:26" x14ac:dyDescent="0.3">
      <c r="B39" s="336"/>
      <c r="C39" s="337"/>
      <c r="D39" s="337"/>
      <c r="E39" s="337"/>
      <c r="F39" s="337"/>
      <c r="G39" s="337"/>
      <c r="H39" s="337"/>
      <c r="I39" s="337"/>
      <c r="J39" s="337"/>
      <c r="K39" s="337"/>
      <c r="L39" s="337"/>
      <c r="M39" s="338"/>
      <c r="O39" s="336"/>
      <c r="P39" s="337"/>
      <c r="Q39" s="337"/>
      <c r="R39" s="337"/>
      <c r="S39" s="337"/>
      <c r="T39" s="337"/>
      <c r="U39" s="337"/>
      <c r="V39" s="337"/>
      <c r="W39" s="337"/>
      <c r="X39" s="337"/>
      <c r="Y39" s="337"/>
      <c r="Z39" s="338"/>
    </row>
    <row r="40" spans="2:26" x14ac:dyDescent="0.3">
      <c r="B40" s="336"/>
      <c r="C40" s="337"/>
      <c r="D40" s="337"/>
      <c r="E40" s="337"/>
      <c r="F40" s="337"/>
      <c r="G40" s="337"/>
      <c r="H40" s="337"/>
      <c r="I40" s="337"/>
      <c r="J40" s="337"/>
      <c r="K40" s="337"/>
      <c r="L40" s="337"/>
      <c r="M40" s="338"/>
      <c r="O40" s="336"/>
      <c r="P40" s="337"/>
      <c r="Q40" s="337"/>
      <c r="R40" s="337"/>
      <c r="S40" s="337"/>
      <c r="T40" s="337"/>
      <c r="U40" s="337"/>
      <c r="V40" s="337"/>
      <c r="W40" s="337"/>
      <c r="X40" s="337"/>
      <c r="Y40" s="337"/>
      <c r="Z40" s="338"/>
    </row>
    <row r="41" spans="2:26" x14ac:dyDescent="0.3">
      <c r="B41" s="336"/>
      <c r="C41" s="337"/>
      <c r="D41" s="337"/>
      <c r="E41" s="337"/>
      <c r="F41" s="337"/>
      <c r="G41" s="337"/>
      <c r="H41" s="337"/>
      <c r="I41" s="337"/>
      <c r="J41" s="337"/>
      <c r="K41" s="337"/>
      <c r="L41" s="337"/>
      <c r="M41" s="338"/>
      <c r="O41" s="336"/>
      <c r="P41" s="337"/>
      <c r="Q41" s="337"/>
      <c r="R41" s="337"/>
      <c r="S41" s="337"/>
      <c r="T41" s="337"/>
      <c r="U41" s="337"/>
      <c r="V41" s="337"/>
      <c r="W41" s="337"/>
      <c r="X41" s="337"/>
      <c r="Y41" s="337"/>
      <c r="Z41" s="338"/>
    </row>
    <row r="42" spans="2:26" x14ac:dyDescent="0.3">
      <c r="B42" s="336"/>
      <c r="C42" s="337"/>
      <c r="D42" s="337"/>
      <c r="E42" s="337"/>
      <c r="F42" s="337"/>
      <c r="G42" s="337"/>
      <c r="H42" s="337"/>
      <c r="I42" s="337"/>
      <c r="J42" s="337"/>
      <c r="K42" s="337"/>
      <c r="L42" s="337"/>
      <c r="M42" s="338"/>
      <c r="O42" s="336"/>
      <c r="P42" s="337"/>
      <c r="Q42" s="337"/>
      <c r="R42" s="337"/>
      <c r="S42" s="337"/>
      <c r="T42" s="337"/>
      <c r="U42" s="337"/>
      <c r="V42" s="337"/>
      <c r="W42" s="337"/>
      <c r="X42" s="337"/>
      <c r="Y42" s="337"/>
      <c r="Z42" s="338"/>
    </row>
    <row r="43" spans="2:26" x14ac:dyDescent="0.3">
      <c r="B43" s="336"/>
      <c r="C43" s="337"/>
      <c r="D43" s="337"/>
      <c r="E43" s="337"/>
      <c r="F43" s="337"/>
      <c r="G43" s="337"/>
      <c r="H43" s="337"/>
      <c r="I43" s="337"/>
      <c r="J43" s="337"/>
      <c r="K43" s="337"/>
      <c r="L43" s="337"/>
      <c r="M43" s="338"/>
      <c r="O43" s="336"/>
      <c r="P43" s="337"/>
      <c r="Q43" s="337"/>
      <c r="R43" s="337"/>
      <c r="S43" s="337"/>
      <c r="T43" s="337"/>
      <c r="U43" s="337"/>
      <c r="V43" s="337"/>
      <c r="W43" s="337"/>
      <c r="X43" s="337"/>
      <c r="Y43" s="337"/>
      <c r="Z43" s="338"/>
    </row>
    <row r="44" spans="2:26" x14ac:dyDescent="0.3">
      <c r="B44" s="336"/>
      <c r="C44" s="337"/>
      <c r="D44" s="337"/>
      <c r="E44" s="337"/>
      <c r="F44" s="337"/>
      <c r="G44" s="337"/>
      <c r="H44" s="337"/>
      <c r="I44" s="337"/>
      <c r="J44" s="337"/>
      <c r="K44" s="337"/>
      <c r="L44" s="337"/>
      <c r="M44" s="338"/>
      <c r="O44" s="336"/>
      <c r="P44" s="337"/>
      <c r="Q44" s="337"/>
      <c r="R44" s="337"/>
      <c r="S44" s="337"/>
      <c r="T44" s="337"/>
      <c r="U44" s="337"/>
      <c r="V44" s="337"/>
      <c r="W44" s="337"/>
      <c r="X44" s="337"/>
      <c r="Y44" s="337"/>
      <c r="Z44" s="338"/>
    </row>
    <row r="45" spans="2:26" x14ac:dyDescent="0.3">
      <c r="B45" s="336"/>
      <c r="C45" s="337"/>
      <c r="D45" s="337"/>
      <c r="E45" s="337"/>
      <c r="F45" s="337"/>
      <c r="G45" s="337"/>
      <c r="H45" s="337"/>
      <c r="I45" s="337"/>
      <c r="J45" s="337"/>
      <c r="K45" s="337"/>
      <c r="L45" s="337"/>
      <c r="M45" s="338"/>
      <c r="O45" s="336"/>
      <c r="P45" s="337"/>
      <c r="Q45" s="337"/>
      <c r="R45" s="337"/>
      <c r="S45" s="337"/>
      <c r="T45" s="337"/>
      <c r="U45" s="337"/>
      <c r="V45" s="337"/>
      <c r="W45" s="337"/>
      <c r="X45" s="337"/>
      <c r="Y45" s="337"/>
      <c r="Z45" s="338"/>
    </row>
    <row r="46" spans="2:26" x14ac:dyDescent="0.3">
      <c r="B46" s="336"/>
      <c r="C46" s="337"/>
      <c r="D46" s="337"/>
      <c r="E46" s="337"/>
      <c r="F46" s="337"/>
      <c r="G46" s="337"/>
      <c r="H46" s="337"/>
      <c r="I46" s="337"/>
      <c r="J46" s="337"/>
      <c r="K46" s="337"/>
      <c r="L46" s="337"/>
      <c r="M46" s="338"/>
      <c r="O46" s="336"/>
      <c r="P46" s="337"/>
      <c r="Q46" s="337"/>
      <c r="R46" s="337"/>
      <c r="S46" s="337"/>
      <c r="T46" s="337"/>
      <c r="U46" s="337"/>
      <c r="V46" s="337"/>
      <c r="W46" s="337"/>
      <c r="X46" s="337"/>
      <c r="Y46" s="337"/>
      <c r="Z46" s="338"/>
    </row>
    <row r="47" spans="2:26" x14ac:dyDescent="0.3">
      <c r="B47" s="336"/>
      <c r="C47" s="337"/>
      <c r="D47" s="337"/>
      <c r="E47" s="337"/>
      <c r="F47" s="337"/>
      <c r="G47" s="337"/>
      <c r="H47" s="337"/>
      <c r="I47" s="337"/>
      <c r="J47" s="337"/>
      <c r="K47" s="337"/>
      <c r="L47" s="337"/>
      <c r="M47" s="338"/>
      <c r="O47" s="336"/>
      <c r="P47" s="337"/>
      <c r="Q47" s="337"/>
      <c r="R47" s="337"/>
      <c r="S47" s="337"/>
      <c r="T47" s="337"/>
      <c r="U47" s="337"/>
      <c r="V47" s="337"/>
      <c r="W47" s="337"/>
      <c r="X47" s="337"/>
      <c r="Y47" s="337"/>
      <c r="Z47" s="338"/>
    </row>
    <row r="48" spans="2:26" x14ac:dyDescent="0.3">
      <c r="B48" s="336"/>
      <c r="C48" s="337"/>
      <c r="D48" s="337"/>
      <c r="E48" s="337"/>
      <c r="F48" s="337"/>
      <c r="G48" s="337"/>
      <c r="H48" s="337"/>
      <c r="I48" s="337"/>
      <c r="J48" s="337"/>
      <c r="K48" s="337"/>
      <c r="L48" s="337"/>
      <c r="M48" s="338"/>
      <c r="O48" s="336"/>
      <c r="P48" s="337"/>
      <c r="Q48" s="337"/>
      <c r="R48" s="337"/>
      <c r="S48" s="337"/>
      <c r="T48" s="337"/>
      <c r="U48" s="337"/>
      <c r="V48" s="337"/>
      <c r="W48" s="337"/>
      <c r="X48" s="337"/>
      <c r="Y48" s="337"/>
      <c r="Z48" s="338"/>
    </row>
    <row r="49" spans="2:26" x14ac:dyDescent="0.3">
      <c r="B49" s="336"/>
      <c r="C49" s="337"/>
      <c r="D49" s="337"/>
      <c r="E49" s="337"/>
      <c r="F49" s="337"/>
      <c r="G49" s="337"/>
      <c r="H49" s="337"/>
      <c r="I49" s="337"/>
      <c r="J49" s="337"/>
      <c r="K49" s="337"/>
      <c r="L49" s="337"/>
      <c r="M49" s="338"/>
      <c r="O49" s="336"/>
      <c r="P49" s="337"/>
      <c r="Q49" s="337"/>
      <c r="R49" s="337"/>
      <c r="S49" s="337"/>
      <c r="T49" s="337"/>
      <c r="U49" s="337"/>
      <c r="V49" s="337"/>
      <c r="W49" s="337"/>
      <c r="X49" s="337"/>
      <c r="Y49" s="337"/>
      <c r="Z49" s="338"/>
    </row>
    <row r="50" spans="2:26" x14ac:dyDescent="0.3">
      <c r="B50" s="336"/>
      <c r="C50" s="337"/>
      <c r="D50" s="337"/>
      <c r="E50" s="337"/>
      <c r="F50" s="337"/>
      <c r="G50" s="337"/>
      <c r="H50" s="337"/>
      <c r="I50" s="337"/>
      <c r="J50" s="337"/>
      <c r="K50" s="337"/>
      <c r="L50" s="337"/>
      <c r="M50" s="338"/>
      <c r="O50" s="336"/>
      <c r="P50" s="337"/>
      <c r="Q50" s="337"/>
      <c r="R50" s="337"/>
      <c r="S50" s="337"/>
      <c r="T50" s="337"/>
      <c r="U50" s="337"/>
      <c r="V50" s="337"/>
      <c r="W50" s="337"/>
      <c r="X50" s="337"/>
      <c r="Y50" s="337"/>
      <c r="Z50" s="338"/>
    </row>
    <row r="51" spans="2:26" x14ac:dyDescent="0.3">
      <c r="B51" s="336"/>
      <c r="C51" s="337"/>
      <c r="D51" s="337"/>
      <c r="E51" s="337"/>
      <c r="F51" s="337"/>
      <c r="G51" s="337"/>
      <c r="H51" s="337"/>
      <c r="I51" s="337"/>
      <c r="J51" s="337"/>
      <c r="K51" s="337"/>
      <c r="L51" s="337"/>
      <c r="M51" s="338"/>
      <c r="O51" s="336"/>
      <c r="P51" s="337"/>
      <c r="Q51" s="337"/>
      <c r="R51" s="337"/>
      <c r="S51" s="337"/>
      <c r="T51" s="337"/>
      <c r="U51" s="337"/>
      <c r="V51" s="337"/>
      <c r="W51" s="337"/>
      <c r="X51" s="337"/>
      <c r="Y51" s="337"/>
      <c r="Z51" s="338"/>
    </row>
    <row r="52" spans="2:26" x14ac:dyDescent="0.3">
      <c r="B52" s="336"/>
      <c r="C52" s="337"/>
      <c r="D52" s="337"/>
      <c r="E52" s="337"/>
      <c r="F52" s="337"/>
      <c r="G52" s="337"/>
      <c r="H52" s="337"/>
      <c r="I52" s="337"/>
      <c r="J52" s="337"/>
      <c r="K52" s="337"/>
      <c r="L52" s="337"/>
      <c r="M52" s="338"/>
      <c r="O52" s="336"/>
      <c r="P52" s="337"/>
      <c r="Q52" s="337"/>
      <c r="R52" s="337"/>
      <c r="S52" s="337"/>
      <c r="T52" s="337"/>
      <c r="U52" s="337"/>
      <c r="V52" s="337"/>
      <c r="W52" s="337"/>
      <c r="X52" s="337"/>
      <c r="Y52" s="337"/>
      <c r="Z52" s="338"/>
    </row>
    <row r="53" spans="2:26" x14ac:dyDescent="0.3">
      <c r="B53" s="336"/>
      <c r="C53" s="337"/>
      <c r="D53" s="337"/>
      <c r="E53" s="337"/>
      <c r="F53" s="337"/>
      <c r="G53" s="337"/>
      <c r="H53" s="337"/>
      <c r="I53" s="337"/>
      <c r="J53" s="337"/>
      <c r="K53" s="337"/>
      <c r="L53" s="337"/>
      <c r="M53" s="338"/>
      <c r="O53" s="336"/>
      <c r="P53" s="337"/>
      <c r="Q53" s="337"/>
      <c r="R53" s="337"/>
      <c r="S53" s="337"/>
      <c r="T53" s="337"/>
      <c r="U53" s="337"/>
      <c r="V53" s="337"/>
      <c r="W53" s="337"/>
      <c r="X53" s="337"/>
      <c r="Y53" s="337"/>
      <c r="Z53" s="338"/>
    </row>
    <row r="54" spans="2:26" x14ac:dyDescent="0.3">
      <c r="B54" s="336"/>
      <c r="C54" s="337"/>
      <c r="D54" s="337"/>
      <c r="E54" s="337"/>
      <c r="F54" s="337"/>
      <c r="G54" s="337"/>
      <c r="H54" s="337"/>
      <c r="I54" s="337"/>
      <c r="J54" s="337"/>
      <c r="K54" s="337"/>
      <c r="L54" s="337"/>
      <c r="M54" s="338"/>
      <c r="O54" s="336"/>
      <c r="P54" s="337"/>
      <c r="Q54" s="337"/>
      <c r="R54" s="337"/>
      <c r="S54" s="337"/>
      <c r="T54" s="337"/>
      <c r="U54" s="337"/>
      <c r="V54" s="337"/>
      <c r="W54" s="337"/>
      <c r="X54" s="337"/>
      <c r="Y54" s="337"/>
      <c r="Z54" s="338"/>
    </row>
    <row r="55" spans="2:26" x14ac:dyDescent="0.3">
      <c r="B55" s="336"/>
      <c r="C55" s="337"/>
      <c r="D55" s="337"/>
      <c r="E55" s="337"/>
      <c r="F55" s="337"/>
      <c r="G55" s="337"/>
      <c r="H55" s="337"/>
      <c r="I55" s="337"/>
      <c r="J55" s="337"/>
      <c r="K55" s="337"/>
      <c r="L55" s="337"/>
      <c r="M55" s="338"/>
      <c r="O55" s="336"/>
      <c r="P55" s="337"/>
      <c r="Q55" s="337"/>
      <c r="R55" s="337"/>
      <c r="S55" s="337"/>
      <c r="T55" s="337"/>
      <c r="U55" s="337"/>
      <c r="V55" s="337"/>
      <c r="W55" s="337"/>
      <c r="X55" s="337"/>
      <c r="Y55" s="337"/>
      <c r="Z55" s="338"/>
    </row>
    <row r="56" spans="2:26" x14ac:dyDescent="0.3">
      <c r="B56" s="336"/>
      <c r="C56" s="337"/>
      <c r="D56" s="337"/>
      <c r="E56" s="337"/>
      <c r="F56" s="337"/>
      <c r="G56" s="337"/>
      <c r="H56" s="337"/>
      <c r="I56" s="337"/>
      <c r="J56" s="337"/>
      <c r="K56" s="337"/>
      <c r="L56" s="337"/>
      <c r="M56" s="338"/>
      <c r="O56" s="336"/>
      <c r="P56" s="337"/>
      <c r="Q56" s="337"/>
      <c r="R56" s="337"/>
      <c r="S56" s="337"/>
      <c r="T56" s="337"/>
      <c r="U56" s="337"/>
      <c r="V56" s="337"/>
      <c r="W56" s="337"/>
      <c r="X56" s="337"/>
      <c r="Y56" s="337"/>
      <c r="Z56" s="338"/>
    </row>
    <row r="57" spans="2:26" x14ac:dyDescent="0.3">
      <c r="B57" s="336"/>
      <c r="C57" s="337"/>
      <c r="D57" s="337"/>
      <c r="E57" s="337"/>
      <c r="F57" s="337"/>
      <c r="G57" s="337"/>
      <c r="H57" s="337"/>
      <c r="I57" s="337"/>
      <c r="J57" s="337"/>
      <c r="K57" s="337"/>
      <c r="L57" s="337"/>
      <c r="M57" s="338"/>
      <c r="O57" s="336"/>
      <c r="P57" s="337"/>
      <c r="Q57" s="337"/>
      <c r="R57" s="337"/>
      <c r="S57" s="337"/>
      <c r="T57" s="337"/>
      <c r="U57" s="337"/>
      <c r="V57" s="337"/>
      <c r="W57" s="337"/>
      <c r="X57" s="337"/>
      <c r="Y57" s="337"/>
      <c r="Z57" s="338"/>
    </row>
    <row r="58" spans="2:26" x14ac:dyDescent="0.3">
      <c r="B58" s="336"/>
      <c r="C58" s="337"/>
      <c r="D58" s="337"/>
      <c r="E58" s="337"/>
      <c r="F58" s="337"/>
      <c r="G58" s="337"/>
      <c r="H58" s="337"/>
      <c r="I58" s="337"/>
      <c r="J58" s="337"/>
      <c r="K58" s="337"/>
      <c r="L58" s="337"/>
      <c r="M58" s="338"/>
      <c r="O58" s="336"/>
      <c r="P58" s="337"/>
      <c r="Q58" s="337"/>
      <c r="R58" s="337"/>
      <c r="S58" s="337"/>
      <c r="T58" s="337"/>
      <c r="U58" s="337"/>
      <c r="V58" s="337"/>
      <c r="W58" s="337"/>
      <c r="X58" s="337"/>
      <c r="Y58" s="337"/>
      <c r="Z58" s="338"/>
    </row>
    <row r="59" spans="2:26" x14ac:dyDescent="0.3">
      <c r="B59" s="336"/>
      <c r="C59" s="337"/>
      <c r="D59" s="337"/>
      <c r="E59" s="337"/>
      <c r="F59" s="337"/>
      <c r="G59" s="337"/>
      <c r="H59" s="337"/>
      <c r="I59" s="337"/>
      <c r="J59" s="337"/>
      <c r="K59" s="337"/>
      <c r="L59" s="337"/>
      <c r="M59" s="338"/>
      <c r="O59" s="336"/>
      <c r="P59" s="337"/>
      <c r="Q59" s="337"/>
      <c r="R59" s="337"/>
      <c r="S59" s="337"/>
      <c r="T59" s="337"/>
      <c r="U59" s="337"/>
      <c r="V59" s="337"/>
      <c r="W59" s="337"/>
      <c r="X59" s="337"/>
      <c r="Y59" s="337"/>
      <c r="Z59" s="338"/>
    </row>
    <row r="60" spans="2:26" x14ac:dyDescent="0.3">
      <c r="B60" s="336"/>
      <c r="C60" s="337"/>
      <c r="D60" s="337"/>
      <c r="E60" s="337"/>
      <c r="F60" s="337"/>
      <c r="G60" s="337"/>
      <c r="H60" s="337"/>
      <c r="I60" s="337"/>
      <c r="J60" s="337"/>
      <c r="K60" s="337"/>
      <c r="L60" s="337"/>
      <c r="M60" s="338"/>
      <c r="O60" s="336"/>
      <c r="P60" s="337"/>
      <c r="Q60" s="337"/>
      <c r="R60" s="337"/>
      <c r="S60" s="337"/>
      <c r="T60" s="337"/>
      <c r="U60" s="337"/>
      <c r="V60" s="337"/>
      <c r="W60" s="337"/>
      <c r="X60" s="337"/>
      <c r="Y60" s="337"/>
      <c r="Z60" s="338"/>
    </row>
    <row r="61" spans="2:26" x14ac:dyDescent="0.3">
      <c r="B61" s="336"/>
      <c r="C61" s="337"/>
      <c r="D61" s="337"/>
      <c r="E61" s="337"/>
      <c r="F61" s="337"/>
      <c r="G61" s="337"/>
      <c r="H61" s="337"/>
      <c r="I61" s="337"/>
      <c r="J61" s="337"/>
      <c r="K61" s="337"/>
      <c r="L61" s="337"/>
      <c r="M61" s="338"/>
      <c r="O61" s="336"/>
      <c r="P61" s="337"/>
      <c r="Q61" s="337"/>
      <c r="R61" s="337"/>
      <c r="S61" s="337"/>
      <c r="T61" s="337"/>
      <c r="U61" s="337"/>
      <c r="V61" s="337"/>
      <c r="W61" s="337"/>
      <c r="X61" s="337"/>
      <c r="Y61" s="337"/>
      <c r="Z61" s="338"/>
    </row>
    <row r="62" spans="2:26" x14ac:dyDescent="0.3">
      <c r="B62" s="336"/>
      <c r="C62" s="337"/>
      <c r="D62" s="337"/>
      <c r="E62" s="337"/>
      <c r="F62" s="337"/>
      <c r="G62" s="337"/>
      <c r="H62" s="337"/>
      <c r="I62" s="337"/>
      <c r="J62" s="337"/>
      <c r="K62" s="337"/>
      <c r="L62" s="337"/>
      <c r="M62" s="338"/>
      <c r="O62" s="336"/>
      <c r="P62" s="337"/>
      <c r="Q62" s="337"/>
      <c r="R62" s="337"/>
      <c r="S62" s="337"/>
      <c r="T62" s="337"/>
      <c r="U62" s="337"/>
      <c r="V62" s="337"/>
      <c r="W62" s="337"/>
      <c r="X62" s="337"/>
      <c r="Y62" s="337"/>
      <c r="Z62" s="338"/>
    </row>
    <row r="63" spans="2:26" x14ac:dyDescent="0.3">
      <c r="B63" s="336"/>
      <c r="C63" s="337"/>
      <c r="D63" s="337"/>
      <c r="E63" s="337"/>
      <c r="F63" s="337"/>
      <c r="G63" s="337"/>
      <c r="H63" s="337"/>
      <c r="I63" s="337"/>
      <c r="J63" s="337"/>
      <c r="K63" s="337"/>
      <c r="L63" s="337"/>
      <c r="M63" s="338"/>
      <c r="O63" s="336"/>
      <c r="P63" s="337"/>
      <c r="Q63" s="337"/>
      <c r="R63" s="337"/>
      <c r="S63" s="337"/>
      <c r="T63" s="337"/>
      <c r="U63" s="337"/>
      <c r="V63" s="337"/>
      <c r="W63" s="337"/>
      <c r="X63" s="337"/>
      <c r="Y63" s="337"/>
      <c r="Z63" s="338"/>
    </row>
    <row r="64" spans="2:26" x14ac:dyDescent="0.3">
      <c r="B64" s="336"/>
      <c r="C64" s="337"/>
      <c r="D64" s="337"/>
      <c r="E64" s="337"/>
      <c r="F64" s="337"/>
      <c r="G64" s="337"/>
      <c r="H64" s="337"/>
      <c r="I64" s="337"/>
      <c r="J64" s="337"/>
      <c r="K64" s="337"/>
      <c r="L64" s="337"/>
      <c r="M64" s="338"/>
      <c r="O64" s="336"/>
      <c r="P64" s="337"/>
      <c r="Q64" s="337"/>
      <c r="R64" s="337"/>
      <c r="S64" s="337"/>
      <c r="T64" s="337"/>
      <c r="U64" s="337"/>
      <c r="V64" s="337"/>
      <c r="W64" s="337"/>
      <c r="X64" s="337"/>
      <c r="Y64" s="337"/>
      <c r="Z64" s="338"/>
    </row>
    <row r="65" spans="2:26" x14ac:dyDescent="0.3">
      <c r="B65" s="336"/>
      <c r="C65" s="337"/>
      <c r="D65" s="337"/>
      <c r="E65" s="337"/>
      <c r="F65" s="337"/>
      <c r="G65" s="337"/>
      <c r="H65" s="337"/>
      <c r="I65" s="337"/>
      <c r="J65" s="337"/>
      <c r="K65" s="337"/>
      <c r="L65" s="337"/>
      <c r="M65" s="338"/>
      <c r="O65" s="336"/>
      <c r="P65" s="337"/>
      <c r="Q65" s="337"/>
      <c r="R65" s="337"/>
      <c r="S65" s="337"/>
      <c r="T65" s="337"/>
      <c r="U65" s="337"/>
      <c r="V65" s="337"/>
      <c r="W65" s="337"/>
      <c r="X65" s="337"/>
      <c r="Y65" s="337"/>
      <c r="Z65" s="338"/>
    </row>
    <row r="66" spans="2:26" x14ac:dyDescent="0.3">
      <c r="B66" s="336"/>
      <c r="C66" s="337"/>
      <c r="D66" s="337"/>
      <c r="E66" s="337"/>
      <c r="F66" s="337"/>
      <c r="G66" s="337"/>
      <c r="H66" s="337"/>
      <c r="I66" s="337"/>
      <c r="J66" s="337"/>
      <c r="K66" s="337"/>
      <c r="L66" s="337"/>
      <c r="M66" s="338"/>
      <c r="O66" s="336"/>
      <c r="P66" s="337"/>
      <c r="Q66" s="337"/>
      <c r="R66" s="337"/>
      <c r="S66" s="337"/>
      <c r="T66" s="337"/>
      <c r="U66" s="337"/>
      <c r="V66" s="337"/>
      <c r="W66" s="337"/>
      <c r="X66" s="337"/>
      <c r="Y66" s="337"/>
      <c r="Z66" s="338"/>
    </row>
    <row r="67" spans="2:26" x14ac:dyDescent="0.3">
      <c r="B67" s="336"/>
      <c r="C67" s="337"/>
      <c r="D67" s="337"/>
      <c r="E67" s="337"/>
      <c r="F67" s="337"/>
      <c r="G67" s="337"/>
      <c r="H67" s="337"/>
      <c r="I67" s="337"/>
      <c r="J67" s="337"/>
      <c r="K67" s="337"/>
      <c r="L67" s="337"/>
      <c r="M67" s="338"/>
      <c r="O67" s="336"/>
      <c r="P67" s="337"/>
      <c r="Q67" s="337"/>
      <c r="R67" s="337"/>
      <c r="S67" s="337"/>
      <c r="T67" s="337"/>
      <c r="U67" s="337"/>
      <c r="V67" s="337"/>
      <c r="W67" s="337"/>
      <c r="X67" s="337"/>
      <c r="Y67" s="337"/>
      <c r="Z67" s="338"/>
    </row>
    <row r="68" spans="2:26" x14ac:dyDescent="0.3">
      <c r="B68" s="336"/>
      <c r="C68" s="337"/>
      <c r="D68" s="337"/>
      <c r="E68" s="337"/>
      <c r="F68" s="337"/>
      <c r="G68" s="337"/>
      <c r="H68" s="337"/>
      <c r="I68" s="337"/>
      <c r="J68" s="337"/>
      <c r="K68" s="337"/>
      <c r="L68" s="337"/>
      <c r="M68" s="338"/>
      <c r="O68" s="336"/>
      <c r="P68" s="337"/>
      <c r="Q68" s="337"/>
      <c r="R68" s="337"/>
      <c r="S68" s="337"/>
      <c r="T68" s="337"/>
      <c r="U68" s="337"/>
      <c r="V68" s="337"/>
      <c r="W68" s="337"/>
      <c r="X68" s="337"/>
      <c r="Y68" s="337"/>
      <c r="Z68" s="338"/>
    </row>
    <row r="69" spans="2:26" x14ac:dyDescent="0.3">
      <c r="B69" s="336"/>
      <c r="C69" s="337"/>
      <c r="D69" s="337"/>
      <c r="E69" s="337"/>
      <c r="F69" s="337"/>
      <c r="G69" s="337"/>
      <c r="H69" s="337"/>
      <c r="I69" s="337"/>
      <c r="J69" s="337"/>
      <c r="K69" s="337"/>
      <c r="L69" s="337"/>
      <c r="M69" s="338"/>
      <c r="O69" s="336"/>
      <c r="P69" s="337"/>
      <c r="Q69" s="337"/>
      <c r="R69" s="337"/>
      <c r="S69" s="337"/>
      <c r="T69" s="337"/>
      <c r="U69" s="337"/>
      <c r="V69" s="337"/>
      <c r="W69" s="337"/>
      <c r="X69" s="337"/>
      <c r="Y69" s="337"/>
      <c r="Z69" s="338"/>
    </row>
    <row r="70" spans="2:26" x14ac:dyDescent="0.3">
      <c r="B70" s="336"/>
      <c r="C70" s="337"/>
      <c r="D70" s="337"/>
      <c r="E70" s="337"/>
      <c r="F70" s="337"/>
      <c r="G70" s="337"/>
      <c r="H70" s="337"/>
      <c r="I70" s="337"/>
      <c r="J70" s="337"/>
      <c r="K70" s="337"/>
      <c r="L70" s="337"/>
      <c r="M70" s="338"/>
      <c r="O70" s="336"/>
      <c r="P70" s="337"/>
      <c r="Q70" s="337"/>
      <c r="R70" s="337"/>
      <c r="S70" s="337"/>
      <c r="T70" s="337"/>
      <c r="U70" s="337"/>
      <c r="V70" s="337"/>
      <c r="W70" s="337"/>
      <c r="X70" s="337"/>
      <c r="Y70" s="337"/>
      <c r="Z70" s="338"/>
    </row>
    <row r="71" spans="2:26" x14ac:dyDescent="0.3">
      <c r="B71" s="336"/>
      <c r="C71" s="337"/>
      <c r="D71" s="337"/>
      <c r="E71" s="337"/>
      <c r="F71" s="337"/>
      <c r="G71" s="337"/>
      <c r="H71" s="337"/>
      <c r="I71" s="337"/>
      <c r="J71" s="337"/>
      <c r="K71" s="337"/>
      <c r="L71" s="337"/>
      <c r="M71" s="338"/>
      <c r="O71" s="336"/>
      <c r="P71" s="337"/>
      <c r="Q71" s="337"/>
      <c r="R71" s="337"/>
      <c r="S71" s="337"/>
      <c r="T71" s="337"/>
      <c r="U71" s="337"/>
      <c r="V71" s="337"/>
      <c r="W71" s="337"/>
      <c r="X71" s="337"/>
      <c r="Y71" s="337"/>
      <c r="Z71" s="338"/>
    </row>
    <row r="72" spans="2:26" x14ac:dyDescent="0.3">
      <c r="B72" s="336"/>
      <c r="C72" s="337"/>
      <c r="D72" s="337"/>
      <c r="E72" s="337"/>
      <c r="F72" s="337"/>
      <c r="G72" s="337"/>
      <c r="H72" s="337"/>
      <c r="I72" s="337"/>
      <c r="J72" s="337"/>
      <c r="K72" s="337"/>
      <c r="L72" s="337"/>
      <c r="M72" s="338"/>
      <c r="O72" s="336"/>
      <c r="P72" s="337"/>
      <c r="Q72" s="337"/>
      <c r="R72" s="337"/>
      <c r="S72" s="337"/>
      <c r="T72" s="337"/>
      <c r="U72" s="337"/>
      <c r="V72" s="337"/>
      <c r="W72" s="337"/>
      <c r="X72" s="337"/>
      <c r="Y72" s="337"/>
      <c r="Z72" s="338"/>
    </row>
    <row r="73" spans="2:26" x14ac:dyDescent="0.3">
      <c r="B73" s="336"/>
      <c r="C73" s="337"/>
      <c r="D73" s="337"/>
      <c r="E73" s="337"/>
      <c r="F73" s="337"/>
      <c r="G73" s="337"/>
      <c r="H73" s="337"/>
      <c r="I73" s="337"/>
      <c r="J73" s="337"/>
      <c r="K73" s="337"/>
      <c r="L73" s="337"/>
      <c r="M73" s="338"/>
      <c r="O73" s="336"/>
      <c r="P73" s="337"/>
      <c r="Q73" s="337"/>
      <c r="R73" s="337"/>
      <c r="S73" s="337"/>
      <c r="T73" s="337"/>
      <c r="U73" s="337"/>
      <c r="V73" s="337"/>
      <c r="W73" s="337"/>
      <c r="X73" s="337"/>
      <c r="Y73" s="337"/>
      <c r="Z73" s="338"/>
    </row>
    <row r="74" spans="2:26" x14ac:dyDescent="0.3">
      <c r="B74" s="336"/>
      <c r="C74" s="337"/>
      <c r="D74" s="337"/>
      <c r="E74" s="337"/>
      <c r="F74" s="337"/>
      <c r="G74" s="337"/>
      <c r="H74" s="337"/>
      <c r="I74" s="337"/>
      <c r="J74" s="337"/>
      <c r="K74" s="337"/>
      <c r="L74" s="337"/>
      <c r="M74" s="338"/>
      <c r="O74" s="336"/>
      <c r="P74" s="337"/>
      <c r="Q74" s="337"/>
      <c r="R74" s="337"/>
      <c r="S74" s="337"/>
      <c r="T74" s="337"/>
      <c r="U74" s="337"/>
      <c r="V74" s="337"/>
      <c r="W74" s="337"/>
      <c r="X74" s="337"/>
      <c r="Y74" s="337"/>
      <c r="Z74" s="338"/>
    </row>
    <row r="75" spans="2:26" x14ac:dyDescent="0.3">
      <c r="B75" s="336"/>
      <c r="C75" s="337"/>
      <c r="D75" s="337"/>
      <c r="E75" s="337"/>
      <c r="F75" s="337"/>
      <c r="G75" s="337"/>
      <c r="H75" s="337"/>
      <c r="I75" s="337"/>
      <c r="J75" s="337"/>
      <c r="K75" s="337"/>
      <c r="L75" s="337"/>
      <c r="M75" s="338"/>
      <c r="O75" s="336"/>
      <c r="P75" s="337"/>
      <c r="Q75" s="337"/>
      <c r="R75" s="337"/>
      <c r="S75" s="337"/>
      <c r="T75" s="337"/>
      <c r="U75" s="337"/>
      <c r="V75" s="337"/>
      <c r="W75" s="337"/>
      <c r="X75" s="337"/>
      <c r="Y75" s="337"/>
      <c r="Z75" s="338"/>
    </row>
    <row r="76" spans="2:26" x14ac:dyDescent="0.3">
      <c r="B76" s="336"/>
      <c r="C76" s="337"/>
      <c r="D76" s="337"/>
      <c r="E76" s="337"/>
      <c r="F76" s="337"/>
      <c r="G76" s="337"/>
      <c r="H76" s="337"/>
      <c r="I76" s="337"/>
      <c r="J76" s="337"/>
      <c r="K76" s="337"/>
      <c r="L76" s="337"/>
      <c r="M76" s="338"/>
      <c r="O76" s="336"/>
      <c r="P76" s="337"/>
      <c r="Q76" s="337"/>
      <c r="R76" s="337"/>
      <c r="S76" s="337"/>
      <c r="T76" s="337"/>
      <c r="U76" s="337"/>
      <c r="V76" s="337"/>
      <c r="W76" s="337"/>
      <c r="X76" s="337"/>
      <c r="Y76" s="337"/>
      <c r="Z76" s="338"/>
    </row>
    <row r="77" spans="2:26" x14ac:dyDescent="0.3">
      <c r="B77" s="336"/>
      <c r="C77" s="337"/>
      <c r="D77" s="337"/>
      <c r="E77" s="337"/>
      <c r="F77" s="337"/>
      <c r="G77" s="337"/>
      <c r="H77" s="337"/>
      <c r="I77" s="337"/>
      <c r="J77" s="337"/>
      <c r="K77" s="337"/>
      <c r="L77" s="337"/>
      <c r="M77" s="338"/>
      <c r="O77" s="336"/>
      <c r="P77" s="337"/>
      <c r="Q77" s="337"/>
      <c r="R77" s="337"/>
      <c r="S77" s="337"/>
      <c r="T77" s="337"/>
      <c r="U77" s="337"/>
      <c r="V77" s="337"/>
      <c r="W77" s="337"/>
      <c r="X77" s="337"/>
      <c r="Y77" s="337"/>
      <c r="Z77" s="338"/>
    </row>
    <row r="78" spans="2:26" x14ac:dyDescent="0.3">
      <c r="B78" s="336"/>
      <c r="C78" s="337"/>
      <c r="D78" s="337"/>
      <c r="E78" s="337"/>
      <c r="F78" s="337"/>
      <c r="G78" s="337"/>
      <c r="H78" s="337"/>
      <c r="I78" s="337"/>
      <c r="J78" s="337"/>
      <c r="K78" s="337"/>
      <c r="L78" s="337"/>
      <c r="M78" s="338"/>
      <c r="O78" s="336"/>
      <c r="P78" s="337"/>
      <c r="Q78" s="337"/>
      <c r="R78" s="337"/>
      <c r="S78" s="337"/>
      <c r="T78" s="337"/>
      <c r="U78" s="337"/>
      <c r="V78" s="337"/>
      <c r="W78" s="337"/>
      <c r="X78" s="337"/>
      <c r="Y78" s="337"/>
      <c r="Z78" s="338"/>
    </row>
    <row r="79" spans="2:26" ht="15" thickBot="1" x14ac:dyDescent="0.35">
      <c r="B79" s="341"/>
      <c r="C79" s="342"/>
      <c r="D79" s="342"/>
      <c r="E79" s="342"/>
      <c r="F79" s="342"/>
      <c r="G79" s="342"/>
      <c r="H79" s="342"/>
      <c r="I79" s="342"/>
      <c r="J79" s="342"/>
      <c r="K79" s="342"/>
      <c r="L79" s="342"/>
      <c r="M79" s="343"/>
      <c r="O79" s="341"/>
      <c r="P79" s="342"/>
      <c r="Q79" s="342"/>
      <c r="R79" s="342"/>
      <c r="S79" s="342"/>
      <c r="T79" s="342"/>
      <c r="U79" s="342"/>
      <c r="V79" s="342"/>
      <c r="W79" s="342"/>
      <c r="X79" s="342"/>
      <c r="Y79" s="342"/>
      <c r="Z79" s="343"/>
    </row>
    <row r="82" spans="2:26" ht="15" thickBot="1" x14ac:dyDescent="0.35"/>
    <row r="83" spans="2:26" x14ac:dyDescent="0.3">
      <c r="B83" s="334"/>
      <c r="C83" s="344"/>
      <c r="D83" s="344"/>
      <c r="E83" s="344"/>
      <c r="F83" s="344"/>
      <c r="G83" s="344"/>
      <c r="H83" s="344"/>
      <c r="I83" s="344"/>
      <c r="J83" s="344"/>
      <c r="K83" s="344"/>
      <c r="L83" s="344"/>
      <c r="M83" s="335"/>
      <c r="O83" s="334"/>
      <c r="P83" s="344"/>
      <c r="Q83" s="344"/>
      <c r="R83" s="344"/>
      <c r="S83" s="344"/>
      <c r="T83" s="344"/>
      <c r="U83" s="344"/>
      <c r="V83" s="344"/>
      <c r="W83" s="344"/>
      <c r="X83" s="344"/>
      <c r="Y83" s="344"/>
      <c r="Z83" s="335"/>
    </row>
    <row r="84" spans="2:26" x14ac:dyDescent="0.3">
      <c r="B84" s="336"/>
      <c r="C84" s="337"/>
      <c r="D84" s="337"/>
      <c r="E84" s="337"/>
      <c r="F84" s="337"/>
      <c r="G84" s="337"/>
      <c r="H84" s="337"/>
      <c r="I84" s="337"/>
      <c r="J84" s="337"/>
      <c r="K84" s="337"/>
      <c r="L84" s="337"/>
      <c r="M84" s="338"/>
      <c r="O84" s="336"/>
      <c r="P84" s="337"/>
      <c r="Q84" s="337"/>
      <c r="R84" s="337"/>
      <c r="S84" s="337"/>
      <c r="T84" s="337"/>
      <c r="U84" s="337"/>
      <c r="V84" s="337"/>
      <c r="W84" s="337"/>
      <c r="X84" s="337"/>
      <c r="Y84" s="337"/>
      <c r="Z84" s="338"/>
    </row>
    <row r="85" spans="2:26" x14ac:dyDescent="0.3">
      <c r="B85" s="336"/>
      <c r="C85" s="337"/>
      <c r="D85" s="337"/>
      <c r="E85" s="337"/>
      <c r="F85" s="337"/>
      <c r="G85" s="337"/>
      <c r="H85" s="337"/>
      <c r="I85" s="337"/>
      <c r="J85" s="337"/>
      <c r="K85" s="337"/>
      <c r="L85" s="337"/>
      <c r="M85" s="338"/>
      <c r="O85" s="336"/>
      <c r="P85" s="337"/>
      <c r="Q85" s="337"/>
      <c r="R85" s="337"/>
      <c r="S85" s="337"/>
      <c r="T85" s="337"/>
      <c r="U85" s="337"/>
      <c r="V85" s="337"/>
      <c r="W85" s="337"/>
      <c r="X85" s="337"/>
      <c r="Y85" s="337"/>
      <c r="Z85" s="338"/>
    </row>
    <row r="86" spans="2:26" x14ac:dyDescent="0.3">
      <c r="B86" s="336"/>
      <c r="C86" s="337"/>
      <c r="D86" s="337"/>
      <c r="E86" s="337"/>
      <c r="F86" s="337"/>
      <c r="G86" s="337"/>
      <c r="H86" s="337"/>
      <c r="I86" s="337"/>
      <c r="J86" s="337"/>
      <c r="K86" s="337"/>
      <c r="L86" s="337"/>
      <c r="M86" s="338"/>
      <c r="O86" s="336"/>
      <c r="P86" s="337"/>
      <c r="Q86" s="337"/>
      <c r="R86" s="337"/>
      <c r="S86" s="337"/>
      <c r="T86" s="337"/>
      <c r="U86" s="337"/>
      <c r="V86" s="337"/>
      <c r="W86" s="337"/>
      <c r="X86" s="337"/>
      <c r="Y86" s="337"/>
      <c r="Z86" s="338"/>
    </row>
    <row r="87" spans="2:26" x14ac:dyDescent="0.3">
      <c r="B87" s="336"/>
      <c r="C87" s="337"/>
      <c r="D87" s="337"/>
      <c r="E87" s="337"/>
      <c r="F87" s="337"/>
      <c r="G87" s="337"/>
      <c r="H87" s="337"/>
      <c r="I87" s="337"/>
      <c r="J87" s="337"/>
      <c r="K87" s="337"/>
      <c r="L87" s="337"/>
      <c r="M87" s="338"/>
      <c r="O87" s="336"/>
      <c r="P87" s="337"/>
      <c r="Q87" s="337"/>
      <c r="R87" s="337"/>
      <c r="S87" s="337"/>
      <c r="T87" s="337"/>
      <c r="U87" s="337"/>
      <c r="V87" s="337"/>
      <c r="W87" s="337"/>
      <c r="X87" s="337"/>
      <c r="Y87" s="337"/>
      <c r="Z87" s="338"/>
    </row>
    <row r="88" spans="2:26" x14ac:dyDescent="0.3">
      <c r="B88" s="336"/>
      <c r="C88" s="337"/>
      <c r="D88" s="337"/>
      <c r="E88" s="337"/>
      <c r="F88" s="337"/>
      <c r="G88" s="337"/>
      <c r="H88" s="337"/>
      <c r="I88" s="337"/>
      <c r="J88" s="337"/>
      <c r="K88" s="337"/>
      <c r="L88" s="337"/>
      <c r="M88" s="338"/>
      <c r="O88" s="336"/>
      <c r="P88" s="337"/>
      <c r="Q88" s="337"/>
      <c r="R88" s="337"/>
      <c r="S88" s="337"/>
      <c r="T88" s="337"/>
      <c r="U88" s="337"/>
      <c r="V88" s="337"/>
      <c r="W88" s="337"/>
      <c r="X88" s="337"/>
      <c r="Y88" s="337"/>
      <c r="Z88" s="338"/>
    </row>
    <row r="89" spans="2:26" x14ac:dyDescent="0.3">
      <c r="B89" s="336"/>
      <c r="C89" s="337"/>
      <c r="D89" s="337"/>
      <c r="E89" s="337"/>
      <c r="F89" s="337"/>
      <c r="G89" s="337"/>
      <c r="H89" s="337"/>
      <c r="I89" s="337"/>
      <c r="J89" s="337"/>
      <c r="K89" s="337"/>
      <c r="L89" s="337"/>
      <c r="M89" s="338"/>
      <c r="O89" s="336"/>
      <c r="P89" s="337"/>
      <c r="Q89" s="337"/>
      <c r="R89" s="337"/>
      <c r="S89" s="337"/>
      <c r="T89" s="337"/>
      <c r="U89" s="337"/>
      <c r="V89" s="337"/>
      <c r="W89" s="337"/>
      <c r="X89" s="337"/>
      <c r="Y89" s="337"/>
      <c r="Z89" s="338"/>
    </row>
    <row r="90" spans="2:26" x14ac:dyDescent="0.3">
      <c r="B90" s="336"/>
      <c r="C90" s="337"/>
      <c r="D90" s="337"/>
      <c r="E90" s="337"/>
      <c r="F90" s="337"/>
      <c r="G90" s="337"/>
      <c r="H90" s="337"/>
      <c r="I90" s="337"/>
      <c r="J90" s="337"/>
      <c r="K90" s="337"/>
      <c r="L90" s="337"/>
      <c r="M90" s="338"/>
      <c r="O90" s="336"/>
      <c r="P90" s="337"/>
      <c r="Q90" s="337"/>
      <c r="R90" s="337"/>
      <c r="S90" s="337"/>
      <c r="T90" s="337"/>
      <c r="U90" s="337"/>
      <c r="V90" s="337"/>
      <c r="W90" s="337"/>
      <c r="X90" s="337"/>
      <c r="Y90" s="337"/>
      <c r="Z90" s="338"/>
    </row>
    <row r="91" spans="2:26" x14ac:dyDescent="0.3">
      <c r="B91" s="336"/>
      <c r="C91" s="337"/>
      <c r="D91" s="337"/>
      <c r="E91" s="337"/>
      <c r="F91" s="337"/>
      <c r="G91" s="337"/>
      <c r="H91" s="337"/>
      <c r="I91" s="337"/>
      <c r="J91" s="337"/>
      <c r="K91" s="337"/>
      <c r="L91" s="337"/>
      <c r="M91" s="338"/>
      <c r="O91" s="336"/>
      <c r="P91" s="337"/>
      <c r="Q91" s="337"/>
      <c r="R91" s="337"/>
      <c r="S91" s="337"/>
      <c r="T91" s="337"/>
      <c r="U91" s="337"/>
      <c r="V91" s="337"/>
      <c r="W91" s="337"/>
      <c r="X91" s="337"/>
      <c r="Y91" s="337"/>
      <c r="Z91" s="338"/>
    </row>
    <row r="92" spans="2:26" x14ac:dyDescent="0.3">
      <c r="B92" s="336"/>
      <c r="C92" s="337"/>
      <c r="D92" s="337"/>
      <c r="E92" s="337"/>
      <c r="F92" s="337"/>
      <c r="G92" s="337"/>
      <c r="H92" s="337"/>
      <c r="I92" s="337"/>
      <c r="J92" s="337"/>
      <c r="K92" s="337"/>
      <c r="L92" s="337"/>
      <c r="M92" s="338"/>
      <c r="O92" s="336"/>
      <c r="P92" s="337"/>
      <c r="Q92" s="337"/>
      <c r="R92" s="337"/>
      <c r="S92" s="337"/>
      <c r="T92" s="337"/>
      <c r="U92" s="337"/>
      <c r="V92" s="337"/>
      <c r="W92" s="337"/>
      <c r="X92" s="337"/>
      <c r="Y92" s="337"/>
      <c r="Z92" s="338"/>
    </row>
    <row r="93" spans="2:26" x14ac:dyDescent="0.3">
      <c r="B93" s="336"/>
      <c r="C93" s="337"/>
      <c r="D93" s="337"/>
      <c r="E93" s="337"/>
      <c r="F93" s="337"/>
      <c r="G93" s="337"/>
      <c r="H93" s="337"/>
      <c r="I93" s="337"/>
      <c r="J93" s="337"/>
      <c r="K93" s="337"/>
      <c r="L93" s="337"/>
      <c r="M93" s="338"/>
      <c r="O93" s="336"/>
      <c r="P93" s="337"/>
      <c r="Q93" s="337"/>
      <c r="R93" s="337"/>
      <c r="S93" s="337"/>
      <c r="T93" s="337"/>
      <c r="U93" s="337"/>
      <c r="V93" s="337"/>
      <c r="W93" s="337"/>
      <c r="X93" s="337"/>
      <c r="Y93" s="337"/>
      <c r="Z93" s="338"/>
    </row>
    <row r="94" spans="2:26" x14ac:dyDescent="0.3">
      <c r="B94" s="336"/>
      <c r="C94" s="337"/>
      <c r="D94" s="337"/>
      <c r="E94" s="337"/>
      <c r="F94" s="337"/>
      <c r="G94" s="337"/>
      <c r="H94" s="337"/>
      <c r="I94" s="337"/>
      <c r="J94" s="337"/>
      <c r="K94" s="337"/>
      <c r="L94" s="337"/>
      <c r="M94" s="338"/>
      <c r="O94" s="336"/>
      <c r="P94" s="337"/>
      <c r="Q94" s="337"/>
      <c r="R94" s="337"/>
      <c r="S94" s="337"/>
      <c r="T94" s="337"/>
      <c r="U94" s="337"/>
      <c r="V94" s="337"/>
      <c r="W94" s="337"/>
      <c r="X94" s="337"/>
      <c r="Y94" s="337"/>
      <c r="Z94" s="338"/>
    </row>
    <row r="95" spans="2:26" x14ac:dyDescent="0.3">
      <c r="B95" s="336"/>
      <c r="C95" s="337"/>
      <c r="D95" s="337"/>
      <c r="E95" s="337"/>
      <c r="F95" s="337"/>
      <c r="G95" s="337"/>
      <c r="H95" s="337"/>
      <c r="I95" s="337"/>
      <c r="J95" s="337"/>
      <c r="K95" s="337"/>
      <c r="L95" s="337"/>
      <c r="M95" s="338"/>
      <c r="O95" s="336"/>
      <c r="P95" s="337"/>
      <c r="Q95" s="337"/>
      <c r="R95" s="337"/>
      <c r="S95" s="337"/>
      <c r="T95" s="337"/>
      <c r="U95" s="337"/>
      <c r="V95" s="337"/>
      <c r="W95" s="337"/>
      <c r="X95" s="337"/>
      <c r="Y95" s="337"/>
      <c r="Z95" s="338"/>
    </row>
    <row r="96" spans="2:26" x14ac:dyDescent="0.3">
      <c r="B96" s="336"/>
      <c r="C96" s="337"/>
      <c r="D96" s="337"/>
      <c r="E96" s="337"/>
      <c r="F96" s="337"/>
      <c r="G96" s="337"/>
      <c r="H96" s="337"/>
      <c r="I96" s="337"/>
      <c r="J96" s="337"/>
      <c r="K96" s="337"/>
      <c r="L96" s="337"/>
      <c r="M96" s="338"/>
      <c r="O96" s="336"/>
      <c r="P96" s="337"/>
      <c r="Q96" s="337"/>
      <c r="R96" s="337"/>
      <c r="S96" s="337"/>
      <c r="T96" s="337"/>
      <c r="U96" s="337"/>
      <c r="V96" s="337"/>
      <c r="W96" s="337"/>
      <c r="X96" s="337"/>
      <c r="Y96" s="337"/>
      <c r="Z96" s="338"/>
    </row>
    <row r="97" spans="2:26" x14ac:dyDescent="0.3">
      <c r="B97" s="336"/>
      <c r="C97" s="337"/>
      <c r="D97" s="337"/>
      <c r="E97" s="337"/>
      <c r="F97" s="337"/>
      <c r="G97" s="337"/>
      <c r="H97" s="337"/>
      <c r="I97" s="337"/>
      <c r="J97" s="337"/>
      <c r="K97" s="337"/>
      <c r="L97" s="337"/>
      <c r="M97" s="338"/>
      <c r="O97" s="336"/>
      <c r="P97" s="337"/>
      <c r="Q97" s="337"/>
      <c r="R97" s="337"/>
      <c r="S97" s="337"/>
      <c r="T97" s="337"/>
      <c r="U97" s="337"/>
      <c r="V97" s="337"/>
      <c r="W97" s="337"/>
      <c r="X97" s="337"/>
      <c r="Y97" s="337"/>
      <c r="Z97" s="338"/>
    </row>
    <row r="98" spans="2:26" x14ac:dyDescent="0.3">
      <c r="B98" s="336"/>
      <c r="C98" s="337"/>
      <c r="D98" s="337"/>
      <c r="E98" s="337"/>
      <c r="F98" s="337"/>
      <c r="G98" s="337"/>
      <c r="H98" s="337"/>
      <c r="I98" s="337"/>
      <c r="J98" s="337"/>
      <c r="K98" s="337"/>
      <c r="L98" s="337"/>
      <c r="M98" s="338"/>
      <c r="O98" s="336"/>
      <c r="P98" s="337"/>
      <c r="Q98" s="337"/>
      <c r="R98" s="337"/>
      <c r="S98" s="337"/>
      <c r="T98" s="337"/>
      <c r="U98" s="337"/>
      <c r="V98" s="337"/>
      <c r="W98" s="337"/>
      <c r="X98" s="337"/>
      <c r="Y98" s="337"/>
      <c r="Z98" s="338"/>
    </row>
    <row r="99" spans="2:26" x14ac:dyDescent="0.3">
      <c r="B99" s="336"/>
      <c r="C99" s="337"/>
      <c r="D99" s="337"/>
      <c r="E99" s="337"/>
      <c r="F99" s="337"/>
      <c r="G99" s="337"/>
      <c r="H99" s="337"/>
      <c r="I99" s="337"/>
      <c r="J99" s="337"/>
      <c r="K99" s="337"/>
      <c r="L99" s="337"/>
      <c r="M99" s="338"/>
      <c r="O99" s="336"/>
      <c r="P99" s="337"/>
      <c r="Q99" s="337"/>
      <c r="R99" s="337"/>
      <c r="S99" s="337"/>
      <c r="T99" s="337"/>
      <c r="U99" s="337"/>
      <c r="V99" s="337"/>
      <c r="W99" s="337"/>
      <c r="X99" s="337"/>
      <c r="Y99" s="337"/>
      <c r="Z99" s="338"/>
    </row>
    <row r="100" spans="2:26" x14ac:dyDescent="0.3">
      <c r="B100" s="336"/>
      <c r="C100" s="337"/>
      <c r="D100" s="337"/>
      <c r="E100" s="337"/>
      <c r="F100" s="337"/>
      <c r="G100" s="337"/>
      <c r="H100" s="337"/>
      <c r="I100" s="337"/>
      <c r="J100" s="337"/>
      <c r="K100" s="337"/>
      <c r="L100" s="337"/>
      <c r="M100" s="338"/>
      <c r="O100" s="336"/>
      <c r="P100" s="337"/>
      <c r="Q100" s="337"/>
      <c r="R100" s="337"/>
      <c r="S100" s="337"/>
      <c r="T100" s="337"/>
      <c r="U100" s="337"/>
      <c r="V100" s="337"/>
      <c r="W100" s="337"/>
      <c r="X100" s="337"/>
      <c r="Y100" s="337"/>
      <c r="Z100" s="338"/>
    </row>
    <row r="101" spans="2:26" x14ac:dyDescent="0.3">
      <c r="B101" s="336"/>
      <c r="C101" s="337"/>
      <c r="D101" s="337"/>
      <c r="E101" s="337"/>
      <c r="F101" s="337"/>
      <c r="G101" s="337"/>
      <c r="H101" s="337"/>
      <c r="I101" s="337"/>
      <c r="J101" s="337"/>
      <c r="K101" s="337"/>
      <c r="L101" s="337"/>
      <c r="M101" s="338"/>
      <c r="O101" s="336"/>
      <c r="P101" s="337"/>
      <c r="Q101" s="337"/>
      <c r="R101" s="337"/>
      <c r="S101" s="337"/>
      <c r="T101" s="337"/>
      <c r="U101" s="337"/>
      <c r="V101" s="337"/>
      <c r="W101" s="337"/>
      <c r="X101" s="337"/>
      <c r="Y101" s="337"/>
      <c r="Z101" s="338"/>
    </row>
    <row r="102" spans="2:26" x14ac:dyDescent="0.3">
      <c r="B102" s="336"/>
      <c r="C102" s="337"/>
      <c r="D102" s="337"/>
      <c r="E102" s="337"/>
      <c r="F102" s="337"/>
      <c r="G102" s="337"/>
      <c r="H102" s="337"/>
      <c r="I102" s="337"/>
      <c r="J102" s="337"/>
      <c r="K102" s="337"/>
      <c r="L102" s="337"/>
      <c r="M102" s="338"/>
      <c r="O102" s="336"/>
      <c r="P102" s="337"/>
      <c r="Q102" s="337"/>
      <c r="R102" s="337"/>
      <c r="S102" s="337"/>
      <c r="T102" s="337"/>
      <c r="U102" s="337"/>
      <c r="V102" s="337"/>
      <c r="W102" s="337"/>
      <c r="X102" s="337"/>
      <c r="Y102" s="337"/>
      <c r="Z102" s="338"/>
    </row>
    <row r="103" spans="2:26" x14ac:dyDescent="0.3">
      <c r="B103" s="336"/>
      <c r="C103" s="337"/>
      <c r="D103" s="337"/>
      <c r="E103" s="337"/>
      <c r="F103" s="337"/>
      <c r="G103" s="337"/>
      <c r="H103" s="337"/>
      <c r="I103" s="337"/>
      <c r="J103" s="337"/>
      <c r="K103" s="337"/>
      <c r="L103" s="337"/>
      <c r="M103" s="338"/>
      <c r="O103" s="336"/>
      <c r="P103" s="337"/>
      <c r="Q103" s="337"/>
      <c r="R103" s="337"/>
      <c r="S103" s="337"/>
      <c r="T103" s="337"/>
      <c r="U103" s="337"/>
      <c r="V103" s="337"/>
      <c r="W103" s="337"/>
      <c r="X103" s="337"/>
      <c r="Y103" s="337"/>
      <c r="Z103" s="338"/>
    </row>
    <row r="104" spans="2:26" x14ac:dyDescent="0.3">
      <c r="B104" s="336"/>
      <c r="C104" s="337"/>
      <c r="D104" s="337"/>
      <c r="E104" s="337"/>
      <c r="F104" s="337"/>
      <c r="G104" s="337"/>
      <c r="H104" s="337"/>
      <c r="I104" s="337"/>
      <c r="J104" s="337"/>
      <c r="K104" s="337"/>
      <c r="L104" s="337"/>
      <c r="M104" s="338"/>
      <c r="O104" s="336"/>
      <c r="P104" s="337"/>
      <c r="Q104" s="337"/>
      <c r="R104" s="337"/>
      <c r="S104" s="337"/>
      <c r="T104" s="337"/>
      <c r="U104" s="337"/>
      <c r="V104" s="337"/>
      <c r="W104" s="337"/>
      <c r="X104" s="337"/>
      <c r="Y104" s="337"/>
      <c r="Z104" s="338"/>
    </row>
    <row r="105" spans="2:26" x14ac:dyDescent="0.3">
      <c r="B105" s="336"/>
      <c r="C105" s="337"/>
      <c r="D105" s="337"/>
      <c r="E105" s="337"/>
      <c r="F105" s="337"/>
      <c r="G105" s="337"/>
      <c r="H105" s="337"/>
      <c r="I105" s="337"/>
      <c r="J105" s="337"/>
      <c r="K105" s="337"/>
      <c r="L105" s="337"/>
      <c r="M105" s="338"/>
      <c r="O105" s="336"/>
      <c r="P105" s="337"/>
      <c r="Q105" s="337"/>
      <c r="R105" s="337"/>
      <c r="S105" s="337"/>
      <c r="T105" s="337"/>
      <c r="U105" s="337"/>
      <c r="V105" s="337"/>
      <c r="W105" s="337"/>
      <c r="X105" s="337"/>
      <c r="Y105" s="337"/>
      <c r="Z105" s="338"/>
    </row>
    <row r="106" spans="2:26" x14ac:dyDescent="0.3">
      <c r="B106" s="336"/>
      <c r="C106" s="337"/>
      <c r="D106" s="337"/>
      <c r="E106" s="337"/>
      <c r="F106" s="337"/>
      <c r="G106" s="337"/>
      <c r="H106" s="337"/>
      <c r="I106" s="337"/>
      <c r="J106" s="337"/>
      <c r="K106" s="337"/>
      <c r="L106" s="337"/>
      <c r="M106" s="338"/>
      <c r="O106" s="336"/>
      <c r="P106" s="337"/>
      <c r="Q106" s="337"/>
      <c r="R106" s="337"/>
      <c r="S106" s="337"/>
      <c r="T106" s="337"/>
      <c r="U106" s="337"/>
      <c r="V106" s="337"/>
      <c r="W106" s="337"/>
      <c r="X106" s="337"/>
      <c r="Y106" s="337"/>
      <c r="Z106" s="338"/>
    </row>
    <row r="107" spans="2:26" x14ac:dyDescent="0.3">
      <c r="B107" s="336"/>
      <c r="C107" s="337"/>
      <c r="D107" s="337"/>
      <c r="E107" s="337"/>
      <c r="F107" s="337"/>
      <c r="G107" s="337"/>
      <c r="H107" s="337"/>
      <c r="I107" s="337"/>
      <c r="J107" s="337"/>
      <c r="K107" s="337"/>
      <c r="L107" s="337"/>
      <c r="M107" s="338"/>
      <c r="O107" s="336"/>
      <c r="P107" s="337"/>
      <c r="Q107" s="337"/>
      <c r="R107" s="337"/>
      <c r="S107" s="337"/>
      <c r="T107" s="337"/>
      <c r="U107" s="337"/>
      <c r="V107" s="337"/>
      <c r="W107" s="337"/>
      <c r="X107" s="337"/>
      <c r="Y107" s="337"/>
      <c r="Z107" s="338"/>
    </row>
    <row r="108" spans="2:26" x14ac:dyDescent="0.3">
      <c r="B108" s="336"/>
      <c r="C108" s="337"/>
      <c r="D108" s="337"/>
      <c r="E108" s="337"/>
      <c r="F108" s="337"/>
      <c r="G108" s="337"/>
      <c r="H108" s="337"/>
      <c r="I108" s="337"/>
      <c r="J108" s="337"/>
      <c r="K108" s="337"/>
      <c r="L108" s="337"/>
      <c r="M108" s="338"/>
      <c r="O108" s="336"/>
      <c r="P108" s="337"/>
      <c r="Q108" s="337"/>
      <c r="R108" s="337"/>
      <c r="S108" s="337"/>
      <c r="T108" s="337"/>
      <c r="U108" s="337"/>
      <c r="V108" s="337"/>
      <c r="W108" s="337"/>
      <c r="X108" s="337"/>
      <c r="Y108" s="337"/>
      <c r="Z108" s="338"/>
    </row>
    <row r="109" spans="2:26" x14ac:dyDescent="0.3">
      <c r="B109" s="336"/>
      <c r="C109" s="337"/>
      <c r="D109" s="337"/>
      <c r="E109" s="337"/>
      <c r="F109" s="337"/>
      <c r="G109" s="337"/>
      <c r="H109" s="337"/>
      <c r="I109" s="337"/>
      <c r="J109" s="337"/>
      <c r="K109" s="337"/>
      <c r="L109" s="337"/>
      <c r="M109" s="338"/>
      <c r="O109" s="336"/>
      <c r="P109" s="337"/>
      <c r="Q109" s="337"/>
      <c r="R109" s="337"/>
      <c r="S109" s="337"/>
      <c r="T109" s="337"/>
      <c r="U109" s="337"/>
      <c r="V109" s="337"/>
      <c r="W109" s="337"/>
      <c r="X109" s="337"/>
      <c r="Y109" s="337"/>
      <c r="Z109" s="338"/>
    </row>
    <row r="110" spans="2:26" x14ac:dyDescent="0.3">
      <c r="B110" s="336"/>
      <c r="C110" s="337"/>
      <c r="D110" s="337"/>
      <c r="E110" s="337"/>
      <c r="F110" s="337"/>
      <c r="G110" s="337"/>
      <c r="H110" s="337"/>
      <c r="I110" s="337"/>
      <c r="J110" s="337"/>
      <c r="K110" s="337"/>
      <c r="L110" s="337"/>
      <c r="M110" s="338"/>
      <c r="O110" s="336"/>
      <c r="P110" s="337"/>
      <c r="Q110" s="337"/>
      <c r="R110" s="337"/>
      <c r="S110" s="337"/>
      <c r="T110" s="337"/>
      <c r="U110" s="337"/>
      <c r="V110" s="337"/>
      <c r="W110" s="337"/>
      <c r="X110" s="337"/>
      <c r="Y110" s="337"/>
      <c r="Z110" s="338"/>
    </row>
    <row r="111" spans="2:26" x14ac:dyDescent="0.3">
      <c r="B111" s="336"/>
      <c r="C111" s="337"/>
      <c r="D111" s="337"/>
      <c r="E111" s="337"/>
      <c r="F111" s="337"/>
      <c r="G111" s="337"/>
      <c r="H111" s="337"/>
      <c r="I111" s="337"/>
      <c r="J111" s="337"/>
      <c r="K111" s="337"/>
      <c r="L111" s="337"/>
      <c r="M111" s="338"/>
      <c r="O111" s="336"/>
      <c r="P111" s="337"/>
      <c r="Q111" s="337"/>
      <c r="R111" s="337"/>
      <c r="S111" s="337"/>
      <c r="T111" s="337"/>
      <c r="U111" s="337"/>
      <c r="V111" s="337"/>
      <c r="W111" s="337"/>
      <c r="X111" s="337"/>
      <c r="Y111" s="337"/>
      <c r="Z111" s="338"/>
    </row>
    <row r="112" spans="2:26" x14ac:dyDescent="0.3">
      <c r="B112" s="336"/>
      <c r="C112" s="337"/>
      <c r="D112" s="337"/>
      <c r="E112" s="337"/>
      <c r="F112" s="337"/>
      <c r="G112" s="337"/>
      <c r="H112" s="337"/>
      <c r="I112" s="337"/>
      <c r="J112" s="337"/>
      <c r="K112" s="337"/>
      <c r="L112" s="337"/>
      <c r="M112" s="338"/>
      <c r="O112" s="336"/>
      <c r="P112" s="337"/>
      <c r="Q112" s="337"/>
      <c r="R112" s="337"/>
      <c r="S112" s="337"/>
      <c r="T112" s="337"/>
      <c r="U112" s="337"/>
      <c r="V112" s="337"/>
      <c r="W112" s="337"/>
      <c r="X112" s="337"/>
      <c r="Y112" s="337"/>
      <c r="Z112" s="338"/>
    </row>
    <row r="113" spans="2:26" x14ac:dyDescent="0.3">
      <c r="B113" s="336"/>
      <c r="C113" s="337"/>
      <c r="D113" s="337"/>
      <c r="E113" s="337"/>
      <c r="F113" s="337"/>
      <c r="G113" s="337"/>
      <c r="H113" s="337"/>
      <c r="I113" s="337"/>
      <c r="J113" s="337"/>
      <c r="K113" s="337"/>
      <c r="L113" s="337"/>
      <c r="M113" s="338"/>
      <c r="O113" s="336"/>
      <c r="P113" s="337"/>
      <c r="Q113" s="337"/>
      <c r="R113" s="337"/>
      <c r="S113" s="337"/>
      <c r="T113" s="337"/>
      <c r="U113" s="337"/>
      <c r="V113" s="337"/>
      <c r="W113" s="337"/>
      <c r="X113" s="337"/>
      <c r="Y113" s="337"/>
      <c r="Z113" s="338"/>
    </row>
    <row r="114" spans="2:26" x14ac:dyDescent="0.3">
      <c r="B114" s="336"/>
      <c r="C114" s="337"/>
      <c r="D114" s="337"/>
      <c r="E114" s="337"/>
      <c r="F114" s="337"/>
      <c r="G114" s="337"/>
      <c r="H114" s="337"/>
      <c r="I114" s="337"/>
      <c r="J114" s="337"/>
      <c r="K114" s="337"/>
      <c r="L114" s="337"/>
      <c r="M114" s="338"/>
      <c r="O114" s="336"/>
      <c r="P114" s="337"/>
      <c r="Q114" s="337"/>
      <c r="R114" s="337"/>
      <c r="S114" s="337"/>
      <c r="T114" s="337"/>
      <c r="U114" s="337"/>
      <c r="V114" s="337"/>
      <c r="W114" s="337"/>
      <c r="X114" s="337"/>
      <c r="Y114" s="337"/>
      <c r="Z114" s="338"/>
    </row>
    <row r="115" spans="2:26" x14ac:dyDescent="0.3">
      <c r="B115" s="336"/>
      <c r="C115" s="337"/>
      <c r="D115" s="337"/>
      <c r="E115" s="337"/>
      <c r="F115" s="337"/>
      <c r="G115" s="337"/>
      <c r="H115" s="337"/>
      <c r="I115" s="337"/>
      <c r="J115" s="337"/>
      <c r="K115" s="337"/>
      <c r="L115" s="337"/>
      <c r="M115" s="338"/>
      <c r="O115" s="336"/>
      <c r="P115" s="337"/>
      <c r="Q115" s="337"/>
      <c r="R115" s="337"/>
      <c r="S115" s="337"/>
      <c r="T115" s="337"/>
      <c r="U115" s="337"/>
      <c r="V115" s="337"/>
      <c r="W115" s="337"/>
      <c r="X115" s="337"/>
      <c r="Y115" s="337"/>
      <c r="Z115" s="338"/>
    </row>
    <row r="116" spans="2:26" x14ac:dyDescent="0.3">
      <c r="B116" s="336"/>
      <c r="C116" s="337"/>
      <c r="D116" s="337"/>
      <c r="E116" s="337"/>
      <c r="F116" s="337"/>
      <c r="G116" s="337"/>
      <c r="H116" s="337"/>
      <c r="I116" s="337"/>
      <c r="J116" s="337"/>
      <c r="K116" s="337"/>
      <c r="L116" s="337"/>
      <c r="M116" s="338"/>
      <c r="O116" s="336"/>
      <c r="P116" s="337"/>
      <c r="Q116" s="337"/>
      <c r="R116" s="337"/>
      <c r="S116" s="337"/>
      <c r="T116" s="337"/>
      <c r="U116" s="337"/>
      <c r="V116" s="337"/>
      <c r="W116" s="337"/>
      <c r="X116" s="337"/>
      <c r="Y116" s="337"/>
      <c r="Z116" s="338"/>
    </row>
    <row r="117" spans="2:26" x14ac:dyDescent="0.3">
      <c r="B117" s="336"/>
      <c r="C117" s="337"/>
      <c r="D117" s="337"/>
      <c r="E117" s="337"/>
      <c r="F117" s="337"/>
      <c r="G117" s="337"/>
      <c r="H117" s="337"/>
      <c r="I117" s="337"/>
      <c r="J117" s="337"/>
      <c r="K117" s="337"/>
      <c r="L117" s="337"/>
      <c r="M117" s="338"/>
      <c r="O117" s="336"/>
      <c r="P117" s="337"/>
      <c r="Q117" s="337"/>
      <c r="R117" s="337"/>
      <c r="S117" s="337"/>
      <c r="T117" s="337"/>
      <c r="U117" s="337"/>
      <c r="V117" s="337"/>
      <c r="W117" s="337"/>
      <c r="X117" s="337"/>
      <c r="Y117" s="337"/>
      <c r="Z117" s="338"/>
    </row>
    <row r="118" spans="2:26" x14ac:dyDescent="0.3">
      <c r="B118" s="336"/>
      <c r="C118" s="337"/>
      <c r="D118" s="337"/>
      <c r="E118" s="337"/>
      <c r="F118" s="337"/>
      <c r="G118" s="337"/>
      <c r="H118" s="337"/>
      <c r="I118" s="337"/>
      <c r="J118" s="337"/>
      <c r="K118" s="337"/>
      <c r="L118" s="337"/>
      <c r="M118" s="338"/>
      <c r="O118" s="336"/>
      <c r="P118" s="337"/>
      <c r="Q118" s="337"/>
      <c r="R118" s="337"/>
      <c r="S118" s="337"/>
      <c r="T118" s="337"/>
      <c r="U118" s="337"/>
      <c r="V118" s="337"/>
      <c r="W118" s="337"/>
      <c r="X118" s="337"/>
      <c r="Y118" s="337"/>
      <c r="Z118" s="338"/>
    </row>
    <row r="119" spans="2:26" x14ac:dyDescent="0.3">
      <c r="B119" s="336"/>
      <c r="C119" s="337"/>
      <c r="D119" s="337"/>
      <c r="E119" s="337"/>
      <c r="F119" s="337"/>
      <c r="G119" s="337"/>
      <c r="H119" s="337"/>
      <c r="I119" s="337"/>
      <c r="J119" s="337"/>
      <c r="K119" s="337"/>
      <c r="L119" s="337"/>
      <c r="M119" s="338"/>
      <c r="O119" s="336"/>
      <c r="P119" s="337"/>
      <c r="Q119" s="337"/>
      <c r="R119" s="337"/>
      <c r="S119" s="337"/>
      <c r="T119" s="337"/>
      <c r="U119" s="337"/>
      <c r="V119" s="337"/>
      <c r="W119" s="337"/>
      <c r="X119" s="337"/>
      <c r="Y119" s="337"/>
      <c r="Z119" s="338"/>
    </row>
    <row r="120" spans="2:26" x14ac:dyDescent="0.3">
      <c r="B120" s="336"/>
      <c r="C120" s="337"/>
      <c r="D120" s="337"/>
      <c r="E120" s="337"/>
      <c r="F120" s="337"/>
      <c r="G120" s="337"/>
      <c r="H120" s="337"/>
      <c r="I120" s="337"/>
      <c r="J120" s="337"/>
      <c r="K120" s="337"/>
      <c r="L120" s="337"/>
      <c r="M120" s="338"/>
      <c r="O120" s="336"/>
      <c r="P120" s="337"/>
      <c r="Q120" s="337"/>
      <c r="R120" s="337"/>
      <c r="S120" s="337"/>
      <c r="T120" s="337"/>
      <c r="U120" s="337"/>
      <c r="V120" s="337"/>
      <c r="W120" s="337"/>
      <c r="X120" s="337"/>
      <c r="Y120" s="337"/>
      <c r="Z120" s="338"/>
    </row>
    <row r="121" spans="2:26" x14ac:dyDescent="0.3">
      <c r="B121" s="336"/>
      <c r="C121" s="337"/>
      <c r="D121" s="337"/>
      <c r="E121" s="337"/>
      <c r="F121" s="337"/>
      <c r="G121" s="337"/>
      <c r="H121" s="337"/>
      <c r="I121" s="337"/>
      <c r="J121" s="337"/>
      <c r="K121" s="337"/>
      <c r="L121" s="337"/>
      <c r="M121" s="338"/>
      <c r="O121" s="336"/>
      <c r="P121" s="337"/>
      <c r="Q121" s="337"/>
      <c r="R121" s="337"/>
      <c r="S121" s="337"/>
      <c r="T121" s="337"/>
      <c r="U121" s="337"/>
      <c r="V121" s="337"/>
      <c r="W121" s="337"/>
      <c r="X121" s="337"/>
      <c r="Y121" s="337"/>
      <c r="Z121" s="338"/>
    </row>
    <row r="122" spans="2:26" x14ac:dyDescent="0.3">
      <c r="B122" s="336"/>
      <c r="C122" s="337"/>
      <c r="D122" s="337"/>
      <c r="E122" s="337"/>
      <c r="F122" s="337"/>
      <c r="G122" s="337"/>
      <c r="H122" s="337"/>
      <c r="I122" s="337"/>
      <c r="J122" s="337"/>
      <c r="K122" s="337"/>
      <c r="L122" s="337"/>
      <c r="M122" s="338"/>
      <c r="O122" s="336"/>
      <c r="P122" s="337"/>
      <c r="Q122" s="337"/>
      <c r="R122" s="337"/>
      <c r="S122" s="337"/>
      <c r="T122" s="337"/>
      <c r="U122" s="337"/>
      <c r="V122" s="337"/>
      <c r="W122" s="337"/>
      <c r="X122" s="337"/>
      <c r="Y122" s="337"/>
      <c r="Z122" s="338"/>
    </row>
    <row r="123" spans="2:26" x14ac:dyDescent="0.3">
      <c r="B123" s="336"/>
      <c r="C123" s="337"/>
      <c r="D123" s="337"/>
      <c r="E123" s="337"/>
      <c r="F123" s="337"/>
      <c r="G123" s="337"/>
      <c r="H123" s="337"/>
      <c r="I123" s="337"/>
      <c r="J123" s="337"/>
      <c r="K123" s="337"/>
      <c r="L123" s="337"/>
      <c r="M123" s="338"/>
      <c r="O123" s="336"/>
      <c r="P123" s="337"/>
      <c r="Q123" s="337"/>
      <c r="R123" s="337"/>
      <c r="S123" s="337"/>
      <c r="T123" s="337"/>
      <c r="U123" s="337"/>
      <c r="V123" s="337"/>
      <c r="W123" s="337"/>
      <c r="X123" s="337"/>
      <c r="Y123" s="337"/>
      <c r="Z123" s="338"/>
    </row>
    <row r="124" spans="2:26" x14ac:dyDescent="0.3">
      <c r="B124" s="336"/>
      <c r="C124" s="337"/>
      <c r="D124" s="337"/>
      <c r="E124" s="337"/>
      <c r="F124" s="337"/>
      <c r="G124" s="337"/>
      <c r="H124" s="337"/>
      <c r="I124" s="337"/>
      <c r="J124" s="337"/>
      <c r="K124" s="337"/>
      <c r="L124" s="337"/>
      <c r="M124" s="338"/>
      <c r="O124" s="336"/>
      <c r="P124" s="337"/>
      <c r="Q124" s="337"/>
      <c r="R124" s="337"/>
      <c r="S124" s="337"/>
      <c r="T124" s="337"/>
      <c r="U124" s="337"/>
      <c r="V124" s="337"/>
      <c r="W124" s="337"/>
      <c r="X124" s="337"/>
      <c r="Y124" s="337"/>
      <c r="Z124" s="338"/>
    </row>
    <row r="125" spans="2:26" x14ac:dyDescent="0.3">
      <c r="B125" s="336"/>
      <c r="C125" s="337"/>
      <c r="D125" s="337"/>
      <c r="E125" s="337"/>
      <c r="F125" s="337"/>
      <c r="G125" s="337"/>
      <c r="H125" s="337"/>
      <c r="I125" s="337"/>
      <c r="J125" s="337"/>
      <c r="K125" s="337"/>
      <c r="L125" s="337"/>
      <c r="M125" s="338"/>
      <c r="O125" s="336"/>
      <c r="P125" s="337"/>
      <c r="Q125" s="337"/>
      <c r="R125" s="337"/>
      <c r="S125" s="337"/>
      <c r="T125" s="337"/>
      <c r="U125" s="337"/>
      <c r="V125" s="337"/>
      <c r="W125" s="337"/>
      <c r="X125" s="337"/>
      <c r="Y125" s="337"/>
      <c r="Z125" s="338"/>
    </row>
    <row r="126" spans="2:26" x14ac:dyDescent="0.3">
      <c r="B126" s="336"/>
      <c r="C126" s="337"/>
      <c r="D126" s="337"/>
      <c r="E126" s="337"/>
      <c r="F126" s="337"/>
      <c r="G126" s="337"/>
      <c r="H126" s="337"/>
      <c r="I126" s="337"/>
      <c r="J126" s="337"/>
      <c r="K126" s="337"/>
      <c r="L126" s="337"/>
      <c r="M126" s="338"/>
      <c r="O126" s="336"/>
      <c r="P126" s="337"/>
      <c r="Q126" s="337"/>
      <c r="R126" s="337"/>
      <c r="S126" s="337"/>
      <c r="T126" s="337"/>
      <c r="U126" s="337"/>
      <c r="V126" s="337"/>
      <c r="W126" s="337"/>
      <c r="X126" s="337"/>
      <c r="Y126" s="337"/>
      <c r="Z126" s="338"/>
    </row>
    <row r="127" spans="2:26" x14ac:dyDescent="0.3">
      <c r="B127" s="336"/>
      <c r="C127" s="337"/>
      <c r="D127" s="337"/>
      <c r="E127" s="337"/>
      <c r="F127" s="337"/>
      <c r="G127" s="337"/>
      <c r="H127" s="337"/>
      <c r="I127" s="337"/>
      <c r="J127" s="337"/>
      <c r="K127" s="337"/>
      <c r="L127" s="337"/>
      <c r="M127" s="338"/>
      <c r="O127" s="336"/>
      <c r="P127" s="337"/>
      <c r="Q127" s="337"/>
      <c r="R127" s="337"/>
      <c r="S127" s="337"/>
      <c r="T127" s="337"/>
      <c r="U127" s="337"/>
      <c r="V127" s="337"/>
      <c r="W127" s="337"/>
      <c r="X127" s="337"/>
      <c r="Y127" s="337"/>
      <c r="Z127" s="338"/>
    </row>
    <row r="128" spans="2:26" x14ac:dyDescent="0.3">
      <c r="B128" s="336"/>
      <c r="C128" s="337"/>
      <c r="D128" s="337"/>
      <c r="E128" s="337"/>
      <c r="F128" s="337"/>
      <c r="G128" s="337"/>
      <c r="H128" s="337"/>
      <c r="I128" s="337"/>
      <c r="J128" s="337"/>
      <c r="K128" s="337"/>
      <c r="L128" s="337"/>
      <c r="M128" s="338"/>
      <c r="O128" s="336"/>
      <c r="P128" s="337"/>
      <c r="Q128" s="337"/>
      <c r="R128" s="337"/>
      <c r="S128" s="337"/>
      <c r="T128" s="337"/>
      <c r="U128" s="337"/>
      <c r="V128" s="337"/>
      <c r="W128" s="337"/>
      <c r="X128" s="337"/>
      <c r="Y128" s="337"/>
      <c r="Z128" s="338"/>
    </row>
    <row r="129" spans="2:26" x14ac:dyDescent="0.3">
      <c r="B129" s="336"/>
      <c r="C129" s="337"/>
      <c r="D129" s="337"/>
      <c r="E129" s="337"/>
      <c r="F129" s="337"/>
      <c r="G129" s="337"/>
      <c r="H129" s="337"/>
      <c r="I129" s="337"/>
      <c r="J129" s="337"/>
      <c r="K129" s="337"/>
      <c r="L129" s="337"/>
      <c r="M129" s="338"/>
      <c r="N129" s="337"/>
      <c r="O129" s="336"/>
      <c r="P129" s="337"/>
      <c r="Q129" s="337"/>
      <c r="R129" s="337"/>
      <c r="S129" s="337"/>
      <c r="T129" s="337"/>
      <c r="U129" s="337"/>
      <c r="V129" s="337"/>
      <c r="W129" s="337"/>
      <c r="X129" s="337"/>
      <c r="Y129" s="337"/>
      <c r="Z129" s="338"/>
    </row>
    <row r="130" spans="2:26" ht="15" thickBot="1" x14ac:dyDescent="0.35">
      <c r="B130" s="341"/>
      <c r="C130" s="342"/>
      <c r="D130" s="342"/>
      <c r="E130" s="342"/>
      <c r="F130" s="342"/>
      <c r="G130" s="342"/>
      <c r="H130" s="342"/>
      <c r="I130" s="342"/>
      <c r="J130" s="342"/>
      <c r="K130" s="342"/>
      <c r="L130" s="342"/>
      <c r="M130" s="343"/>
      <c r="N130" s="337"/>
      <c r="O130" s="341"/>
      <c r="P130" s="342"/>
      <c r="Q130" s="342"/>
      <c r="R130" s="342"/>
      <c r="S130" s="342"/>
      <c r="T130" s="342"/>
      <c r="U130" s="342"/>
      <c r="V130" s="342"/>
      <c r="W130" s="342"/>
      <c r="X130" s="342"/>
      <c r="Y130" s="342"/>
      <c r="Z130" s="343"/>
    </row>
  </sheetData>
  <sheetProtection password="B7E1" sheet="1" objects="1" scenarios="1"/>
  <mergeCells count="4">
    <mergeCell ref="B2:G3"/>
    <mergeCell ref="B5:G5"/>
    <mergeCell ref="I5:L5"/>
    <mergeCell ref="N5:Q5"/>
  </mergeCells>
  <pageMargins left="0.70866141732283472" right="0.70866141732283472" top="0.74803149606299213" bottom="0.74803149606299213" header="0.31496062992125984" footer="0.31496062992125984"/>
  <pageSetup paperSize="9" scale="80"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C3E02"/>
    <pageSetUpPr fitToPage="1"/>
  </sheetPr>
  <dimension ref="B1:Z130"/>
  <sheetViews>
    <sheetView topLeftCell="A95" zoomScale="90" zoomScaleNormal="90" workbookViewId="0">
      <selection activeCell="B36" sqref="B1:G36"/>
    </sheetView>
  </sheetViews>
  <sheetFormatPr defaultRowHeight="14.4" x14ac:dyDescent="0.3"/>
  <cols>
    <col min="12" max="12" width="15" customWidth="1"/>
    <col min="13" max="13" width="11.21875" customWidth="1"/>
    <col min="14" max="14" width="15" bestFit="1" customWidth="1"/>
    <col min="25" max="26" width="11.21875" customWidth="1"/>
  </cols>
  <sheetData>
    <row r="1" spans="2:17" ht="15" thickBot="1" x14ac:dyDescent="0.35"/>
    <row r="2" spans="2:17" x14ac:dyDescent="0.3">
      <c r="B2" s="726" t="s">
        <v>271</v>
      </c>
      <c r="C2" s="727"/>
      <c r="D2" s="727"/>
      <c r="E2" s="727"/>
      <c r="F2" s="727"/>
      <c r="G2" s="728"/>
    </row>
    <row r="3" spans="2:17" ht="15" thickBot="1" x14ac:dyDescent="0.35">
      <c r="B3" s="729"/>
      <c r="C3" s="730"/>
      <c r="D3" s="730"/>
      <c r="E3" s="730"/>
      <c r="F3" s="730"/>
      <c r="G3" s="731"/>
    </row>
    <row r="4" spans="2:17" ht="15" thickBot="1" x14ac:dyDescent="0.35"/>
    <row r="5" spans="2:17" ht="18" x14ac:dyDescent="0.3">
      <c r="B5" s="717" t="s">
        <v>266</v>
      </c>
      <c r="C5" s="718"/>
      <c r="D5" s="718"/>
      <c r="E5" s="718"/>
      <c r="F5" s="718"/>
      <c r="G5" s="719"/>
      <c r="I5" s="732" t="s">
        <v>275</v>
      </c>
      <c r="J5" s="718"/>
      <c r="K5" s="718"/>
      <c r="L5" s="719"/>
      <c r="M5" s="174"/>
      <c r="N5" s="732" t="s">
        <v>274</v>
      </c>
      <c r="O5" s="718"/>
      <c r="P5" s="718"/>
      <c r="Q5" s="719"/>
    </row>
    <row r="6" spans="2:17" x14ac:dyDescent="0.3">
      <c r="B6" s="359"/>
      <c r="C6" s="356"/>
      <c r="D6" s="356"/>
      <c r="E6" s="356"/>
      <c r="F6" s="356"/>
      <c r="G6" s="367"/>
      <c r="I6" s="364" t="s">
        <v>40</v>
      </c>
      <c r="J6" s="177" t="s">
        <v>41</v>
      </c>
      <c r="K6" s="177" t="s">
        <v>42</v>
      </c>
      <c r="L6" s="365" t="s">
        <v>43</v>
      </c>
      <c r="M6" s="174"/>
      <c r="N6" s="364" t="s">
        <v>40</v>
      </c>
      <c r="O6" s="177" t="s">
        <v>41</v>
      </c>
      <c r="P6" s="177" t="s">
        <v>42</v>
      </c>
      <c r="Q6" s="365" t="s">
        <v>43</v>
      </c>
    </row>
    <row r="7" spans="2:17" x14ac:dyDescent="0.3">
      <c r="B7" s="359"/>
      <c r="C7" s="180" t="s">
        <v>44</v>
      </c>
      <c r="D7" s="357" t="s">
        <v>45</v>
      </c>
      <c r="E7" s="357" t="s">
        <v>46</v>
      </c>
      <c r="F7" s="357" t="s">
        <v>47</v>
      </c>
      <c r="G7" s="360" t="s">
        <v>48</v>
      </c>
      <c r="H7" s="358"/>
      <c r="I7" s="364" t="s">
        <v>49</v>
      </c>
      <c r="J7" s="177" t="s">
        <v>49</v>
      </c>
      <c r="K7" s="177" t="s">
        <v>49</v>
      </c>
      <c r="L7" s="365" t="s">
        <v>49</v>
      </c>
      <c r="M7" s="174"/>
      <c r="N7" s="359" t="s">
        <v>49</v>
      </c>
      <c r="O7" s="356" t="s">
        <v>49</v>
      </c>
      <c r="P7" s="356" t="s">
        <v>49</v>
      </c>
      <c r="Q7" s="367" t="s">
        <v>49</v>
      </c>
    </row>
    <row r="8" spans="2:17" x14ac:dyDescent="0.3">
      <c r="B8" s="359">
        <v>0</v>
      </c>
      <c r="C8" s="238">
        <v>26.3</v>
      </c>
      <c r="D8" s="238">
        <v>25.9</v>
      </c>
      <c r="E8" s="238">
        <v>26</v>
      </c>
      <c r="F8" s="238">
        <v>26.5</v>
      </c>
      <c r="G8" s="361">
        <v>26.6</v>
      </c>
      <c r="H8" s="355"/>
      <c r="I8" s="372">
        <v>26.3</v>
      </c>
      <c r="J8" s="232">
        <v>26.3</v>
      </c>
      <c r="K8" s="232">
        <v>26.3</v>
      </c>
      <c r="L8" s="179">
        <v>26.3</v>
      </c>
      <c r="M8" s="174"/>
      <c r="N8" s="368">
        <v>26.2</v>
      </c>
      <c r="O8" s="238">
        <v>26.2</v>
      </c>
      <c r="P8" s="238">
        <v>26.2</v>
      </c>
      <c r="Q8" s="361">
        <v>26.2</v>
      </c>
    </row>
    <row r="9" spans="2:17" x14ac:dyDescent="0.3">
      <c r="B9" s="359">
        <v>1</v>
      </c>
      <c r="C9" s="238">
        <v>26.3</v>
      </c>
      <c r="D9" s="238">
        <v>25.9</v>
      </c>
      <c r="E9" s="238">
        <v>26</v>
      </c>
      <c r="F9" s="238">
        <v>26.5</v>
      </c>
      <c r="G9" s="361">
        <v>26.6</v>
      </c>
      <c r="H9" s="355"/>
      <c r="I9" s="372">
        <v>26.48</v>
      </c>
      <c r="J9" s="232">
        <v>26.48</v>
      </c>
      <c r="K9" s="232">
        <v>26.48</v>
      </c>
      <c r="L9" s="179">
        <v>26.48</v>
      </c>
      <c r="M9" s="174"/>
      <c r="N9" s="368">
        <v>26.25</v>
      </c>
      <c r="O9" s="238">
        <v>26.25</v>
      </c>
      <c r="P9" s="238">
        <v>26.25</v>
      </c>
      <c r="Q9" s="361">
        <v>26.25</v>
      </c>
    </row>
    <row r="10" spans="2:17" x14ac:dyDescent="0.3">
      <c r="B10" s="359">
        <v>2</v>
      </c>
      <c r="C10" s="238">
        <v>26.3</v>
      </c>
      <c r="D10" s="238">
        <v>25.9</v>
      </c>
      <c r="E10" s="238">
        <v>26</v>
      </c>
      <c r="F10" s="238">
        <v>26.5</v>
      </c>
      <c r="G10" s="361">
        <v>26.6</v>
      </c>
      <c r="H10" s="355"/>
      <c r="I10" s="372">
        <v>26.4</v>
      </c>
      <c r="J10" s="232">
        <v>26.4</v>
      </c>
      <c r="K10" s="232">
        <v>26.4</v>
      </c>
      <c r="L10" s="179">
        <v>26.4</v>
      </c>
      <c r="M10" s="174"/>
      <c r="N10" s="368">
        <v>26.04</v>
      </c>
      <c r="O10" s="238">
        <v>26.04</v>
      </c>
      <c r="P10" s="238">
        <v>26.04</v>
      </c>
      <c r="Q10" s="361">
        <v>26.04</v>
      </c>
    </row>
    <row r="11" spans="2:17" x14ac:dyDescent="0.3">
      <c r="B11" s="359">
        <v>3</v>
      </c>
      <c r="C11" s="238">
        <v>26.3</v>
      </c>
      <c r="D11" s="238">
        <v>25.9</v>
      </c>
      <c r="E11" s="238">
        <v>26</v>
      </c>
      <c r="F11" s="238">
        <v>26.5</v>
      </c>
      <c r="G11" s="361">
        <v>26.6</v>
      </c>
      <c r="H11" s="355"/>
      <c r="I11" s="372">
        <v>26.36</v>
      </c>
      <c r="J11" s="232">
        <v>26.36</v>
      </c>
      <c r="K11" s="232">
        <v>26.36</v>
      </c>
      <c r="L11" s="179">
        <v>26.36</v>
      </c>
      <c r="M11" s="174"/>
      <c r="N11" s="368">
        <v>26.13</v>
      </c>
      <c r="O11" s="238">
        <v>26.13</v>
      </c>
      <c r="P11" s="238">
        <v>26.13</v>
      </c>
      <c r="Q11" s="361">
        <v>26.13</v>
      </c>
    </row>
    <row r="12" spans="2:17" x14ac:dyDescent="0.3">
      <c r="B12" s="359">
        <v>4</v>
      </c>
      <c r="C12" s="238">
        <v>26.3</v>
      </c>
      <c r="D12" s="238">
        <v>25.9</v>
      </c>
      <c r="E12" s="238">
        <v>26</v>
      </c>
      <c r="F12" s="238">
        <v>26.5</v>
      </c>
      <c r="G12" s="361">
        <v>26.6</v>
      </c>
      <c r="H12" s="355"/>
      <c r="I12" s="372">
        <v>26.32</v>
      </c>
      <c r="J12" s="232">
        <v>26.32</v>
      </c>
      <c r="K12" s="232">
        <v>26.32</v>
      </c>
      <c r="L12" s="179">
        <v>26.32</v>
      </c>
      <c r="M12" s="174"/>
      <c r="N12" s="368">
        <v>26.18</v>
      </c>
      <c r="O12" s="238">
        <v>26.18</v>
      </c>
      <c r="P12" s="238">
        <v>26.18</v>
      </c>
      <c r="Q12" s="361">
        <v>26.18</v>
      </c>
    </row>
    <row r="13" spans="2:17" x14ac:dyDescent="0.3">
      <c r="B13" s="359">
        <v>5</v>
      </c>
      <c r="C13" s="238">
        <v>26.3</v>
      </c>
      <c r="D13" s="238">
        <v>25.9</v>
      </c>
      <c r="E13" s="238">
        <v>26</v>
      </c>
      <c r="F13" s="238">
        <v>26.5</v>
      </c>
      <c r="G13" s="361">
        <v>26.6</v>
      </c>
      <c r="H13" s="355"/>
      <c r="I13" s="372">
        <v>26.2</v>
      </c>
      <c r="J13" s="232">
        <v>26.2</v>
      </c>
      <c r="K13" s="232">
        <v>26.2</v>
      </c>
      <c r="L13" s="179">
        <v>26.2</v>
      </c>
      <c r="M13" s="174"/>
      <c r="N13" s="368">
        <v>26.28</v>
      </c>
      <c r="O13" s="238">
        <v>26.28</v>
      </c>
      <c r="P13" s="238">
        <v>26.28</v>
      </c>
      <c r="Q13" s="361">
        <v>26.28</v>
      </c>
    </row>
    <row r="14" spans="2:17" x14ac:dyDescent="0.3">
      <c r="B14" s="359">
        <v>6</v>
      </c>
      <c r="C14" s="238">
        <v>26.3</v>
      </c>
      <c r="D14" s="238">
        <v>25.9</v>
      </c>
      <c r="E14" s="238">
        <v>26</v>
      </c>
      <c r="F14" s="238">
        <v>26.5</v>
      </c>
      <c r="G14" s="361">
        <v>26.6</v>
      </c>
      <c r="H14" s="355"/>
      <c r="I14" s="372">
        <v>26.12</v>
      </c>
      <c r="J14" s="232">
        <v>26.12</v>
      </c>
      <c r="K14" s="232">
        <v>26.12</v>
      </c>
      <c r="L14" s="179">
        <v>26.12</v>
      </c>
      <c r="M14" s="174"/>
      <c r="N14" s="368">
        <v>26.33</v>
      </c>
      <c r="O14" s="238">
        <v>26.33</v>
      </c>
      <c r="P14" s="238">
        <v>26.33</v>
      </c>
      <c r="Q14" s="361">
        <v>26.33</v>
      </c>
    </row>
    <row r="15" spans="2:17" x14ac:dyDescent="0.3">
      <c r="B15" s="359">
        <v>7</v>
      </c>
      <c r="C15" s="238">
        <v>26.3</v>
      </c>
      <c r="D15" s="238">
        <v>25.9</v>
      </c>
      <c r="E15" s="238">
        <v>26</v>
      </c>
      <c r="F15" s="238">
        <v>26.5</v>
      </c>
      <c r="G15" s="361">
        <v>26.6</v>
      </c>
      <c r="H15" s="355"/>
      <c r="I15" s="372">
        <v>26.07</v>
      </c>
      <c r="J15" s="232">
        <v>26.07</v>
      </c>
      <c r="K15" s="232">
        <v>26.07</v>
      </c>
      <c r="L15" s="179">
        <v>26.07</v>
      </c>
      <c r="M15" s="174"/>
      <c r="N15" s="368">
        <v>26.37</v>
      </c>
      <c r="O15" s="232">
        <v>26.37</v>
      </c>
      <c r="P15" s="232">
        <v>26.37</v>
      </c>
      <c r="Q15" s="361">
        <v>26.37</v>
      </c>
    </row>
    <row r="16" spans="2:17" x14ac:dyDescent="0.3">
      <c r="B16" s="359">
        <v>8</v>
      </c>
      <c r="C16" s="238">
        <v>26.3</v>
      </c>
      <c r="D16" s="238">
        <v>25.9</v>
      </c>
      <c r="E16" s="238">
        <v>26</v>
      </c>
      <c r="F16" s="238">
        <v>26.5</v>
      </c>
      <c r="G16" s="361">
        <v>26.6</v>
      </c>
      <c r="H16" s="355"/>
      <c r="I16" s="372">
        <v>26.15</v>
      </c>
      <c r="J16" s="232">
        <v>26</v>
      </c>
      <c r="K16" s="232">
        <v>26</v>
      </c>
      <c r="L16" s="179">
        <v>26</v>
      </c>
      <c r="M16" s="174"/>
      <c r="N16" s="368">
        <v>26.44</v>
      </c>
      <c r="O16" s="238">
        <v>26.44</v>
      </c>
      <c r="P16" s="232">
        <v>26.44</v>
      </c>
      <c r="Q16" s="361">
        <v>26.44</v>
      </c>
    </row>
    <row r="17" spans="2:26" x14ac:dyDescent="0.3">
      <c r="B17" s="359">
        <v>9</v>
      </c>
      <c r="C17" s="238">
        <v>26.3</v>
      </c>
      <c r="D17" s="238">
        <v>25.9</v>
      </c>
      <c r="E17" s="238">
        <v>26</v>
      </c>
      <c r="F17" s="238">
        <v>26.5</v>
      </c>
      <c r="G17" s="361">
        <v>26.6</v>
      </c>
      <c r="H17" s="355"/>
      <c r="I17" s="372"/>
      <c r="J17" s="232">
        <v>26.23</v>
      </c>
      <c r="K17" s="232">
        <v>25.98</v>
      </c>
      <c r="L17" s="179">
        <v>25.98</v>
      </c>
      <c r="M17" s="327"/>
      <c r="N17" s="368">
        <v>26.33</v>
      </c>
      <c r="O17" s="238">
        <v>26.49</v>
      </c>
      <c r="P17" s="238">
        <v>26.49</v>
      </c>
      <c r="Q17" s="361">
        <v>26.49</v>
      </c>
    </row>
    <row r="18" spans="2:26" x14ac:dyDescent="0.3">
      <c r="B18" s="359">
        <v>10</v>
      </c>
      <c r="C18" s="238">
        <v>26.3</v>
      </c>
      <c r="D18" s="238">
        <v>25.9</v>
      </c>
      <c r="E18" s="238">
        <v>26</v>
      </c>
      <c r="F18" s="238">
        <v>26.5</v>
      </c>
      <c r="G18" s="361">
        <v>26.6</v>
      </c>
      <c r="H18" s="355"/>
      <c r="I18" s="372"/>
      <c r="J18" s="232"/>
      <c r="K18" s="232">
        <v>26.24</v>
      </c>
      <c r="L18" s="179">
        <v>25.93</v>
      </c>
      <c r="M18" s="327"/>
      <c r="N18" s="368"/>
      <c r="O18" s="238">
        <v>26.36</v>
      </c>
      <c r="P18" s="238">
        <v>26.52</v>
      </c>
      <c r="Q18" s="361">
        <v>26.52</v>
      </c>
    </row>
    <row r="19" spans="2:26" ht="15" thickBot="1" x14ac:dyDescent="0.35">
      <c r="B19" s="362">
        <v>11</v>
      </c>
      <c r="C19" s="245">
        <v>26.3</v>
      </c>
      <c r="D19" s="245">
        <v>25.9</v>
      </c>
      <c r="E19" s="245">
        <v>26</v>
      </c>
      <c r="F19" s="245">
        <v>26.5</v>
      </c>
      <c r="G19" s="363">
        <v>26.6</v>
      </c>
      <c r="I19" s="362"/>
      <c r="J19" s="370"/>
      <c r="K19" s="370"/>
      <c r="L19" s="371"/>
      <c r="N19" s="362"/>
      <c r="O19" s="370"/>
      <c r="P19" s="370">
        <v>26.33</v>
      </c>
      <c r="Q19" s="371">
        <v>26.55</v>
      </c>
    </row>
    <row r="27" spans="2:26" ht="15" thickBot="1" x14ac:dyDescent="0.35"/>
    <row r="28" spans="2:26" x14ac:dyDescent="0.3">
      <c r="B28" s="334"/>
      <c r="C28" s="344"/>
      <c r="D28" s="344"/>
      <c r="E28" s="344"/>
      <c r="F28" s="344"/>
      <c r="G28" s="344"/>
      <c r="H28" s="344"/>
      <c r="I28" s="344"/>
      <c r="J28" s="344"/>
      <c r="K28" s="344"/>
      <c r="L28" s="344"/>
      <c r="M28" s="335"/>
      <c r="O28" s="334"/>
      <c r="P28" s="344"/>
      <c r="Q28" s="344"/>
      <c r="R28" s="344"/>
      <c r="S28" s="344"/>
      <c r="T28" s="344"/>
      <c r="U28" s="344"/>
      <c r="V28" s="344"/>
      <c r="W28" s="344"/>
      <c r="X28" s="344"/>
      <c r="Y28" s="344"/>
      <c r="Z28" s="335"/>
    </row>
    <row r="29" spans="2:26" x14ac:dyDescent="0.3">
      <c r="B29" s="336"/>
      <c r="C29" s="337"/>
      <c r="D29" s="337"/>
      <c r="E29" s="337"/>
      <c r="F29" s="337"/>
      <c r="G29" s="337"/>
      <c r="H29" s="337"/>
      <c r="I29" s="337"/>
      <c r="J29" s="337"/>
      <c r="K29" s="337"/>
      <c r="L29" s="337"/>
      <c r="M29" s="338"/>
      <c r="O29" s="336"/>
      <c r="P29" s="337"/>
      <c r="Q29" s="337"/>
      <c r="R29" s="337"/>
      <c r="S29" s="337"/>
      <c r="T29" s="337"/>
      <c r="U29" s="337"/>
      <c r="V29" s="337"/>
      <c r="W29" s="337"/>
      <c r="X29" s="337"/>
      <c r="Y29" s="337"/>
      <c r="Z29" s="338"/>
    </row>
    <row r="30" spans="2:26" x14ac:dyDescent="0.3">
      <c r="B30" s="336"/>
      <c r="C30" s="337"/>
      <c r="D30" s="337"/>
      <c r="E30" s="337"/>
      <c r="F30" s="337"/>
      <c r="G30" s="337"/>
      <c r="H30" s="337"/>
      <c r="I30" s="337"/>
      <c r="J30" s="337"/>
      <c r="K30" s="337"/>
      <c r="L30" s="337"/>
      <c r="M30" s="338"/>
      <c r="O30" s="336"/>
      <c r="P30" s="337"/>
      <c r="Q30" s="337"/>
      <c r="R30" s="337"/>
      <c r="S30" s="337"/>
      <c r="T30" s="337"/>
      <c r="U30" s="337"/>
      <c r="V30" s="337"/>
      <c r="W30" s="337"/>
      <c r="X30" s="337"/>
      <c r="Y30" s="337"/>
      <c r="Z30" s="338"/>
    </row>
    <row r="31" spans="2:26" x14ac:dyDescent="0.3">
      <c r="B31" s="336"/>
      <c r="C31" s="337"/>
      <c r="D31" s="337"/>
      <c r="E31" s="337"/>
      <c r="F31" s="337"/>
      <c r="G31" s="337"/>
      <c r="H31" s="337"/>
      <c r="I31" s="337"/>
      <c r="J31" s="337"/>
      <c r="K31" s="337"/>
      <c r="L31" s="337"/>
      <c r="M31" s="338"/>
      <c r="O31" s="336"/>
      <c r="P31" s="337"/>
      <c r="Q31" s="337"/>
      <c r="R31" s="337"/>
      <c r="S31" s="337"/>
      <c r="T31" s="337"/>
      <c r="U31" s="337"/>
      <c r="V31" s="337"/>
      <c r="W31" s="337"/>
      <c r="X31" s="337"/>
      <c r="Y31" s="337"/>
      <c r="Z31" s="338"/>
    </row>
    <row r="32" spans="2:26" x14ac:dyDescent="0.3">
      <c r="B32" s="336"/>
      <c r="C32" s="337"/>
      <c r="D32" s="337"/>
      <c r="E32" s="337"/>
      <c r="F32" s="337"/>
      <c r="G32" s="337"/>
      <c r="H32" s="337"/>
      <c r="I32" s="337"/>
      <c r="J32" s="337"/>
      <c r="K32" s="337"/>
      <c r="L32" s="337"/>
      <c r="M32" s="338"/>
      <c r="O32" s="336"/>
      <c r="P32" s="337"/>
      <c r="Q32" s="337"/>
      <c r="R32" s="337"/>
      <c r="S32" s="337"/>
      <c r="T32" s="337"/>
      <c r="U32" s="337"/>
      <c r="V32" s="337"/>
      <c r="W32" s="337"/>
      <c r="X32" s="337"/>
      <c r="Y32" s="337"/>
      <c r="Z32" s="338"/>
    </row>
    <row r="33" spans="2:26" x14ac:dyDescent="0.3">
      <c r="B33" s="336"/>
      <c r="C33" s="337"/>
      <c r="D33" s="337"/>
      <c r="E33" s="337"/>
      <c r="F33" s="337"/>
      <c r="G33" s="337"/>
      <c r="H33" s="337"/>
      <c r="I33" s="337"/>
      <c r="J33" s="337"/>
      <c r="K33" s="337"/>
      <c r="L33" s="337"/>
      <c r="M33" s="338"/>
      <c r="O33" s="336"/>
      <c r="P33" s="337"/>
      <c r="Q33" s="337"/>
      <c r="R33" s="337"/>
      <c r="S33" s="337"/>
      <c r="T33" s="337"/>
      <c r="U33" s="337"/>
      <c r="V33" s="337"/>
      <c r="W33" s="337"/>
      <c r="X33" s="337"/>
      <c r="Y33" s="337"/>
      <c r="Z33" s="338"/>
    </row>
    <row r="34" spans="2:26" x14ac:dyDescent="0.3">
      <c r="B34" s="336"/>
      <c r="C34" s="337"/>
      <c r="D34" s="337"/>
      <c r="E34" s="337"/>
      <c r="F34" s="337"/>
      <c r="G34" s="337"/>
      <c r="H34" s="337"/>
      <c r="I34" s="337"/>
      <c r="J34" s="337"/>
      <c r="K34" s="337"/>
      <c r="L34" s="337"/>
      <c r="M34" s="338"/>
      <c r="O34" s="336"/>
      <c r="P34" s="337"/>
      <c r="Q34" s="337"/>
      <c r="R34" s="337"/>
      <c r="S34" s="337"/>
      <c r="T34" s="337"/>
      <c r="U34" s="337"/>
      <c r="V34" s="337"/>
      <c r="W34" s="337"/>
      <c r="X34" s="337"/>
      <c r="Y34" s="337"/>
      <c r="Z34" s="338"/>
    </row>
    <row r="35" spans="2:26" x14ac:dyDescent="0.3">
      <c r="B35" s="336"/>
      <c r="C35" s="337"/>
      <c r="D35" s="337"/>
      <c r="E35" s="337"/>
      <c r="F35" s="337"/>
      <c r="G35" s="337"/>
      <c r="H35" s="337"/>
      <c r="I35" s="337"/>
      <c r="J35" s="337"/>
      <c r="K35" s="337"/>
      <c r="L35" s="337"/>
      <c r="M35" s="338"/>
      <c r="O35" s="336"/>
      <c r="P35" s="337"/>
      <c r="Q35" s="337"/>
      <c r="R35" s="337"/>
      <c r="S35" s="337"/>
      <c r="T35" s="337"/>
      <c r="U35" s="337"/>
      <c r="V35" s="337"/>
      <c r="W35" s="337"/>
      <c r="X35" s="337"/>
      <c r="Y35" s="337"/>
      <c r="Z35" s="338"/>
    </row>
    <row r="36" spans="2:26" x14ac:dyDescent="0.3">
      <c r="B36" s="336"/>
      <c r="C36" s="337"/>
      <c r="D36" s="337"/>
      <c r="E36" s="337"/>
      <c r="F36" s="337"/>
      <c r="G36" s="337"/>
      <c r="H36" s="337"/>
      <c r="I36" s="337"/>
      <c r="J36" s="337"/>
      <c r="K36" s="337"/>
      <c r="L36" s="337"/>
      <c r="M36" s="338"/>
      <c r="O36" s="336"/>
      <c r="P36" s="337"/>
      <c r="Q36" s="337"/>
      <c r="R36" s="337"/>
      <c r="S36" s="337"/>
      <c r="T36" s="337"/>
      <c r="U36" s="337"/>
      <c r="V36" s="337"/>
      <c r="W36" s="337"/>
      <c r="X36" s="337"/>
      <c r="Y36" s="337"/>
      <c r="Z36" s="338"/>
    </row>
    <row r="37" spans="2:26" x14ac:dyDescent="0.3">
      <c r="B37" s="336"/>
      <c r="C37" s="337"/>
      <c r="D37" s="337"/>
      <c r="E37" s="337"/>
      <c r="F37" s="337"/>
      <c r="G37" s="337"/>
      <c r="H37" s="337"/>
      <c r="I37" s="337"/>
      <c r="J37" s="337"/>
      <c r="K37" s="337"/>
      <c r="L37" s="337"/>
      <c r="M37" s="338"/>
      <c r="O37" s="336"/>
      <c r="P37" s="337"/>
      <c r="Q37" s="337"/>
      <c r="R37" s="337"/>
      <c r="S37" s="337"/>
      <c r="T37" s="337"/>
      <c r="U37" s="337"/>
      <c r="V37" s="337"/>
      <c r="W37" s="337"/>
      <c r="X37" s="337"/>
      <c r="Y37" s="337"/>
      <c r="Z37" s="338"/>
    </row>
    <row r="38" spans="2:26" x14ac:dyDescent="0.3">
      <c r="B38" s="336"/>
      <c r="C38" s="337"/>
      <c r="D38" s="337"/>
      <c r="E38" s="337"/>
      <c r="F38" s="337"/>
      <c r="G38" s="337"/>
      <c r="H38" s="337"/>
      <c r="I38" s="337"/>
      <c r="J38" s="337"/>
      <c r="K38" s="337"/>
      <c r="L38" s="337"/>
      <c r="M38" s="338"/>
      <c r="O38" s="336"/>
      <c r="P38" s="337"/>
      <c r="Q38" s="337"/>
      <c r="R38" s="337"/>
      <c r="S38" s="337"/>
      <c r="T38" s="337"/>
      <c r="U38" s="337"/>
      <c r="V38" s="337"/>
      <c r="W38" s="337"/>
      <c r="X38" s="337"/>
      <c r="Y38" s="337"/>
      <c r="Z38" s="338"/>
    </row>
    <row r="39" spans="2:26" x14ac:dyDescent="0.3">
      <c r="B39" s="336"/>
      <c r="C39" s="337"/>
      <c r="D39" s="337"/>
      <c r="E39" s="337"/>
      <c r="F39" s="337"/>
      <c r="G39" s="337"/>
      <c r="H39" s="337"/>
      <c r="I39" s="337"/>
      <c r="J39" s="337"/>
      <c r="K39" s="337"/>
      <c r="L39" s="337"/>
      <c r="M39" s="338"/>
      <c r="O39" s="336"/>
      <c r="P39" s="337"/>
      <c r="Q39" s="337"/>
      <c r="R39" s="337"/>
      <c r="S39" s="337"/>
      <c r="T39" s="337"/>
      <c r="U39" s="337"/>
      <c r="V39" s="337"/>
      <c r="W39" s="337"/>
      <c r="X39" s="337"/>
      <c r="Y39" s="337"/>
      <c r="Z39" s="338"/>
    </row>
    <row r="40" spans="2:26" x14ac:dyDescent="0.3">
      <c r="B40" s="336"/>
      <c r="C40" s="337"/>
      <c r="D40" s="337"/>
      <c r="E40" s="337"/>
      <c r="F40" s="337"/>
      <c r="G40" s="337"/>
      <c r="H40" s="337"/>
      <c r="I40" s="337"/>
      <c r="J40" s="337"/>
      <c r="K40" s="337"/>
      <c r="L40" s="337"/>
      <c r="M40" s="338"/>
      <c r="O40" s="336"/>
      <c r="P40" s="337"/>
      <c r="Q40" s="337"/>
      <c r="R40" s="337"/>
      <c r="S40" s="337"/>
      <c r="T40" s="337"/>
      <c r="U40" s="337"/>
      <c r="V40" s="337"/>
      <c r="W40" s="337"/>
      <c r="X40" s="337"/>
      <c r="Y40" s="337"/>
      <c r="Z40" s="338"/>
    </row>
    <row r="41" spans="2:26" x14ac:dyDescent="0.3">
      <c r="B41" s="336"/>
      <c r="C41" s="337"/>
      <c r="D41" s="337"/>
      <c r="E41" s="337"/>
      <c r="F41" s="337"/>
      <c r="G41" s="337"/>
      <c r="H41" s="337"/>
      <c r="I41" s="337"/>
      <c r="J41" s="337"/>
      <c r="K41" s="337"/>
      <c r="L41" s="337"/>
      <c r="M41" s="338"/>
      <c r="O41" s="336"/>
      <c r="P41" s="337"/>
      <c r="Q41" s="337"/>
      <c r="R41" s="337"/>
      <c r="S41" s="337"/>
      <c r="T41" s="337"/>
      <c r="U41" s="337"/>
      <c r="V41" s="337"/>
      <c r="W41" s="337"/>
      <c r="X41" s="337"/>
      <c r="Y41" s="337"/>
      <c r="Z41" s="338"/>
    </row>
    <row r="42" spans="2:26" x14ac:dyDescent="0.3">
      <c r="B42" s="336"/>
      <c r="C42" s="337"/>
      <c r="D42" s="337"/>
      <c r="E42" s="337"/>
      <c r="F42" s="337"/>
      <c r="G42" s="337"/>
      <c r="H42" s="337"/>
      <c r="I42" s="337"/>
      <c r="J42" s="337"/>
      <c r="K42" s="337"/>
      <c r="L42" s="337"/>
      <c r="M42" s="338"/>
      <c r="O42" s="336"/>
      <c r="P42" s="337"/>
      <c r="Q42" s="337"/>
      <c r="R42" s="337"/>
      <c r="S42" s="337"/>
      <c r="T42" s="337"/>
      <c r="U42" s="337"/>
      <c r="V42" s="337"/>
      <c r="W42" s="337"/>
      <c r="X42" s="337"/>
      <c r="Y42" s="337"/>
      <c r="Z42" s="338"/>
    </row>
    <row r="43" spans="2:26" x14ac:dyDescent="0.3">
      <c r="B43" s="336"/>
      <c r="C43" s="337"/>
      <c r="D43" s="337"/>
      <c r="E43" s="337"/>
      <c r="F43" s="337"/>
      <c r="G43" s="337"/>
      <c r="H43" s="337"/>
      <c r="I43" s="337"/>
      <c r="J43" s="337"/>
      <c r="K43" s="337"/>
      <c r="L43" s="337"/>
      <c r="M43" s="338"/>
      <c r="O43" s="336"/>
      <c r="P43" s="337"/>
      <c r="Q43" s="337"/>
      <c r="R43" s="337"/>
      <c r="S43" s="337"/>
      <c r="T43" s="337"/>
      <c r="U43" s="337"/>
      <c r="V43" s="337"/>
      <c r="W43" s="337"/>
      <c r="X43" s="337"/>
      <c r="Y43" s="337"/>
      <c r="Z43" s="338"/>
    </row>
    <row r="44" spans="2:26" x14ac:dyDescent="0.3">
      <c r="B44" s="336"/>
      <c r="C44" s="337"/>
      <c r="D44" s="337"/>
      <c r="E44" s="337"/>
      <c r="F44" s="337"/>
      <c r="G44" s="337"/>
      <c r="H44" s="337"/>
      <c r="I44" s="337"/>
      <c r="J44" s="337"/>
      <c r="K44" s="337"/>
      <c r="L44" s="337"/>
      <c r="M44" s="338"/>
      <c r="O44" s="336"/>
      <c r="P44" s="337"/>
      <c r="Q44" s="337"/>
      <c r="R44" s="337"/>
      <c r="S44" s="337"/>
      <c r="T44" s="337"/>
      <c r="U44" s="337"/>
      <c r="V44" s="337"/>
      <c r="W44" s="337"/>
      <c r="X44" s="337"/>
      <c r="Y44" s="337"/>
      <c r="Z44" s="338"/>
    </row>
    <row r="45" spans="2:26" x14ac:dyDescent="0.3">
      <c r="B45" s="336"/>
      <c r="C45" s="337"/>
      <c r="D45" s="337"/>
      <c r="E45" s="337"/>
      <c r="F45" s="337"/>
      <c r="G45" s="337"/>
      <c r="H45" s="337"/>
      <c r="I45" s="337"/>
      <c r="J45" s="337"/>
      <c r="K45" s="337"/>
      <c r="L45" s="337"/>
      <c r="M45" s="338"/>
      <c r="O45" s="336"/>
      <c r="P45" s="337"/>
      <c r="Q45" s="337"/>
      <c r="R45" s="337"/>
      <c r="S45" s="337"/>
      <c r="T45" s="337"/>
      <c r="U45" s="337"/>
      <c r="V45" s="337"/>
      <c r="W45" s="337"/>
      <c r="X45" s="337"/>
      <c r="Y45" s="337"/>
      <c r="Z45" s="338"/>
    </row>
    <row r="46" spans="2:26" x14ac:dyDescent="0.3">
      <c r="B46" s="336"/>
      <c r="C46" s="337"/>
      <c r="D46" s="337"/>
      <c r="E46" s="337"/>
      <c r="F46" s="337"/>
      <c r="G46" s="337"/>
      <c r="H46" s="337"/>
      <c r="I46" s="337"/>
      <c r="J46" s="337"/>
      <c r="K46" s="337"/>
      <c r="L46" s="337"/>
      <c r="M46" s="338"/>
      <c r="O46" s="336"/>
      <c r="P46" s="337"/>
      <c r="Q46" s="337"/>
      <c r="R46" s="337"/>
      <c r="S46" s="337"/>
      <c r="T46" s="337"/>
      <c r="U46" s="337"/>
      <c r="V46" s="337"/>
      <c r="W46" s="337"/>
      <c r="X46" s="337"/>
      <c r="Y46" s="337"/>
      <c r="Z46" s="338"/>
    </row>
    <row r="47" spans="2:26" x14ac:dyDescent="0.3">
      <c r="B47" s="336"/>
      <c r="C47" s="337"/>
      <c r="D47" s="337"/>
      <c r="E47" s="337"/>
      <c r="F47" s="337"/>
      <c r="G47" s="337"/>
      <c r="H47" s="337"/>
      <c r="I47" s="337"/>
      <c r="J47" s="337"/>
      <c r="K47" s="337"/>
      <c r="L47" s="337"/>
      <c r="M47" s="338"/>
      <c r="O47" s="336"/>
      <c r="P47" s="337"/>
      <c r="Q47" s="337"/>
      <c r="R47" s="337"/>
      <c r="S47" s="337"/>
      <c r="T47" s="337"/>
      <c r="U47" s="337"/>
      <c r="V47" s="337"/>
      <c r="W47" s="337"/>
      <c r="X47" s="337"/>
      <c r="Y47" s="337"/>
      <c r="Z47" s="338"/>
    </row>
    <row r="48" spans="2:26" x14ac:dyDescent="0.3">
      <c r="B48" s="336"/>
      <c r="C48" s="337"/>
      <c r="D48" s="337"/>
      <c r="E48" s="337"/>
      <c r="F48" s="337"/>
      <c r="G48" s="337"/>
      <c r="H48" s="337"/>
      <c r="I48" s="337"/>
      <c r="J48" s="337"/>
      <c r="K48" s="337"/>
      <c r="L48" s="337"/>
      <c r="M48" s="338"/>
      <c r="O48" s="336"/>
      <c r="P48" s="337"/>
      <c r="Q48" s="337"/>
      <c r="R48" s="337"/>
      <c r="S48" s="337"/>
      <c r="T48" s="337"/>
      <c r="U48" s="337"/>
      <c r="V48" s="337"/>
      <c r="W48" s="337"/>
      <c r="X48" s="337"/>
      <c r="Y48" s="337"/>
      <c r="Z48" s="338"/>
    </row>
    <row r="49" spans="2:26" x14ac:dyDescent="0.3">
      <c r="B49" s="336"/>
      <c r="C49" s="337"/>
      <c r="D49" s="337"/>
      <c r="E49" s="337"/>
      <c r="F49" s="337"/>
      <c r="G49" s="337"/>
      <c r="H49" s="337"/>
      <c r="I49" s="337"/>
      <c r="J49" s="337"/>
      <c r="K49" s="337"/>
      <c r="L49" s="337"/>
      <c r="M49" s="338"/>
      <c r="O49" s="336"/>
      <c r="P49" s="337"/>
      <c r="Q49" s="337"/>
      <c r="R49" s="337"/>
      <c r="S49" s="337"/>
      <c r="T49" s="337"/>
      <c r="U49" s="337"/>
      <c r="V49" s="337"/>
      <c r="W49" s="337"/>
      <c r="X49" s="337"/>
      <c r="Y49" s="337"/>
      <c r="Z49" s="338"/>
    </row>
    <row r="50" spans="2:26" x14ac:dyDescent="0.3">
      <c r="B50" s="336"/>
      <c r="C50" s="337"/>
      <c r="D50" s="337"/>
      <c r="E50" s="337"/>
      <c r="F50" s="337"/>
      <c r="G50" s="337"/>
      <c r="H50" s="337"/>
      <c r="I50" s="337"/>
      <c r="J50" s="337"/>
      <c r="K50" s="337"/>
      <c r="L50" s="337"/>
      <c r="M50" s="338"/>
      <c r="O50" s="336"/>
      <c r="P50" s="337"/>
      <c r="Q50" s="337"/>
      <c r="R50" s="337"/>
      <c r="S50" s="337"/>
      <c r="T50" s="337"/>
      <c r="U50" s="337"/>
      <c r="V50" s="337"/>
      <c r="W50" s="337"/>
      <c r="X50" s="337"/>
      <c r="Y50" s="337"/>
      <c r="Z50" s="338"/>
    </row>
    <row r="51" spans="2:26" x14ac:dyDescent="0.3">
      <c r="B51" s="336"/>
      <c r="C51" s="337"/>
      <c r="D51" s="337"/>
      <c r="E51" s="337"/>
      <c r="F51" s="337"/>
      <c r="G51" s="337"/>
      <c r="H51" s="337"/>
      <c r="I51" s="337"/>
      <c r="J51" s="337"/>
      <c r="K51" s="337"/>
      <c r="L51" s="337"/>
      <c r="M51" s="338"/>
      <c r="O51" s="336"/>
      <c r="P51" s="337"/>
      <c r="Q51" s="337"/>
      <c r="R51" s="337"/>
      <c r="S51" s="337"/>
      <c r="T51" s="337"/>
      <c r="U51" s="337"/>
      <c r="V51" s="337"/>
      <c r="W51" s="337"/>
      <c r="X51" s="337"/>
      <c r="Y51" s="337"/>
      <c r="Z51" s="338"/>
    </row>
    <row r="52" spans="2:26" x14ac:dyDescent="0.3">
      <c r="B52" s="336"/>
      <c r="C52" s="337"/>
      <c r="D52" s="337"/>
      <c r="E52" s="337"/>
      <c r="F52" s="337"/>
      <c r="G52" s="337"/>
      <c r="H52" s="337"/>
      <c r="I52" s="337"/>
      <c r="J52" s="337"/>
      <c r="K52" s="337"/>
      <c r="L52" s="337"/>
      <c r="M52" s="338"/>
      <c r="O52" s="336"/>
      <c r="P52" s="337"/>
      <c r="Q52" s="337"/>
      <c r="R52" s="337"/>
      <c r="S52" s="337"/>
      <c r="T52" s="337"/>
      <c r="U52" s="337"/>
      <c r="V52" s="337"/>
      <c r="W52" s="337"/>
      <c r="X52" s="337"/>
      <c r="Y52" s="337"/>
      <c r="Z52" s="338"/>
    </row>
    <row r="53" spans="2:26" x14ac:dyDescent="0.3">
      <c r="B53" s="336"/>
      <c r="C53" s="337"/>
      <c r="D53" s="337"/>
      <c r="E53" s="337"/>
      <c r="F53" s="337"/>
      <c r="G53" s="337"/>
      <c r="H53" s="337"/>
      <c r="I53" s="337"/>
      <c r="J53" s="337"/>
      <c r="K53" s="337"/>
      <c r="L53" s="337"/>
      <c r="M53" s="338"/>
      <c r="O53" s="336"/>
      <c r="P53" s="337"/>
      <c r="Q53" s="337"/>
      <c r="R53" s="337"/>
      <c r="S53" s="337"/>
      <c r="T53" s="337"/>
      <c r="U53" s="337"/>
      <c r="V53" s="337"/>
      <c r="W53" s="337"/>
      <c r="X53" s="337"/>
      <c r="Y53" s="337"/>
      <c r="Z53" s="338"/>
    </row>
    <row r="54" spans="2:26" x14ac:dyDescent="0.3">
      <c r="B54" s="336"/>
      <c r="C54" s="337"/>
      <c r="D54" s="337"/>
      <c r="E54" s="337"/>
      <c r="F54" s="337"/>
      <c r="G54" s="337"/>
      <c r="H54" s="337"/>
      <c r="I54" s="337"/>
      <c r="J54" s="337"/>
      <c r="K54" s="337"/>
      <c r="L54" s="337"/>
      <c r="M54" s="338"/>
      <c r="O54" s="336"/>
      <c r="P54" s="337"/>
      <c r="Q54" s="337"/>
      <c r="R54" s="337"/>
      <c r="S54" s="337"/>
      <c r="T54" s="337"/>
      <c r="U54" s="337"/>
      <c r="V54" s="337"/>
      <c r="W54" s="337"/>
      <c r="X54" s="337"/>
      <c r="Y54" s="337"/>
      <c r="Z54" s="338"/>
    </row>
    <row r="55" spans="2:26" x14ac:dyDescent="0.3">
      <c r="B55" s="336"/>
      <c r="C55" s="337"/>
      <c r="D55" s="337"/>
      <c r="E55" s="337"/>
      <c r="F55" s="337"/>
      <c r="G55" s="337"/>
      <c r="H55" s="337"/>
      <c r="I55" s="337"/>
      <c r="J55" s="337"/>
      <c r="K55" s="337"/>
      <c r="L55" s="337"/>
      <c r="M55" s="338"/>
      <c r="O55" s="336"/>
      <c r="P55" s="337"/>
      <c r="Q55" s="337"/>
      <c r="R55" s="337"/>
      <c r="S55" s="337"/>
      <c r="T55" s="337"/>
      <c r="U55" s="337"/>
      <c r="V55" s="337"/>
      <c r="W55" s="337"/>
      <c r="X55" s="337"/>
      <c r="Y55" s="337"/>
      <c r="Z55" s="338"/>
    </row>
    <row r="56" spans="2:26" x14ac:dyDescent="0.3">
      <c r="B56" s="336"/>
      <c r="C56" s="337"/>
      <c r="D56" s="337"/>
      <c r="E56" s="337"/>
      <c r="F56" s="337"/>
      <c r="G56" s="337"/>
      <c r="H56" s="337"/>
      <c r="I56" s="337"/>
      <c r="J56" s="337"/>
      <c r="K56" s="337"/>
      <c r="L56" s="337"/>
      <c r="M56" s="338"/>
      <c r="O56" s="336"/>
      <c r="P56" s="337"/>
      <c r="Q56" s="337"/>
      <c r="R56" s="337"/>
      <c r="S56" s="337"/>
      <c r="T56" s="337"/>
      <c r="U56" s="337"/>
      <c r="V56" s="337"/>
      <c r="W56" s="337"/>
      <c r="X56" s="337"/>
      <c r="Y56" s="337"/>
      <c r="Z56" s="338"/>
    </row>
    <row r="57" spans="2:26" x14ac:dyDescent="0.3">
      <c r="B57" s="336"/>
      <c r="C57" s="337"/>
      <c r="D57" s="337"/>
      <c r="E57" s="337"/>
      <c r="F57" s="337"/>
      <c r="G57" s="337"/>
      <c r="H57" s="337"/>
      <c r="I57" s="337"/>
      <c r="J57" s="337"/>
      <c r="K57" s="337"/>
      <c r="L57" s="337"/>
      <c r="M57" s="338"/>
      <c r="O57" s="336"/>
      <c r="P57" s="337"/>
      <c r="Q57" s="337"/>
      <c r="R57" s="337"/>
      <c r="S57" s="337"/>
      <c r="T57" s="337"/>
      <c r="U57" s="337"/>
      <c r="V57" s="337"/>
      <c r="W57" s="337"/>
      <c r="X57" s="337"/>
      <c r="Y57" s="337"/>
      <c r="Z57" s="338"/>
    </row>
    <row r="58" spans="2:26" x14ac:dyDescent="0.3">
      <c r="B58" s="336"/>
      <c r="C58" s="337"/>
      <c r="D58" s="337"/>
      <c r="E58" s="337"/>
      <c r="F58" s="337"/>
      <c r="G58" s="337"/>
      <c r="H58" s="337"/>
      <c r="I58" s="337"/>
      <c r="J58" s="337"/>
      <c r="K58" s="337"/>
      <c r="L58" s="337"/>
      <c r="M58" s="338"/>
      <c r="O58" s="336"/>
      <c r="P58" s="337"/>
      <c r="Q58" s="337"/>
      <c r="R58" s="337"/>
      <c r="S58" s="337"/>
      <c r="T58" s="337"/>
      <c r="U58" s="337"/>
      <c r="V58" s="337"/>
      <c r="W58" s="337"/>
      <c r="X58" s="337"/>
      <c r="Y58" s="337"/>
      <c r="Z58" s="338"/>
    </row>
    <row r="59" spans="2:26" x14ac:dyDescent="0.3">
      <c r="B59" s="336"/>
      <c r="C59" s="337"/>
      <c r="D59" s="337"/>
      <c r="E59" s="337"/>
      <c r="F59" s="337"/>
      <c r="G59" s="337"/>
      <c r="H59" s="337"/>
      <c r="I59" s="337"/>
      <c r="J59" s="337"/>
      <c r="K59" s="337"/>
      <c r="L59" s="337"/>
      <c r="M59" s="338"/>
      <c r="O59" s="336"/>
      <c r="P59" s="337"/>
      <c r="Q59" s="337"/>
      <c r="R59" s="337"/>
      <c r="S59" s="337"/>
      <c r="T59" s="337"/>
      <c r="U59" s="337"/>
      <c r="V59" s="337"/>
      <c r="W59" s="337"/>
      <c r="X59" s="337"/>
      <c r="Y59" s="337"/>
      <c r="Z59" s="338"/>
    </row>
    <row r="60" spans="2:26" x14ac:dyDescent="0.3">
      <c r="B60" s="336"/>
      <c r="C60" s="337"/>
      <c r="D60" s="337"/>
      <c r="E60" s="337"/>
      <c r="F60" s="337"/>
      <c r="G60" s="337"/>
      <c r="H60" s="337"/>
      <c r="I60" s="337"/>
      <c r="J60" s="337"/>
      <c r="K60" s="337"/>
      <c r="L60" s="337"/>
      <c r="M60" s="338"/>
      <c r="O60" s="336"/>
      <c r="P60" s="337"/>
      <c r="Q60" s="337"/>
      <c r="R60" s="337"/>
      <c r="S60" s="337"/>
      <c r="T60" s="337"/>
      <c r="U60" s="337"/>
      <c r="V60" s="337"/>
      <c r="W60" s="337"/>
      <c r="X60" s="337"/>
      <c r="Y60" s="337"/>
      <c r="Z60" s="338"/>
    </row>
    <row r="61" spans="2:26" x14ac:dyDescent="0.3">
      <c r="B61" s="336"/>
      <c r="C61" s="337"/>
      <c r="D61" s="337"/>
      <c r="E61" s="337"/>
      <c r="F61" s="337"/>
      <c r="G61" s="337"/>
      <c r="H61" s="337"/>
      <c r="I61" s="337"/>
      <c r="J61" s="337"/>
      <c r="K61" s="337"/>
      <c r="L61" s="337"/>
      <c r="M61" s="338"/>
      <c r="O61" s="336"/>
      <c r="P61" s="337"/>
      <c r="Q61" s="337"/>
      <c r="R61" s="337"/>
      <c r="S61" s="337"/>
      <c r="T61" s="337"/>
      <c r="U61" s="337"/>
      <c r="V61" s="337"/>
      <c r="W61" s="337"/>
      <c r="X61" s="337"/>
      <c r="Y61" s="337"/>
      <c r="Z61" s="338"/>
    </row>
    <row r="62" spans="2:26" x14ac:dyDescent="0.3">
      <c r="B62" s="336"/>
      <c r="C62" s="337"/>
      <c r="D62" s="337"/>
      <c r="E62" s="337"/>
      <c r="F62" s="337"/>
      <c r="G62" s="337"/>
      <c r="H62" s="337"/>
      <c r="I62" s="337"/>
      <c r="J62" s="337"/>
      <c r="K62" s="337"/>
      <c r="L62" s="337"/>
      <c r="M62" s="338"/>
      <c r="O62" s="336"/>
      <c r="P62" s="337"/>
      <c r="Q62" s="337"/>
      <c r="R62" s="337"/>
      <c r="S62" s="337"/>
      <c r="T62" s="337"/>
      <c r="U62" s="337"/>
      <c r="V62" s="337"/>
      <c r="W62" s="337"/>
      <c r="X62" s="337"/>
      <c r="Y62" s="337"/>
      <c r="Z62" s="338"/>
    </row>
    <row r="63" spans="2:26" x14ac:dyDescent="0.3">
      <c r="B63" s="336"/>
      <c r="C63" s="337"/>
      <c r="D63" s="337"/>
      <c r="E63" s="337"/>
      <c r="F63" s="337"/>
      <c r="G63" s="337"/>
      <c r="H63" s="337"/>
      <c r="I63" s="337"/>
      <c r="J63" s="337"/>
      <c r="K63" s="337"/>
      <c r="L63" s="337"/>
      <c r="M63" s="338"/>
      <c r="O63" s="336"/>
      <c r="P63" s="337"/>
      <c r="Q63" s="337"/>
      <c r="R63" s="337"/>
      <c r="S63" s="337"/>
      <c r="T63" s="337"/>
      <c r="U63" s="337"/>
      <c r="V63" s="337"/>
      <c r="W63" s="337"/>
      <c r="X63" s="337"/>
      <c r="Y63" s="337"/>
      <c r="Z63" s="338"/>
    </row>
    <row r="64" spans="2:26" x14ac:dyDescent="0.3">
      <c r="B64" s="336"/>
      <c r="C64" s="337"/>
      <c r="D64" s="337"/>
      <c r="E64" s="337"/>
      <c r="F64" s="337"/>
      <c r="G64" s="337"/>
      <c r="H64" s="337"/>
      <c r="I64" s="337"/>
      <c r="J64" s="337"/>
      <c r="K64" s="337"/>
      <c r="L64" s="337"/>
      <c r="M64" s="338"/>
      <c r="O64" s="336"/>
      <c r="P64" s="337"/>
      <c r="Q64" s="337"/>
      <c r="R64" s="337"/>
      <c r="S64" s="337"/>
      <c r="T64" s="337"/>
      <c r="U64" s="337"/>
      <c r="V64" s="337"/>
      <c r="W64" s="337"/>
      <c r="X64" s="337"/>
      <c r="Y64" s="337"/>
      <c r="Z64" s="338"/>
    </row>
    <row r="65" spans="2:26" x14ac:dyDescent="0.3">
      <c r="B65" s="336"/>
      <c r="C65" s="337"/>
      <c r="D65" s="337"/>
      <c r="E65" s="337"/>
      <c r="F65" s="337"/>
      <c r="G65" s="337"/>
      <c r="H65" s="337"/>
      <c r="I65" s="337"/>
      <c r="J65" s="337"/>
      <c r="K65" s="337"/>
      <c r="L65" s="337"/>
      <c r="M65" s="338"/>
      <c r="O65" s="336"/>
      <c r="P65" s="337"/>
      <c r="Q65" s="337"/>
      <c r="R65" s="337"/>
      <c r="S65" s="337"/>
      <c r="T65" s="337"/>
      <c r="U65" s="337"/>
      <c r="V65" s="337"/>
      <c r="W65" s="337"/>
      <c r="X65" s="337"/>
      <c r="Y65" s="337"/>
      <c r="Z65" s="338"/>
    </row>
    <row r="66" spans="2:26" x14ac:dyDescent="0.3">
      <c r="B66" s="336"/>
      <c r="C66" s="337"/>
      <c r="D66" s="337"/>
      <c r="E66" s="337"/>
      <c r="F66" s="337"/>
      <c r="G66" s="337"/>
      <c r="H66" s="337"/>
      <c r="I66" s="337"/>
      <c r="J66" s="337"/>
      <c r="K66" s="337"/>
      <c r="L66" s="337"/>
      <c r="M66" s="338"/>
      <c r="O66" s="336"/>
      <c r="P66" s="337"/>
      <c r="Q66" s="337"/>
      <c r="R66" s="337"/>
      <c r="S66" s="337"/>
      <c r="T66" s="337"/>
      <c r="U66" s="337"/>
      <c r="V66" s="337"/>
      <c r="W66" s="337"/>
      <c r="X66" s="337"/>
      <c r="Y66" s="337"/>
      <c r="Z66" s="338"/>
    </row>
    <row r="67" spans="2:26" x14ac:dyDescent="0.3">
      <c r="B67" s="336"/>
      <c r="C67" s="337"/>
      <c r="D67" s="337"/>
      <c r="E67" s="337"/>
      <c r="F67" s="337"/>
      <c r="G67" s="337"/>
      <c r="H67" s="337"/>
      <c r="I67" s="337"/>
      <c r="J67" s="337"/>
      <c r="K67" s="337"/>
      <c r="L67" s="337"/>
      <c r="M67" s="338"/>
      <c r="O67" s="336"/>
      <c r="P67" s="337"/>
      <c r="Q67" s="337"/>
      <c r="R67" s="337"/>
      <c r="S67" s="337"/>
      <c r="T67" s="337"/>
      <c r="U67" s="337"/>
      <c r="V67" s="337"/>
      <c r="W67" s="337"/>
      <c r="X67" s="337"/>
      <c r="Y67" s="337"/>
      <c r="Z67" s="338"/>
    </row>
    <row r="68" spans="2:26" x14ac:dyDescent="0.3">
      <c r="B68" s="336"/>
      <c r="C68" s="337"/>
      <c r="D68" s="337"/>
      <c r="E68" s="337"/>
      <c r="F68" s="337"/>
      <c r="G68" s="337"/>
      <c r="H68" s="337"/>
      <c r="I68" s="337"/>
      <c r="J68" s="337"/>
      <c r="K68" s="337"/>
      <c r="L68" s="337"/>
      <c r="M68" s="338"/>
      <c r="O68" s="336"/>
      <c r="P68" s="337"/>
      <c r="Q68" s="337"/>
      <c r="R68" s="337"/>
      <c r="S68" s="337"/>
      <c r="T68" s="337"/>
      <c r="U68" s="337"/>
      <c r="V68" s="337"/>
      <c r="W68" s="337"/>
      <c r="X68" s="337"/>
      <c r="Y68" s="337"/>
      <c r="Z68" s="338"/>
    </row>
    <row r="69" spans="2:26" x14ac:dyDescent="0.3">
      <c r="B69" s="336"/>
      <c r="C69" s="337"/>
      <c r="D69" s="337"/>
      <c r="E69" s="337"/>
      <c r="F69" s="337"/>
      <c r="G69" s="337"/>
      <c r="H69" s="337"/>
      <c r="I69" s="337"/>
      <c r="J69" s="337"/>
      <c r="K69" s="337"/>
      <c r="L69" s="337"/>
      <c r="M69" s="338"/>
      <c r="O69" s="336"/>
      <c r="P69" s="337"/>
      <c r="Q69" s="337"/>
      <c r="R69" s="337"/>
      <c r="S69" s="337"/>
      <c r="T69" s="337"/>
      <c r="U69" s="337"/>
      <c r="V69" s="337"/>
      <c r="W69" s="337"/>
      <c r="X69" s="337"/>
      <c r="Y69" s="337"/>
      <c r="Z69" s="338"/>
    </row>
    <row r="70" spans="2:26" x14ac:dyDescent="0.3">
      <c r="B70" s="336"/>
      <c r="C70" s="337"/>
      <c r="D70" s="337"/>
      <c r="E70" s="337"/>
      <c r="F70" s="337"/>
      <c r="G70" s="337"/>
      <c r="H70" s="337"/>
      <c r="I70" s="337"/>
      <c r="J70" s="337"/>
      <c r="K70" s="337"/>
      <c r="L70" s="337"/>
      <c r="M70" s="338"/>
      <c r="O70" s="336"/>
      <c r="P70" s="337"/>
      <c r="Q70" s="337"/>
      <c r="R70" s="337"/>
      <c r="S70" s="337"/>
      <c r="T70" s="337"/>
      <c r="U70" s="337"/>
      <c r="V70" s="337"/>
      <c r="W70" s="337"/>
      <c r="X70" s="337"/>
      <c r="Y70" s="337"/>
      <c r="Z70" s="338"/>
    </row>
    <row r="71" spans="2:26" x14ac:dyDescent="0.3">
      <c r="B71" s="336"/>
      <c r="C71" s="337"/>
      <c r="D71" s="337"/>
      <c r="E71" s="337"/>
      <c r="F71" s="337"/>
      <c r="G71" s="337"/>
      <c r="H71" s="337"/>
      <c r="I71" s="337"/>
      <c r="J71" s="337"/>
      <c r="K71" s="337"/>
      <c r="L71" s="337"/>
      <c r="M71" s="338"/>
      <c r="O71" s="336"/>
      <c r="P71" s="337"/>
      <c r="Q71" s="337"/>
      <c r="R71" s="337"/>
      <c r="S71" s="337"/>
      <c r="T71" s="337"/>
      <c r="U71" s="337"/>
      <c r="V71" s="337"/>
      <c r="W71" s="337"/>
      <c r="X71" s="337"/>
      <c r="Y71" s="337"/>
      <c r="Z71" s="338"/>
    </row>
    <row r="72" spans="2:26" x14ac:dyDescent="0.3">
      <c r="B72" s="336"/>
      <c r="C72" s="337"/>
      <c r="D72" s="337"/>
      <c r="E72" s="337"/>
      <c r="F72" s="337"/>
      <c r="G72" s="337"/>
      <c r="H72" s="337"/>
      <c r="I72" s="337"/>
      <c r="J72" s="337"/>
      <c r="K72" s="337"/>
      <c r="L72" s="337"/>
      <c r="M72" s="338"/>
      <c r="O72" s="336"/>
      <c r="P72" s="337"/>
      <c r="Q72" s="337"/>
      <c r="R72" s="337"/>
      <c r="S72" s="337"/>
      <c r="T72" s="337"/>
      <c r="U72" s="337"/>
      <c r="V72" s="337"/>
      <c r="W72" s="337"/>
      <c r="X72" s="337"/>
      <c r="Y72" s="337"/>
      <c r="Z72" s="338"/>
    </row>
    <row r="73" spans="2:26" x14ac:dyDescent="0.3">
      <c r="B73" s="336"/>
      <c r="C73" s="337"/>
      <c r="D73" s="337"/>
      <c r="E73" s="337"/>
      <c r="F73" s="337"/>
      <c r="G73" s="337"/>
      <c r="H73" s="337"/>
      <c r="I73" s="337"/>
      <c r="J73" s="337"/>
      <c r="K73" s="337"/>
      <c r="L73" s="337"/>
      <c r="M73" s="338"/>
      <c r="O73" s="336"/>
      <c r="P73" s="337"/>
      <c r="Q73" s="337"/>
      <c r="R73" s="337"/>
      <c r="S73" s="337"/>
      <c r="T73" s="337"/>
      <c r="U73" s="337"/>
      <c r="V73" s="337"/>
      <c r="W73" s="337"/>
      <c r="X73" s="337"/>
      <c r="Y73" s="337"/>
      <c r="Z73" s="338"/>
    </row>
    <row r="74" spans="2:26" x14ac:dyDescent="0.3">
      <c r="B74" s="336"/>
      <c r="C74" s="337"/>
      <c r="D74" s="337"/>
      <c r="E74" s="337"/>
      <c r="F74" s="337"/>
      <c r="G74" s="337"/>
      <c r="H74" s="337"/>
      <c r="I74" s="337"/>
      <c r="J74" s="337"/>
      <c r="K74" s="337"/>
      <c r="L74" s="337"/>
      <c r="M74" s="338"/>
      <c r="O74" s="336"/>
      <c r="P74" s="337"/>
      <c r="Q74" s="337"/>
      <c r="R74" s="337"/>
      <c r="S74" s="337"/>
      <c r="T74" s="337"/>
      <c r="U74" s="337"/>
      <c r="V74" s="337"/>
      <c r="W74" s="337"/>
      <c r="X74" s="337"/>
      <c r="Y74" s="337"/>
      <c r="Z74" s="338"/>
    </row>
    <row r="75" spans="2:26" x14ac:dyDescent="0.3">
      <c r="B75" s="336"/>
      <c r="C75" s="337"/>
      <c r="D75" s="337"/>
      <c r="E75" s="337"/>
      <c r="F75" s="337"/>
      <c r="G75" s="337"/>
      <c r="H75" s="337"/>
      <c r="I75" s="337"/>
      <c r="J75" s="337"/>
      <c r="K75" s="337"/>
      <c r="L75" s="337"/>
      <c r="M75" s="338"/>
      <c r="O75" s="336"/>
      <c r="P75" s="337"/>
      <c r="Q75" s="337"/>
      <c r="R75" s="337"/>
      <c r="S75" s="337"/>
      <c r="T75" s="337"/>
      <c r="U75" s="337"/>
      <c r="V75" s="337"/>
      <c r="W75" s="337"/>
      <c r="X75" s="337"/>
      <c r="Y75" s="337"/>
      <c r="Z75" s="338"/>
    </row>
    <row r="76" spans="2:26" x14ac:dyDescent="0.3">
      <c r="B76" s="336"/>
      <c r="C76" s="337"/>
      <c r="D76" s="337"/>
      <c r="E76" s="337"/>
      <c r="F76" s="337"/>
      <c r="G76" s="337"/>
      <c r="H76" s="337"/>
      <c r="I76" s="337"/>
      <c r="J76" s="337"/>
      <c r="K76" s="337"/>
      <c r="L76" s="337"/>
      <c r="M76" s="338"/>
      <c r="O76" s="336"/>
      <c r="P76" s="337"/>
      <c r="Q76" s="337"/>
      <c r="R76" s="337"/>
      <c r="S76" s="337"/>
      <c r="T76" s="337"/>
      <c r="U76" s="337"/>
      <c r="V76" s="337"/>
      <c r="W76" s="337"/>
      <c r="X76" s="337"/>
      <c r="Y76" s="337"/>
      <c r="Z76" s="338"/>
    </row>
    <row r="77" spans="2:26" x14ac:dyDescent="0.3">
      <c r="B77" s="336"/>
      <c r="C77" s="337"/>
      <c r="D77" s="337"/>
      <c r="E77" s="337"/>
      <c r="F77" s="337"/>
      <c r="G77" s="337"/>
      <c r="H77" s="337"/>
      <c r="I77" s="337"/>
      <c r="J77" s="337"/>
      <c r="K77" s="337"/>
      <c r="L77" s="337"/>
      <c r="M77" s="338"/>
      <c r="O77" s="336"/>
      <c r="P77" s="337"/>
      <c r="Q77" s="337"/>
      <c r="R77" s="337"/>
      <c r="S77" s="337"/>
      <c r="T77" s="337"/>
      <c r="U77" s="337"/>
      <c r="V77" s="337"/>
      <c r="W77" s="337"/>
      <c r="X77" s="337"/>
      <c r="Y77" s="337"/>
      <c r="Z77" s="338"/>
    </row>
    <row r="78" spans="2:26" x14ac:dyDescent="0.3">
      <c r="B78" s="336"/>
      <c r="C78" s="337"/>
      <c r="D78" s="337"/>
      <c r="E78" s="337"/>
      <c r="F78" s="337"/>
      <c r="G78" s="337"/>
      <c r="H78" s="337"/>
      <c r="I78" s="337"/>
      <c r="J78" s="337"/>
      <c r="K78" s="337"/>
      <c r="L78" s="337"/>
      <c r="M78" s="338"/>
      <c r="O78" s="336"/>
      <c r="P78" s="337"/>
      <c r="Q78" s="337"/>
      <c r="R78" s="337"/>
      <c r="S78" s="337"/>
      <c r="T78" s="337"/>
      <c r="U78" s="337"/>
      <c r="V78" s="337"/>
      <c r="W78" s="337"/>
      <c r="X78" s="337"/>
      <c r="Y78" s="337"/>
      <c r="Z78" s="338"/>
    </row>
    <row r="79" spans="2:26" ht="15" thickBot="1" x14ac:dyDescent="0.35">
      <c r="B79" s="341"/>
      <c r="C79" s="342"/>
      <c r="D79" s="342"/>
      <c r="E79" s="342"/>
      <c r="F79" s="342"/>
      <c r="G79" s="342"/>
      <c r="H79" s="342"/>
      <c r="I79" s="342"/>
      <c r="J79" s="342"/>
      <c r="K79" s="342"/>
      <c r="L79" s="342"/>
      <c r="M79" s="343"/>
      <c r="O79" s="341"/>
      <c r="P79" s="342"/>
      <c r="Q79" s="342"/>
      <c r="R79" s="342"/>
      <c r="S79" s="342"/>
      <c r="T79" s="342"/>
      <c r="U79" s="342"/>
      <c r="V79" s="342"/>
      <c r="W79" s="342"/>
      <c r="X79" s="342"/>
      <c r="Y79" s="342"/>
      <c r="Z79" s="343"/>
    </row>
    <row r="82" spans="2:26" ht="15" thickBot="1" x14ac:dyDescent="0.35"/>
    <row r="83" spans="2:26" x14ac:dyDescent="0.3">
      <c r="B83" s="334"/>
      <c r="C83" s="344"/>
      <c r="D83" s="344"/>
      <c r="E83" s="344"/>
      <c r="F83" s="344"/>
      <c r="G83" s="344"/>
      <c r="H83" s="344"/>
      <c r="I83" s="344"/>
      <c r="J83" s="344"/>
      <c r="K83" s="344"/>
      <c r="L83" s="344"/>
      <c r="M83" s="335"/>
      <c r="O83" s="334"/>
      <c r="P83" s="344"/>
      <c r="Q83" s="344"/>
      <c r="R83" s="344"/>
      <c r="S83" s="344"/>
      <c r="T83" s="344"/>
      <c r="U83" s="344"/>
      <c r="V83" s="344"/>
      <c r="W83" s="344"/>
      <c r="X83" s="344"/>
      <c r="Y83" s="344"/>
      <c r="Z83" s="335"/>
    </row>
    <row r="84" spans="2:26" x14ac:dyDescent="0.3">
      <c r="B84" s="336"/>
      <c r="C84" s="337"/>
      <c r="D84" s="337"/>
      <c r="E84" s="337"/>
      <c r="F84" s="337"/>
      <c r="G84" s="337"/>
      <c r="H84" s="337"/>
      <c r="I84" s="337"/>
      <c r="J84" s="337"/>
      <c r="K84" s="337"/>
      <c r="L84" s="337"/>
      <c r="M84" s="338"/>
      <c r="O84" s="336"/>
      <c r="P84" s="337"/>
      <c r="Q84" s="337"/>
      <c r="R84" s="337"/>
      <c r="S84" s="337"/>
      <c r="T84" s="337"/>
      <c r="U84" s="337"/>
      <c r="V84" s="337"/>
      <c r="W84" s="337"/>
      <c r="X84" s="337"/>
      <c r="Y84" s="337"/>
      <c r="Z84" s="338"/>
    </row>
    <row r="85" spans="2:26" x14ac:dyDescent="0.3">
      <c r="B85" s="336"/>
      <c r="C85" s="337"/>
      <c r="D85" s="337"/>
      <c r="E85" s="337"/>
      <c r="F85" s="337"/>
      <c r="G85" s="337"/>
      <c r="H85" s="337"/>
      <c r="I85" s="337"/>
      <c r="J85" s="337"/>
      <c r="K85" s="337"/>
      <c r="L85" s="337"/>
      <c r="M85" s="338"/>
      <c r="O85" s="336"/>
      <c r="P85" s="337"/>
      <c r="Q85" s="337"/>
      <c r="R85" s="337"/>
      <c r="S85" s="337"/>
      <c r="T85" s="337"/>
      <c r="U85" s="337"/>
      <c r="V85" s="337"/>
      <c r="W85" s="337"/>
      <c r="X85" s="337"/>
      <c r="Y85" s="337"/>
      <c r="Z85" s="338"/>
    </row>
    <row r="86" spans="2:26" x14ac:dyDescent="0.3">
      <c r="B86" s="336"/>
      <c r="C86" s="337"/>
      <c r="D86" s="337"/>
      <c r="E86" s="337"/>
      <c r="F86" s="337"/>
      <c r="G86" s="337"/>
      <c r="H86" s="337"/>
      <c r="I86" s="337"/>
      <c r="J86" s="337"/>
      <c r="K86" s="337"/>
      <c r="L86" s="337"/>
      <c r="M86" s="338"/>
      <c r="O86" s="336"/>
      <c r="P86" s="337"/>
      <c r="Q86" s="337"/>
      <c r="R86" s="337"/>
      <c r="S86" s="337"/>
      <c r="T86" s="337"/>
      <c r="U86" s="337"/>
      <c r="V86" s="337"/>
      <c r="W86" s="337"/>
      <c r="X86" s="337"/>
      <c r="Y86" s="337"/>
      <c r="Z86" s="338"/>
    </row>
    <row r="87" spans="2:26" x14ac:dyDescent="0.3">
      <c r="B87" s="336"/>
      <c r="C87" s="337"/>
      <c r="D87" s="337"/>
      <c r="E87" s="337"/>
      <c r="F87" s="337"/>
      <c r="G87" s="337"/>
      <c r="H87" s="337"/>
      <c r="I87" s="337"/>
      <c r="J87" s="337"/>
      <c r="K87" s="337"/>
      <c r="L87" s="337"/>
      <c r="M87" s="338"/>
      <c r="O87" s="336"/>
      <c r="P87" s="337"/>
      <c r="Q87" s="337"/>
      <c r="R87" s="337"/>
      <c r="S87" s="337"/>
      <c r="T87" s="337"/>
      <c r="U87" s="337"/>
      <c r="V87" s="337"/>
      <c r="W87" s="337"/>
      <c r="X87" s="337"/>
      <c r="Y87" s="337"/>
      <c r="Z87" s="338"/>
    </row>
    <row r="88" spans="2:26" x14ac:dyDescent="0.3">
      <c r="B88" s="336"/>
      <c r="C88" s="337"/>
      <c r="D88" s="337"/>
      <c r="E88" s="337"/>
      <c r="F88" s="337"/>
      <c r="G88" s="337"/>
      <c r="H88" s="337"/>
      <c r="I88" s="337"/>
      <c r="J88" s="337"/>
      <c r="K88" s="337"/>
      <c r="L88" s="337"/>
      <c r="M88" s="338"/>
      <c r="O88" s="336"/>
      <c r="P88" s="337"/>
      <c r="Q88" s="337"/>
      <c r="R88" s="337"/>
      <c r="S88" s="337"/>
      <c r="T88" s="337"/>
      <c r="U88" s="337"/>
      <c r="V88" s="337"/>
      <c r="W88" s="337"/>
      <c r="X88" s="337"/>
      <c r="Y88" s="337"/>
      <c r="Z88" s="338"/>
    </row>
    <row r="89" spans="2:26" x14ac:dyDescent="0.3">
      <c r="B89" s="336"/>
      <c r="C89" s="337"/>
      <c r="D89" s="337"/>
      <c r="E89" s="337"/>
      <c r="F89" s="337"/>
      <c r="G89" s="337"/>
      <c r="H89" s="337"/>
      <c r="I89" s="337"/>
      <c r="J89" s="337"/>
      <c r="K89" s="337"/>
      <c r="L89" s="337"/>
      <c r="M89" s="338"/>
      <c r="O89" s="336"/>
      <c r="P89" s="337"/>
      <c r="Q89" s="337"/>
      <c r="R89" s="337"/>
      <c r="S89" s="337"/>
      <c r="T89" s="337"/>
      <c r="U89" s="337"/>
      <c r="V89" s="337"/>
      <c r="W89" s="337"/>
      <c r="X89" s="337"/>
      <c r="Y89" s="337"/>
      <c r="Z89" s="338"/>
    </row>
    <row r="90" spans="2:26" x14ac:dyDescent="0.3">
      <c r="B90" s="336"/>
      <c r="C90" s="337"/>
      <c r="D90" s="337"/>
      <c r="E90" s="337"/>
      <c r="F90" s="337"/>
      <c r="G90" s="337"/>
      <c r="H90" s="337"/>
      <c r="I90" s="337"/>
      <c r="J90" s="337"/>
      <c r="K90" s="337"/>
      <c r="L90" s="337"/>
      <c r="M90" s="338"/>
      <c r="O90" s="336"/>
      <c r="P90" s="337"/>
      <c r="Q90" s="337"/>
      <c r="R90" s="337"/>
      <c r="S90" s="337"/>
      <c r="T90" s="337"/>
      <c r="U90" s="337"/>
      <c r="V90" s="337"/>
      <c r="W90" s="337"/>
      <c r="X90" s="337"/>
      <c r="Y90" s="337"/>
      <c r="Z90" s="338"/>
    </row>
    <row r="91" spans="2:26" x14ac:dyDescent="0.3">
      <c r="B91" s="336"/>
      <c r="C91" s="337"/>
      <c r="D91" s="337"/>
      <c r="E91" s="337"/>
      <c r="F91" s="337"/>
      <c r="G91" s="337"/>
      <c r="H91" s="337"/>
      <c r="I91" s="337"/>
      <c r="J91" s="337"/>
      <c r="K91" s="337"/>
      <c r="L91" s="337"/>
      <c r="M91" s="338"/>
      <c r="O91" s="336"/>
      <c r="P91" s="337"/>
      <c r="Q91" s="337"/>
      <c r="R91" s="337"/>
      <c r="S91" s="337"/>
      <c r="T91" s="337"/>
      <c r="U91" s="337"/>
      <c r="V91" s="337"/>
      <c r="W91" s="337"/>
      <c r="X91" s="337"/>
      <c r="Y91" s="337"/>
      <c r="Z91" s="338"/>
    </row>
    <row r="92" spans="2:26" x14ac:dyDescent="0.3">
      <c r="B92" s="336"/>
      <c r="C92" s="337"/>
      <c r="D92" s="337"/>
      <c r="E92" s="337"/>
      <c r="F92" s="337"/>
      <c r="G92" s="337"/>
      <c r="H92" s="337"/>
      <c r="I92" s="337"/>
      <c r="J92" s="337"/>
      <c r="K92" s="337"/>
      <c r="L92" s="337"/>
      <c r="M92" s="338"/>
      <c r="O92" s="336"/>
      <c r="P92" s="337"/>
      <c r="Q92" s="337"/>
      <c r="R92" s="337"/>
      <c r="S92" s="337"/>
      <c r="T92" s="337"/>
      <c r="U92" s="337"/>
      <c r="V92" s="337"/>
      <c r="W92" s="337"/>
      <c r="X92" s="337"/>
      <c r="Y92" s="337"/>
      <c r="Z92" s="338"/>
    </row>
    <row r="93" spans="2:26" x14ac:dyDescent="0.3">
      <c r="B93" s="336"/>
      <c r="C93" s="337"/>
      <c r="D93" s="337"/>
      <c r="E93" s="337"/>
      <c r="F93" s="337"/>
      <c r="G93" s="337"/>
      <c r="H93" s="337"/>
      <c r="I93" s="337"/>
      <c r="J93" s="337"/>
      <c r="K93" s="337"/>
      <c r="L93" s="337"/>
      <c r="M93" s="338"/>
      <c r="O93" s="336"/>
      <c r="P93" s="337"/>
      <c r="Q93" s="337"/>
      <c r="R93" s="337"/>
      <c r="S93" s="337"/>
      <c r="T93" s="337"/>
      <c r="U93" s="337"/>
      <c r="V93" s="337"/>
      <c r="W93" s="337"/>
      <c r="X93" s="337"/>
      <c r="Y93" s="337"/>
      <c r="Z93" s="338"/>
    </row>
    <row r="94" spans="2:26" x14ac:dyDescent="0.3">
      <c r="B94" s="336"/>
      <c r="C94" s="337"/>
      <c r="D94" s="337"/>
      <c r="E94" s="337"/>
      <c r="F94" s="337"/>
      <c r="G94" s="337"/>
      <c r="H94" s="337"/>
      <c r="I94" s="337"/>
      <c r="J94" s="337"/>
      <c r="K94" s="337"/>
      <c r="L94" s="337"/>
      <c r="M94" s="338"/>
      <c r="O94" s="336"/>
      <c r="P94" s="337"/>
      <c r="Q94" s="337"/>
      <c r="R94" s="337"/>
      <c r="S94" s="337"/>
      <c r="T94" s="337"/>
      <c r="U94" s="337"/>
      <c r="V94" s="337"/>
      <c r="W94" s="337"/>
      <c r="X94" s="337"/>
      <c r="Y94" s="337"/>
      <c r="Z94" s="338"/>
    </row>
    <row r="95" spans="2:26" x14ac:dyDescent="0.3">
      <c r="B95" s="336"/>
      <c r="C95" s="337"/>
      <c r="D95" s="337"/>
      <c r="E95" s="337"/>
      <c r="F95" s="337"/>
      <c r="G95" s="337"/>
      <c r="H95" s="337"/>
      <c r="I95" s="337"/>
      <c r="J95" s="337"/>
      <c r="K95" s="337"/>
      <c r="L95" s="337"/>
      <c r="M95" s="338"/>
      <c r="O95" s="336"/>
      <c r="P95" s="337"/>
      <c r="Q95" s="337"/>
      <c r="R95" s="337"/>
      <c r="S95" s="337"/>
      <c r="T95" s="337"/>
      <c r="U95" s="337"/>
      <c r="V95" s="337"/>
      <c r="W95" s="337"/>
      <c r="X95" s="337"/>
      <c r="Y95" s="337"/>
      <c r="Z95" s="338"/>
    </row>
    <row r="96" spans="2:26" x14ac:dyDescent="0.3">
      <c r="B96" s="336"/>
      <c r="C96" s="337"/>
      <c r="D96" s="337"/>
      <c r="E96" s="337"/>
      <c r="F96" s="337"/>
      <c r="G96" s="337"/>
      <c r="H96" s="337"/>
      <c r="I96" s="337"/>
      <c r="J96" s="337"/>
      <c r="K96" s="337"/>
      <c r="L96" s="337"/>
      <c r="M96" s="338"/>
      <c r="O96" s="336"/>
      <c r="P96" s="337"/>
      <c r="Q96" s="337"/>
      <c r="R96" s="337"/>
      <c r="S96" s="337"/>
      <c r="T96" s="337"/>
      <c r="U96" s="337"/>
      <c r="V96" s="337"/>
      <c r="W96" s="337"/>
      <c r="X96" s="337"/>
      <c r="Y96" s="337"/>
      <c r="Z96" s="338"/>
    </row>
    <row r="97" spans="2:26" x14ac:dyDescent="0.3">
      <c r="B97" s="336"/>
      <c r="C97" s="337"/>
      <c r="D97" s="337"/>
      <c r="E97" s="337"/>
      <c r="F97" s="337"/>
      <c r="G97" s="337"/>
      <c r="H97" s="337"/>
      <c r="I97" s="337"/>
      <c r="J97" s="337"/>
      <c r="K97" s="337"/>
      <c r="L97" s="337"/>
      <c r="M97" s="338"/>
      <c r="O97" s="336"/>
      <c r="P97" s="337"/>
      <c r="Q97" s="337"/>
      <c r="R97" s="337"/>
      <c r="S97" s="337"/>
      <c r="T97" s="337"/>
      <c r="U97" s="337"/>
      <c r="V97" s="337"/>
      <c r="W97" s="337"/>
      <c r="X97" s="337"/>
      <c r="Y97" s="337"/>
      <c r="Z97" s="338"/>
    </row>
    <row r="98" spans="2:26" x14ac:dyDescent="0.3">
      <c r="B98" s="336"/>
      <c r="C98" s="337"/>
      <c r="D98" s="337"/>
      <c r="E98" s="337"/>
      <c r="F98" s="337"/>
      <c r="G98" s="337"/>
      <c r="H98" s="337"/>
      <c r="I98" s="337"/>
      <c r="J98" s="337"/>
      <c r="K98" s="337"/>
      <c r="L98" s="337"/>
      <c r="M98" s="338"/>
      <c r="O98" s="336"/>
      <c r="P98" s="337"/>
      <c r="Q98" s="337"/>
      <c r="R98" s="337"/>
      <c r="S98" s="337"/>
      <c r="T98" s="337"/>
      <c r="U98" s="337"/>
      <c r="V98" s="337"/>
      <c r="W98" s="337"/>
      <c r="X98" s="337"/>
      <c r="Y98" s="337"/>
      <c r="Z98" s="338"/>
    </row>
    <row r="99" spans="2:26" x14ac:dyDescent="0.3">
      <c r="B99" s="336"/>
      <c r="C99" s="337"/>
      <c r="D99" s="337"/>
      <c r="E99" s="337"/>
      <c r="F99" s="337"/>
      <c r="G99" s="337"/>
      <c r="H99" s="337"/>
      <c r="I99" s="337"/>
      <c r="J99" s="337"/>
      <c r="K99" s="337"/>
      <c r="L99" s="337"/>
      <c r="M99" s="338"/>
      <c r="O99" s="336"/>
      <c r="P99" s="337"/>
      <c r="Q99" s="337"/>
      <c r="R99" s="337"/>
      <c r="S99" s="337"/>
      <c r="T99" s="337"/>
      <c r="U99" s="337"/>
      <c r="V99" s="337"/>
      <c r="W99" s="337"/>
      <c r="X99" s="337"/>
      <c r="Y99" s="337"/>
      <c r="Z99" s="338"/>
    </row>
    <row r="100" spans="2:26" x14ac:dyDescent="0.3">
      <c r="B100" s="336"/>
      <c r="C100" s="337"/>
      <c r="D100" s="337"/>
      <c r="E100" s="337"/>
      <c r="F100" s="337"/>
      <c r="G100" s="337"/>
      <c r="H100" s="337"/>
      <c r="I100" s="337"/>
      <c r="J100" s="337"/>
      <c r="K100" s="337"/>
      <c r="L100" s="337"/>
      <c r="M100" s="338"/>
      <c r="O100" s="336"/>
      <c r="P100" s="337"/>
      <c r="Q100" s="337"/>
      <c r="R100" s="337"/>
      <c r="S100" s="337"/>
      <c r="T100" s="337"/>
      <c r="U100" s="337"/>
      <c r="V100" s="337"/>
      <c r="W100" s="337"/>
      <c r="X100" s="337"/>
      <c r="Y100" s="337"/>
      <c r="Z100" s="338"/>
    </row>
    <row r="101" spans="2:26" x14ac:dyDescent="0.3">
      <c r="B101" s="336"/>
      <c r="C101" s="337"/>
      <c r="D101" s="337"/>
      <c r="E101" s="337"/>
      <c r="F101" s="337"/>
      <c r="G101" s="337"/>
      <c r="H101" s="337"/>
      <c r="I101" s="337"/>
      <c r="J101" s="337"/>
      <c r="K101" s="337"/>
      <c r="L101" s="337"/>
      <c r="M101" s="338"/>
      <c r="O101" s="336"/>
      <c r="P101" s="337"/>
      <c r="Q101" s="337"/>
      <c r="R101" s="337"/>
      <c r="S101" s="337"/>
      <c r="T101" s="337"/>
      <c r="U101" s="337"/>
      <c r="V101" s="337"/>
      <c r="W101" s="337"/>
      <c r="X101" s="337"/>
      <c r="Y101" s="337"/>
      <c r="Z101" s="338"/>
    </row>
    <row r="102" spans="2:26" x14ac:dyDescent="0.3">
      <c r="B102" s="336"/>
      <c r="C102" s="337"/>
      <c r="D102" s="337"/>
      <c r="E102" s="337"/>
      <c r="F102" s="337"/>
      <c r="G102" s="337"/>
      <c r="H102" s="337"/>
      <c r="I102" s="337"/>
      <c r="J102" s="337"/>
      <c r="K102" s="337"/>
      <c r="L102" s="337"/>
      <c r="M102" s="338"/>
      <c r="O102" s="336"/>
      <c r="P102" s="337"/>
      <c r="Q102" s="337"/>
      <c r="R102" s="337"/>
      <c r="S102" s="337"/>
      <c r="T102" s="337"/>
      <c r="U102" s="337"/>
      <c r="V102" s="337"/>
      <c r="W102" s="337"/>
      <c r="X102" s="337"/>
      <c r="Y102" s="337"/>
      <c r="Z102" s="338"/>
    </row>
    <row r="103" spans="2:26" x14ac:dyDescent="0.3">
      <c r="B103" s="336"/>
      <c r="C103" s="337"/>
      <c r="D103" s="337"/>
      <c r="E103" s="337"/>
      <c r="F103" s="337"/>
      <c r="G103" s="337"/>
      <c r="H103" s="337"/>
      <c r="I103" s="337"/>
      <c r="J103" s="337"/>
      <c r="K103" s="337"/>
      <c r="L103" s="337"/>
      <c r="M103" s="338"/>
      <c r="O103" s="336"/>
      <c r="P103" s="337"/>
      <c r="Q103" s="337"/>
      <c r="R103" s="337"/>
      <c r="S103" s="337"/>
      <c r="T103" s="337"/>
      <c r="U103" s="337"/>
      <c r="V103" s="337"/>
      <c r="W103" s="337"/>
      <c r="X103" s="337"/>
      <c r="Y103" s="337"/>
      <c r="Z103" s="338"/>
    </row>
    <row r="104" spans="2:26" x14ac:dyDescent="0.3">
      <c r="B104" s="336"/>
      <c r="C104" s="337"/>
      <c r="D104" s="337"/>
      <c r="E104" s="337"/>
      <c r="F104" s="337"/>
      <c r="G104" s="337"/>
      <c r="H104" s="337"/>
      <c r="I104" s="337"/>
      <c r="J104" s="337"/>
      <c r="K104" s="337"/>
      <c r="L104" s="337"/>
      <c r="M104" s="338"/>
      <c r="O104" s="336"/>
      <c r="P104" s="337"/>
      <c r="Q104" s="337"/>
      <c r="R104" s="337"/>
      <c r="S104" s="337"/>
      <c r="T104" s="337"/>
      <c r="U104" s="337"/>
      <c r="V104" s="337"/>
      <c r="W104" s="337"/>
      <c r="X104" s="337"/>
      <c r="Y104" s="337"/>
      <c r="Z104" s="338"/>
    </row>
    <row r="105" spans="2:26" x14ac:dyDescent="0.3">
      <c r="B105" s="336"/>
      <c r="C105" s="337"/>
      <c r="D105" s="337"/>
      <c r="E105" s="337"/>
      <c r="F105" s="337"/>
      <c r="G105" s="337"/>
      <c r="H105" s="337"/>
      <c r="I105" s="337"/>
      <c r="J105" s="337"/>
      <c r="K105" s="337"/>
      <c r="L105" s="337"/>
      <c r="M105" s="338"/>
      <c r="O105" s="336"/>
      <c r="P105" s="337"/>
      <c r="Q105" s="337"/>
      <c r="R105" s="337"/>
      <c r="S105" s="337"/>
      <c r="T105" s="337"/>
      <c r="U105" s="337"/>
      <c r="V105" s="337"/>
      <c r="W105" s="337"/>
      <c r="X105" s="337"/>
      <c r="Y105" s="337"/>
      <c r="Z105" s="338"/>
    </row>
    <row r="106" spans="2:26" x14ac:dyDescent="0.3">
      <c r="B106" s="336"/>
      <c r="C106" s="337"/>
      <c r="D106" s="337"/>
      <c r="E106" s="337"/>
      <c r="F106" s="337"/>
      <c r="G106" s="337"/>
      <c r="H106" s="337"/>
      <c r="I106" s="337"/>
      <c r="J106" s="337"/>
      <c r="K106" s="337"/>
      <c r="L106" s="337"/>
      <c r="M106" s="338"/>
      <c r="O106" s="336"/>
      <c r="P106" s="337"/>
      <c r="Q106" s="337"/>
      <c r="R106" s="337"/>
      <c r="S106" s="337"/>
      <c r="T106" s="337"/>
      <c r="U106" s="337"/>
      <c r="V106" s="337"/>
      <c r="W106" s="337"/>
      <c r="X106" s="337"/>
      <c r="Y106" s="337"/>
      <c r="Z106" s="338"/>
    </row>
    <row r="107" spans="2:26" x14ac:dyDescent="0.3">
      <c r="B107" s="336"/>
      <c r="C107" s="337"/>
      <c r="D107" s="337"/>
      <c r="E107" s="337"/>
      <c r="F107" s="337"/>
      <c r="G107" s="337"/>
      <c r="H107" s="337"/>
      <c r="I107" s="337"/>
      <c r="J107" s="337"/>
      <c r="K107" s="337"/>
      <c r="L107" s="337"/>
      <c r="M107" s="338"/>
      <c r="O107" s="336"/>
      <c r="P107" s="337"/>
      <c r="Q107" s="337"/>
      <c r="R107" s="337"/>
      <c r="S107" s="337"/>
      <c r="T107" s="337"/>
      <c r="U107" s="337"/>
      <c r="V107" s="337"/>
      <c r="W107" s="337"/>
      <c r="X107" s="337"/>
      <c r="Y107" s="337"/>
      <c r="Z107" s="338"/>
    </row>
    <row r="108" spans="2:26" x14ac:dyDescent="0.3">
      <c r="B108" s="336"/>
      <c r="C108" s="337"/>
      <c r="D108" s="337"/>
      <c r="E108" s="337"/>
      <c r="F108" s="337"/>
      <c r="G108" s="337"/>
      <c r="H108" s="337"/>
      <c r="I108" s="337"/>
      <c r="J108" s="337"/>
      <c r="K108" s="337"/>
      <c r="L108" s="337"/>
      <c r="M108" s="338"/>
      <c r="O108" s="336"/>
      <c r="P108" s="337"/>
      <c r="Q108" s="337"/>
      <c r="R108" s="337"/>
      <c r="S108" s="337"/>
      <c r="T108" s="337"/>
      <c r="U108" s="337"/>
      <c r="V108" s="337"/>
      <c r="W108" s="337"/>
      <c r="X108" s="337"/>
      <c r="Y108" s="337"/>
      <c r="Z108" s="338"/>
    </row>
    <row r="109" spans="2:26" x14ac:dyDescent="0.3">
      <c r="B109" s="336"/>
      <c r="C109" s="337"/>
      <c r="D109" s="337"/>
      <c r="E109" s="337"/>
      <c r="F109" s="337"/>
      <c r="G109" s="337"/>
      <c r="H109" s="337"/>
      <c r="I109" s="337"/>
      <c r="J109" s="337"/>
      <c r="K109" s="337"/>
      <c r="L109" s="337"/>
      <c r="M109" s="338"/>
      <c r="O109" s="336"/>
      <c r="P109" s="337"/>
      <c r="Q109" s="337"/>
      <c r="R109" s="337"/>
      <c r="S109" s="337"/>
      <c r="T109" s="337"/>
      <c r="U109" s="337"/>
      <c r="V109" s="337"/>
      <c r="W109" s="337"/>
      <c r="X109" s="337"/>
      <c r="Y109" s="337"/>
      <c r="Z109" s="338"/>
    </row>
    <row r="110" spans="2:26" x14ac:dyDescent="0.3">
      <c r="B110" s="336"/>
      <c r="C110" s="337"/>
      <c r="D110" s="337"/>
      <c r="E110" s="337"/>
      <c r="F110" s="337"/>
      <c r="G110" s="337"/>
      <c r="H110" s="337"/>
      <c r="I110" s="337"/>
      <c r="J110" s="337"/>
      <c r="K110" s="337"/>
      <c r="L110" s="337"/>
      <c r="M110" s="338"/>
      <c r="O110" s="336"/>
      <c r="P110" s="337"/>
      <c r="Q110" s="337"/>
      <c r="R110" s="337"/>
      <c r="S110" s="337"/>
      <c r="T110" s="337"/>
      <c r="U110" s="337"/>
      <c r="V110" s="337"/>
      <c r="W110" s="337"/>
      <c r="X110" s="337"/>
      <c r="Y110" s="337"/>
      <c r="Z110" s="338"/>
    </row>
    <row r="111" spans="2:26" x14ac:dyDescent="0.3">
      <c r="B111" s="336"/>
      <c r="C111" s="337"/>
      <c r="D111" s="337"/>
      <c r="E111" s="337"/>
      <c r="F111" s="337"/>
      <c r="G111" s="337"/>
      <c r="H111" s="337"/>
      <c r="I111" s="337"/>
      <c r="J111" s="337"/>
      <c r="K111" s="337"/>
      <c r="L111" s="337"/>
      <c r="M111" s="338"/>
      <c r="O111" s="336"/>
      <c r="P111" s="337"/>
      <c r="Q111" s="337"/>
      <c r="R111" s="337"/>
      <c r="S111" s="337"/>
      <c r="T111" s="337"/>
      <c r="U111" s="337"/>
      <c r="V111" s="337"/>
      <c r="W111" s="337"/>
      <c r="X111" s="337"/>
      <c r="Y111" s="337"/>
      <c r="Z111" s="338"/>
    </row>
    <row r="112" spans="2:26" x14ac:dyDescent="0.3">
      <c r="B112" s="336"/>
      <c r="C112" s="337"/>
      <c r="D112" s="337"/>
      <c r="E112" s="337"/>
      <c r="F112" s="337"/>
      <c r="G112" s="337"/>
      <c r="H112" s="337"/>
      <c r="I112" s="337"/>
      <c r="J112" s="337"/>
      <c r="K112" s="337"/>
      <c r="L112" s="337"/>
      <c r="M112" s="338"/>
      <c r="O112" s="336"/>
      <c r="P112" s="337"/>
      <c r="Q112" s="337"/>
      <c r="R112" s="337"/>
      <c r="S112" s="337"/>
      <c r="T112" s="337"/>
      <c r="U112" s="337"/>
      <c r="V112" s="337"/>
      <c r="W112" s="337"/>
      <c r="X112" s="337"/>
      <c r="Y112" s="337"/>
      <c r="Z112" s="338"/>
    </row>
    <row r="113" spans="2:26" x14ac:dyDescent="0.3">
      <c r="B113" s="336"/>
      <c r="C113" s="337"/>
      <c r="D113" s="337"/>
      <c r="E113" s="337"/>
      <c r="F113" s="337"/>
      <c r="G113" s="337"/>
      <c r="H113" s="337"/>
      <c r="I113" s="337"/>
      <c r="J113" s="337"/>
      <c r="K113" s="337"/>
      <c r="L113" s="337"/>
      <c r="M113" s="338"/>
      <c r="O113" s="336"/>
      <c r="P113" s="337"/>
      <c r="Q113" s="337"/>
      <c r="R113" s="337"/>
      <c r="S113" s="337"/>
      <c r="T113" s="337"/>
      <c r="U113" s="337"/>
      <c r="V113" s="337"/>
      <c r="W113" s="337"/>
      <c r="X113" s="337"/>
      <c r="Y113" s="337"/>
      <c r="Z113" s="338"/>
    </row>
    <row r="114" spans="2:26" x14ac:dyDescent="0.3">
      <c r="B114" s="336"/>
      <c r="C114" s="337"/>
      <c r="D114" s="337"/>
      <c r="E114" s="337"/>
      <c r="F114" s="337"/>
      <c r="G114" s="337"/>
      <c r="H114" s="337"/>
      <c r="I114" s="337"/>
      <c r="J114" s="337"/>
      <c r="K114" s="337"/>
      <c r="L114" s="337"/>
      <c r="M114" s="338"/>
      <c r="O114" s="336"/>
      <c r="P114" s="337"/>
      <c r="Q114" s="337"/>
      <c r="R114" s="337"/>
      <c r="S114" s="337"/>
      <c r="T114" s="337"/>
      <c r="U114" s="337"/>
      <c r="V114" s="337"/>
      <c r="W114" s="337"/>
      <c r="X114" s="337"/>
      <c r="Y114" s="337"/>
      <c r="Z114" s="338"/>
    </row>
    <row r="115" spans="2:26" x14ac:dyDescent="0.3">
      <c r="B115" s="336"/>
      <c r="C115" s="337"/>
      <c r="D115" s="337"/>
      <c r="E115" s="337"/>
      <c r="F115" s="337"/>
      <c r="G115" s="337"/>
      <c r="H115" s="337"/>
      <c r="I115" s="337"/>
      <c r="J115" s="337"/>
      <c r="K115" s="337"/>
      <c r="L115" s="337"/>
      <c r="M115" s="338"/>
      <c r="O115" s="336"/>
      <c r="P115" s="337"/>
      <c r="Q115" s="337"/>
      <c r="R115" s="337"/>
      <c r="S115" s="337"/>
      <c r="T115" s="337"/>
      <c r="U115" s="337"/>
      <c r="V115" s="337"/>
      <c r="W115" s="337"/>
      <c r="X115" s="337"/>
      <c r="Y115" s="337"/>
      <c r="Z115" s="338"/>
    </row>
    <row r="116" spans="2:26" x14ac:dyDescent="0.3">
      <c r="B116" s="336"/>
      <c r="C116" s="337"/>
      <c r="D116" s="337"/>
      <c r="E116" s="337"/>
      <c r="F116" s="337"/>
      <c r="G116" s="337"/>
      <c r="H116" s="337"/>
      <c r="I116" s="337"/>
      <c r="J116" s="337"/>
      <c r="K116" s="337"/>
      <c r="L116" s="337"/>
      <c r="M116" s="338"/>
      <c r="O116" s="336"/>
      <c r="P116" s="337"/>
      <c r="Q116" s="337"/>
      <c r="R116" s="337"/>
      <c r="S116" s="337"/>
      <c r="T116" s="337"/>
      <c r="U116" s="337"/>
      <c r="V116" s="337"/>
      <c r="W116" s="337"/>
      <c r="X116" s="337"/>
      <c r="Y116" s="337"/>
      <c r="Z116" s="338"/>
    </row>
    <row r="117" spans="2:26" x14ac:dyDescent="0.3">
      <c r="B117" s="336"/>
      <c r="C117" s="337"/>
      <c r="D117" s="337"/>
      <c r="E117" s="337"/>
      <c r="F117" s="337"/>
      <c r="G117" s="337"/>
      <c r="H117" s="337"/>
      <c r="I117" s="337"/>
      <c r="J117" s="337"/>
      <c r="K117" s="337"/>
      <c r="L117" s="337"/>
      <c r="M117" s="338"/>
      <c r="O117" s="336"/>
      <c r="P117" s="337"/>
      <c r="Q117" s="337"/>
      <c r="R117" s="337"/>
      <c r="S117" s="337"/>
      <c r="T117" s="337"/>
      <c r="U117" s="337"/>
      <c r="V117" s="337"/>
      <c r="W117" s="337"/>
      <c r="X117" s="337"/>
      <c r="Y117" s="337"/>
      <c r="Z117" s="338"/>
    </row>
    <row r="118" spans="2:26" x14ac:dyDescent="0.3">
      <c r="B118" s="336"/>
      <c r="C118" s="337"/>
      <c r="D118" s="337"/>
      <c r="E118" s="337"/>
      <c r="F118" s="337"/>
      <c r="G118" s="337"/>
      <c r="H118" s="337"/>
      <c r="I118" s="337"/>
      <c r="J118" s="337"/>
      <c r="K118" s="337"/>
      <c r="L118" s="337"/>
      <c r="M118" s="338"/>
      <c r="O118" s="336"/>
      <c r="P118" s="337"/>
      <c r="Q118" s="337"/>
      <c r="R118" s="337"/>
      <c r="S118" s="337"/>
      <c r="T118" s="337"/>
      <c r="U118" s="337"/>
      <c r="V118" s="337"/>
      <c r="W118" s="337"/>
      <c r="X118" s="337"/>
      <c r="Y118" s="337"/>
      <c r="Z118" s="338"/>
    </row>
    <row r="119" spans="2:26" x14ac:dyDescent="0.3">
      <c r="B119" s="336"/>
      <c r="C119" s="337"/>
      <c r="D119" s="337"/>
      <c r="E119" s="337"/>
      <c r="F119" s="337"/>
      <c r="G119" s="337"/>
      <c r="H119" s="337"/>
      <c r="I119" s="337"/>
      <c r="J119" s="337"/>
      <c r="K119" s="337"/>
      <c r="L119" s="337"/>
      <c r="M119" s="338"/>
      <c r="O119" s="336"/>
      <c r="P119" s="337"/>
      <c r="Q119" s="337"/>
      <c r="R119" s="337"/>
      <c r="S119" s="337"/>
      <c r="T119" s="337"/>
      <c r="U119" s="337"/>
      <c r="V119" s="337"/>
      <c r="W119" s="337"/>
      <c r="X119" s="337"/>
      <c r="Y119" s="337"/>
      <c r="Z119" s="338"/>
    </row>
    <row r="120" spans="2:26" x14ac:dyDescent="0.3">
      <c r="B120" s="336"/>
      <c r="C120" s="337"/>
      <c r="D120" s="337"/>
      <c r="E120" s="337"/>
      <c r="F120" s="337"/>
      <c r="G120" s="337"/>
      <c r="H120" s="337"/>
      <c r="I120" s="337"/>
      <c r="J120" s="337"/>
      <c r="K120" s="337"/>
      <c r="L120" s="337"/>
      <c r="M120" s="338"/>
      <c r="O120" s="336"/>
      <c r="P120" s="337"/>
      <c r="Q120" s="337"/>
      <c r="R120" s="337"/>
      <c r="S120" s="337"/>
      <c r="T120" s="337"/>
      <c r="U120" s="337"/>
      <c r="V120" s="337"/>
      <c r="W120" s="337"/>
      <c r="X120" s="337"/>
      <c r="Y120" s="337"/>
      <c r="Z120" s="338"/>
    </row>
    <row r="121" spans="2:26" x14ac:dyDescent="0.3">
      <c r="B121" s="336"/>
      <c r="C121" s="337"/>
      <c r="D121" s="337"/>
      <c r="E121" s="337"/>
      <c r="F121" s="337"/>
      <c r="G121" s="337"/>
      <c r="H121" s="337"/>
      <c r="I121" s="337"/>
      <c r="J121" s="337"/>
      <c r="K121" s="337"/>
      <c r="L121" s="337"/>
      <c r="M121" s="338"/>
      <c r="O121" s="336"/>
      <c r="P121" s="337"/>
      <c r="Q121" s="337"/>
      <c r="R121" s="337"/>
      <c r="S121" s="337"/>
      <c r="T121" s="337"/>
      <c r="U121" s="337"/>
      <c r="V121" s="337"/>
      <c r="W121" s="337"/>
      <c r="X121" s="337"/>
      <c r="Y121" s="337"/>
      <c r="Z121" s="338"/>
    </row>
    <row r="122" spans="2:26" x14ac:dyDescent="0.3">
      <c r="B122" s="336"/>
      <c r="C122" s="337"/>
      <c r="D122" s="337"/>
      <c r="E122" s="337"/>
      <c r="F122" s="337"/>
      <c r="G122" s="337"/>
      <c r="H122" s="337"/>
      <c r="I122" s="337"/>
      <c r="J122" s="337"/>
      <c r="K122" s="337"/>
      <c r="L122" s="337"/>
      <c r="M122" s="338"/>
      <c r="O122" s="336"/>
      <c r="P122" s="337"/>
      <c r="Q122" s="337"/>
      <c r="R122" s="337"/>
      <c r="S122" s="337"/>
      <c r="T122" s="337"/>
      <c r="U122" s="337"/>
      <c r="V122" s="337"/>
      <c r="W122" s="337"/>
      <c r="X122" s="337"/>
      <c r="Y122" s="337"/>
      <c r="Z122" s="338"/>
    </row>
    <row r="123" spans="2:26" x14ac:dyDescent="0.3">
      <c r="B123" s="336"/>
      <c r="C123" s="337"/>
      <c r="D123" s="337"/>
      <c r="E123" s="337"/>
      <c r="F123" s="337"/>
      <c r="G123" s="337"/>
      <c r="H123" s="337"/>
      <c r="I123" s="337"/>
      <c r="J123" s="337"/>
      <c r="K123" s="337"/>
      <c r="L123" s="337"/>
      <c r="M123" s="338"/>
      <c r="O123" s="336"/>
      <c r="P123" s="337"/>
      <c r="Q123" s="337"/>
      <c r="R123" s="337"/>
      <c r="S123" s="337"/>
      <c r="T123" s="337"/>
      <c r="U123" s="337"/>
      <c r="V123" s="337"/>
      <c r="W123" s="337"/>
      <c r="X123" s="337"/>
      <c r="Y123" s="337"/>
      <c r="Z123" s="338"/>
    </row>
    <row r="124" spans="2:26" x14ac:dyDescent="0.3">
      <c r="B124" s="336"/>
      <c r="C124" s="337"/>
      <c r="D124" s="337"/>
      <c r="E124" s="337"/>
      <c r="F124" s="337"/>
      <c r="G124" s="337"/>
      <c r="H124" s="337"/>
      <c r="I124" s="337"/>
      <c r="J124" s="337"/>
      <c r="K124" s="337"/>
      <c r="L124" s="337"/>
      <c r="M124" s="338"/>
      <c r="O124" s="336"/>
      <c r="P124" s="337"/>
      <c r="Q124" s="337"/>
      <c r="R124" s="337"/>
      <c r="S124" s="337"/>
      <c r="T124" s="337"/>
      <c r="U124" s="337"/>
      <c r="V124" s="337"/>
      <c r="W124" s="337"/>
      <c r="X124" s="337"/>
      <c r="Y124" s="337"/>
      <c r="Z124" s="338"/>
    </row>
    <row r="125" spans="2:26" x14ac:dyDescent="0.3">
      <c r="B125" s="336"/>
      <c r="C125" s="337"/>
      <c r="D125" s="337"/>
      <c r="E125" s="337"/>
      <c r="F125" s="337"/>
      <c r="G125" s="337"/>
      <c r="H125" s="337"/>
      <c r="I125" s="337"/>
      <c r="J125" s="337"/>
      <c r="K125" s="337"/>
      <c r="L125" s="337"/>
      <c r="M125" s="338"/>
      <c r="O125" s="336"/>
      <c r="P125" s="337"/>
      <c r="Q125" s="337"/>
      <c r="R125" s="337"/>
      <c r="S125" s="337"/>
      <c r="T125" s="337"/>
      <c r="U125" s="337"/>
      <c r="V125" s="337"/>
      <c r="W125" s="337"/>
      <c r="X125" s="337"/>
      <c r="Y125" s="337"/>
      <c r="Z125" s="338"/>
    </row>
    <row r="126" spans="2:26" x14ac:dyDescent="0.3">
      <c r="B126" s="336"/>
      <c r="C126" s="337"/>
      <c r="D126" s="337"/>
      <c r="E126" s="337"/>
      <c r="F126" s="337"/>
      <c r="G126" s="337"/>
      <c r="H126" s="337"/>
      <c r="I126" s="337"/>
      <c r="J126" s="337"/>
      <c r="K126" s="337"/>
      <c r="L126" s="337"/>
      <c r="M126" s="338"/>
      <c r="O126" s="336"/>
      <c r="P126" s="337"/>
      <c r="Q126" s="337"/>
      <c r="R126" s="337"/>
      <c r="S126" s="337"/>
      <c r="T126" s="337"/>
      <c r="U126" s="337"/>
      <c r="V126" s="337"/>
      <c r="W126" s="337"/>
      <c r="X126" s="337"/>
      <c r="Y126" s="337"/>
      <c r="Z126" s="338"/>
    </row>
    <row r="127" spans="2:26" x14ac:dyDescent="0.3">
      <c r="B127" s="336"/>
      <c r="C127" s="337"/>
      <c r="D127" s="337"/>
      <c r="E127" s="337"/>
      <c r="F127" s="337"/>
      <c r="G127" s="337"/>
      <c r="H127" s="337"/>
      <c r="I127" s="337"/>
      <c r="J127" s="337"/>
      <c r="K127" s="337"/>
      <c r="L127" s="337"/>
      <c r="M127" s="338"/>
      <c r="O127" s="336"/>
      <c r="P127" s="337"/>
      <c r="Q127" s="337"/>
      <c r="R127" s="337"/>
      <c r="S127" s="337"/>
      <c r="T127" s="337"/>
      <c r="U127" s="337"/>
      <c r="V127" s="337"/>
      <c r="W127" s="337"/>
      <c r="X127" s="337"/>
      <c r="Y127" s="337"/>
      <c r="Z127" s="338"/>
    </row>
    <row r="128" spans="2:26" x14ac:dyDescent="0.3">
      <c r="B128" s="336"/>
      <c r="C128" s="337"/>
      <c r="D128" s="337"/>
      <c r="E128" s="337"/>
      <c r="F128" s="337"/>
      <c r="G128" s="337"/>
      <c r="H128" s="337"/>
      <c r="I128" s="337"/>
      <c r="J128" s="337"/>
      <c r="K128" s="337"/>
      <c r="L128" s="337"/>
      <c r="M128" s="338"/>
      <c r="O128" s="336"/>
      <c r="P128" s="337"/>
      <c r="Q128" s="337"/>
      <c r="R128" s="337"/>
      <c r="S128" s="337"/>
      <c r="T128" s="337"/>
      <c r="U128" s="337"/>
      <c r="V128" s="337"/>
      <c r="W128" s="337"/>
      <c r="X128" s="337"/>
      <c r="Y128" s="337"/>
      <c r="Z128" s="338"/>
    </row>
    <row r="129" spans="2:26" x14ac:dyDescent="0.3">
      <c r="B129" s="336"/>
      <c r="C129" s="337"/>
      <c r="D129" s="337"/>
      <c r="E129" s="337"/>
      <c r="F129" s="337"/>
      <c r="G129" s="337"/>
      <c r="H129" s="337"/>
      <c r="I129" s="337"/>
      <c r="J129" s="337"/>
      <c r="K129" s="337"/>
      <c r="L129" s="337"/>
      <c r="M129" s="338"/>
      <c r="N129" s="337"/>
      <c r="O129" s="336"/>
      <c r="P129" s="337"/>
      <c r="Q129" s="337"/>
      <c r="R129" s="337"/>
      <c r="S129" s="337"/>
      <c r="T129" s="337"/>
      <c r="U129" s="337"/>
      <c r="V129" s="337"/>
      <c r="W129" s="337"/>
      <c r="X129" s="337"/>
      <c r="Y129" s="337"/>
      <c r="Z129" s="338"/>
    </row>
    <row r="130" spans="2:26" ht="15" thickBot="1" x14ac:dyDescent="0.35">
      <c r="B130" s="341"/>
      <c r="C130" s="342"/>
      <c r="D130" s="342"/>
      <c r="E130" s="342"/>
      <c r="F130" s="342"/>
      <c r="G130" s="342"/>
      <c r="H130" s="342"/>
      <c r="I130" s="342"/>
      <c r="J130" s="342"/>
      <c r="K130" s="342"/>
      <c r="L130" s="342"/>
      <c r="M130" s="343"/>
      <c r="N130" s="337"/>
      <c r="O130" s="341"/>
      <c r="P130" s="342"/>
      <c r="Q130" s="342"/>
      <c r="R130" s="342"/>
      <c r="S130" s="342"/>
      <c r="T130" s="342"/>
      <c r="U130" s="342"/>
      <c r="V130" s="342"/>
      <c r="W130" s="342"/>
      <c r="X130" s="342"/>
      <c r="Y130" s="342"/>
      <c r="Z130" s="343"/>
    </row>
  </sheetData>
  <sheetProtection password="B7E1" sheet="1" objects="1" scenarios="1"/>
  <mergeCells count="4">
    <mergeCell ref="B2:G3"/>
    <mergeCell ref="B5:G5"/>
    <mergeCell ref="I5:L5"/>
    <mergeCell ref="N5:Q5"/>
  </mergeCells>
  <pageMargins left="0.70866141732283472" right="0.70866141732283472" top="0.74803149606299213" bottom="0.74803149606299213" header="0.31496062992125984" footer="0.31496062992125984"/>
  <pageSetup paperSize="9" scale="80"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C3E02"/>
  </sheetPr>
  <dimension ref="B1:BG46"/>
  <sheetViews>
    <sheetView topLeftCell="D1" zoomScale="90" zoomScaleNormal="90" workbookViewId="0">
      <selection activeCell="B36" sqref="B1:G36"/>
    </sheetView>
  </sheetViews>
  <sheetFormatPr defaultRowHeight="14.4" x14ac:dyDescent="0.3"/>
  <cols>
    <col min="2" max="2" width="5.77734375" bestFit="1" customWidth="1"/>
    <col min="3" max="9" width="13.77734375" customWidth="1"/>
    <col min="14" max="14" width="11.21875" bestFit="1" customWidth="1"/>
    <col min="15" max="15" width="15.77734375" style="174" customWidth="1"/>
    <col min="16" max="18" width="15.77734375" customWidth="1"/>
    <col min="19" max="21" width="13.77734375" customWidth="1"/>
    <col min="26" max="27" width="10.77734375" bestFit="1" customWidth="1"/>
    <col min="36" max="37" width="10.77734375" bestFit="1" customWidth="1"/>
    <col min="41" max="41" width="13.77734375" customWidth="1"/>
    <col min="46" max="47" width="10.77734375" bestFit="1" customWidth="1"/>
    <col min="56" max="57" width="10.77734375" bestFit="1" customWidth="1"/>
  </cols>
  <sheetData>
    <row r="1" spans="21:59" ht="15" thickBot="1" x14ac:dyDescent="0.35"/>
    <row r="2" spans="21:59" ht="21" x14ac:dyDescent="0.4">
      <c r="U2" s="376"/>
      <c r="V2" s="739" t="s">
        <v>277</v>
      </c>
      <c r="W2" s="739"/>
      <c r="X2" s="739"/>
      <c r="Y2" s="739"/>
      <c r="Z2" s="739"/>
      <c r="AA2" s="739"/>
      <c r="AB2" s="739"/>
      <c r="AC2" s="739"/>
      <c r="AD2" s="739"/>
      <c r="AE2" s="739"/>
      <c r="AF2" s="739"/>
      <c r="AG2" s="739"/>
      <c r="AH2" s="739"/>
      <c r="AI2" s="739"/>
      <c r="AJ2" s="739"/>
      <c r="AK2" s="739"/>
      <c r="AL2" s="739"/>
      <c r="AM2" s="377"/>
      <c r="AO2" s="376"/>
      <c r="AP2" s="739" t="s">
        <v>279</v>
      </c>
      <c r="AQ2" s="739"/>
      <c r="AR2" s="739"/>
      <c r="AS2" s="739"/>
      <c r="AT2" s="739"/>
      <c r="AU2" s="739"/>
      <c r="AV2" s="739"/>
      <c r="AW2" s="739"/>
      <c r="AX2" s="739"/>
      <c r="AY2" s="739"/>
      <c r="AZ2" s="739"/>
      <c r="BA2" s="739"/>
      <c r="BB2" s="739"/>
      <c r="BC2" s="739"/>
      <c r="BD2" s="739"/>
      <c r="BE2" s="739"/>
      <c r="BF2" s="739"/>
      <c r="BG2" s="377"/>
    </row>
    <row r="3" spans="21:59" ht="15" thickBot="1" x14ac:dyDescent="0.35">
      <c r="U3" s="211"/>
      <c r="AM3" s="92"/>
      <c r="AO3" s="211"/>
      <c r="BG3" s="92"/>
    </row>
    <row r="4" spans="21:59" ht="21" x14ac:dyDescent="0.4">
      <c r="U4" s="211"/>
      <c r="V4" s="334"/>
      <c r="W4" s="737" t="s">
        <v>262</v>
      </c>
      <c r="X4" s="737"/>
      <c r="Y4" s="737"/>
      <c r="Z4" s="737"/>
      <c r="AA4" s="737"/>
      <c r="AB4" s="737"/>
      <c r="AC4" s="737"/>
      <c r="AD4" s="335"/>
      <c r="AE4" s="337"/>
      <c r="AF4" s="334"/>
      <c r="AG4" s="737" t="s">
        <v>263</v>
      </c>
      <c r="AH4" s="737"/>
      <c r="AI4" s="737"/>
      <c r="AJ4" s="737"/>
      <c r="AK4" s="737"/>
      <c r="AL4" s="335"/>
      <c r="AM4" s="92"/>
      <c r="AO4" s="211"/>
      <c r="AP4" s="334"/>
      <c r="AQ4" s="737" t="s">
        <v>262</v>
      </c>
      <c r="AR4" s="737"/>
      <c r="AS4" s="737"/>
      <c r="AT4" s="737"/>
      <c r="AU4" s="737"/>
      <c r="AV4" s="737"/>
      <c r="AW4" s="737"/>
      <c r="AX4" s="335"/>
      <c r="AY4" s="337"/>
      <c r="AZ4" s="334"/>
      <c r="BA4" s="737" t="s">
        <v>263</v>
      </c>
      <c r="BB4" s="737"/>
      <c r="BC4" s="737"/>
      <c r="BD4" s="737"/>
      <c r="BE4" s="737"/>
      <c r="BF4" s="335"/>
      <c r="BG4" s="92"/>
    </row>
    <row r="5" spans="21:59" x14ac:dyDescent="0.3">
      <c r="U5" s="211"/>
      <c r="V5" s="336"/>
      <c r="W5" s="337"/>
      <c r="X5" s="337"/>
      <c r="Y5" s="337"/>
      <c r="Z5" s="337"/>
      <c r="AA5" s="337"/>
      <c r="AB5" s="337"/>
      <c r="AC5" s="337"/>
      <c r="AD5" s="338"/>
      <c r="AE5" s="337"/>
      <c r="AF5" s="336"/>
      <c r="AG5" s="337"/>
      <c r="AH5" s="337"/>
      <c r="AI5" s="337"/>
      <c r="AJ5" s="337"/>
      <c r="AK5" s="337"/>
      <c r="AL5" s="338"/>
      <c r="AM5" s="92"/>
      <c r="AO5" s="211"/>
      <c r="AP5" s="336"/>
      <c r="AQ5" s="337"/>
      <c r="AR5" s="337"/>
      <c r="AS5" s="337"/>
      <c r="AT5" s="337"/>
      <c r="AU5" s="337"/>
      <c r="AV5" s="337"/>
      <c r="AW5" s="337"/>
      <c r="AX5" s="338"/>
      <c r="AY5" s="337"/>
      <c r="AZ5" s="336"/>
      <c r="BA5" s="337"/>
      <c r="BB5" s="337"/>
      <c r="BC5" s="337"/>
      <c r="BD5" s="337"/>
      <c r="BE5" s="337"/>
      <c r="BF5" s="338"/>
      <c r="BG5" s="92"/>
    </row>
    <row r="6" spans="21:59" x14ac:dyDescent="0.3">
      <c r="U6" s="211"/>
      <c r="V6" s="336"/>
      <c r="W6" s="337"/>
      <c r="X6" s="337"/>
      <c r="Y6" s="337"/>
      <c r="Z6" s="337"/>
      <c r="AA6" s="337"/>
      <c r="AB6" s="337"/>
      <c r="AC6" s="337"/>
      <c r="AD6" s="338"/>
      <c r="AE6" s="337"/>
      <c r="AF6" s="336"/>
      <c r="AG6" s="337"/>
      <c r="AH6" s="337"/>
      <c r="AI6" s="337"/>
      <c r="AJ6" s="337"/>
      <c r="AK6" s="337"/>
      <c r="AL6" s="338"/>
      <c r="AM6" s="92"/>
      <c r="AO6" s="211"/>
      <c r="AP6" s="336"/>
      <c r="AQ6" s="337"/>
      <c r="AR6" s="337"/>
      <c r="AS6" s="337"/>
      <c r="AT6" s="337"/>
      <c r="AU6" s="337"/>
      <c r="AV6" s="337"/>
      <c r="AW6" s="337"/>
      <c r="AX6" s="338"/>
      <c r="AY6" s="337"/>
      <c r="AZ6" s="336"/>
      <c r="BA6" s="337"/>
      <c r="BB6" s="337"/>
      <c r="BC6" s="337"/>
      <c r="BD6" s="337"/>
      <c r="BE6" s="337"/>
      <c r="BF6" s="338"/>
      <c r="BG6" s="92"/>
    </row>
    <row r="7" spans="21:59" ht="15.6" x14ac:dyDescent="0.3">
      <c r="U7" s="211"/>
      <c r="V7" s="336"/>
      <c r="W7" s="738" t="s">
        <v>55</v>
      </c>
      <c r="X7" s="738"/>
      <c r="Y7" s="738"/>
      <c r="Z7" s="354" t="s">
        <v>195</v>
      </c>
      <c r="AA7" s="337"/>
      <c r="AB7" s="337"/>
      <c r="AC7" s="337"/>
      <c r="AD7" s="338"/>
      <c r="AE7" s="337"/>
      <c r="AF7" s="336"/>
      <c r="AG7" s="337"/>
      <c r="AH7" s="337"/>
      <c r="AI7" s="337"/>
      <c r="AJ7" s="337"/>
      <c r="AK7" s="337"/>
      <c r="AL7" s="338"/>
      <c r="AM7" s="92"/>
      <c r="AO7" s="211"/>
      <c r="AP7" s="336"/>
      <c r="AQ7" s="738" t="s">
        <v>55</v>
      </c>
      <c r="AR7" s="738"/>
      <c r="AS7" s="738"/>
      <c r="AT7" s="354" t="s">
        <v>195</v>
      </c>
      <c r="AU7" s="337"/>
      <c r="AV7" s="337"/>
      <c r="AW7" s="337"/>
      <c r="AX7" s="338"/>
      <c r="AY7" s="337"/>
      <c r="AZ7" s="336"/>
      <c r="BA7" s="337"/>
      <c r="BB7" s="337"/>
      <c r="BC7" s="337"/>
      <c r="BD7" s="337"/>
      <c r="BE7" s="337"/>
      <c r="BF7" s="338"/>
      <c r="BG7" s="92"/>
    </row>
    <row r="8" spans="21:59" ht="15.6" x14ac:dyDescent="0.3">
      <c r="U8" s="211"/>
      <c r="V8" s="336"/>
      <c r="W8" s="738" t="s">
        <v>225</v>
      </c>
      <c r="X8" s="738"/>
      <c r="Y8" s="738"/>
      <c r="Z8" s="354" t="s">
        <v>276</v>
      </c>
      <c r="AA8" s="337"/>
      <c r="AB8" s="337"/>
      <c r="AC8" s="337"/>
      <c r="AD8" s="338"/>
      <c r="AE8" s="337"/>
      <c r="AF8" s="336"/>
      <c r="AG8" s="337"/>
      <c r="AH8" s="337"/>
      <c r="AI8" s="337"/>
      <c r="AJ8" s="337"/>
      <c r="AK8" s="337"/>
      <c r="AL8" s="338"/>
      <c r="AM8" s="92"/>
      <c r="AO8" s="211"/>
      <c r="AP8" s="336"/>
      <c r="AQ8" s="738" t="s">
        <v>225</v>
      </c>
      <c r="AR8" s="738"/>
      <c r="AS8" s="738"/>
      <c r="AT8" s="354" t="s">
        <v>278</v>
      </c>
      <c r="AU8" s="337"/>
      <c r="AV8" s="337"/>
      <c r="AW8" s="337"/>
      <c r="AX8" s="338"/>
      <c r="AY8" s="337"/>
      <c r="AZ8" s="336"/>
      <c r="BA8" s="337"/>
      <c r="BB8" s="337"/>
      <c r="BC8" s="337"/>
      <c r="BD8" s="337"/>
      <c r="BE8" s="337"/>
      <c r="BF8" s="338"/>
      <c r="BG8" s="92"/>
    </row>
    <row r="9" spans="21:59" ht="15.6" x14ac:dyDescent="0.3">
      <c r="U9" s="211"/>
      <c r="V9" s="336"/>
      <c r="W9" s="339"/>
      <c r="X9" s="337"/>
      <c r="Y9" s="337"/>
      <c r="Z9" s="337"/>
      <c r="AA9" s="337"/>
      <c r="AB9" s="337"/>
      <c r="AC9" s="337"/>
      <c r="AD9" s="338"/>
      <c r="AE9" s="337"/>
      <c r="AF9" s="336"/>
      <c r="AG9" s="337"/>
      <c r="AH9" s="337"/>
      <c r="AI9" s="337"/>
      <c r="AJ9" s="337"/>
      <c r="AK9" s="337"/>
      <c r="AL9" s="338"/>
      <c r="AM9" s="92"/>
      <c r="AO9" s="211"/>
      <c r="AP9" s="336"/>
      <c r="AQ9" s="339"/>
      <c r="AR9" s="337"/>
      <c r="AS9" s="337"/>
      <c r="AT9" s="337"/>
      <c r="AU9" s="337"/>
      <c r="AV9" s="337"/>
      <c r="AW9" s="337"/>
      <c r="AX9" s="338"/>
      <c r="AY9" s="337"/>
      <c r="AZ9" s="336"/>
      <c r="BA9" s="337"/>
      <c r="BB9" s="337"/>
      <c r="BC9" s="337"/>
      <c r="BD9" s="337"/>
      <c r="BE9" s="337"/>
      <c r="BF9" s="338"/>
      <c r="BG9" s="92"/>
    </row>
    <row r="10" spans="21:59" x14ac:dyDescent="0.3">
      <c r="U10" s="211"/>
      <c r="V10" s="336"/>
      <c r="W10" s="374" t="s">
        <v>198</v>
      </c>
      <c r="X10" s="374" t="s">
        <v>0</v>
      </c>
      <c r="Y10" s="374" t="s">
        <v>192</v>
      </c>
      <c r="Z10" s="374" t="s">
        <v>193</v>
      </c>
      <c r="AA10" s="374" t="s">
        <v>194</v>
      </c>
      <c r="AB10" s="374" t="s">
        <v>226</v>
      </c>
      <c r="AC10" s="374" t="s">
        <v>7</v>
      </c>
      <c r="AD10" s="338"/>
      <c r="AE10" s="337"/>
      <c r="AF10" s="336"/>
      <c r="AG10" s="374" t="s">
        <v>198</v>
      </c>
      <c r="AH10" s="374" t="s">
        <v>0</v>
      </c>
      <c r="AI10" s="374" t="s">
        <v>192</v>
      </c>
      <c r="AJ10" s="374" t="s">
        <v>193</v>
      </c>
      <c r="AK10" s="374" t="s">
        <v>194</v>
      </c>
      <c r="AL10" s="338"/>
      <c r="AM10" s="92"/>
      <c r="AO10" s="211"/>
      <c r="AP10" s="336"/>
      <c r="AQ10" s="374" t="s">
        <v>198</v>
      </c>
      <c r="AR10" s="374" t="s">
        <v>0</v>
      </c>
      <c r="AS10" s="374" t="s">
        <v>192</v>
      </c>
      <c r="AT10" s="374" t="s">
        <v>193</v>
      </c>
      <c r="AU10" s="374" t="s">
        <v>194</v>
      </c>
      <c r="AV10" s="374" t="s">
        <v>226</v>
      </c>
      <c r="AW10" s="374" t="s">
        <v>7</v>
      </c>
      <c r="AX10" s="338"/>
      <c r="AY10" s="337"/>
      <c r="AZ10" s="336"/>
      <c r="BA10" s="374" t="s">
        <v>198</v>
      </c>
      <c r="BB10" s="374" t="s">
        <v>0</v>
      </c>
      <c r="BC10" s="374" t="s">
        <v>192</v>
      </c>
      <c r="BD10" s="374" t="s">
        <v>193</v>
      </c>
      <c r="BE10" s="374" t="s">
        <v>194</v>
      </c>
      <c r="BF10" s="338"/>
      <c r="BG10" s="92"/>
    </row>
    <row r="11" spans="21:59" x14ac:dyDescent="0.3">
      <c r="U11" s="211"/>
      <c r="V11" s="336"/>
      <c r="W11" s="375">
        <v>1</v>
      </c>
      <c r="X11" s="375"/>
      <c r="Y11" s="350"/>
      <c r="Z11" s="351">
        <v>27</v>
      </c>
      <c r="AA11" s="351">
        <v>26.99</v>
      </c>
      <c r="AB11" s="351">
        <f>IF(AND(Z11&gt;0,AA11&gt;0),AVERAGE(Z11:AA11),"")</f>
        <v>26.994999999999997</v>
      </c>
      <c r="AC11" s="351">
        <f>IF(AND(Z11&gt;0,AA11&gt;0),ABS(Z11-AA11),"")</f>
        <v>1.0000000000001563E-2</v>
      </c>
      <c r="AD11" s="338"/>
      <c r="AE11" s="337"/>
      <c r="AF11" s="336"/>
      <c r="AG11" s="375">
        <v>1</v>
      </c>
      <c r="AH11" s="375"/>
      <c r="AI11" s="350"/>
      <c r="AJ11" s="351">
        <f>Z11</f>
        <v>27</v>
      </c>
      <c r="AK11" s="351">
        <f t="shared" ref="AK11:AK17" si="0">AA11</f>
        <v>26.99</v>
      </c>
      <c r="AL11" s="338"/>
      <c r="AM11" s="92"/>
      <c r="AO11" s="211"/>
      <c r="AP11" s="336"/>
      <c r="AQ11" s="375">
        <v>1</v>
      </c>
      <c r="AR11" s="375"/>
      <c r="AS11" s="350"/>
      <c r="AT11" s="351">
        <v>27</v>
      </c>
      <c r="AU11" s="351">
        <v>26.99</v>
      </c>
      <c r="AV11" s="351">
        <f>IF(AND(AT11&gt;0,AU11&gt;0),AVERAGE(AT11:AU11),"")</f>
        <v>26.994999999999997</v>
      </c>
      <c r="AW11" s="351">
        <f>IF(AND(AT11&gt;0,AU11&gt;0),ABS(AT11-AU11),"")</f>
        <v>1.0000000000001563E-2</v>
      </c>
      <c r="AX11" s="338"/>
      <c r="AY11" s="337"/>
      <c r="AZ11" s="336"/>
      <c r="BA11" s="375">
        <v>1</v>
      </c>
      <c r="BB11" s="375"/>
      <c r="BC11" s="350"/>
      <c r="BD11" s="351">
        <f>AT11</f>
        <v>27</v>
      </c>
      <c r="BE11" s="351">
        <f t="shared" ref="BE11:BE17" si="1">AU11</f>
        <v>26.99</v>
      </c>
      <c r="BF11" s="338"/>
      <c r="BG11" s="92"/>
    </row>
    <row r="12" spans="21:59" x14ac:dyDescent="0.3">
      <c r="U12" s="211"/>
      <c r="V12" s="336"/>
      <c r="W12" s="375">
        <v>2</v>
      </c>
      <c r="X12" s="375"/>
      <c r="Y12" s="350"/>
      <c r="Z12" s="351">
        <v>27.25</v>
      </c>
      <c r="AA12" s="351">
        <v>27.33</v>
      </c>
      <c r="AB12" s="351">
        <f t="shared" ref="AB12:AB17" si="2">IF(AND(Z12&gt;0,AA12&gt;0),AVERAGE(Z12:AA12),"")</f>
        <v>27.29</v>
      </c>
      <c r="AC12" s="351">
        <f t="shared" ref="AC12:AC17" si="3">IF(AND(Z12&gt;0,AA12&gt;0),ABS(Z12-AA12),"")</f>
        <v>7.9999999999998295E-2</v>
      </c>
      <c r="AD12" s="338"/>
      <c r="AE12" s="337"/>
      <c r="AF12" s="336"/>
      <c r="AG12" s="375">
        <v>2</v>
      </c>
      <c r="AH12" s="375"/>
      <c r="AI12" s="350"/>
      <c r="AJ12" s="351">
        <f t="shared" ref="AJ12:AJ17" si="4">Z12</f>
        <v>27.25</v>
      </c>
      <c r="AK12" s="351">
        <f t="shared" si="0"/>
        <v>27.33</v>
      </c>
      <c r="AL12" s="338"/>
      <c r="AM12" s="92"/>
      <c r="AO12" s="211"/>
      <c r="AP12" s="336"/>
      <c r="AQ12" s="375">
        <v>2</v>
      </c>
      <c r="AR12" s="375"/>
      <c r="AS12" s="350"/>
      <c r="AT12" s="351">
        <v>27</v>
      </c>
      <c r="AU12" s="351">
        <v>27</v>
      </c>
      <c r="AV12" s="351">
        <f t="shared" ref="AV12:AV17" si="5">IF(AND(AT12&gt;0,AU12&gt;0),AVERAGE(AT12:AU12),"")</f>
        <v>27</v>
      </c>
      <c r="AW12" s="351">
        <f t="shared" ref="AW12:AW17" si="6">IF(AND(AT12&gt;0,AU12&gt;0),ABS(AT12-AU12),"")</f>
        <v>0</v>
      </c>
      <c r="AX12" s="338"/>
      <c r="AY12" s="337"/>
      <c r="AZ12" s="336"/>
      <c r="BA12" s="375">
        <v>2</v>
      </c>
      <c r="BB12" s="375"/>
      <c r="BC12" s="350"/>
      <c r="BD12" s="351">
        <f t="shared" ref="BD12:BD17" si="7">AT12</f>
        <v>27</v>
      </c>
      <c r="BE12" s="351">
        <f t="shared" si="1"/>
        <v>27</v>
      </c>
      <c r="BF12" s="338"/>
      <c r="BG12" s="92"/>
    </row>
    <row r="13" spans="21:59" x14ac:dyDescent="0.3">
      <c r="U13" s="211"/>
      <c r="V13" s="336"/>
      <c r="W13" s="375">
        <v>3</v>
      </c>
      <c r="X13" s="375"/>
      <c r="Y13" s="350"/>
      <c r="Z13" s="351">
        <v>27.11</v>
      </c>
      <c r="AA13" s="351">
        <v>27</v>
      </c>
      <c r="AB13" s="351">
        <f t="shared" si="2"/>
        <v>27.055</v>
      </c>
      <c r="AC13" s="351">
        <f t="shared" si="3"/>
        <v>0.10999999999999943</v>
      </c>
      <c r="AD13" s="338"/>
      <c r="AE13" s="337"/>
      <c r="AF13" s="336"/>
      <c r="AG13" s="375">
        <v>3</v>
      </c>
      <c r="AH13" s="375"/>
      <c r="AI13" s="350"/>
      <c r="AJ13" s="351">
        <f t="shared" si="4"/>
        <v>27.11</v>
      </c>
      <c r="AK13" s="351">
        <f t="shared" si="0"/>
        <v>27</v>
      </c>
      <c r="AL13" s="338"/>
      <c r="AM13" s="92"/>
      <c r="AO13" s="211"/>
      <c r="AP13" s="336"/>
      <c r="AQ13" s="375">
        <v>3</v>
      </c>
      <c r="AR13" s="375"/>
      <c r="AS13" s="350"/>
      <c r="AT13" s="351">
        <v>26.95</v>
      </c>
      <c r="AU13" s="351">
        <v>26.9</v>
      </c>
      <c r="AV13" s="351">
        <f t="shared" si="5"/>
        <v>26.924999999999997</v>
      </c>
      <c r="AW13" s="351">
        <f t="shared" si="6"/>
        <v>5.0000000000000711E-2</v>
      </c>
      <c r="AX13" s="338"/>
      <c r="AY13" s="337"/>
      <c r="AZ13" s="336"/>
      <c r="BA13" s="375">
        <v>3</v>
      </c>
      <c r="BB13" s="375"/>
      <c r="BC13" s="350"/>
      <c r="BD13" s="351">
        <f t="shared" si="7"/>
        <v>26.95</v>
      </c>
      <c r="BE13" s="351">
        <f t="shared" si="1"/>
        <v>26.9</v>
      </c>
      <c r="BF13" s="338"/>
      <c r="BG13" s="92"/>
    </row>
    <row r="14" spans="21:59" x14ac:dyDescent="0.3">
      <c r="U14" s="211"/>
      <c r="V14" s="336"/>
      <c r="W14" s="375">
        <v>4</v>
      </c>
      <c r="X14" s="375"/>
      <c r="Y14" s="350"/>
      <c r="Z14" s="351">
        <v>27.05</v>
      </c>
      <c r="AA14" s="351">
        <v>26.99</v>
      </c>
      <c r="AB14" s="351">
        <f t="shared" si="2"/>
        <v>27.02</v>
      </c>
      <c r="AC14" s="351">
        <f t="shared" si="3"/>
        <v>6.0000000000002274E-2</v>
      </c>
      <c r="AD14" s="338"/>
      <c r="AE14" s="337"/>
      <c r="AF14" s="336"/>
      <c r="AG14" s="375">
        <v>4</v>
      </c>
      <c r="AH14" s="375"/>
      <c r="AI14" s="350"/>
      <c r="AJ14" s="351">
        <f t="shared" si="4"/>
        <v>27.05</v>
      </c>
      <c r="AK14" s="351">
        <f t="shared" si="0"/>
        <v>26.99</v>
      </c>
      <c r="AL14" s="338"/>
      <c r="AM14" s="92"/>
      <c r="AO14" s="211"/>
      <c r="AP14" s="336"/>
      <c r="AQ14" s="375">
        <v>4</v>
      </c>
      <c r="AR14" s="375"/>
      <c r="AS14" s="350"/>
      <c r="AT14" s="351">
        <v>27.05</v>
      </c>
      <c r="AU14" s="351">
        <v>27.11</v>
      </c>
      <c r="AV14" s="351">
        <f t="shared" si="5"/>
        <v>27.08</v>
      </c>
      <c r="AW14" s="351">
        <f t="shared" si="6"/>
        <v>5.9999999999998721E-2</v>
      </c>
      <c r="AX14" s="338"/>
      <c r="AY14" s="337"/>
      <c r="AZ14" s="336"/>
      <c r="BA14" s="375">
        <v>4</v>
      </c>
      <c r="BB14" s="375"/>
      <c r="BC14" s="350"/>
      <c r="BD14" s="351">
        <f t="shared" si="7"/>
        <v>27.05</v>
      </c>
      <c r="BE14" s="351">
        <f t="shared" si="1"/>
        <v>27.11</v>
      </c>
      <c r="BF14" s="338"/>
      <c r="BG14" s="92"/>
    </row>
    <row r="15" spans="21:59" x14ac:dyDescent="0.3">
      <c r="U15" s="211"/>
      <c r="V15" s="336"/>
      <c r="W15" s="375">
        <v>5</v>
      </c>
      <c r="X15" s="375"/>
      <c r="Y15" s="350"/>
      <c r="Z15" s="351">
        <v>27.12</v>
      </c>
      <c r="AA15" s="351">
        <v>27.02</v>
      </c>
      <c r="AB15" s="351">
        <f t="shared" si="2"/>
        <v>27.07</v>
      </c>
      <c r="AC15" s="351">
        <f t="shared" si="3"/>
        <v>0.10000000000000142</v>
      </c>
      <c r="AD15" s="338"/>
      <c r="AE15" s="337"/>
      <c r="AF15" s="336"/>
      <c r="AG15" s="375">
        <v>5</v>
      </c>
      <c r="AH15" s="375"/>
      <c r="AI15" s="350"/>
      <c r="AJ15" s="351">
        <f t="shared" si="4"/>
        <v>27.12</v>
      </c>
      <c r="AK15" s="351">
        <f t="shared" si="0"/>
        <v>27.02</v>
      </c>
      <c r="AL15" s="338"/>
      <c r="AM15" s="92"/>
      <c r="AO15" s="211"/>
      <c r="AP15" s="336"/>
      <c r="AQ15" s="375">
        <v>5</v>
      </c>
      <c r="AR15" s="375"/>
      <c r="AS15" s="350"/>
      <c r="AT15" s="351">
        <v>26.72</v>
      </c>
      <c r="AU15" s="351">
        <v>26.79</v>
      </c>
      <c r="AV15" s="351">
        <f t="shared" si="5"/>
        <v>26.754999999999999</v>
      </c>
      <c r="AW15" s="351">
        <f t="shared" si="6"/>
        <v>7.0000000000000284E-2</v>
      </c>
      <c r="AX15" s="338"/>
      <c r="AY15" s="337"/>
      <c r="AZ15" s="336"/>
      <c r="BA15" s="375">
        <v>5</v>
      </c>
      <c r="BB15" s="375"/>
      <c r="BC15" s="350"/>
      <c r="BD15" s="351">
        <f t="shared" si="7"/>
        <v>26.72</v>
      </c>
      <c r="BE15" s="351">
        <f t="shared" si="1"/>
        <v>26.79</v>
      </c>
      <c r="BF15" s="338"/>
      <c r="BG15" s="92"/>
    </row>
    <row r="16" spans="21:59" x14ac:dyDescent="0.3">
      <c r="U16" s="211"/>
      <c r="V16" s="336"/>
      <c r="W16" s="375">
        <v>6</v>
      </c>
      <c r="X16" s="375"/>
      <c r="Y16" s="350"/>
      <c r="Z16" s="351">
        <v>27.1</v>
      </c>
      <c r="AA16" s="351">
        <v>26.99</v>
      </c>
      <c r="AB16" s="351">
        <f t="shared" si="2"/>
        <v>27.045000000000002</v>
      </c>
      <c r="AC16" s="351">
        <f t="shared" si="3"/>
        <v>0.11000000000000298</v>
      </c>
      <c r="AD16" s="338"/>
      <c r="AE16" s="337"/>
      <c r="AF16" s="336"/>
      <c r="AG16" s="375">
        <v>6</v>
      </c>
      <c r="AH16" s="375"/>
      <c r="AI16" s="350"/>
      <c r="AJ16" s="351">
        <f t="shared" si="4"/>
        <v>27.1</v>
      </c>
      <c r="AK16" s="351">
        <f t="shared" si="0"/>
        <v>26.99</v>
      </c>
      <c r="AL16" s="338"/>
      <c r="AM16" s="92"/>
      <c r="AO16" s="211"/>
      <c r="AP16" s="336"/>
      <c r="AQ16" s="375">
        <v>6</v>
      </c>
      <c r="AR16" s="375"/>
      <c r="AS16" s="350"/>
      <c r="AT16" s="351">
        <v>27.12</v>
      </c>
      <c r="AU16" s="351">
        <v>27.06</v>
      </c>
      <c r="AV16" s="351">
        <f t="shared" si="5"/>
        <v>27.09</v>
      </c>
      <c r="AW16" s="351">
        <f t="shared" si="6"/>
        <v>6.0000000000002274E-2</v>
      </c>
      <c r="AX16" s="338"/>
      <c r="AY16" s="337"/>
      <c r="AZ16" s="336"/>
      <c r="BA16" s="375">
        <v>6</v>
      </c>
      <c r="BB16" s="375"/>
      <c r="BC16" s="350"/>
      <c r="BD16" s="351">
        <f t="shared" si="7"/>
        <v>27.12</v>
      </c>
      <c r="BE16" s="351">
        <f t="shared" si="1"/>
        <v>27.06</v>
      </c>
      <c r="BF16" s="338"/>
      <c r="BG16" s="92"/>
    </row>
    <row r="17" spans="2:59" ht="15" thickBot="1" x14ac:dyDescent="0.35">
      <c r="U17" s="211"/>
      <c r="V17" s="336"/>
      <c r="W17" s="375">
        <v>7</v>
      </c>
      <c r="X17" s="375"/>
      <c r="Y17" s="350"/>
      <c r="Z17" s="351">
        <v>26.99</v>
      </c>
      <c r="AA17" s="351">
        <v>26.99</v>
      </c>
      <c r="AB17" s="351">
        <f t="shared" si="2"/>
        <v>26.99</v>
      </c>
      <c r="AC17" s="351">
        <f t="shared" si="3"/>
        <v>0</v>
      </c>
      <c r="AD17" s="338"/>
      <c r="AE17" s="337"/>
      <c r="AF17" s="336"/>
      <c r="AG17" s="375">
        <v>7</v>
      </c>
      <c r="AH17" s="375"/>
      <c r="AI17" s="350"/>
      <c r="AJ17" s="351">
        <f t="shared" si="4"/>
        <v>26.99</v>
      </c>
      <c r="AK17" s="351">
        <f t="shared" si="0"/>
        <v>26.99</v>
      </c>
      <c r="AL17" s="338"/>
      <c r="AM17" s="92"/>
      <c r="AO17" s="211"/>
      <c r="AP17" s="336"/>
      <c r="AQ17" s="375">
        <v>7</v>
      </c>
      <c r="AR17" s="375"/>
      <c r="AS17" s="350"/>
      <c r="AT17" s="351">
        <v>26.99</v>
      </c>
      <c r="AU17" s="351">
        <v>27.08</v>
      </c>
      <c r="AV17" s="351">
        <f t="shared" si="5"/>
        <v>27.034999999999997</v>
      </c>
      <c r="AW17" s="351">
        <f t="shared" si="6"/>
        <v>8.9999999999999858E-2</v>
      </c>
      <c r="AX17" s="338"/>
      <c r="AY17" s="337"/>
      <c r="AZ17" s="336"/>
      <c r="BA17" s="375">
        <v>7</v>
      </c>
      <c r="BB17" s="375"/>
      <c r="BC17" s="350"/>
      <c r="BD17" s="351">
        <f t="shared" si="7"/>
        <v>26.99</v>
      </c>
      <c r="BE17" s="351">
        <f t="shared" si="1"/>
        <v>27.08</v>
      </c>
      <c r="BF17" s="338"/>
      <c r="BG17" s="92"/>
    </row>
    <row r="18" spans="2:59" ht="16.2" thickBot="1" x14ac:dyDescent="0.35">
      <c r="B18" s="733" t="s">
        <v>55</v>
      </c>
      <c r="C18" s="734"/>
      <c r="D18" s="734"/>
      <c r="E18" s="225" t="s">
        <v>195</v>
      </c>
      <c r="G18" s="175"/>
      <c r="U18" s="211"/>
      <c r="V18" s="336"/>
      <c r="W18" s="337"/>
      <c r="X18" s="337"/>
      <c r="Y18" s="337"/>
      <c r="Z18" s="337"/>
      <c r="AA18" s="337"/>
      <c r="AB18" s="337"/>
      <c r="AC18" s="337"/>
      <c r="AD18" s="338"/>
      <c r="AE18" s="337"/>
      <c r="AF18" s="341"/>
      <c r="AG18" s="342"/>
      <c r="AH18" s="342"/>
      <c r="AI18" s="342"/>
      <c r="AJ18" s="342"/>
      <c r="AK18" s="342"/>
      <c r="AL18" s="343"/>
      <c r="AM18" s="92"/>
      <c r="AO18" s="211"/>
      <c r="AP18" s="336"/>
      <c r="AQ18" s="337"/>
      <c r="AR18" s="337"/>
      <c r="AS18" s="337"/>
      <c r="AT18" s="337"/>
      <c r="AU18" s="337"/>
      <c r="AV18" s="337"/>
      <c r="AW18" s="337"/>
      <c r="AX18" s="338"/>
      <c r="AY18" s="337"/>
      <c r="AZ18" s="341"/>
      <c r="BA18" s="342"/>
      <c r="BB18" s="342"/>
      <c r="BC18" s="342"/>
      <c r="BD18" s="342"/>
      <c r="BE18" s="342"/>
      <c r="BF18" s="343"/>
      <c r="BG18" s="92"/>
    </row>
    <row r="19" spans="2:59" ht="16.2" thickBot="1" x14ac:dyDescent="0.35">
      <c r="B19" s="735" t="s">
        <v>225</v>
      </c>
      <c r="C19" s="736"/>
      <c r="D19" s="736"/>
      <c r="E19" s="226" t="s">
        <v>196</v>
      </c>
      <c r="G19" s="175"/>
      <c r="U19" s="211"/>
      <c r="V19" s="336"/>
      <c r="W19" s="337"/>
      <c r="X19" s="337"/>
      <c r="Y19" s="337"/>
      <c r="Z19" s="337"/>
      <c r="AA19" s="337"/>
      <c r="AB19" s="337"/>
      <c r="AC19" s="337"/>
      <c r="AD19" s="338"/>
      <c r="AE19" s="337"/>
      <c r="AM19" s="92"/>
      <c r="AO19" s="211"/>
      <c r="AP19" s="336"/>
      <c r="AQ19" s="337"/>
      <c r="AR19" s="337"/>
      <c r="AS19" s="337"/>
      <c r="AT19" s="337"/>
      <c r="AU19" s="337"/>
      <c r="AV19" s="337"/>
      <c r="AW19" s="337"/>
      <c r="AX19" s="338"/>
      <c r="AY19" s="337"/>
      <c r="BG19" s="92"/>
    </row>
    <row r="20" spans="2:59" ht="16.2" thickBot="1" x14ac:dyDescent="0.35">
      <c r="B20" s="175"/>
      <c r="C20" s="175"/>
      <c r="D20" s="175"/>
      <c r="E20" s="175"/>
      <c r="G20" s="175"/>
      <c r="U20" s="211"/>
      <c r="V20" s="336"/>
      <c r="W20" s="337"/>
      <c r="X20" s="337"/>
      <c r="Y20" s="337"/>
      <c r="Z20" s="337"/>
      <c r="AA20" s="337"/>
      <c r="AB20" s="337"/>
      <c r="AC20" s="337"/>
      <c r="AD20" s="338"/>
      <c r="AE20" s="337"/>
      <c r="AM20" s="92"/>
      <c r="AO20" s="211"/>
      <c r="AP20" s="336"/>
      <c r="AQ20" s="337"/>
      <c r="AR20" s="337"/>
      <c r="AS20" s="337"/>
      <c r="AT20" s="337"/>
      <c r="AU20" s="337"/>
      <c r="AV20" s="337"/>
      <c r="AW20" s="337"/>
      <c r="AX20" s="338"/>
      <c r="AY20" s="337"/>
      <c r="BG20" s="92"/>
    </row>
    <row r="21" spans="2:59" ht="15" x14ac:dyDescent="0.3">
      <c r="B21" s="227" t="s">
        <v>198</v>
      </c>
      <c r="C21" s="228" t="s">
        <v>0</v>
      </c>
      <c r="D21" s="229" t="s">
        <v>192</v>
      </c>
      <c r="E21" s="229" t="s">
        <v>193</v>
      </c>
      <c r="F21" s="229" t="s">
        <v>194</v>
      </c>
      <c r="G21" s="229" t="s">
        <v>226</v>
      </c>
      <c r="H21" s="229" t="s">
        <v>7</v>
      </c>
      <c r="I21" s="233" t="s">
        <v>45</v>
      </c>
      <c r="J21" s="233" t="s">
        <v>46</v>
      </c>
      <c r="K21" s="234" t="s">
        <v>200</v>
      </c>
      <c r="L21" s="233" t="s">
        <v>47</v>
      </c>
      <c r="M21" s="233" t="s">
        <v>48</v>
      </c>
      <c r="N21" s="235" t="s">
        <v>19</v>
      </c>
      <c r="O21" s="236" t="s">
        <v>196</v>
      </c>
      <c r="P21" s="229" t="s">
        <v>197</v>
      </c>
      <c r="Q21" s="229" t="s">
        <v>201</v>
      </c>
      <c r="R21" s="229" t="s">
        <v>202</v>
      </c>
      <c r="S21" s="237" t="s">
        <v>199</v>
      </c>
      <c r="T21" s="176"/>
      <c r="U21" s="378"/>
      <c r="V21" s="340"/>
      <c r="W21" s="337"/>
      <c r="X21" s="337"/>
      <c r="Y21" s="337"/>
      <c r="Z21" s="337"/>
      <c r="AA21" s="337"/>
      <c r="AB21" s="337"/>
      <c r="AC21" s="337"/>
      <c r="AD21" s="338"/>
      <c r="AE21" s="337"/>
      <c r="AM21" s="92"/>
      <c r="AO21" s="378"/>
      <c r="AP21" s="340"/>
      <c r="AQ21" s="337"/>
      <c r="AR21" s="337"/>
      <c r="AS21" s="337"/>
      <c r="AT21" s="337"/>
      <c r="AU21" s="337"/>
      <c r="AV21" s="337"/>
      <c r="AW21" s="337"/>
      <c r="AX21" s="338"/>
      <c r="AY21" s="337"/>
      <c r="BG21" s="92"/>
    </row>
    <row r="22" spans="2:59" x14ac:dyDescent="0.3">
      <c r="B22" s="230">
        <v>1</v>
      </c>
      <c r="C22" s="328"/>
      <c r="D22" s="329"/>
      <c r="E22" s="330">
        <v>27</v>
      </c>
      <c r="F22" s="330">
        <v>26.99</v>
      </c>
      <c r="G22" s="231">
        <f t="shared" ref="G22:G42" si="8">IF(AND(E22="",F22=""),NA(),AVERAGE(E22:F22))</f>
        <v>26.994999999999997</v>
      </c>
      <c r="H22" s="232">
        <f>IF(AND(E22="",F22=""),NA(),ABS(E22-F22))</f>
        <v>1.0000000000001563E-2</v>
      </c>
      <c r="I22" s="232">
        <f>'[2]Plot Data'!$C$67</f>
        <v>26.787537881918869</v>
      </c>
      <c r="J22" s="232">
        <f>'[2]Plot Data'!$C$65</f>
        <v>26.863914143501468</v>
      </c>
      <c r="K22" s="238">
        <f>'[2]Plot Data'!$C$58</f>
        <v>27.016666666666666</v>
      </c>
      <c r="L22" s="238">
        <f>'[2]Plot Data'!$C$62</f>
        <v>27.169419189831864</v>
      </c>
      <c r="M22" s="238">
        <f>'[2]Plot Data'!$C$64</f>
        <v>27.245795451414462</v>
      </c>
      <c r="N22" s="239">
        <f>'[2]Plot Data'!$C$68</f>
        <v>0.12</v>
      </c>
      <c r="O22" s="177" t="str">
        <f t="shared" ref="O22:O42" si="9">IF(G22&gt;M22,"&gt;+3s",IF(G22&lt;I22,"&lt;-3s","Pass"))</f>
        <v>Pass</v>
      </c>
      <c r="P22" s="240"/>
      <c r="Q22" s="240"/>
      <c r="R22" s="240"/>
      <c r="S22" s="179" t="str">
        <f>IF(H22="","",IF(H22&gt;'[2]Plot Data'!$C$68,"No","Yes"))</f>
        <v>Yes</v>
      </c>
      <c r="T22" s="327"/>
      <c r="U22" s="379"/>
      <c r="V22" s="336"/>
      <c r="W22" s="337"/>
      <c r="X22" s="337"/>
      <c r="Y22" s="337"/>
      <c r="Z22" s="337"/>
      <c r="AA22" s="337"/>
      <c r="AB22" s="337"/>
      <c r="AC22" s="337"/>
      <c r="AD22" s="338"/>
      <c r="AE22" s="337"/>
      <c r="AM22" s="92"/>
      <c r="AO22" s="379"/>
      <c r="AP22" s="336"/>
      <c r="AQ22" s="337"/>
      <c r="AR22" s="337"/>
      <c r="AS22" s="337"/>
      <c r="AT22" s="337"/>
      <c r="AU22" s="337"/>
      <c r="AV22" s="337"/>
      <c r="AW22" s="337"/>
      <c r="AX22" s="338"/>
      <c r="AY22" s="337"/>
      <c r="BG22" s="92"/>
    </row>
    <row r="23" spans="2:59" x14ac:dyDescent="0.3">
      <c r="B23" s="230">
        <v>2</v>
      </c>
      <c r="C23" s="328"/>
      <c r="D23" s="329"/>
      <c r="E23" s="330">
        <v>27.25</v>
      </c>
      <c r="F23" s="330">
        <v>27.3</v>
      </c>
      <c r="G23" s="231">
        <f t="shared" si="8"/>
        <v>27.274999999999999</v>
      </c>
      <c r="H23" s="232">
        <f t="shared" ref="H23:H42" si="10">IF(AND(E23="",F23=""),NA(),ABS(E23-F23))</f>
        <v>5.0000000000000711E-2</v>
      </c>
      <c r="I23" s="232">
        <f>'[2]Plot Data'!$C$67</f>
        <v>26.787537881918869</v>
      </c>
      <c r="J23" s="232">
        <f>'[2]Plot Data'!$C$65</f>
        <v>26.863914143501468</v>
      </c>
      <c r="K23" s="238">
        <f>'[2]Plot Data'!$C$58</f>
        <v>27.016666666666666</v>
      </c>
      <c r="L23" s="238">
        <f>'[2]Plot Data'!$C$62</f>
        <v>27.169419189831864</v>
      </c>
      <c r="M23" s="238">
        <f>'[2]Plot Data'!$C$64</f>
        <v>27.245795451414462</v>
      </c>
      <c r="N23" s="239">
        <f>'[2]Plot Data'!$C$68</f>
        <v>0.12</v>
      </c>
      <c r="O23" s="177" t="str">
        <f t="shared" si="9"/>
        <v>&gt;+3s</v>
      </c>
      <c r="P23" s="180" t="str">
        <f>IF(AND(G23&gt;L23,G22&gt;L22),"Fail &gt; +2s",IF(AND(G23&lt;J23,G22&lt;J22),"Fail &lt; -2s","Pass"))</f>
        <v>Pass</v>
      </c>
      <c r="Q23" s="240"/>
      <c r="R23" s="240"/>
      <c r="S23" s="179" t="str">
        <f>IF(H23="","",IF(H23&gt;'[2]Plot Data'!$C$68,"No","Yes"))</f>
        <v>Yes</v>
      </c>
      <c r="T23" s="327"/>
      <c r="U23" s="379"/>
      <c r="V23" s="336"/>
      <c r="W23" s="337"/>
      <c r="X23" s="337"/>
      <c r="Y23" s="337"/>
      <c r="Z23" s="337"/>
      <c r="AA23" s="337"/>
      <c r="AB23" s="337"/>
      <c r="AC23" s="337"/>
      <c r="AD23" s="338"/>
      <c r="AE23" s="337"/>
      <c r="AM23" s="92"/>
      <c r="AO23" s="379"/>
      <c r="AP23" s="336"/>
      <c r="AQ23" s="337"/>
      <c r="AR23" s="337"/>
      <c r="AS23" s="337"/>
      <c r="AT23" s="337"/>
      <c r="AU23" s="337"/>
      <c r="AV23" s="337"/>
      <c r="AW23" s="337"/>
      <c r="AX23" s="338"/>
      <c r="AY23" s="337"/>
      <c r="BG23" s="92"/>
    </row>
    <row r="24" spans="2:59" x14ac:dyDescent="0.3">
      <c r="B24" s="230">
        <v>3</v>
      </c>
      <c r="C24" s="328"/>
      <c r="D24" s="329"/>
      <c r="E24" s="330">
        <v>27.11</v>
      </c>
      <c r="F24" s="330">
        <v>27.17</v>
      </c>
      <c r="G24" s="231">
        <f t="shared" si="8"/>
        <v>27.14</v>
      </c>
      <c r="H24" s="232">
        <f t="shared" si="10"/>
        <v>6.0000000000002274E-2</v>
      </c>
      <c r="I24" s="232">
        <f>'[2]Plot Data'!$C$67</f>
        <v>26.787537881918869</v>
      </c>
      <c r="J24" s="232">
        <f>'[2]Plot Data'!$C$65</f>
        <v>26.863914143501468</v>
      </c>
      <c r="K24" s="238">
        <f>'[2]Plot Data'!$C$58</f>
        <v>27.016666666666666</v>
      </c>
      <c r="L24" s="238">
        <f>'[2]Plot Data'!$C$62</f>
        <v>27.169419189831864</v>
      </c>
      <c r="M24" s="238">
        <f>'[2]Plot Data'!$C$64</f>
        <v>27.245795451414462</v>
      </c>
      <c r="N24" s="239">
        <f>'[2]Plot Data'!$C$68</f>
        <v>0.12</v>
      </c>
      <c r="O24" s="177" t="str">
        <f t="shared" si="9"/>
        <v>Pass</v>
      </c>
      <c r="P24" s="180" t="str">
        <f>IF(AND(G24&gt;L24,G23&gt;L23),"Fail &gt; +2s",IF(AND(G24&gt;L24,G22&gt;L22),"Fail &gt; +2s",IF(AND(G24&lt;J24,G23&lt;J23),"Fail &lt; -2s",IF(AND(G24&lt;J24,G22&lt;J22),"Fail &lt; -2s","Pass"))))</f>
        <v>Pass</v>
      </c>
      <c r="Q24" s="240"/>
      <c r="R24" s="240"/>
      <c r="S24" s="179" t="str">
        <f>IF(H24="","",IF(H24&gt;'[2]Plot Data'!$C$68,"No","Yes"))</f>
        <v>Yes</v>
      </c>
      <c r="T24" s="327"/>
      <c r="U24" s="379"/>
      <c r="V24" s="336"/>
      <c r="W24" s="337"/>
      <c r="X24" s="337"/>
      <c r="Y24" s="337"/>
      <c r="Z24" s="337"/>
      <c r="AA24" s="337"/>
      <c r="AB24" s="337"/>
      <c r="AC24" s="337"/>
      <c r="AD24" s="338"/>
      <c r="AE24" s="337"/>
      <c r="AM24" s="92"/>
      <c r="AO24" s="379"/>
      <c r="AP24" s="336"/>
      <c r="AQ24" s="337"/>
      <c r="AR24" s="337"/>
      <c r="AS24" s="337"/>
      <c r="AT24" s="337"/>
      <c r="AU24" s="337"/>
      <c r="AV24" s="337"/>
      <c r="AW24" s="337"/>
      <c r="AX24" s="338"/>
      <c r="AY24" s="337"/>
      <c r="BG24" s="92"/>
    </row>
    <row r="25" spans="2:59" x14ac:dyDescent="0.3">
      <c r="B25" s="230">
        <v>4</v>
      </c>
      <c r="C25" s="328"/>
      <c r="D25" s="329"/>
      <c r="E25" s="330">
        <v>27.05</v>
      </c>
      <c r="F25" s="330">
        <v>27.11</v>
      </c>
      <c r="G25" s="231">
        <f t="shared" si="8"/>
        <v>27.08</v>
      </c>
      <c r="H25" s="232">
        <f t="shared" si="10"/>
        <v>5.9999999999998721E-2</v>
      </c>
      <c r="I25" s="232">
        <f>'[2]Plot Data'!$C$67</f>
        <v>26.787537881918869</v>
      </c>
      <c r="J25" s="232">
        <f>'[2]Plot Data'!$C$65</f>
        <v>26.863914143501468</v>
      </c>
      <c r="K25" s="238">
        <f>'[2]Plot Data'!$C$58</f>
        <v>27.016666666666666</v>
      </c>
      <c r="L25" s="238">
        <f>'[2]Plot Data'!$C$62</f>
        <v>27.169419189831864</v>
      </c>
      <c r="M25" s="238">
        <f>'[2]Plot Data'!$C$64</f>
        <v>27.245795451414462</v>
      </c>
      <c r="N25" s="239">
        <f>'[2]Plot Data'!$C$68</f>
        <v>0.12</v>
      </c>
      <c r="O25" s="177" t="str">
        <f t="shared" si="9"/>
        <v>Pass</v>
      </c>
      <c r="P25" s="180" t="str">
        <f t="shared" ref="P25:P42" si="11">IF(AND(G25&gt;L25,G24&gt;L24),"Fail &gt; +2s",IF(AND(G25&gt;L25,G23&gt;L23),"Fail &gt; +2s",IF(AND(G25&lt;J25,G24&lt;J24),"Fail &lt; -2s",IF(AND(G25&lt;J25,G23&lt;J23),"Fail &lt; -2s","Pass"))))</f>
        <v>Pass</v>
      </c>
      <c r="Q25" s="240"/>
      <c r="R25" s="240"/>
      <c r="S25" s="179" t="str">
        <f>IF(H25="","",IF(H25&gt;'[2]Plot Data'!$C$68,"No","Yes"))</f>
        <v>Yes</v>
      </c>
      <c r="T25" s="327"/>
      <c r="U25" s="379"/>
      <c r="V25" s="336"/>
      <c r="W25" s="337"/>
      <c r="X25" s="337"/>
      <c r="Y25" s="337"/>
      <c r="Z25" s="337"/>
      <c r="AA25" s="337"/>
      <c r="AB25" s="337"/>
      <c r="AC25" s="337"/>
      <c r="AD25" s="338"/>
      <c r="AE25" s="337"/>
      <c r="AM25" s="92"/>
      <c r="AO25" s="379"/>
      <c r="AP25" s="336"/>
      <c r="AQ25" s="337"/>
      <c r="AR25" s="337"/>
      <c r="AS25" s="337"/>
      <c r="AT25" s="337"/>
      <c r="AU25" s="337"/>
      <c r="AV25" s="337"/>
      <c r="AW25" s="337"/>
      <c r="AX25" s="338"/>
      <c r="AY25" s="337"/>
      <c r="BG25" s="92"/>
    </row>
    <row r="26" spans="2:59" x14ac:dyDescent="0.3">
      <c r="B26" s="230">
        <v>5</v>
      </c>
      <c r="C26" s="328"/>
      <c r="D26" s="329"/>
      <c r="E26" s="330">
        <v>27.22</v>
      </c>
      <c r="F26" s="330">
        <v>27.15</v>
      </c>
      <c r="G26" s="231">
        <f t="shared" si="8"/>
        <v>27.184999999999999</v>
      </c>
      <c r="H26" s="232">
        <f t="shared" si="10"/>
        <v>7.0000000000000284E-2</v>
      </c>
      <c r="I26" s="232">
        <f>'[2]Plot Data'!$C$67</f>
        <v>26.787537881918869</v>
      </c>
      <c r="J26" s="232">
        <f>'[2]Plot Data'!$C$65</f>
        <v>26.863914143501468</v>
      </c>
      <c r="K26" s="238">
        <f>'[2]Plot Data'!$C$58</f>
        <v>27.016666666666666</v>
      </c>
      <c r="L26" s="238">
        <f>'[2]Plot Data'!$C$62</f>
        <v>27.169419189831864</v>
      </c>
      <c r="M26" s="238">
        <f>'[2]Plot Data'!$C$64</f>
        <v>27.245795451414462</v>
      </c>
      <c r="N26" s="239">
        <f>'[2]Plot Data'!$C$68</f>
        <v>0.12</v>
      </c>
      <c r="O26" s="177" t="str">
        <f t="shared" si="9"/>
        <v>Pass</v>
      </c>
      <c r="P26" s="180" t="str">
        <f t="shared" si="11"/>
        <v>Pass</v>
      </c>
      <c r="Q26" s="240"/>
      <c r="R26" s="240"/>
      <c r="S26" s="179" t="str">
        <f>IF(H26="","",IF(H26&gt;'[2]Plot Data'!$C$68,"No","Yes"))</f>
        <v>Yes</v>
      </c>
      <c r="T26" s="327"/>
      <c r="U26" s="379"/>
      <c r="V26" s="336"/>
      <c r="W26" s="337"/>
      <c r="X26" s="337"/>
      <c r="Y26" s="337"/>
      <c r="Z26" s="337"/>
      <c r="AA26" s="337"/>
      <c r="AB26" s="337"/>
      <c r="AC26" s="337"/>
      <c r="AD26" s="338"/>
      <c r="AE26" s="337"/>
      <c r="AM26" s="92"/>
      <c r="AO26" s="379"/>
      <c r="AP26" s="336"/>
      <c r="AQ26" s="337"/>
      <c r="AR26" s="337"/>
      <c r="AS26" s="337"/>
      <c r="AT26" s="337"/>
      <c r="AU26" s="337"/>
      <c r="AV26" s="337"/>
      <c r="AW26" s="337"/>
      <c r="AX26" s="338"/>
      <c r="AY26" s="337"/>
      <c r="BG26" s="92"/>
    </row>
    <row r="27" spans="2:59" x14ac:dyDescent="0.3">
      <c r="B27" s="230">
        <v>6</v>
      </c>
      <c r="C27" s="328"/>
      <c r="D27" s="329"/>
      <c r="E27" s="330">
        <v>27.12</v>
      </c>
      <c r="F27" s="330">
        <v>27.06</v>
      </c>
      <c r="G27" s="231">
        <f t="shared" si="8"/>
        <v>27.09</v>
      </c>
      <c r="H27" s="232">
        <f t="shared" si="10"/>
        <v>6.0000000000002274E-2</v>
      </c>
      <c r="I27" s="232">
        <f>'[2]Plot Data'!$C$67</f>
        <v>26.787537881918869</v>
      </c>
      <c r="J27" s="232">
        <f>'[2]Plot Data'!$C$65</f>
        <v>26.863914143501468</v>
      </c>
      <c r="K27" s="238">
        <f>'[2]Plot Data'!$C$58</f>
        <v>27.016666666666666</v>
      </c>
      <c r="L27" s="238">
        <f>'[2]Plot Data'!$C$62</f>
        <v>27.169419189831864</v>
      </c>
      <c r="M27" s="238">
        <f>'[2]Plot Data'!$C$64</f>
        <v>27.245795451414462</v>
      </c>
      <c r="N27" s="239">
        <f>'[2]Plot Data'!$C$68</f>
        <v>0.12</v>
      </c>
      <c r="O27" s="177" t="str">
        <f t="shared" si="9"/>
        <v>Pass</v>
      </c>
      <c r="P27" s="180" t="str">
        <f t="shared" si="11"/>
        <v>Pass</v>
      </c>
      <c r="Q27" s="240"/>
      <c r="R27" s="180" t="str">
        <f>IF(AND(G27&gt;G26,G26&gt;G25,G25&gt;G24,G23&gt;G22),"Fail +ve trend",IF(AND(G27&lt;G26,G26&lt;G25,G25&lt;G24,G23&lt;G22),"Fail -ve trend","Pass"))</f>
        <v>Pass</v>
      </c>
      <c r="S27" s="179" t="str">
        <f>IF(H27="","",IF(H27&gt;'[2]Plot Data'!$C$68,"No","Yes"))</f>
        <v>Yes</v>
      </c>
      <c r="T27" s="327"/>
      <c r="U27" s="379"/>
      <c r="V27" s="336"/>
      <c r="W27" s="337"/>
      <c r="X27" s="337"/>
      <c r="Y27" s="337"/>
      <c r="Z27" s="337"/>
      <c r="AA27" s="337"/>
      <c r="AB27" s="337"/>
      <c r="AC27" s="337"/>
      <c r="AD27" s="338"/>
      <c r="AE27" s="337"/>
      <c r="AM27" s="92"/>
      <c r="AO27" s="379"/>
      <c r="AP27" s="336"/>
      <c r="AQ27" s="337"/>
      <c r="AR27" s="337"/>
      <c r="AS27" s="337"/>
      <c r="AT27" s="337"/>
      <c r="AU27" s="337"/>
      <c r="AV27" s="337"/>
      <c r="AW27" s="337"/>
      <c r="AX27" s="338"/>
      <c r="AY27" s="337"/>
      <c r="BG27" s="92"/>
    </row>
    <row r="28" spans="2:59" x14ac:dyDescent="0.3">
      <c r="B28" s="230">
        <v>7</v>
      </c>
      <c r="C28" s="328"/>
      <c r="D28" s="329"/>
      <c r="E28" s="330">
        <v>26.99</v>
      </c>
      <c r="F28" s="330">
        <v>27.08</v>
      </c>
      <c r="G28" s="231">
        <f t="shared" si="8"/>
        <v>27.034999999999997</v>
      </c>
      <c r="H28" s="232">
        <f t="shared" si="10"/>
        <v>8.9999999999999858E-2</v>
      </c>
      <c r="I28" s="232">
        <f>'[2]Plot Data'!$C$67</f>
        <v>26.787537881918869</v>
      </c>
      <c r="J28" s="232">
        <f>'[2]Plot Data'!$C$65</f>
        <v>26.863914143501468</v>
      </c>
      <c r="K28" s="238">
        <f>'[2]Plot Data'!$C$58</f>
        <v>27.016666666666666</v>
      </c>
      <c r="L28" s="238">
        <f>'[2]Plot Data'!$C$62</f>
        <v>27.169419189831864</v>
      </c>
      <c r="M28" s="238">
        <f>'[2]Plot Data'!$C$64</f>
        <v>27.245795451414462</v>
      </c>
      <c r="N28" s="239">
        <f>'[2]Plot Data'!$C$68</f>
        <v>0.12</v>
      </c>
      <c r="O28" s="177" t="str">
        <f t="shared" si="9"/>
        <v>Pass</v>
      </c>
      <c r="P28" s="180" t="str">
        <f t="shared" si="11"/>
        <v>Pass</v>
      </c>
      <c r="Q28" s="240"/>
      <c r="R28" s="180" t="str">
        <f t="shared" ref="R28:R42" si="12">IF(AND(G28&gt;G27,G27&gt;G26,G26&gt;G25,G24&gt;G23),"Fail +ve trend",IF(AND(G28&lt;G27,G27&lt;G26,G26&lt;G25,G24&lt;G23),"Fail -ve trend","Pass"))</f>
        <v>Pass</v>
      </c>
      <c r="S28" s="179" t="str">
        <f>IF(H28="","",IF(H28&gt;'[2]Plot Data'!$C$68,"No","Yes"))</f>
        <v>Yes</v>
      </c>
      <c r="T28" s="327"/>
      <c r="U28" s="379"/>
      <c r="V28" s="336"/>
      <c r="W28" s="337"/>
      <c r="X28" s="337"/>
      <c r="Y28" s="337"/>
      <c r="Z28" s="337"/>
      <c r="AA28" s="337"/>
      <c r="AB28" s="337"/>
      <c r="AC28" s="337"/>
      <c r="AD28" s="338"/>
      <c r="AE28" s="337"/>
      <c r="AM28" s="92"/>
      <c r="AO28" s="379"/>
      <c r="AP28" s="336"/>
      <c r="AQ28" s="337"/>
      <c r="AR28" s="337"/>
      <c r="AS28" s="337"/>
      <c r="AT28" s="337"/>
      <c r="AU28" s="337"/>
      <c r="AV28" s="337"/>
      <c r="AW28" s="337"/>
      <c r="AX28" s="338"/>
      <c r="AY28" s="337"/>
      <c r="BG28" s="92"/>
    </row>
    <row r="29" spans="2:59" x14ac:dyDescent="0.3">
      <c r="B29" s="230">
        <v>8</v>
      </c>
      <c r="C29" s="328"/>
      <c r="D29" s="329"/>
      <c r="E29" s="330"/>
      <c r="F29" s="330"/>
      <c r="G29" s="231" t="e">
        <f t="shared" si="8"/>
        <v>#N/A</v>
      </c>
      <c r="H29" s="232" t="e">
        <f t="shared" si="10"/>
        <v>#N/A</v>
      </c>
      <c r="I29" s="232">
        <f>'[2]Plot Data'!$C$67</f>
        <v>26.787537881918869</v>
      </c>
      <c r="J29" s="232">
        <f>'[2]Plot Data'!$C$65</f>
        <v>26.863914143501468</v>
      </c>
      <c r="K29" s="238">
        <f>'[2]Plot Data'!$C$58</f>
        <v>27.016666666666666</v>
      </c>
      <c r="L29" s="238">
        <f>'[2]Plot Data'!$C$62</f>
        <v>27.169419189831864</v>
      </c>
      <c r="M29" s="238">
        <f>'[2]Plot Data'!$C$64</f>
        <v>27.245795451414462</v>
      </c>
      <c r="N29" s="239">
        <f>'[2]Plot Data'!$C$68</f>
        <v>0.12</v>
      </c>
      <c r="O29" s="177" t="e">
        <f t="shared" si="9"/>
        <v>#N/A</v>
      </c>
      <c r="P29" s="180" t="e">
        <f t="shared" si="11"/>
        <v>#N/A</v>
      </c>
      <c r="Q29" s="180" t="e">
        <f>IF(AND(G29&gt;K29,G28&gt;K29,G27&gt;K29,G26&gt;K29,G25&gt;K29,G24&gt;K29,G23&gt;K29,G22&gt;K29),"Fail +ve bias",IF(AND(G29&lt;K29,G28&lt;K29,G27&lt;K29,G26&lt;K29,G25&lt;K29,G24&lt;K29,G23&lt;K29,G22&lt;K29),"Fail -ve bias","Pass"))</f>
        <v>#N/A</v>
      </c>
      <c r="R29" s="180" t="e">
        <f t="shared" si="12"/>
        <v>#N/A</v>
      </c>
      <c r="S29" s="179" t="e">
        <f>IF(H29="","",IF(H29&gt;'[2]Plot Data'!$C$68,"No","Yes"))</f>
        <v>#N/A</v>
      </c>
      <c r="T29" s="327"/>
      <c r="U29" s="379"/>
      <c r="V29" s="336"/>
      <c r="W29" s="337"/>
      <c r="X29" s="337"/>
      <c r="Y29" s="337"/>
      <c r="Z29" s="337"/>
      <c r="AA29" s="337"/>
      <c r="AB29" s="337"/>
      <c r="AC29" s="337"/>
      <c r="AD29" s="338"/>
      <c r="AE29" s="337"/>
      <c r="AM29" s="92"/>
      <c r="AO29" s="379"/>
      <c r="AP29" s="336"/>
      <c r="AQ29" s="337"/>
      <c r="AR29" s="337"/>
      <c r="AS29" s="337"/>
      <c r="AT29" s="337"/>
      <c r="AU29" s="337"/>
      <c r="AV29" s="337"/>
      <c r="AW29" s="337"/>
      <c r="AX29" s="338"/>
      <c r="AY29" s="337"/>
      <c r="BG29" s="92"/>
    </row>
    <row r="30" spans="2:59" x14ac:dyDescent="0.3">
      <c r="B30" s="230">
        <v>9</v>
      </c>
      <c r="C30" s="328"/>
      <c r="D30" s="329"/>
      <c r="E30" s="330"/>
      <c r="F30" s="330"/>
      <c r="G30" s="231" t="e">
        <f t="shared" si="8"/>
        <v>#N/A</v>
      </c>
      <c r="H30" s="232" t="e">
        <f t="shared" si="10"/>
        <v>#N/A</v>
      </c>
      <c r="I30" s="232">
        <f>'[2]Plot Data'!$C$67</f>
        <v>26.787537881918869</v>
      </c>
      <c r="J30" s="232">
        <f>'[2]Plot Data'!$C$65</f>
        <v>26.863914143501468</v>
      </c>
      <c r="K30" s="238">
        <f>'[2]Plot Data'!$C$58</f>
        <v>27.016666666666666</v>
      </c>
      <c r="L30" s="238">
        <f>'[2]Plot Data'!$C$62</f>
        <v>27.169419189831864</v>
      </c>
      <c r="M30" s="238">
        <f>'[2]Plot Data'!$C$64</f>
        <v>27.245795451414462</v>
      </c>
      <c r="N30" s="239">
        <f>'[2]Plot Data'!$C$68</f>
        <v>0.12</v>
      </c>
      <c r="O30" s="177" t="e">
        <f t="shared" si="9"/>
        <v>#N/A</v>
      </c>
      <c r="P30" s="180" t="e">
        <f t="shared" si="11"/>
        <v>#N/A</v>
      </c>
      <c r="Q30" s="180" t="e">
        <f t="shared" ref="Q30:Q42" si="13">IF(AND(G30&gt;K30,G29&gt;K30,G28&gt;K30,G27&gt;K30,G26&gt;K30,G25&gt;K30,G24&gt;K30,G23&gt;K30),"Fail +ve bias",IF(AND(G30&lt;K30,G29&lt;K30,G28&lt;K30,G27&lt;K30,G26&lt;K30,G25&lt;K30,G24&lt;K30,G23&lt;K30),"Fail -ve bias","Pass"))</f>
        <v>#N/A</v>
      </c>
      <c r="R30" s="180" t="e">
        <f t="shared" si="12"/>
        <v>#N/A</v>
      </c>
      <c r="S30" s="179" t="e">
        <f>IF(H30="","",IF(H30&gt;'[2]Plot Data'!$C$68,"No","Yes"))</f>
        <v>#N/A</v>
      </c>
      <c r="T30" s="327"/>
      <c r="U30" s="379"/>
      <c r="V30" s="336"/>
      <c r="W30" s="337"/>
      <c r="X30" s="337"/>
      <c r="Y30" s="337"/>
      <c r="Z30" s="337"/>
      <c r="AA30" s="337"/>
      <c r="AB30" s="337"/>
      <c r="AC30" s="337"/>
      <c r="AD30" s="338"/>
      <c r="AE30" s="337"/>
      <c r="AM30" s="92"/>
      <c r="AO30" s="379"/>
      <c r="AP30" s="336"/>
      <c r="AQ30" s="337"/>
      <c r="AR30" s="337"/>
      <c r="AS30" s="337"/>
      <c r="AT30" s="337"/>
      <c r="AU30" s="337"/>
      <c r="AV30" s="337"/>
      <c r="AW30" s="337"/>
      <c r="AX30" s="338"/>
      <c r="AY30" s="337"/>
      <c r="BG30" s="92"/>
    </row>
    <row r="31" spans="2:59" x14ac:dyDescent="0.3">
      <c r="B31" s="230">
        <v>10</v>
      </c>
      <c r="C31" s="328"/>
      <c r="D31" s="329"/>
      <c r="E31" s="330"/>
      <c r="F31" s="330"/>
      <c r="G31" s="231" t="e">
        <f t="shared" si="8"/>
        <v>#N/A</v>
      </c>
      <c r="H31" s="232" t="e">
        <f t="shared" si="10"/>
        <v>#N/A</v>
      </c>
      <c r="I31" s="232">
        <f>'[2]Plot Data'!$C$67</f>
        <v>26.787537881918869</v>
      </c>
      <c r="J31" s="232">
        <f>'[2]Plot Data'!$C$65</f>
        <v>26.863914143501468</v>
      </c>
      <c r="K31" s="238">
        <f>'[2]Plot Data'!$C$58</f>
        <v>27.016666666666666</v>
      </c>
      <c r="L31" s="238">
        <f>'[2]Plot Data'!$C$62</f>
        <v>27.169419189831864</v>
      </c>
      <c r="M31" s="238">
        <f>'[2]Plot Data'!$C$64</f>
        <v>27.245795451414462</v>
      </c>
      <c r="N31" s="239">
        <f>'[2]Plot Data'!$C$68</f>
        <v>0.12</v>
      </c>
      <c r="O31" s="177" t="e">
        <f t="shared" si="9"/>
        <v>#N/A</v>
      </c>
      <c r="P31" s="180" t="e">
        <f t="shared" si="11"/>
        <v>#N/A</v>
      </c>
      <c r="Q31" s="180" t="e">
        <f t="shared" si="13"/>
        <v>#N/A</v>
      </c>
      <c r="R31" s="180" t="e">
        <f t="shared" si="12"/>
        <v>#N/A</v>
      </c>
      <c r="S31" s="179" t="e">
        <f>IF(H31="","",IF(H31&gt;'[2]Plot Data'!$C$68,"No","Yes"))</f>
        <v>#N/A</v>
      </c>
      <c r="T31" s="327"/>
      <c r="U31" s="379"/>
      <c r="V31" s="336"/>
      <c r="W31" s="337"/>
      <c r="X31" s="337"/>
      <c r="Y31" s="337"/>
      <c r="Z31" s="337"/>
      <c r="AA31" s="337"/>
      <c r="AB31" s="337"/>
      <c r="AC31" s="337"/>
      <c r="AD31" s="338"/>
      <c r="AE31" s="337"/>
      <c r="AM31" s="92"/>
      <c r="AO31" s="379"/>
      <c r="AP31" s="336"/>
      <c r="AQ31" s="337"/>
      <c r="AR31" s="337"/>
      <c r="AS31" s="337"/>
      <c r="AT31" s="337"/>
      <c r="AU31" s="337"/>
      <c r="AV31" s="337"/>
      <c r="AW31" s="337"/>
      <c r="AX31" s="338"/>
      <c r="AY31" s="337"/>
      <c r="BG31" s="92"/>
    </row>
    <row r="32" spans="2:59" x14ac:dyDescent="0.3">
      <c r="B32" s="230">
        <v>11</v>
      </c>
      <c r="C32" s="328"/>
      <c r="D32" s="329"/>
      <c r="E32" s="330"/>
      <c r="F32" s="330"/>
      <c r="G32" s="231" t="e">
        <f t="shared" si="8"/>
        <v>#N/A</v>
      </c>
      <c r="H32" s="232" t="e">
        <f t="shared" si="10"/>
        <v>#N/A</v>
      </c>
      <c r="I32" s="232">
        <f>'[2]Plot Data'!$C$67</f>
        <v>26.787537881918869</v>
      </c>
      <c r="J32" s="232">
        <f>'[2]Plot Data'!$C$65</f>
        <v>26.863914143501468</v>
      </c>
      <c r="K32" s="238">
        <f>'[2]Plot Data'!$C$58</f>
        <v>27.016666666666666</v>
      </c>
      <c r="L32" s="238">
        <f>'[2]Plot Data'!$C$62</f>
        <v>27.169419189831864</v>
      </c>
      <c r="M32" s="238">
        <f>'[2]Plot Data'!$C$64</f>
        <v>27.245795451414462</v>
      </c>
      <c r="N32" s="239">
        <f>'[2]Plot Data'!$C$68</f>
        <v>0.12</v>
      </c>
      <c r="O32" s="177" t="e">
        <f t="shared" si="9"/>
        <v>#N/A</v>
      </c>
      <c r="P32" s="180" t="e">
        <f t="shared" si="11"/>
        <v>#N/A</v>
      </c>
      <c r="Q32" s="180" t="e">
        <f t="shared" si="13"/>
        <v>#N/A</v>
      </c>
      <c r="R32" s="180" t="e">
        <f t="shared" si="12"/>
        <v>#N/A</v>
      </c>
      <c r="S32" s="179" t="e">
        <f>IF(H32="","",IF(H32&gt;'[2]Plot Data'!$C$68,"No","Yes"))</f>
        <v>#N/A</v>
      </c>
      <c r="T32" s="327"/>
      <c r="U32" s="379"/>
      <c r="V32" s="336"/>
      <c r="W32" s="337"/>
      <c r="X32" s="337"/>
      <c r="Y32" s="337"/>
      <c r="Z32" s="337"/>
      <c r="AA32" s="337"/>
      <c r="AB32" s="337"/>
      <c r="AC32" s="337"/>
      <c r="AD32" s="338"/>
      <c r="AE32" s="337"/>
      <c r="AM32" s="92"/>
      <c r="AO32" s="379"/>
      <c r="AP32" s="336"/>
      <c r="AQ32" s="337"/>
      <c r="AR32" s="337"/>
      <c r="AS32" s="337"/>
      <c r="AT32" s="337"/>
      <c r="AU32" s="337"/>
      <c r="AV32" s="337"/>
      <c r="AW32" s="337"/>
      <c r="AX32" s="338"/>
      <c r="AY32" s="337"/>
      <c r="BG32" s="92"/>
    </row>
    <row r="33" spans="2:59" x14ac:dyDescent="0.3">
      <c r="B33" s="230">
        <v>12</v>
      </c>
      <c r="C33" s="328"/>
      <c r="D33" s="329"/>
      <c r="E33" s="330"/>
      <c r="F33" s="330"/>
      <c r="G33" s="231" t="e">
        <f t="shared" si="8"/>
        <v>#N/A</v>
      </c>
      <c r="H33" s="232" t="e">
        <f t="shared" si="10"/>
        <v>#N/A</v>
      </c>
      <c r="I33" s="232">
        <f>'[2]Plot Data'!$C$67</f>
        <v>26.787537881918869</v>
      </c>
      <c r="J33" s="232">
        <f>'[2]Plot Data'!$C$65</f>
        <v>26.863914143501468</v>
      </c>
      <c r="K33" s="238">
        <f>'[2]Plot Data'!$C$58</f>
        <v>27.016666666666666</v>
      </c>
      <c r="L33" s="238">
        <f>'[2]Plot Data'!$C$62</f>
        <v>27.169419189831864</v>
      </c>
      <c r="M33" s="238">
        <f>'[2]Plot Data'!$C$64</f>
        <v>27.245795451414462</v>
      </c>
      <c r="N33" s="239">
        <f>'[2]Plot Data'!$C$68</f>
        <v>0.12</v>
      </c>
      <c r="O33" s="177" t="e">
        <f t="shared" si="9"/>
        <v>#N/A</v>
      </c>
      <c r="P33" s="180" t="e">
        <f t="shared" si="11"/>
        <v>#N/A</v>
      </c>
      <c r="Q33" s="180" t="e">
        <f t="shared" si="13"/>
        <v>#N/A</v>
      </c>
      <c r="R33" s="180" t="e">
        <f t="shared" si="12"/>
        <v>#N/A</v>
      </c>
      <c r="S33" s="179" t="e">
        <f>IF(H33="","",IF(H33&gt;'[2]Plot Data'!$C$68,"No","Yes"))</f>
        <v>#N/A</v>
      </c>
      <c r="T33" s="327"/>
      <c r="U33" s="379"/>
      <c r="V33" s="336"/>
      <c r="W33" s="337"/>
      <c r="X33" s="337"/>
      <c r="Y33" s="337"/>
      <c r="Z33" s="337"/>
      <c r="AA33" s="337"/>
      <c r="AB33" s="337"/>
      <c r="AC33" s="337"/>
      <c r="AD33" s="338"/>
      <c r="AE33" s="337"/>
      <c r="AM33" s="92"/>
      <c r="AO33" s="379"/>
      <c r="AP33" s="336"/>
      <c r="AQ33" s="337"/>
      <c r="AR33" s="337"/>
      <c r="AS33" s="337"/>
      <c r="AT33" s="337"/>
      <c r="AU33" s="337"/>
      <c r="AV33" s="337"/>
      <c r="AW33" s="337"/>
      <c r="AX33" s="338"/>
      <c r="AY33" s="337"/>
      <c r="BG33" s="92"/>
    </row>
    <row r="34" spans="2:59" x14ac:dyDescent="0.3">
      <c r="B34" s="230">
        <v>13</v>
      </c>
      <c r="C34" s="328"/>
      <c r="D34" s="329"/>
      <c r="E34" s="330"/>
      <c r="F34" s="330"/>
      <c r="G34" s="231" t="e">
        <f t="shared" si="8"/>
        <v>#N/A</v>
      </c>
      <c r="H34" s="232" t="e">
        <f t="shared" si="10"/>
        <v>#N/A</v>
      </c>
      <c r="I34" s="232">
        <f>'[2]Plot Data'!$C$67</f>
        <v>26.787537881918869</v>
      </c>
      <c r="J34" s="232">
        <f>'[2]Plot Data'!$C$65</f>
        <v>26.863914143501468</v>
      </c>
      <c r="K34" s="238">
        <f>'[2]Plot Data'!$C$58</f>
        <v>27.016666666666666</v>
      </c>
      <c r="L34" s="238">
        <f>'[2]Plot Data'!$C$62</f>
        <v>27.169419189831864</v>
      </c>
      <c r="M34" s="238">
        <f>'[2]Plot Data'!$C$64</f>
        <v>27.245795451414462</v>
      </c>
      <c r="N34" s="239">
        <f>'[2]Plot Data'!$C$68</f>
        <v>0.12</v>
      </c>
      <c r="O34" s="177" t="e">
        <f t="shared" si="9"/>
        <v>#N/A</v>
      </c>
      <c r="P34" s="180" t="e">
        <f t="shared" si="11"/>
        <v>#N/A</v>
      </c>
      <c r="Q34" s="180" t="e">
        <f t="shared" si="13"/>
        <v>#N/A</v>
      </c>
      <c r="R34" s="180" t="e">
        <f t="shared" si="12"/>
        <v>#N/A</v>
      </c>
      <c r="S34" s="179" t="e">
        <f>IF(H34="","",IF(H34&gt;'[2]Plot Data'!$C$68,"No","Yes"))</f>
        <v>#N/A</v>
      </c>
      <c r="T34" s="327"/>
      <c r="U34" s="379"/>
      <c r="V34" s="336"/>
      <c r="W34" s="337"/>
      <c r="X34" s="337"/>
      <c r="Y34" s="337"/>
      <c r="Z34" s="337"/>
      <c r="AA34" s="337"/>
      <c r="AB34" s="337"/>
      <c r="AC34" s="337"/>
      <c r="AD34" s="338"/>
      <c r="AE34" s="337"/>
      <c r="AM34" s="92"/>
      <c r="AO34" s="379"/>
      <c r="AP34" s="336"/>
      <c r="AQ34" s="337"/>
      <c r="AR34" s="337"/>
      <c r="AS34" s="337"/>
      <c r="AT34" s="337"/>
      <c r="AU34" s="337"/>
      <c r="AV34" s="337"/>
      <c r="AW34" s="337"/>
      <c r="AX34" s="338"/>
      <c r="AY34" s="337"/>
      <c r="BG34" s="92"/>
    </row>
    <row r="35" spans="2:59" x14ac:dyDescent="0.3">
      <c r="B35" s="230">
        <v>14</v>
      </c>
      <c r="C35" s="328"/>
      <c r="D35" s="329"/>
      <c r="E35" s="330"/>
      <c r="F35" s="330"/>
      <c r="G35" s="231" t="e">
        <f t="shared" si="8"/>
        <v>#N/A</v>
      </c>
      <c r="H35" s="232" t="e">
        <f t="shared" si="10"/>
        <v>#N/A</v>
      </c>
      <c r="I35" s="232">
        <f>'[2]Plot Data'!$C$67</f>
        <v>26.787537881918869</v>
      </c>
      <c r="J35" s="232">
        <f>'[2]Plot Data'!$C$65</f>
        <v>26.863914143501468</v>
      </c>
      <c r="K35" s="238">
        <f>'[2]Plot Data'!$C$58</f>
        <v>27.016666666666666</v>
      </c>
      <c r="L35" s="238">
        <f>'[2]Plot Data'!$C$62</f>
        <v>27.169419189831864</v>
      </c>
      <c r="M35" s="238">
        <f>'[2]Plot Data'!$C$64</f>
        <v>27.245795451414462</v>
      </c>
      <c r="N35" s="239">
        <f>'[2]Plot Data'!$C$68</f>
        <v>0.12</v>
      </c>
      <c r="O35" s="177" t="e">
        <f t="shared" si="9"/>
        <v>#N/A</v>
      </c>
      <c r="P35" s="180" t="e">
        <f t="shared" si="11"/>
        <v>#N/A</v>
      </c>
      <c r="Q35" s="180" t="e">
        <f t="shared" si="13"/>
        <v>#N/A</v>
      </c>
      <c r="R35" s="180" t="e">
        <f t="shared" si="12"/>
        <v>#N/A</v>
      </c>
      <c r="S35" s="179" t="e">
        <f>IF(H35="","",IF(H35&gt;'[2]Plot Data'!$C$68,"No","Yes"))</f>
        <v>#N/A</v>
      </c>
      <c r="T35" s="327"/>
      <c r="U35" s="379"/>
      <c r="V35" s="336"/>
      <c r="W35" s="337"/>
      <c r="X35" s="337"/>
      <c r="Y35" s="337"/>
      <c r="Z35" s="337"/>
      <c r="AA35" s="337"/>
      <c r="AB35" s="337"/>
      <c r="AC35" s="337"/>
      <c r="AD35" s="338"/>
      <c r="AE35" s="337"/>
      <c r="AM35" s="92"/>
      <c r="AO35" s="379"/>
      <c r="AP35" s="336"/>
      <c r="AQ35" s="337"/>
      <c r="AR35" s="337"/>
      <c r="AS35" s="337"/>
      <c r="AT35" s="337"/>
      <c r="AU35" s="337"/>
      <c r="AV35" s="337"/>
      <c r="AW35" s="337"/>
      <c r="AX35" s="338"/>
      <c r="AY35" s="337"/>
      <c r="BG35" s="92"/>
    </row>
    <row r="36" spans="2:59" x14ac:dyDescent="0.3">
      <c r="B36" s="230">
        <v>15</v>
      </c>
      <c r="C36" s="328"/>
      <c r="D36" s="329"/>
      <c r="E36" s="330"/>
      <c r="F36" s="330"/>
      <c r="G36" s="231" t="e">
        <f t="shared" si="8"/>
        <v>#N/A</v>
      </c>
      <c r="H36" s="232" t="e">
        <f t="shared" si="10"/>
        <v>#N/A</v>
      </c>
      <c r="I36" s="232">
        <f>'[2]Plot Data'!$C$67</f>
        <v>26.787537881918869</v>
      </c>
      <c r="J36" s="232">
        <f>'[2]Plot Data'!$C$65</f>
        <v>26.863914143501468</v>
      </c>
      <c r="K36" s="238">
        <f>'[2]Plot Data'!$C$58</f>
        <v>27.016666666666666</v>
      </c>
      <c r="L36" s="238">
        <f>'[2]Plot Data'!$C$62</f>
        <v>27.169419189831864</v>
      </c>
      <c r="M36" s="238">
        <f>'[2]Plot Data'!$C$64</f>
        <v>27.245795451414462</v>
      </c>
      <c r="N36" s="239">
        <f>'[2]Plot Data'!$C$68</f>
        <v>0.12</v>
      </c>
      <c r="O36" s="177" t="e">
        <f t="shared" si="9"/>
        <v>#N/A</v>
      </c>
      <c r="P36" s="180" t="e">
        <f t="shared" si="11"/>
        <v>#N/A</v>
      </c>
      <c r="Q36" s="180" t="e">
        <f t="shared" si="13"/>
        <v>#N/A</v>
      </c>
      <c r="R36" s="180" t="e">
        <f t="shared" si="12"/>
        <v>#N/A</v>
      </c>
      <c r="S36" s="179" t="e">
        <f>IF(H36="","",IF(H36&gt;'[2]Plot Data'!$C$68,"No","Yes"))</f>
        <v>#N/A</v>
      </c>
      <c r="T36" s="327"/>
      <c r="U36" s="379"/>
      <c r="V36" s="336"/>
      <c r="W36" s="337"/>
      <c r="X36" s="337"/>
      <c r="Y36" s="337"/>
      <c r="Z36" s="337"/>
      <c r="AA36" s="337"/>
      <c r="AB36" s="337"/>
      <c r="AC36" s="337"/>
      <c r="AD36" s="338"/>
      <c r="AE36" s="337"/>
      <c r="AM36" s="92"/>
      <c r="AO36" s="379"/>
      <c r="AP36" s="336"/>
      <c r="AQ36" s="337"/>
      <c r="AR36" s="337"/>
      <c r="AS36" s="337"/>
      <c r="AT36" s="337"/>
      <c r="AU36" s="337"/>
      <c r="AV36" s="337"/>
      <c r="AW36" s="337"/>
      <c r="AX36" s="338"/>
      <c r="AY36" s="337"/>
      <c r="BG36" s="92"/>
    </row>
    <row r="37" spans="2:59" x14ac:dyDescent="0.3">
      <c r="B37" s="230">
        <v>16</v>
      </c>
      <c r="C37" s="328"/>
      <c r="D37" s="329"/>
      <c r="E37" s="330"/>
      <c r="F37" s="330"/>
      <c r="G37" s="231" t="e">
        <f t="shared" si="8"/>
        <v>#N/A</v>
      </c>
      <c r="H37" s="232" t="e">
        <f t="shared" si="10"/>
        <v>#N/A</v>
      </c>
      <c r="I37" s="232">
        <f>'[2]Plot Data'!$C$67</f>
        <v>26.787537881918869</v>
      </c>
      <c r="J37" s="232">
        <f>'[2]Plot Data'!$C$65</f>
        <v>26.863914143501468</v>
      </c>
      <c r="K37" s="238">
        <f>'[2]Plot Data'!$C$58</f>
        <v>27.016666666666666</v>
      </c>
      <c r="L37" s="238">
        <f>'[2]Plot Data'!$C$62</f>
        <v>27.169419189831864</v>
      </c>
      <c r="M37" s="238">
        <f>'[2]Plot Data'!$C$64</f>
        <v>27.245795451414462</v>
      </c>
      <c r="N37" s="239">
        <f>'[2]Plot Data'!$C$68</f>
        <v>0.12</v>
      </c>
      <c r="O37" s="177" t="e">
        <f t="shared" si="9"/>
        <v>#N/A</v>
      </c>
      <c r="P37" s="180" t="e">
        <f t="shared" si="11"/>
        <v>#N/A</v>
      </c>
      <c r="Q37" s="180" t="e">
        <f t="shared" si="13"/>
        <v>#N/A</v>
      </c>
      <c r="R37" s="180" t="e">
        <f t="shared" si="12"/>
        <v>#N/A</v>
      </c>
      <c r="S37" s="179" t="e">
        <f>IF(H37="","",IF(H37&gt;'[2]Plot Data'!$C$68,"No","Yes"))</f>
        <v>#N/A</v>
      </c>
      <c r="T37" s="327"/>
      <c r="U37" s="379"/>
      <c r="V37" s="336"/>
      <c r="W37" s="337"/>
      <c r="X37" s="337"/>
      <c r="Y37" s="337"/>
      <c r="Z37" s="337"/>
      <c r="AA37" s="337"/>
      <c r="AB37" s="337"/>
      <c r="AC37" s="337"/>
      <c r="AD37" s="338"/>
      <c r="AE37" s="337"/>
      <c r="AM37" s="92"/>
      <c r="AO37" s="379"/>
      <c r="AP37" s="336"/>
      <c r="AQ37" s="337"/>
      <c r="AR37" s="337"/>
      <c r="AS37" s="337"/>
      <c r="AT37" s="337"/>
      <c r="AU37" s="337"/>
      <c r="AV37" s="337"/>
      <c r="AW37" s="337"/>
      <c r="AX37" s="338"/>
      <c r="AY37" s="337"/>
      <c r="BG37" s="92"/>
    </row>
    <row r="38" spans="2:59" x14ac:dyDescent="0.3">
      <c r="B38" s="230">
        <v>17</v>
      </c>
      <c r="C38" s="328"/>
      <c r="D38" s="329"/>
      <c r="E38" s="330"/>
      <c r="F38" s="330"/>
      <c r="G38" s="231" t="e">
        <f t="shared" si="8"/>
        <v>#N/A</v>
      </c>
      <c r="H38" s="232" t="e">
        <f t="shared" si="10"/>
        <v>#N/A</v>
      </c>
      <c r="I38" s="232">
        <f>'[2]Plot Data'!$C$67</f>
        <v>26.787537881918869</v>
      </c>
      <c r="J38" s="232">
        <f>'[2]Plot Data'!$C$65</f>
        <v>26.863914143501468</v>
      </c>
      <c r="K38" s="238">
        <f>'[2]Plot Data'!$C$58</f>
        <v>27.016666666666666</v>
      </c>
      <c r="L38" s="238">
        <f>'[2]Plot Data'!$C$62</f>
        <v>27.169419189831864</v>
      </c>
      <c r="M38" s="238">
        <f>'[2]Plot Data'!$C$64</f>
        <v>27.245795451414462</v>
      </c>
      <c r="N38" s="239">
        <f>'[2]Plot Data'!$C$68</f>
        <v>0.12</v>
      </c>
      <c r="O38" s="177" t="e">
        <f t="shared" si="9"/>
        <v>#N/A</v>
      </c>
      <c r="P38" s="180" t="e">
        <f t="shared" si="11"/>
        <v>#N/A</v>
      </c>
      <c r="Q38" s="180" t="e">
        <f t="shared" si="13"/>
        <v>#N/A</v>
      </c>
      <c r="R38" s="180" t="e">
        <f t="shared" si="12"/>
        <v>#N/A</v>
      </c>
      <c r="S38" s="179" t="e">
        <f>IF(H38="","",IF(H38&gt;'[2]Plot Data'!$C$68,"No","Yes"))</f>
        <v>#N/A</v>
      </c>
      <c r="T38" s="327"/>
      <c r="U38" s="379"/>
      <c r="V38" s="336"/>
      <c r="W38" s="337"/>
      <c r="X38" s="337"/>
      <c r="Y38" s="337"/>
      <c r="Z38" s="337"/>
      <c r="AA38" s="337"/>
      <c r="AB38" s="337"/>
      <c r="AC38" s="337"/>
      <c r="AD38" s="338"/>
      <c r="AE38" s="337"/>
      <c r="AM38" s="92"/>
      <c r="AO38" s="379"/>
      <c r="AP38" s="336"/>
      <c r="AQ38" s="337"/>
      <c r="AR38" s="337"/>
      <c r="AS38" s="337"/>
      <c r="AT38" s="337"/>
      <c r="AU38" s="337"/>
      <c r="AV38" s="337"/>
      <c r="AW38" s="337"/>
      <c r="AX38" s="338"/>
      <c r="AY38" s="337"/>
      <c r="BG38" s="92"/>
    </row>
    <row r="39" spans="2:59" x14ac:dyDescent="0.3">
      <c r="B39" s="230">
        <v>18</v>
      </c>
      <c r="C39" s="328"/>
      <c r="D39" s="329"/>
      <c r="E39" s="330"/>
      <c r="F39" s="330"/>
      <c r="G39" s="231" t="e">
        <f t="shared" si="8"/>
        <v>#N/A</v>
      </c>
      <c r="H39" s="232" t="e">
        <f t="shared" si="10"/>
        <v>#N/A</v>
      </c>
      <c r="I39" s="232">
        <f>'[2]Plot Data'!$C$67</f>
        <v>26.787537881918869</v>
      </c>
      <c r="J39" s="232">
        <f>'[2]Plot Data'!$C$65</f>
        <v>26.863914143501468</v>
      </c>
      <c r="K39" s="238">
        <f>'[2]Plot Data'!$C$58</f>
        <v>27.016666666666666</v>
      </c>
      <c r="L39" s="238">
        <f>'[2]Plot Data'!$C$62</f>
        <v>27.169419189831864</v>
      </c>
      <c r="M39" s="238">
        <f>'[2]Plot Data'!$C$64</f>
        <v>27.245795451414462</v>
      </c>
      <c r="N39" s="239">
        <f>'[2]Plot Data'!$C$68</f>
        <v>0.12</v>
      </c>
      <c r="O39" s="177" t="e">
        <f t="shared" si="9"/>
        <v>#N/A</v>
      </c>
      <c r="P39" s="180" t="e">
        <f t="shared" si="11"/>
        <v>#N/A</v>
      </c>
      <c r="Q39" s="180" t="e">
        <f t="shared" si="13"/>
        <v>#N/A</v>
      </c>
      <c r="R39" s="180" t="e">
        <f t="shared" si="12"/>
        <v>#N/A</v>
      </c>
      <c r="S39" s="179" t="e">
        <f>IF(H39="","",IF(H39&gt;'[2]Plot Data'!$C$68,"No","Yes"))</f>
        <v>#N/A</v>
      </c>
      <c r="T39" s="327"/>
      <c r="U39" s="379"/>
      <c r="V39" s="336"/>
      <c r="W39" s="337"/>
      <c r="X39" s="337"/>
      <c r="Y39" s="337"/>
      <c r="Z39" s="337"/>
      <c r="AA39" s="337"/>
      <c r="AB39" s="337"/>
      <c r="AC39" s="337"/>
      <c r="AD39" s="338"/>
      <c r="AE39" s="337"/>
      <c r="AM39" s="92"/>
      <c r="AO39" s="379"/>
      <c r="AP39" s="336"/>
      <c r="AQ39" s="337"/>
      <c r="AR39" s="337"/>
      <c r="AS39" s="337"/>
      <c r="AT39" s="337"/>
      <c r="AU39" s="337"/>
      <c r="AV39" s="337"/>
      <c r="AW39" s="337"/>
      <c r="AX39" s="338"/>
      <c r="AY39" s="337"/>
      <c r="BG39" s="92"/>
    </row>
    <row r="40" spans="2:59" x14ac:dyDescent="0.3">
      <c r="B40" s="230">
        <v>19</v>
      </c>
      <c r="C40" s="328"/>
      <c r="D40" s="329"/>
      <c r="E40" s="330"/>
      <c r="F40" s="330"/>
      <c r="G40" s="231" t="e">
        <f t="shared" si="8"/>
        <v>#N/A</v>
      </c>
      <c r="H40" s="232" t="e">
        <f t="shared" si="10"/>
        <v>#N/A</v>
      </c>
      <c r="I40" s="232">
        <f>'[2]Plot Data'!$C$67</f>
        <v>26.787537881918869</v>
      </c>
      <c r="J40" s="232">
        <f>'[2]Plot Data'!$C$65</f>
        <v>26.863914143501468</v>
      </c>
      <c r="K40" s="238">
        <f>'[2]Plot Data'!$C$58</f>
        <v>27.016666666666666</v>
      </c>
      <c r="L40" s="238">
        <f>'[2]Plot Data'!$C$62</f>
        <v>27.169419189831864</v>
      </c>
      <c r="M40" s="238">
        <f>'[2]Plot Data'!$C$64</f>
        <v>27.245795451414462</v>
      </c>
      <c r="N40" s="239">
        <f>'[2]Plot Data'!$C$68</f>
        <v>0.12</v>
      </c>
      <c r="O40" s="177" t="e">
        <f t="shared" si="9"/>
        <v>#N/A</v>
      </c>
      <c r="P40" s="180" t="e">
        <f t="shared" si="11"/>
        <v>#N/A</v>
      </c>
      <c r="Q40" s="180" t="e">
        <f t="shared" si="13"/>
        <v>#N/A</v>
      </c>
      <c r="R40" s="180" t="e">
        <f t="shared" si="12"/>
        <v>#N/A</v>
      </c>
      <c r="S40" s="179" t="e">
        <f>IF(H40="","",IF(H40&gt;'[2]Plot Data'!$C$68,"No","Yes"))</f>
        <v>#N/A</v>
      </c>
      <c r="T40" s="327"/>
      <c r="U40" s="379"/>
      <c r="V40" s="336"/>
      <c r="W40" s="337"/>
      <c r="X40" s="337"/>
      <c r="Y40" s="337"/>
      <c r="Z40" s="337"/>
      <c r="AA40" s="337"/>
      <c r="AB40" s="337"/>
      <c r="AC40" s="337"/>
      <c r="AD40" s="338"/>
      <c r="AE40" s="337"/>
      <c r="AM40" s="92"/>
      <c r="AO40" s="379"/>
      <c r="AP40" s="336"/>
      <c r="AQ40" s="337"/>
      <c r="AR40" s="337"/>
      <c r="AS40" s="337"/>
      <c r="AT40" s="337"/>
      <c r="AU40" s="337"/>
      <c r="AV40" s="337"/>
      <c r="AW40" s="337"/>
      <c r="AX40" s="338"/>
      <c r="AY40" s="337"/>
      <c r="BG40" s="92"/>
    </row>
    <row r="41" spans="2:59" x14ac:dyDescent="0.3">
      <c r="B41" s="230">
        <v>20</v>
      </c>
      <c r="C41" s="328"/>
      <c r="D41" s="329"/>
      <c r="E41" s="330"/>
      <c r="F41" s="330"/>
      <c r="G41" s="231" t="e">
        <f t="shared" si="8"/>
        <v>#N/A</v>
      </c>
      <c r="H41" s="232" t="e">
        <f t="shared" si="10"/>
        <v>#N/A</v>
      </c>
      <c r="I41" s="232">
        <f>'[2]Plot Data'!$C$67</f>
        <v>26.787537881918869</v>
      </c>
      <c r="J41" s="232">
        <f>'[2]Plot Data'!$C$65</f>
        <v>26.863914143501468</v>
      </c>
      <c r="K41" s="238">
        <f>'[2]Plot Data'!$C$58</f>
        <v>27.016666666666666</v>
      </c>
      <c r="L41" s="238">
        <f>'[2]Plot Data'!$C$62</f>
        <v>27.169419189831864</v>
      </c>
      <c r="M41" s="238">
        <f>'[2]Plot Data'!$C$64</f>
        <v>27.245795451414462</v>
      </c>
      <c r="N41" s="239">
        <f>'[2]Plot Data'!$C$68</f>
        <v>0.12</v>
      </c>
      <c r="O41" s="177" t="e">
        <f t="shared" si="9"/>
        <v>#N/A</v>
      </c>
      <c r="P41" s="180" t="e">
        <f t="shared" si="11"/>
        <v>#N/A</v>
      </c>
      <c r="Q41" s="180" t="e">
        <f t="shared" si="13"/>
        <v>#N/A</v>
      </c>
      <c r="R41" s="180" t="e">
        <f t="shared" si="12"/>
        <v>#N/A</v>
      </c>
      <c r="S41" s="179" t="e">
        <f>IF(H41="","",IF(H41&gt;'[2]Plot Data'!$C$68,"No","Yes"))</f>
        <v>#N/A</v>
      </c>
      <c r="T41" s="327"/>
      <c r="U41" s="379"/>
      <c r="V41" s="336"/>
      <c r="W41" s="337"/>
      <c r="X41" s="337"/>
      <c r="Y41" s="337"/>
      <c r="Z41" s="337"/>
      <c r="AA41" s="337"/>
      <c r="AB41" s="337"/>
      <c r="AC41" s="337"/>
      <c r="AD41" s="338"/>
      <c r="AE41" s="337"/>
      <c r="AM41" s="92"/>
      <c r="AO41" s="379"/>
      <c r="AP41" s="336"/>
      <c r="AQ41" s="337"/>
      <c r="AR41" s="337"/>
      <c r="AS41" s="337"/>
      <c r="AT41" s="337"/>
      <c r="AU41" s="337"/>
      <c r="AV41" s="337"/>
      <c r="AW41" s="337"/>
      <c r="AX41" s="338"/>
      <c r="AY41" s="337"/>
      <c r="BG41" s="92"/>
    </row>
    <row r="42" spans="2:59" ht="15" thickBot="1" x14ac:dyDescent="0.35">
      <c r="B42" s="241">
        <v>21</v>
      </c>
      <c r="C42" s="331"/>
      <c r="D42" s="332"/>
      <c r="E42" s="333"/>
      <c r="F42" s="333"/>
      <c r="G42" s="243" t="e">
        <f t="shared" si="8"/>
        <v>#N/A</v>
      </c>
      <c r="H42" s="244" t="e">
        <f t="shared" si="10"/>
        <v>#N/A</v>
      </c>
      <c r="I42" s="244">
        <f>'[2]Plot Data'!$C$67</f>
        <v>26.787537881918869</v>
      </c>
      <c r="J42" s="244">
        <f>'[2]Plot Data'!$C$65</f>
        <v>26.863914143501468</v>
      </c>
      <c r="K42" s="245">
        <f>'[2]Plot Data'!$C$58</f>
        <v>27.016666666666666</v>
      </c>
      <c r="L42" s="245">
        <f>'[2]Plot Data'!$C$62</f>
        <v>27.169419189831864</v>
      </c>
      <c r="M42" s="245">
        <f>'[2]Plot Data'!$C$64</f>
        <v>27.245795451414462</v>
      </c>
      <c r="N42" s="246">
        <f>'[2]Plot Data'!$C$68</f>
        <v>0.12</v>
      </c>
      <c r="O42" s="242" t="e">
        <f t="shared" si="9"/>
        <v>#N/A</v>
      </c>
      <c r="P42" s="180" t="e">
        <f t="shared" si="11"/>
        <v>#N/A</v>
      </c>
      <c r="Q42" s="247" t="e">
        <f t="shared" si="13"/>
        <v>#N/A</v>
      </c>
      <c r="R42" s="247" t="e">
        <f t="shared" si="12"/>
        <v>#N/A</v>
      </c>
      <c r="S42" s="248" t="e">
        <f>IF(H42="","",IF(H42&gt;'[2]Plot Data'!$C$68,"No","Yes"))</f>
        <v>#N/A</v>
      </c>
      <c r="T42" s="327"/>
      <c r="U42" s="379"/>
      <c r="V42" s="336"/>
      <c r="W42" s="337"/>
      <c r="X42" s="337"/>
      <c r="Y42" s="337"/>
      <c r="Z42" s="337"/>
      <c r="AA42" s="337"/>
      <c r="AB42" s="337"/>
      <c r="AC42" s="337"/>
      <c r="AD42" s="338"/>
      <c r="AE42" s="337"/>
      <c r="AM42" s="92"/>
      <c r="AO42" s="379"/>
      <c r="AP42" s="336"/>
      <c r="AQ42" s="337"/>
      <c r="AR42" s="337"/>
      <c r="AS42" s="337"/>
      <c r="AT42" s="337"/>
      <c r="AU42" s="337"/>
      <c r="AV42" s="337"/>
      <c r="AW42" s="337"/>
      <c r="AX42" s="338"/>
      <c r="AY42" s="337"/>
      <c r="BG42" s="92"/>
    </row>
    <row r="43" spans="2:59" x14ac:dyDescent="0.3">
      <c r="U43" s="211"/>
      <c r="V43" s="336"/>
      <c r="W43" s="337"/>
      <c r="X43" s="337"/>
      <c r="Y43" s="337"/>
      <c r="Z43" s="337"/>
      <c r="AA43" s="337"/>
      <c r="AB43" s="337"/>
      <c r="AC43" s="337"/>
      <c r="AD43" s="338"/>
      <c r="AE43" s="337"/>
      <c r="AM43" s="92"/>
      <c r="AO43" s="211"/>
      <c r="AP43" s="336"/>
      <c r="AQ43" s="337"/>
      <c r="AR43" s="337"/>
      <c r="AS43" s="337"/>
      <c r="AT43" s="337"/>
      <c r="AU43" s="337"/>
      <c r="AV43" s="337"/>
      <c r="AW43" s="337"/>
      <c r="AX43" s="338"/>
      <c r="AY43" s="337"/>
      <c r="BG43" s="92"/>
    </row>
    <row r="44" spans="2:59" x14ac:dyDescent="0.3">
      <c r="U44" s="211"/>
      <c r="V44" s="336"/>
      <c r="W44" s="337"/>
      <c r="X44" s="337"/>
      <c r="Y44" s="337"/>
      <c r="Z44" s="337"/>
      <c r="AA44" s="337"/>
      <c r="AB44" s="337"/>
      <c r="AC44" s="337"/>
      <c r="AD44" s="338"/>
      <c r="AE44" s="337"/>
      <c r="AM44" s="92"/>
      <c r="AO44" s="211"/>
      <c r="AP44" s="336"/>
      <c r="AQ44" s="337"/>
      <c r="AR44" s="337"/>
      <c r="AS44" s="337"/>
      <c r="AT44" s="337"/>
      <c r="AU44" s="337"/>
      <c r="AV44" s="337"/>
      <c r="AW44" s="337"/>
      <c r="AX44" s="338"/>
      <c r="AY44" s="337"/>
      <c r="BG44" s="92"/>
    </row>
    <row r="45" spans="2:59" ht="15" thickBot="1" x14ac:dyDescent="0.35">
      <c r="U45" s="211"/>
      <c r="V45" s="341"/>
      <c r="W45" s="342"/>
      <c r="X45" s="342"/>
      <c r="Y45" s="342"/>
      <c r="Z45" s="342"/>
      <c r="AA45" s="342"/>
      <c r="AB45" s="342"/>
      <c r="AC45" s="342"/>
      <c r="AD45" s="343"/>
      <c r="AE45" s="337"/>
      <c r="AM45" s="92"/>
      <c r="AO45" s="211"/>
      <c r="AP45" s="341"/>
      <c r="AQ45" s="342"/>
      <c r="AR45" s="342"/>
      <c r="AS45" s="342"/>
      <c r="AT45" s="342"/>
      <c r="AU45" s="342"/>
      <c r="AV45" s="342"/>
      <c r="AW45" s="342"/>
      <c r="AX45" s="343"/>
      <c r="AY45" s="337"/>
      <c r="BG45" s="92"/>
    </row>
    <row r="46" spans="2:59" ht="15" thickBot="1" x14ac:dyDescent="0.35">
      <c r="U46" s="212"/>
      <c r="V46" s="213"/>
      <c r="W46" s="213"/>
      <c r="X46" s="213"/>
      <c r="Y46" s="213"/>
      <c r="Z46" s="213"/>
      <c r="AA46" s="213"/>
      <c r="AB46" s="213"/>
      <c r="AC46" s="213"/>
      <c r="AD46" s="213"/>
      <c r="AE46" s="213"/>
      <c r="AF46" s="213"/>
      <c r="AG46" s="213"/>
      <c r="AH46" s="213"/>
      <c r="AI46" s="213"/>
      <c r="AJ46" s="213"/>
      <c r="AK46" s="213"/>
      <c r="AL46" s="213"/>
      <c r="AM46" s="214"/>
      <c r="AO46" s="212"/>
      <c r="AP46" s="213"/>
      <c r="AQ46" s="213"/>
      <c r="AR46" s="213"/>
      <c r="AS46" s="213"/>
      <c r="AT46" s="213"/>
      <c r="AU46" s="213"/>
      <c r="AV46" s="213"/>
      <c r="AW46" s="213"/>
      <c r="AX46" s="213"/>
      <c r="AY46" s="213"/>
      <c r="AZ46" s="213"/>
      <c r="BA46" s="213"/>
      <c r="BB46" s="213"/>
      <c r="BC46" s="213"/>
      <c r="BD46" s="213"/>
      <c r="BE46" s="213"/>
      <c r="BF46" s="213"/>
      <c r="BG46" s="214"/>
    </row>
  </sheetData>
  <sheetProtection password="B7E1" sheet="1" objects="1" scenarios="1"/>
  <mergeCells count="12">
    <mergeCell ref="B18:D18"/>
    <mergeCell ref="B19:D19"/>
    <mergeCell ref="W4:AC4"/>
    <mergeCell ref="AQ8:AS8"/>
    <mergeCell ref="V2:AL2"/>
    <mergeCell ref="AP2:BF2"/>
    <mergeCell ref="AQ4:AW4"/>
    <mergeCell ref="BA4:BE4"/>
    <mergeCell ref="AQ7:AS7"/>
    <mergeCell ref="AG4:AK4"/>
    <mergeCell ref="W7:Y7"/>
    <mergeCell ref="W8:Y8"/>
  </mergeCells>
  <conditionalFormatting sqref="O22:O42">
    <cfRule type="cellIs" dxfId="116" priority="16" operator="equal">
      <formula>"Pass"</formula>
    </cfRule>
    <cfRule type="cellIs" dxfId="115" priority="17" operator="equal">
      <formula>"&lt;-3s"</formula>
    </cfRule>
    <cfRule type="cellIs" dxfId="114" priority="18" operator="equal">
      <formula>"&gt;+3s"</formula>
    </cfRule>
  </conditionalFormatting>
  <conditionalFormatting sqref="P23:P42">
    <cfRule type="cellIs" dxfId="113" priority="8" operator="equal">
      <formula>"Pass"</formula>
    </cfRule>
    <cfRule type="cellIs" dxfId="112" priority="13" operator="equal">
      <formula>""</formula>
    </cfRule>
    <cfRule type="cellIs" dxfId="111" priority="14" operator="equal">
      <formula>"Fail &gt; +2s"</formula>
    </cfRule>
    <cfRule type="cellIs" dxfId="110" priority="15" operator="equal">
      <formula>"Fail &lt; -2s"</formula>
    </cfRule>
  </conditionalFormatting>
  <conditionalFormatting sqref="Q29:Q42">
    <cfRule type="cellIs" dxfId="109" priority="4" operator="equal">
      <formula>""</formula>
    </cfRule>
    <cfRule type="cellIs" dxfId="108" priority="5" operator="equal">
      <formula>"Pass"</formula>
    </cfRule>
    <cfRule type="cellIs" dxfId="107" priority="6" operator="equal">
      <formula>"Fail -ve bias"</formula>
    </cfRule>
    <cfRule type="cellIs" dxfId="106" priority="7" operator="equal">
      <formula>"Fail +ve bias"</formula>
    </cfRule>
  </conditionalFormatting>
  <conditionalFormatting sqref="R27:R42">
    <cfRule type="cellIs" dxfId="105" priority="9" operator="equal">
      <formula>""</formula>
    </cfRule>
    <cfRule type="cellIs" dxfId="104" priority="10" operator="equal">
      <formula>"Fail -ve trend"</formula>
    </cfRule>
    <cfRule type="cellIs" dxfId="103" priority="11" operator="equal">
      <formula>"Fail +ve trend"</formula>
    </cfRule>
    <cfRule type="cellIs" dxfId="102" priority="12" operator="equal">
      <formula>"Pass"</formula>
    </cfRule>
  </conditionalFormatting>
  <conditionalFormatting sqref="S22:U42">
    <cfRule type="cellIs" dxfId="101" priority="19" operator="equal">
      <formula>NA()</formula>
    </cfRule>
    <cfRule type="cellIs" dxfId="100" priority="20" operator="equal">
      <formula>"Yes"</formula>
    </cfRule>
    <cfRule type="cellIs" dxfId="99" priority="21" operator="equal">
      <formula>"No"</formula>
    </cfRule>
  </conditionalFormatting>
  <conditionalFormatting sqref="AO22:AO42">
    <cfRule type="cellIs" dxfId="98" priority="1" operator="equal">
      <formula>NA()</formula>
    </cfRule>
    <cfRule type="cellIs" dxfId="97" priority="2" operator="equal">
      <formula>"Yes"</formula>
    </cfRule>
    <cfRule type="cellIs" dxfId="96" priority="3" operator="equal">
      <formula>"No"</formula>
    </cfRule>
  </conditionalFormatting>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C3E02"/>
  </sheetPr>
  <dimension ref="B1:CU46"/>
  <sheetViews>
    <sheetView topLeftCell="BZ1" zoomScale="90" zoomScaleNormal="90" workbookViewId="0">
      <selection activeCell="B36" sqref="B1:G36"/>
    </sheetView>
  </sheetViews>
  <sheetFormatPr defaultRowHeight="14.4" x14ac:dyDescent="0.3"/>
  <cols>
    <col min="2" max="2" width="5.77734375" bestFit="1" customWidth="1"/>
    <col min="3" max="9" width="13.77734375" customWidth="1"/>
    <col min="14" max="14" width="11.21875" bestFit="1" customWidth="1"/>
    <col min="15" max="15" width="15.77734375" style="174" customWidth="1"/>
    <col min="16" max="18" width="15.77734375" customWidth="1"/>
    <col min="19" max="21" width="13.77734375" customWidth="1"/>
    <col min="26" max="27" width="10.77734375" bestFit="1" customWidth="1"/>
    <col min="36" max="37" width="10.77734375" bestFit="1" customWidth="1"/>
    <col min="41" max="41" width="13.77734375" customWidth="1"/>
    <col min="46" max="47" width="10.77734375" bestFit="1" customWidth="1"/>
    <col min="56" max="57" width="10.77734375" bestFit="1" customWidth="1"/>
    <col min="66" max="66" width="11.21875" customWidth="1"/>
    <col min="67" max="67" width="11.5546875" customWidth="1"/>
    <col min="76" max="77" width="10.77734375" bestFit="1" customWidth="1"/>
    <col min="86" max="86" width="11.77734375" customWidth="1"/>
    <col min="87" max="87" width="10.5546875" customWidth="1"/>
  </cols>
  <sheetData>
    <row r="1" spans="21:99" ht="15" thickBot="1" x14ac:dyDescent="0.35"/>
    <row r="2" spans="21:99" ht="21" x14ac:dyDescent="0.4">
      <c r="U2" s="376"/>
      <c r="V2" s="739" t="s">
        <v>285</v>
      </c>
      <c r="W2" s="739"/>
      <c r="X2" s="739"/>
      <c r="Y2" s="739"/>
      <c r="Z2" s="739"/>
      <c r="AA2" s="739"/>
      <c r="AB2" s="739"/>
      <c r="AC2" s="739"/>
      <c r="AD2" s="739"/>
      <c r="AE2" s="739"/>
      <c r="AF2" s="739"/>
      <c r="AG2" s="739"/>
      <c r="AH2" s="739"/>
      <c r="AI2" s="739"/>
      <c r="AJ2" s="739"/>
      <c r="AK2" s="739"/>
      <c r="AL2" s="739"/>
      <c r="AM2" s="377"/>
      <c r="AO2" s="376"/>
      <c r="AP2" s="739" t="s">
        <v>282</v>
      </c>
      <c r="AQ2" s="739"/>
      <c r="AR2" s="739"/>
      <c r="AS2" s="739"/>
      <c r="AT2" s="739"/>
      <c r="AU2" s="739"/>
      <c r="AV2" s="739"/>
      <c r="AW2" s="739"/>
      <c r="AX2" s="739"/>
      <c r="AY2" s="739"/>
      <c r="AZ2" s="739"/>
      <c r="BA2" s="739"/>
      <c r="BB2" s="739"/>
      <c r="BC2" s="739"/>
      <c r="BD2" s="739"/>
      <c r="BE2" s="739"/>
      <c r="BF2" s="739"/>
      <c r="BG2" s="377"/>
      <c r="BI2" s="376"/>
      <c r="BJ2" s="739" t="s">
        <v>284</v>
      </c>
      <c r="BK2" s="739"/>
      <c r="BL2" s="739"/>
      <c r="BM2" s="739"/>
      <c r="BN2" s="739"/>
      <c r="BO2" s="739"/>
      <c r="BP2" s="739"/>
      <c r="BQ2" s="739"/>
      <c r="BR2" s="739"/>
      <c r="BS2" s="739"/>
      <c r="BT2" s="739"/>
      <c r="BU2" s="739"/>
      <c r="BV2" s="739"/>
      <c r="BW2" s="739"/>
      <c r="BX2" s="739"/>
      <c r="BY2" s="739"/>
      <c r="BZ2" s="739"/>
      <c r="CA2" s="377"/>
      <c r="CC2" s="376"/>
      <c r="CD2" s="739" t="s">
        <v>283</v>
      </c>
      <c r="CE2" s="739"/>
      <c r="CF2" s="739"/>
      <c r="CG2" s="739"/>
      <c r="CH2" s="739"/>
      <c r="CI2" s="739"/>
      <c r="CJ2" s="739"/>
      <c r="CK2" s="739"/>
      <c r="CL2" s="739"/>
      <c r="CM2" s="739"/>
      <c r="CN2" s="739"/>
      <c r="CO2" s="739"/>
      <c r="CP2" s="739"/>
      <c r="CQ2" s="739"/>
      <c r="CR2" s="739"/>
      <c r="CS2" s="739"/>
      <c r="CT2" s="739"/>
      <c r="CU2" s="377"/>
    </row>
    <row r="3" spans="21:99" ht="15" thickBot="1" x14ac:dyDescent="0.35">
      <c r="U3" s="211"/>
      <c r="AM3" s="92"/>
      <c r="AO3" s="211"/>
      <c r="BG3" s="92"/>
      <c r="BI3" s="211"/>
      <c r="CA3" s="92"/>
      <c r="CC3" s="211"/>
      <c r="CU3" s="92"/>
    </row>
    <row r="4" spans="21:99" ht="21" x14ac:dyDescent="0.4">
      <c r="U4" s="211"/>
      <c r="V4" s="334"/>
      <c r="W4" s="737" t="s">
        <v>262</v>
      </c>
      <c r="X4" s="737"/>
      <c r="Y4" s="737"/>
      <c r="Z4" s="737"/>
      <c r="AA4" s="737"/>
      <c r="AB4" s="737"/>
      <c r="AC4" s="737"/>
      <c r="AD4" s="335"/>
      <c r="AE4" s="337"/>
      <c r="AF4" s="334"/>
      <c r="AG4" s="737" t="s">
        <v>263</v>
      </c>
      <c r="AH4" s="737"/>
      <c r="AI4" s="737"/>
      <c r="AJ4" s="737"/>
      <c r="AK4" s="737"/>
      <c r="AL4" s="335"/>
      <c r="AM4" s="92"/>
      <c r="AO4" s="211"/>
      <c r="AP4" s="334"/>
      <c r="AQ4" s="737" t="s">
        <v>262</v>
      </c>
      <c r="AR4" s="737"/>
      <c r="AS4" s="737"/>
      <c r="AT4" s="737"/>
      <c r="AU4" s="737"/>
      <c r="AV4" s="737"/>
      <c r="AW4" s="737"/>
      <c r="AX4" s="335"/>
      <c r="AY4" s="337"/>
      <c r="AZ4" s="334"/>
      <c r="BA4" s="737" t="s">
        <v>263</v>
      </c>
      <c r="BB4" s="737"/>
      <c r="BC4" s="737"/>
      <c r="BD4" s="737"/>
      <c r="BE4" s="737"/>
      <c r="BF4" s="335"/>
      <c r="BG4" s="92"/>
      <c r="BI4" s="211"/>
      <c r="BJ4" s="334"/>
      <c r="BK4" s="737" t="s">
        <v>262</v>
      </c>
      <c r="BL4" s="737"/>
      <c r="BM4" s="737"/>
      <c r="BN4" s="737"/>
      <c r="BO4" s="737"/>
      <c r="BP4" s="737"/>
      <c r="BQ4" s="737"/>
      <c r="BR4" s="335"/>
      <c r="BS4" s="337"/>
      <c r="BT4" s="334"/>
      <c r="BU4" s="737" t="s">
        <v>263</v>
      </c>
      <c r="BV4" s="737"/>
      <c r="BW4" s="737"/>
      <c r="BX4" s="737"/>
      <c r="BY4" s="737"/>
      <c r="BZ4" s="335"/>
      <c r="CA4" s="92"/>
      <c r="CC4" s="211"/>
      <c r="CD4" s="334"/>
      <c r="CE4" s="737" t="s">
        <v>262</v>
      </c>
      <c r="CF4" s="737"/>
      <c r="CG4" s="737"/>
      <c r="CH4" s="737"/>
      <c r="CI4" s="737"/>
      <c r="CJ4" s="737"/>
      <c r="CK4" s="737"/>
      <c r="CL4" s="335"/>
      <c r="CM4" s="337"/>
      <c r="CN4" s="334"/>
      <c r="CO4" s="737" t="s">
        <v>263</v>
      </c>
      <c r="CP4" s="737"/>
      <c r="CQ4" s="737"/>
      <c r="CR4" s="737"/>
      <c r="CS4" s="737"/>
      <c r="CT4" s="335"/>
      <c r="CU4" s="92"/>
    </row>
    <row r="5" spans="21:99" x14ac:dyDescent="0.3">
      <c r="U5" s="211"/>
      <c r="V5" s="336"/>
      <c r="W5" s="337"/>
      <c r="X5" s="337"/>
      <c r="Y5" s="337"/>
      <c r="Z5" s="337"/>
      <c r="AA5" s="337"/>
      <c r="AB5" s="337"/>
      <c r="AC5" s="337"/>
      <c r="AD5" s="338"/>
      <c r="AE5" s="337"/>
      <c r="AF5" s="336"/>
      <c r="AG5" s="337"/>
      <c r="AH5" s="337"/>
      <c r="AI5" s="337"/>
      <c r="AJ5" s="337"/>
      <c r="AK5" s="337"/>
      <c r="AL5" s="338"/>
      <c r="AM5" s="92"/>
      <c r="AO5" s="211"/>
      <c r="AP5" s="336"/>
      <c r="AQ5" s="337"/>
      <c r="AR5" s="337"/>
      <c r="AS5" s="337"/>
      <c r="AT5" s="337"/>
      <c r="AU5" s="337"/>
      <c r="AV5" s="337"/>
      <c r="AW5" s="337"/>
      <c r="AX5" s="338"/>
      <c r="AY5" s="337"/>
      <c r="AZ5" s="336"/>
      <c r="BA5" s="337"/>
      <c r="BB5" s="337"/>
      <c r="BC5" s="337"/>
      <c r="BD5" s="337"/>
      <c r="BE5" s="337"/>
      <c r="BF5" s="338"/>
      <c r="BG5" s="92"/>
      <c r="BI5" s="211"/>
      <c r="BJ5" s="336"/>
      <c r="BK5" s="337"/>
      <c r="BL5" s="337"/>
      <c r="BM5" s="337"/>
      <c r="BN5" s="337"/>
      <c r="BO5" s="337"/>
      <c r="BP5" s="337"/>
      <c r="BQ5" s="337"/>
      <c r="BR5" s="338"/>
      <c r="BS5" s="337"/>
      <c r="BT5" s="336"/>
      <c r="BU5" s="337"/>
      <c r="BV5" s="337"/>
      <c r="BW5" s="337"/>
      <c r="BX5" s="337"/>
      <c r="BY5" s="337"/>
      <c r="BZ5" s="338"/>
      <c r="CA5" s="92"/>
      <c r="CC5" s="211"/>
      <c r="CD5" s="336"/>
      <c r="CE5" s="337"/>
      <c r="CF5" s="337"/>
      <c r="CG5" s="337"/>
      <c r="CH5" s="337"/>
      <c r="CI5" s="337"/>
      <c r="CJ5" s="337"/>
      <c r="CK5" s="337"/>
      <c r="CL5" s="338"/>
      <c r="CM5" s="337"/>
      <c r="CN5" s="336"/>
      <c r="CO5" s="337"/>
      <c r="CP5" s="337"/>
      <c r="CQ5" s="337"/>
      <c r="CR5" s="337"/>
      <c r="CS5" s="337"/>
      <c r="CT5" s="338"/>
      <c r="CU5" s="92"/>
    </row>
    <row r="6" spans="21:99" x14ac:dyDescent="0.3">
      <c r="U6" s="211"/>
      <c r="V6" s="336"/>
      <c r="W6" s="337"/>
      <c r="X6" s="337"/>
      <c r="Y6" s="337"/>
      <c r="Z6" s="337"/>
      <c r="AA6" s="337"/>
      <c r="AB6" s="337"/>
      <c r="AC6" s="337"/>
      <c r="AD6" s="338"/>
      <c r="AE6" s="337"/>
      <c r="AF6" s="336"/>
      <c r="AG6" s="337"/>
      <c r="AH6" s="337"/>
      <c r="AI6" s="337"/>
      <c r="AJ6" s="337"/>
      <c r="AK6" s="337"/>
      <c r="AL6" s="338"/>
      <c r="AM6" s="92"/>
      <c r="AO6" s="211"/>
      <c r="AP6" s="336"/>
      <c r="AQ6" s="337"/>
      <c r="AR6" s="337"/>
      <c r="AS6" s="337"/>
      <c r="AT6" s="337"/>
      <c r="AU6" s="337"/>
      <c r="AV6" s="337"/>
      <c r="AW6" s="337"/>
      <c r="AX6" s="338"/>
      <c r="AY6" s="337"/>
      <c r="AZ6" s="336"/>
      <c r="BA6" s="337"/>
      <c r="BB6" s="337"/>
      <c r="BC6" s="337"/>
      <c r="BD6" s="337"/>
      <c r="BE6" s="337"/>
      <c r="BF6" s="338"/>
      <c r="BG6" s="92"/>
      <c r="BI6" s="211"/>
      <c r="BJ6" s="336"/>
      <c r="BK6" s="337"/>
      <c r="BL6" s="337"/>
      <c r="BM6" s="337"/>
      <c r="BN6" s="337"/>
      <c r="BO6" s="337"/>
      <c r="BP6" s="337"/>
      <c r="BQ6" s="337"/>
      <c r="BR6" s="338"/>
      <c r="BS6" s="337"/>
      <c r="BT6" s="336"/>
      <c r="BU6" s="337"/>
      <c r="BV6" s="337"/>
      <c r="BW6" s="337"/>
      <c r="BX6" s="337"/>
      <c r="BY6" s="337"/>
      <c r="BZ6" s="338"/>
      <c r="CA6" s="92"/>
      <c r="CC6" s="211"/>
      <c r="CD6" s="336"/>
      <c r="CE6" s="337"/>
      <c r="CF6" s="337"/>
      <c r="CG6" s="337"/>
      <c r="CH6" s="337"/>
      <c r="CI6" s="337"/>
      <c r="CJ6" s="337"/>
      <c r="CK6" s="337"/>
      <c r="CL6" s="338"/>
      <c r="CM6" s="337"/>
      <c r="CN6" s="336"/>
      <c r="CO6" s="337"/>
      <c r="CP6" s="337"/>
      <c r="CQ6" s="337"/>
      <c r="CR6" s="337"/>
      <c r="CS6" s="337"/>
      <c r="CT6" s="338"/>
      <c r="CU6" s="92"/>
    </row>
    <row r="7" spans="21:99" ht="15.6" x14ac:dyDescent="0.3">
      <c r="U7" s="211"/>
      <c r="V7" s="336"/>
      <c r="W7" s="738" t="s">
        <v>55</v>
      </c>
      <c r="X7" s="738"/>
      <c r="Y7" s="738"/>
      <c r="Z7" s="354" t="s">
        <v>195</v>
      </c>
      <c r="AA7" s="337"/>
      <c r="AB7" s="337"/>
      <c r="AC7" s="337"/>
      <c r="AD7" s="338"/>
      <c r="AE7" s="337"/>
      <c r="AF7" s="336"/>
      <c r="AG7" s="337"/>
      <c r="AH7" s="337"/>
      <c r="AI7" s="337"/>
      <c r="AJ7" s="337"/>
      <c r="AK7" s="337"/>
      <c r="AL7" s="338"/>
      <c r="AM7" s="92"/>
      <c r="AO7" s="211"/>
      <c r="AP7" s="336"/>
      <c r="AQ7" s="738" t="s">
        <v>55</v>
      </c>
      <c r="AR7" s="738"/>
      <c r="AS7" s="738"/>
      <c r="AT7" s="354" t="s">
        <v>195</v>
      </c>
      <c r="AU7" s="337"/>
      <c r="AV7" s="337"/>
      <c r="AW7" s="337"/>
      <c r="AX7" s="338"/>
      <c r="AY7" s="337"/>
      <c r="AZ7" s="336"/>
      <c r="BA7" s="337"/>
      <c r="BB7" s="337"/>
      <c r="BC7" s="337"/>
      <c r="BD7" s="337"/>
      <c r="BE7" s="337"/>
      <c r="BF7" s="338"/>
      <c r="BG7" s="92"/>
      <c r="BI7" s="211"/>
      <c r="BJ7" s="336"/>
      <c r="BK7" s="738" t="s">
        <v>55</v>
      </c>
      <c r="BL7" s="738"/>
      <c r="BM7" s="738"/>
      <c r="BN7" s="354" t="s">
        <v>195</v>
      </c>
      <c r="BO7" s="337"/>
      <c r="BP7" s="337"/>
      <c r="BQ7" s="337"/>
      <c r="BR7" s="338"/>
      <c r="BS7" s="337"/>
      <c r="BT7" s="336"/>
      <c r="BU7" s="337"/>
      <c r="BV7" s="337"/>
      <c r="BW7" s="337"/>
      <c r="BX7" s="337"/>
      <c r="BY7" s="337"/>
      <c r="BZ7" s="338"/>
      <c r="CA7" s="92"/>
      <c r="CC7" s="211"/>
      <c r="CD7" s="336"/>
      <c r="CE7" s="738" t="s">
        <v>55</v>
      </c>
      <c r="CF7" s="738"/>
      <c r="CG7" s="738"/>
      <c r="CH7" s="354" t="s">
        <v>195</v>
      </c>
      <c r="CI7" s="337"/>
      <c r="CJ7" s="337"/>
      <c r="CK7" s="337"/>
      <c r="CL7" s="338"/>
      <c r="CM7" s="337"/>
      <c r="CN7" s="336"/>
      <c r="CO7" s="337"/>
      <c r="CP7" s="337"/>
      <c r="CQ7" s="337"/>
      <c r="CR7" s="337"/>
      <c r="CS7" s="337"/>
      <c r="CT7" s="338"/>
      <c r="CU7" s="92"/>
    </row>
    <row r="8" spans="21:99" ht="15.6" x14ac:dyDescent="0.3">
      <c r="U8" s="211"/>
      <c r="V8" s="336"/>
      <c r="W8" s="738" t="s">
        <v>225</v>
      </c>
      <c r="X8" s="738"/>
      <c r="Y8" s="738"/>
      <c r="Z8" s="354" t="s">
        <v>280</v>
      </c>
      <c r="AA8" s="337"/>
      <c r="AB8" s="337"/>
      <c r="AC8" s="337"/>
      <c r="AD8" s="338"/>
      <c r="AE8" s="337"/>
      <c r="AF8" s="336"/>
      <c r="AG8" s="337"/>
      <c r="AH8" s="337"/>
      <c r="AI8" s="337"/>
      <c r="AJ8" s="337"/>
      <c r="AK8" s="337"/>
      <c r="AL8" s="338"/>
      <c r="AM8" s="92"/>
      <c r="AO8" s="211"/>
      <c r="AP8" s="336"/>
      <c r="AQ8" s="738" t="s">
        <v>225</v>
      </c>
      <c r="AR8" s="738"/>
      <c r="AS8" s="738"/>
      <c r="AT8" s="354" t="s">
        <v>281</v>
      </c>
      <c r="AU8" s="337"/>
      <c r="AV8" s="337"/>
      <c r="AW8" s="337"/>
      <c r="AX8" s="338"/>
      <c r="AY8" s="337"/>
      <c r="AZ8" s="336"/>
      <c r="BA8" s="337"/>
      <c r="BB8" s="337"/>
      <c r="BC8" s="337"/>
      <c r="BD8" s="337"/>
      <c r="BE8" s="337"/>
      <c r="BF8" s="338"/>
      <c r="BG8" s="92"/>
      <c r="BI8" s="211"/>
      <c r="BJ8" s="336"/>
      <c r="BK8" s="738" t="s">
        <v>225</v>
      </c>
      <c r="BL8" s="738"/>
      <c r="BM8" s="738"/>
      <c r="BN8" s="354" t="s">
        <v>280</v>
      </c>
      <c r="BO8" s="337"/>
      <c r="BP8" s="337"/>
      <c r="BQ8" s="337"/>
      <c r="BR8" s="338"/>
      <c r="BS8" s="337"/>
      <c r="BT8" s="336"/>
      <c r="BU8" s="337"/>
      <c r="BV8" s="337"/>
      <c r="BW8" s="337"/>
      <c r="BX8" s="337"/>
      <c r="BY8" s="337"/>
      <c r="BZ8" s="338"/>
      <c r="CA8" s="92"/>
      <c r="CC8" s="211"/>
      <c r="CD8" s="336"/>
      <c r="CE8" s="738" t="s">
        <v>225</v>
      </c>
      <c r="CF8" s="738"/>
      <c r="CG8" s="738"/>
      <c r="CH8" s="354" t="s">
        <v>281</v>
      </c>
      <c r="CI8" s="337"/>
      <c r="CJ8" s="337"/>
      <c r="CK8" s="337"/>
      <c r="CL8" s="338"/>
      <c r="CM8" s="337"/>
      <c r="CN8" s="336"/>
      <c r="CO8" s="337"/>
      <c r="CP8" s="337"/>
      <c r="CQ8" s="337"/>
      <c r="CR8" s="337"/>
      <c r="CS8" s="337"/>
      <c r="CT8" s="338"/>
      <c r="CU8" s="92"/>
    </row>
    <row r="9" spans="21:99" ht="15.6" x14ac:dyDescent="0.3">
      <c r="U9" s="211"/>
      <c r="V9" s="336"/>
      <c r="W9" s="339"/>
      <c r="X9" s="337"/>
      <c r="Y9" s="337"/>
      <c r="Z9" s="337"/>
      <c r="AA9" s="337"/>
      <c r="AB9" s="337"/>
      <c r="AC9" s="337"/>
      <c r="AD9" s="338"/>
      <c r="AE9" s="337"/>
      <c r="AF9" s="336"/>
      <c r="AG9" s="337"/>
      <c r="AH9" s="337"/>
      <c r="AI9" s="337"/>
      <c r="AJ9" s="337"/>
      <c r="AK9" s="337"/>
      <c r="AL9" s="338"/>
      <c r="AM9" s="92"/>
      <c r="AO9" s="211"/>
      <c r="AP9" s="336"/>
      <c r="AQ9" s="339"/>
      <c r="AR9" s="337"/>
      <c r="AS9" s="337"/>
      <c r="AT9" s="337"/>
      <c r="AU9" s="337"/>
      <c r="AV9" s="337"/>
      <c r="AW9" s="337"/>
      <c r="AX9" s="338"/>
      <c r="AY9" s="337"/>
      <c r="AZ9" s="336"/>
      <c r="BA9" s="337"/>
      <c r="BB9" s="337"/>
      <c r="BC9" s="337"/>
      <c r="BD9" s="337"/>
      <c r="BE9" s="337"/>
      <c r="BF9" s="338"/>
      <c r="BG9" s="92"/>
      <c r="BI9" s="211"/>
      <c r="BJ9" s="336"/>
      <c r="BK9" s="339"/>
      <c r="BL9" s="337"/>
      <c r="BM9" s="337"/>
      <c r="BN9" s="337"/>
      <c r="BO9" s="337"/>
      <c r="BP9" s="337"/>
      <c r="BQ9" s="337"/>
      <c r="BR9" s="338"/>
      <c r="BS9" s="337"/>
      <c r="BT9" s="336"/>
      <c r="BU9" s="337"/>
      <c r="BV9" s="337"/>
      <c r="BW9" s="337"/>
      <c r="BX9" s="337"/>
      <c r="BY9" s="337"/>
      <c r="BZ9" s="338"/>
      <c r="CA9" s="92"/>
      <c r="CC9" s="211"/>
      <c r="CD9" s="336"/>
      <c r="CE9" s="339"/>
      <c r="CF9" s="337"/>
      <c r="CG9" s="337"/>
      <c r="CH9" s="337"/>
      <c r="CI9" s="337"/>
      <c r="CJ9" s="337"/>
      <c r="CK9" s="337"/>
      <c r="CL9" s="338"/>
      <c r="CM9" s="337"/>
      <c r="CN9" s="336"/>
      <c r="CO9" s="337"/>
      <c r="CP9" s="337"/>
      <c r="CQ9" s="337"/>
      <c r="CR9" s="337"/>
      <c r="CS9" s="337"/>
      <c r="CT9" s="338"/>
      <c r="CU9" s="92"/>
    </row>
    <row r="10" spans="21:99" x14ac:dyDescent="0.3">
      <c r="U10" s="211"/>
      <c r="V10" s="336"/>
      <c r="W10" s="374" t="s">
        <v>198</v>
      </c>
      <c r="X10" s="374" t="s">
        <v>0</v>
      </c>
      <c r="Y10" s="374" t="s">
        <v>192</v>
      </c>
      <c r="Z10" s="374" t="s">
        <v>193</v>
      </c>
      <c r="AA10" s="374" t="s">
        <v>194</v>
      </c>
      <c r="AB10" s="374" t="s">
        <v>226</v>
      </c>
      <c r="AC10" s="374" t="s">
        <v>7</v>
      </c>
      <c r="AD10" s="338"/>
      <c r="AE10" s="337"/>
      <c r="AF10" s="336"/>
      <c r="AG10" s="374" t="s">
        <v>198</v>
      </c>
      <c r="AH10" s="374" t="s">
        <v>0</v>
      </c>
      <c r="AI10" s="374" t="s">
        <v>192</v>
      </c>
      <c r="AJ10" s="374" t="s">
        <v>193</v>
      </c>
      <c r="AK10" s="374" t="s">
        <v>194</v>
      </c>
      <c r="AL10" s="338"/>
      <c r="AM10" s="92"/>
      <c r="AO10" s="211"/>
      <c r="AP10" s="336"/>
      <c r="AQ10" s="374" t="s">
        <v>198</v>
      </c>
      <c r="AR10" s="374" t="s">
        <v>0</v>
      </c>
      <c r="AS10" s="374" t="s">
        <v>192</v>
      </c>
      <c r="AT10" s="374" t="s">
        <v>193</v>
      </c>
      <c r="AU10" s="374" t="s">
        <v>194</v>
      </c>
      <c r="AV10" s="374" t="s">
        <v>226</v>
      </c>
      <c r="AW10" s="374" t="s">
        <v>7</v>
      </c>
      <c r="AX10" s="338"/>
      <c r="AY10" s="337"/>
      <c r="AZ10" s="336"/>
      <c r="BA10" s="374" t="s">
        <v>198</v>
      </c>
      <c r="BB10" s="374" t="s">
        <v>0</v>
      </c>
      <c r="BC10" s="374" t="s">
        <v>192</v>
      </c>
      <c r="BD10" s="374" t="s">
        <v>193</v>
      </c>
      <c r="BE10" s="374" t="s">
        <v>194</v>
      </c>
      <c r="BF10" s="338"/>
      <c r="BG10" s="92"/>
      <c r="BI10" s="211"/>
      <c r="BJ10" s="336"/>
      <c r="BK10" s="374" t="s">
        <v>198</v>
      </c>
      <c r="BL10" s="374" t="s">
        <v>0</v>
      </c>
      <c r="BM10" s="374" t="s">
        <v>192</v>
      </c>
      <c r="BN10" s="374" t="s">
        <v>193</v>
      </c>
      <c r="BO10" s="374" t="s">
        <v>194</v>
      </c>
      <c r="BP10" s="374" t="s">
        <v>226</v>
      </c>
      <c r="BQ10" s="374" t="s">
        <v>7</v>
      </c>
      <c r="BR10" s="338"/>
      <c r="BS10" s="337"/>
      <c r="BT10" s="336"/>
      <c r="BU10" s="374" t="s">
        <v>198</v>
      </c>
      <c r="BV10" s="374" t="s">
        <v>0</v>
      </c>
      <c r="BW10" s="374" t="s">
        <v>192</v>
      </c>
      <c r="BX10" s="374" t="s">
        <v>193</v>
      </c>
      <c r="BY10" s="374" t="s">
        <v>194</v>
      </c>
      <c r="BZ10" s="338"/>
      <c r="CA10" s="92"/>
      <c r="CC10" s="211"/>
      <c r="CD10" s="336"/>
      <c r="CE10" s="374" t="s">
        <v>198</v>
      </c>
      <c r="CF10" s="374" t="s">
        <v>0</v>
      </c>
      <c r="CG10" s="374" t="s">
        <v>192</v>
      </c>
      <c r="CH10" s="374" t="s">
        <v>193</v>
      </c>
      <c r="CI10" s="374" t="s">
        <v>194</v>
      </c>
      <c r="CJ10" s="374" t="s">
        <v>226</v>
      </c>
      <c r="CK10" s="374" t="s">
        <v>7</v>
      </c>
      <c r="CL10" s="338"/>
      <c r="CM10" s="337"/>
      <c r="CN10" s="336"/>
      <c r="CO10" s="374" t="s">
        <v>198</v>
      </c>
      <c r="CP10" s="374" t="s">
        <v>0</v>
      </c>
      <c r="CQ10" s="374" t="s">
        <v>192</v>
      </c>
      <c r="CR10" s="374" t="s">
        <v>193</v>
      </c>
      <c r="CS10" s="374" t="s">
        <v>194</v>
      </c>
      <c r="CT10" s="338"/>
      <c r="CU10" s="92"/>
    </row>
    <row r="11" spans="21:99" x14ac:dyDescent="0.3">
      <c r="U11" s="211"/>
      <c r="V11" s="336"/>
      <c r="W11" s="375">
        <v>1</v>
      </c>
      <c r="X11" s="375"/>
      <c r="Y11" s="350"/>
      <c r="Z11" s="351">
        <v>27</v>
      </c>
      <c r="AA11" s="351">
        <v>26.99</v>
      </c>
      <c r="AB11" s="351">
        <f>IF(AND(Z11&gt;0,AA11&gt;0),AVERAGE(Z11:AA11),"")</f>
        <v>26.994999999999997</v>
      </c>
      <c r="AC11" s="351">
        <f>IF(AND(Z11&gt;0,AA11&gt;0),ABS(Z11-AA11),"")</f>
        <v>1.0000000000001563E-2</v>
      </c>
      <c r="AD11" s="338"/>
      <c r="AE11" s="337"/>
      <c r="AF11" s="336"/>
      <c r="AG11" s="375">
        <v>1</v>
      </c>
      <c r="AH11" s="375"/>
      <c r="AI11" s="350"/>
      <c r="AJ11" s="351">
        <f>Z11</f>
        <v>27</v>
      </c>
      <c r="AK11" s="351">
        <f t="shared" ref="AK11:AK17" si="0">AA11</f>
        <v>26.99</v>
      </c>
      <c r="AL11" s="338"/>
      <c r="AM11" s="92"/>
      <c r="AO11" s="211"/>
      <c r="AP11" s="336"/>
      <c r="AQ11" s="375">
        <v>1</v>
      </c>
      <c r="AR11" s="375"/>
      <c r="AS11" s="350"/>
      <c r="AT11" s="351">
        <v>27.1</v>
      </c>
      <c r="AU11" s="351">
        <v>26.99</v>
      </c>
      <c r="AV11" s="351">
        <f>IF(AND(AT11&gt;0,AU11&gt;0),AVERAGE(AT11:AU11),"")</f>
        <v>27.045000000000002</v>
      </c>
      <c r="AW11" s="351">
        <f>IF(AND(AT11&gt;0,AU11&gt;0),ABS(AT11-AU11),"")</f>
        <v>0.11000000000000298</v>
      </c>
      <c r="AX11" s="338"/>
      <c r="AY11" s="337"/>
      <c r="AZ11" s="336"/>
      <c r="BA11" s="375">
        <v>1</v>
      </c>
      <c r="BB11" s="375"/>
      <c r="BC11" s="350"/>
      <c r="BD11" s="351">
        <f>AT11</f>
        <v>27.1</v>
      </c>
      <c r="BE11" s="351">
        <f t="shared" ref="BE11:BE17" si="1">AU11</f>
        <v>26.99</v>
      </c>
      <c r="BF11" s="338"/>
      <c r="BG11" s="92"/>
      <c r="BI11" s="211"/>
      <c r="BJ11" s="336"/>
      <c r="BK11" s="375">
        <v>1</v>
      </c>
      <c r="BL11" s="375"/>
      <c r="BM11" s="350"/>
      <c r="BN11" s="351">
        <v>27</v>
      </c>
      <c r="BO11" s="351">
        <v>26.99</v>
      </c>
      <c r="BP11" s="351">
        <f>IF(AND(BN11&gt;0,BO11&gt;0),AVERAGE(BN11:BO11),"")</f>
        <v>26.994999999999997</v>
      </c>
      <c r="BQ11" s="351">
        <f>IF(AND(BN11&gt;0,BO11&gt;0),ABS(BN11-BO11),"")</f>
        <v>1.0000000000001563E-2</v>
      </c>
      <c r="BR11" s="338"/>
      <c r="BS11" s="337"/>
      <c r="BT11" s="336"/>
      <c r="BU11" s="375">
        <v>1</v>
      </c>
      <c r="BV11" s="375"/>
      <c r="BW11" s="350"/>
      <c r="BX11" s="351">
        <f>BN11</f>
        <v>27</v>
      </c>
      <c r="BY11" s="351">
        <f t="shared" ref="BY11:BY17" si="2">BO11</f>
        <v>26.99</v>
      </c>
      <c r="BZ11" s="338"/>
      <c r="CA11" s="92"/>
      <c r="CC11" s="211"/>
      <c r="CD11" s="336"/>
      <c r="CE11" s="375">
        <v>1</v>
      </c>
      <c r="CF11" s="375"/>
      <c r="CG11" s="350"/>
      <c r="CH11" s="351">
        <v>27.1</v>
      </c>
      <c r="CI11" s="351">
        <v>26.99</v>
      </c>
      <c r="CJ11" s="351">
        <f>IF(AND(CH11&gt;0,CI11&gt;0),AVERAGE(CH11:CI11),"")</f>
        <v>27.045000000000002</v>
      </c>
      <c r="CK11" s="351">
        <f>IF(AND(CH11&gt;0,CI11&gt;0),ABS(CH11-CI11),"")</f>
        <v>0.11000000000000298</v>
      </c>
      <c r="CL11" s="338"/>
      <c r="CM11" s="337"/>
      <c r="CN11" s="336"/>
      <c r="CO11" s="375">
        <v>1</v>
      </c>
      <c r="CP11" s="375"/>
      <c r="CQ11" s="350"/>
      <c r="CR11" s="351">
        <f>CH11</f>
        <v>27.1</v>
      </c>
      <c r="CS11" s="351">
        <f t="shared" ref="CS11:CS17" si="3">CI11</f>
        <v>26.99</v>
      </c>
      <c r="CT11" s="338"/>
      <c r="CU11" s="92"/>
    </row>
    <row r="12" spans="21:99" x14ac:dyDescent="0.3">
      <c r="U12" s="211"/>
      <c r="V12" s="336"/>
      <c r="W12" s="375">
        <v>2</v>
      </c>
      <c r="X12" s="375"/>
      <c r="Y12" s="350"/>
      <c r="Z12" s="351">
        <v>27.15</v>
      </c>
      <c r="AA12" s="351">
        <v>27.05</v>
      </c>
      <c r="AB12" s="351">
        <f t="shared" ref="AB12:AB17" si="4">IF(AND(Z12&gt;0,AA12&gt;0),AVERAGE(Z12:AA12),"")</f>
        <v>27.1</v>
      </c>
      <c r="AC12" s="351">
        <f t="shared" ref="AC12:AC17" si="5">IF(AND(Z12&gt;0,AA12&gt;0),ABS(Z12-AA12),"")</f>
        <v>9.9999999999997868E-2</v>
      </c>
      <c r="AD12" s="338"/>
      <c r="AE12" s="337"/>
      <c r="AF12" s="336"/>
      <c r="AG12" s="375">
        <v>2</v>
      </c>
      <c r="AH12" s="375"/>
      <c r="AI12" s="350"/>
      <c r="AJ12" s="351">
        <f t="shared" ref="AJ12:AJ17" si="6">Z12</f>
        <v>27.15</v>
      </c>
      <c r="AK12" s="351">
        <f t="shared" si="0"/>
        <v>27.05</v>
      </c>
      <c r="AL12" s="338"/>
      <c r="AM12" s="92"/>
      <c r="AO12" s="211"/>
      <c r="AP12" s="336"/>
      <c r="AQ12" s="375">
        <v>2</v>
      </c>
      <c r="AR12" s="375"/>
      <c r="AS12" s="350"/>
      <c r="AT12" s="351">
        <v>27</v>
      </c>
      <c r="AU12" s="351">
        <v>27</v>
      </c>
      <c r="AV12" s="351">
        <f t="shared" ref="AV12:AV17" si="7">IF(AND(AT12&gt;0,AU12&gt;0),AVERAGE(AT12:AU12),"")</f>
        <v>27</v>
      </c>
      <c r="AW12" s="351">
        <f t="shared" ref="AW12:AW17" si="8">IF(AND(AT12&gt;0,AU12&gt;0),ABS(AT12-AU12),"")</f>
        <v>0</v>
      </c>
      <c r="AX12" s="338"/>
      <c r="AY12" s="337"/>
      <c r="AZ12" s="336"/>
      <c r="BA12" s="375">
        <v>2</v>
      </c>
      <c r="BB12" s="375"/>
      <c r="BC12" s="350"/>
      <c r="BD12" s="351">
        <f t="shared" ref="BD12:BD17" si="9">AT12</f>
        <v>27</v>
      </c>
      <c r="BE12" s="351">
        <f t="shared" si="1"/>
        <v>27</v>
      </c>
      <c r="BF12" s="338"/>
      <c r="BG12" s="92"/>
      <c r="BI12" s="211"/>
      <c r="BJ12" s="336"/>
      <c r="BK12" s="375">
        <v>2</v>
      </c>
      <c r="BL12" s="375"/>
      <c r="BM12" s="350"/>
      <c r="BN12" s="351">
        <v>27.15</v>
      </c>
      <c r="BO12" s="351">
        <v>27.05</v>
      </c>
      <c r="BP12" s="351">
        <f t="shared" ref="BP12:BP17" si="10">IF(AND(BN12&gt;0,BO12&gt;0),AVERAGE(BN12:BO12),"")</f>
        <v>27.1</v>
      </c>
      <c r="BQ12" s="351">
        <f t="shared" ref="BQ12:BQ17" si="11">IF(AND(BN12&gt;0,BO12&gt;0),ABS(BN12-BO12),"")</f>
        <v>9.9999999999997868E-2</v>
      </c>
      <c r="BR12" s="338"/>
      <c r="BS12" s="337"/>
      <c r="BT12" s="336"/>
      <c r="BU12" s="375">
        <v>2</v>
      </c>
      <c r="BV12" s="375"/>
      <c r="BW12" s="350"/>
      <c r="BX12" s="351">
        <f t="shared" ref="BX12:BX17" si="12">BN12</f>
        <v>27.15</v>
      </c>
      <c r="BY12" s="351">
        <f t="shared" si="2"/>
        <v>27.05</v>
      </c>
      <c r="BZ12" s="338"/>
      <c r="CA12" s="92"/>
      <c r="CC12" s="211"/>
      <c r="CD12" s="336"/>
      <c r="CE12" s="375">
        <v>2</v>
      </c>
      <c r="CF12" s="375"/>
      <c r="CG12" s="350"/>
      <c r="CH12" s="351">
        <v>27</v>
      </c>
      <c r="CI12" s="351">
        <v>27</v>
      </c>
      <c r="CJ12" s="351">
        <f t="shared" ref="CJ12:CJ17" si="13">IF(AND(CH12&gt;0,CI12&gt;0),AVERAGE(CH12:CI12),"")</f>
        <v>27</v>
      </c>
      <c r="CK12" s="351">
        <f t="shared" ref="CK12:CK17" si="14">IF(AND(CH12&gt;0,CI12&gt;0),ABS(CH12-CI12),"")</f>
        <v>0</v>
      </c>
      <c r="CL12" s="338"/>
      <c r="CM12" s="337"/>
      <c r="CN12" s="336"/>
      <c r="CO12" s="375">
        <v>2</v>
      </c>
      <c r="CP12" s="375"/>
      <c r="CQ12" s="350"/>
      <c r="CR12" s="351">
        <f t="shared" ref="CR12:CR17" si="15">CH12</f>
        <v>27</v>
      </c>
      <c r="CS12" s="351">
        <f t="shared" si="3"/>
        <v>27</v>
      </c>
      <c r="CT12" s="338"/>
      <c r="CU12" s="92"/>
    </row>
    <row r="13" spans="21:99" x14ac:dyDescent="0.3">
      <c r="U13" s="211"/>
      <c r="V13" s="336"/>
      <c r="W13" s="375">
        <v>3</v>
      </c>
      <c r="X13" s="375"/>
      <c r="Y13" s="350"/>
      <c r="Z13" s="351">
        <v>27.2</v>
      </c>
      <c r="AA13" s="351">
        <v>27.23</v>
      </c>
      <c r="AB13" s="351">
        <f t="shared" si="4"/>
        <v>27.215</v>
      </c>
      <c r="AC13" s="351">
        <f t="shared" si="5"/>
        <v>3.0000000000001137E-2</v>
      </c>
      <c r="AD13" s="338"/>
      <c r="AE13" s="337"/>
      <c r="AF13" s="336"/>
      <c r="AG13" s="375">
        <v>3</v>
      </c>
      <c r="AH13" s="375"/>
      <c r="AI13" s="350"/>
      <c r="AJ13" s="351">
        <f t="shared" si="6"/>
        <v>27.2</v>
      </c>
      <c r="AK13" s="351">
        <f t="shared" si="0"/>
        <v>27.23</v>
      </c>
      <c r="AL13" s="338"/>
      <c r="AM13" s="92"/>
      <c r="AO13" s="211"/>
      <c r="AP13" s="336"/>
      <c r="AQ13" s="375">
        <v>3</v>
      </c>
      <c r="AR13" s="375"/>
      <c r="AS13" s="350"/>
      <c r="AT13" s="351">
        <v>27.1</v>
      </c>
      <c r="AU13" s="351">
        <v>27.08</v>
      </c>
      <c r="AV13" s="351">
        <f t="shared" si="7"/>
        <v>27.09</v>
      </c>
      <c r="AW13" s="351">
        <f t="shared" si="8"/>
        <v>2.0000000000003126E-2</v>
      </c>
      <c r="AX13" s="338"/>
      <c r="AY13" s="337"/>
      <c r="AZ13" s="336"/>
      <c r="BA13" s="375">
        <v>3</v>
      </c>
      <c r="BB13" s="375"/>
      <c r="BC13" s="350"/>
      <c r="BD13" s="351">
        <f t="shared" si="9"/>
        <v>27.1</v>
      </c>
      <c r="BE13" s="351">
        <f t="shared" si="1"/>
        <v>27.08</v>
      </c>
      <c r="BF13" s="338"/>
      <c r="BG13" s="92"/>
      <c r="BI13" s="211"/>
      <c r="BJ13" s="336"/>
      <c r="BK13" s="375">
        <v>3</v>
      </c>
      <c r="BL13" s="375"/>
      <c r="BM13" s="350"/>
      <c r="BN13" s="351">
        <v>27.1</v>
      </c>
      <c r="BO13" s="351">
        <v>27.03</v>
      </c>
      <c r="BP13" s="351">
        <f t="shared" si="10"/>
        <v>27.065000000000001</v>
      </c>
      <c r="BQ13" s="351">
        <f t="shared" si="11"/>
        <v>7.0000000000000284E-2</v>
      </c>
      <c r="BR13" s="338"/>
      <c r="BS13" s="337"/>
      <c r="BT13" s="336"/>
      <c r="BU13" s="375">
        <v>3</v>
      </c>
      <c r="BV13" s="375"/>
      <c r="BW13" s="350"/>
      <c r="BX13" s="351">
        <f t="shared" si="12"/>
        <v>27.1</v>
      </c>
      <c r="BY13" s="351">
        <f t="shared" si="2"/>
        <v>27.03</v>
      </c>
      <c r="BZ13" s="338"/>
      <c r="CA13" s="92"/>
      <c r="CC13" s="211"/>
      <c r="CD13" s="336"/>
      <c r="CE13" s="375">
        <v>3</v>
      </c>
      <c r="CF13" s="375"/>
      <c r="CG13" s="350"/>
      <c r="CH13" s="351">
        <v>27.1</v>
      </c>
      <c r="CI13" s="351">
        <v>27.08</v>
      </c>
      <c r="CJ13" s="351">
        <f t="shared" si="13"/>
        <v>27.09</v>
      </c>
      <c r="CK13" s="351">
        <f t="shared" si="14"/>
        <v>2.0000000000003126E-2</v>
      </c>
      <c r="CL13" s="338"/>
      <c r="CM13" s="337"/>
      <c r="CN13" s="336"/>
      <c r="CO13" s="375">
        <v>3</v>
      </c>
      <c r="CP13" s="375"/>
      <c r="CQ13" s="350"/>
      <c r="CR13" s="351">
        <f t="shared" si="15"/>
        <v>27.1</v>
      </c>
      <c r="CS13" s="351">
        <f t="shared" si="3"/>
        <v>27.08</v>
      </c>
      <c r="CT13" s="338"/>
      <c r="CU13" s="92"/>
    </row>
    <row r="14" spans="21:99" x14ac:dyDescent="0.3">
      <c r="U14" s="211"/>
      <c r="V14" s="336"/>
      <c r="W14" s="375">
        <v>4</v>
      </c>
      <c r="X14" s="375"/>
      <c r="Y14" s="350"/>
      <c r="Z14" s="351">
        <v>27.05</v>
      </c>
      <c r="AA14" s="351">
        <v>27.11</v>
      </c>
      <c r="AB14" s="351">
        <f t="shared" si="4"/>
        <v>27.08</v>
      </c>
      <c r="AC14" s="351">
        <f t="shared" si="5"/>
        <v>5.9999999999998721E-2</v>
      </c>
      <c r="AD14" s="338"/>
      <c r="AE14" s="337"/>
      <c r="AF14" s="336"/>
      <c r="AG14" s="375">
        <v>4</v>
      </c>
      <c r="AH14" s="375"/>
      <c r="AI14" s="350"/>
      <c r="AJ14" s="351">
        <f t="shared" si="6"/>
        <v>27.05</v>
      </c>
      <c r="AK14" s="351">
        <f t="shared" si="0"/>
        <v>27.11</v>
      </c>
      <c r="AL14" s="338"/>
      <c r="AM14" s="92"/>
      <c r="AO14" s="211"/>
      <c r="AP14" s="336"/>
      <c r="AQ14" s="375">
        <v>4</v>
      </c>
      <c r="AR14" s="375"/>
      <c r="AS14" s="350"/>
      <c r="AT14" s="351">
        <v>26.82</v>
      </c>
      <c r="AU14" s="351">
        <v>26.79</v>
      </c>
      <c r="AV14" s="351">
        <f t="shared" si="7"/>
        <v>26.805</v>
      </c>
      <c r="AW14" s="351">
        <f t="shared" si="8"/>
        <v>3.0000000000001137E-2</v>
      </c>
      <c r="AX14" s="338"/>
      <c r="AY14" s="337"/>
      <c r="AZ14" s="336"/>
      <c r="BA14" s="375">
        <v>4</v>
      </c>
      <c r="BB14" s="375"/>
      <c r="BC14" s="350"/>
      <c r="BD14" s="351">
        <f t="shared" si="9"/>
        <v>26.82</v>
      </c>
      <c r="BE14" s="351">
        <f t="shared" si="1"/>
        <v>26.79</v>
      </c>
      <c r="BF14" s="338"/>
      <c r="BG14" s="92"/>
      <c r="BI14" s="211"/>
      <c r="BJ14" s="336"/>
      <c r="BK14" s="375">
        <v>4</v>
      </c>
      <c r="BL14" s="375"/>
      <c r="BM14" s="350"/>
      <c r="BN14" s="351">
        <v>27.05</v>
      </c>
      <c r="BO14" s="351">
        <v>27.11</v>
      </c>
      <c r="BP14" s="351">
        <f t="shared" si="10"/>
        <v>27.08</v>
      </c>
      <c r="BQ14" s="351">
        <f t="shared" si="11"/>
        <v>5.9999999999998721E-2</v>
      </c>
      <c r="BR14" s="338"/>
      <c r="BS14" s="337"/>
      <c r="BT14" s="336"/>
      <c r="BU14" s="375">
        <v>4</v>
      </c>
      <c r="BV14" s="375"/>
      <c r="BW14" s="350"/>
      <c r="BX14" s="351">
        <f t="shared" si="12"/>
        <v>27.05</v>
      </c>
      <c r="BY14" s="351">
        <f t="shared" si="2"/>
        <v>27.11</v>
      </c>
      <c r="BZ14" s="338"/>
      <c r="CA14" s="92"/>
      <c r="CC14" s="211"/>
      <c r="CD14" s="336"/>
      <c r="CE14" s="375">
        <v>4</v>
      </c>
      <c r="CF14" s="375"/>
      <c r="CG14" s="350"/>
      <c r="CH14" s="351">
        <v>27.1</v>
      </c>
      <c r="CI14" s="351">
        <v>27.02</v>
      </c>
      <c r="CJ14" s="351">
        <f t="shared" si="13"/>
        <v>27.060000000000002</v>
      </c>
      <c r="CK14" s="351">
        <f t="shared" si="14"/>
        <v>8.0000000000001847E-2</v>
      </c>
      <c r="CL14" s="338"/>
      <c r="CM14" s="337"/>
      <c r="CN14" s="336"/>
      <c r="CO14" s="375">
        <v>4</v>
      </c>
      <c r="CP14" s="375"/>
      <c r="CQ14" s="350"/>
      <c r="CR14" s="351">
        <f t="shared" si="15"/>
        <v>27.1</v>
      </c>
      <c r="CS14" s="351">
        <f t="shared" si="3"/>
        <v>27.02</v>
      </c>
      <c r="CT14" s="338"/>
      <c r="CU14" s="92"/>
    </row>
    <row r="15" spans="21:99" x14ac:dyDescent="0.3">
      <c r="U15" s="211"/>
      <c r="V15" s="336"/>
      <c r="W15" s="375">
        <v>5</v>
      </c>
      <c r="X15" s="375"/>
      <c r="Y15" s="350"/>
      <c r="Z15" s="351">
        <v>27.22</v>
      </c>
      <c r="AA15" s="351">
        <v>27.23</v>
      </c>
      <c r="AB15" s="351">
        <f t="shared" si="4"/>
        <v>27.225000000000001</v>
      </c>
      <c r="AC15" s="351">
        <f t="shared" si="5"/>
        <v>1.0000000000001563E-2</v>
      </c>
      <c r="AD15" s="338"/>
      <c r="AE15" s="337"/>
      <c r="AF15" s="336"/>
      <c r="AG15" s="375">
        <v>5</v>
      </c>
      <c r="AH15" s="375"/>
      <c r="AI15" s="350"/>
      <c r="AJ15" s="351">
        <f t="shared" si="6"/>
        <v>27.22</v>
      </c>
      <c r="AK15" s="351">
        <f t="shared" si="0"/>
        <v>27.23</v>
      </c>
      <c r="AL15" s="338"/>
      <c r="AM15" s="92"/>
      <c r="AO15" s="211"/>
      <c r="AP15" s="336"/>
      <c r="AQ15" s="375">
        <v>5</v>
      </c>
      <c r="AR15" s="375"/>
      <c r="AS15" s="350"/>
      <c r="AT15" s="351">
        <v>27</v>
      </c>
      <c r="AU15" s="351">
        <v>26.92</v>
      </c>
      <c r="AV15" s="351">
        <f t="shared" si="7"/>
        <v>26.96</v>
      </c>
      <c r="AW15" s="351">
        <f t="shared" si="8"/>
        <v>7.9999999999998295E-2</v>
      </c>
      <c r="AX15" s="338"/>
      <c r="AY15" s="337"/>
      <c r="AZ15" s="336"/>
      <c r="BA15" s="375">
        <v>5</v>
      </c>
      <c r="BB15" s="375"/>
      <c r="BC15" s="350"/>
      <c r="BD15" s="351">
        <f t="shared" si="9"/>
        <v>27</v>
      </c>
      <c r="BE15" s="351">
        <f t="shared" si="1"/>
        <v>26.92</v>
      </c>
      <c r="BF15" s="338"/>
      <c r="BG15" s="92"/>
      <c r="BI15" s="211"/>
      <c r="BJ15" s="336"/>
      <c r="BK15" s="375">
        <v>5</v>
      </c>
      <c r="BL15" s="375"/>
      <c r="BM15" s="350"/>
      <c r="BN15" s="351">
        <v>27.22</v>
      </c>
      <c r="BO15" s="351">
        <v>27.23</v>
      </c>
      <c r="BP15" s="351">
        <f t="shared" si="10"/>
        <v>27.225000000000001</v>
      </c>
      <c r="BQ15" s="351">
        <f t="shared" si="11"/>
        <v>1.0000000000001563E-2</v>
      </c>
      <c r="BR15" s="338"/>
      <c r="BS15" s="337"/>
      <c r="BT15" s="336"/>
      <c r="BU15" s="375">
        <v>5</v>
      </c>
      <c r="BV15" s="375"/>
      <c r="BW15" s="350"/>
      <c r="BX15" s="351">
        <f t="shared" si="12"/>
        <v>27.22</v>
      </c>
      <c r="BY15" s="351">
        <f t="shared" si="2"/>
        <v>27.23</v>
      </c>
      <c r="BZ15" s="338"/>
      <c r="CA15" s="92"/>
      <c r="CC15" s="211"/>
      <c r="CD15" s="336"/>
      <c r="CE15" s="375">
        <v>5</v>
      </c>
      <c r="CF15" s="375"/>
      <c r="CG15" s="350"/>
      <c r="CH15" s="351">
        <v>26.82</v>
      </c>
      <c r="CI15" s="351">
        <v>26.79</v>
      </c>
      <c r="CJ15" s="351">
        <f t="shared" si="13"/>
        <v>26.805</v>
      </c>
      <c r="CK15" s="351">
        <f t="shared" si="14"/>
        <v>3.0000000000001137E-2</v>
      </c>
      <c r="CL15" s="338"/>
      <c r="CM15" s="337"/>
      <c r="CN15" s="336"/>
      <c r="CO15" s="375">
        <v>5</v>
      </c>
      <c r="CP15" s="375"/>
      <c r="CQ15" s="350"/>
      <c r="CR15" s="351">
        <f t="shared" si="15"/>
        <v>26.82</v>
      </c>
      <c r="CS15" s="351">
        <f t="shared" si="3"/>
        <v>26.79</v>
      </c>
      <c r="CT15" s="338"/>
      <c r="CU15" s="92"/>
    </row>
    <row r="16" spans="21:99" x14ac:dyDescent="0.3">
      <c r="U16" s="211"/>
      <c r="V16" s="336"/>
      <c r="W16" s="375">
        <v>6</v>
      </c>
      <c r="X16" s="375"/>
      <c r="Y16" s="350"/>
      <c r="Z16" s="351">
        <v>27.12</v>
      </c>
      <c r="AA16" s="351">
        <v>27.06</v>
      </c>
      <c r="AB16" s="351">
        <f t="shared" si="4"/>
        <v>27.09</v>
      </c>
      <c r="AC16" s="351">
        <f t="shared" si="5"/>
        <v>6.0000000000002274E-2</v>
      </c>
      <c r="AD16" s="338"/>
      <c r="AE16" s="337"/>
      <c r="AF16" s="336"/>
      <c r="AG16" s="375">
        <v>6</v>
      </c>
      <c r="AH16" s="375"/>
      <c r="AI16" s="350"/>
      <c r="AJ16" s="351">
        <f t="shared" si="6"/>
        <v>27.12</v>
      </c>
      <c r="AK16" s="351">
        <f t="shared" si="0"/>
        <v>27.06</v>
      </c>
      <c r="AL16" s="338"/>
      <c r="AM16" s="92"/>
      <c r="AO16" s="211"/>
      <c r="AP16" s="336"/>
      <c r="AQ16" s="375">
        <v>6</v>
      </c>
      <c r="AR16" s="375"/>
      <c r="AS16" s="350"/>
      <c r="AT16" s="351">
        <v>26.85</v>
      </c>
      <c r="AU16" s="351">
        <v>26.8</v>
      </c>
      <c r="AV16" s="351">
        <f t="shared" si="7"/>
        <v>26.825000000000003</v>
      </c>
      <c r="AW16" s="351">
        <f t="shared" si="8"/>
        <v>5.0000000000000711E-2</v>
      </c>
      <c r="AX16" s="338"/>
      <c r="AY16" s="337"/>
      <c r="AZ16" s="336"/>
      <c r="BA16" s="375">
        <v>6</v>
      </c>
      <c r="BB16" s="375"/>
      <c r="BC16" s="350"/>
      <c r="BD16" s="351">
        <f t="shared" si="9"/>
        <v>26.85</v>
      </c>
      <c r="BE16" s="351">
        <f t="shared" si="1"/>
        <v>26.8</v>
      </c>
      <c r="BF16" s="338"/>
      <c r="BG16" s="92"/>
      <c r="BI16" s="211"/>
      <c r="BJ16" s="336"/>
      <c r="BK16" s="375">
        <v>6</v>
      </c>
      <c r="BL16" s="375"/>
      <c r="BM16" s="350"/>
      <c r="BN16" s="351">
        <v>27.22</v>
      </c>
      <c r="BO16" s="351">
        <v>27.18</v>
      </c>
      <c r="BP16" s="351">
        <f t="shared" si="10"/>
        <v>27.2</v>
      </c>
      <c r="BQ16" s="351">
        <f t="shared" si="11"/>
        <v>3.9999999999999147E-2</v>
      </c>
      <c r="BR16" s="338"/>
      <c r="BS16" s="337"/>
      <c r="BT16" s="336"/>
      <c r="BU16" s="375">
        <v>6</v>
      </c>
      <c r="BV16" s="375"/>
      <c r="BW16" s="350"/>
      <c r="BX16" s="351">
        <f t="shared" si="12"/>
        <v>27.22</v>
      </c>
      <c r="BY16" s="351">
        <f t="shared" si="2"/>
        <v>27.18</v>
      </c>
      <c r="BZ16" s="338"/>
      <c r="CA16" s="92"/>
      <c r="CC16" s="211"/>
      <c r="CD16" s="336"/>
      <c r="CE16" s="375">
        <v>6</v>
      </c>
      <c r="CF16" s="375"/>
      <c r="CG16" s="350"/>
      <c r="CH16" s="351">
        <v>26.85</v>
      </c>
      <c r="CI16" s="351">
        <v>26.8</v>
      </c>
      <c r="CJ16" s="351">
        <f t="shared" si="13"/>
        <v>26.825000000000003</v>
      </c>
      <c r="CK16" s="351">
        <f t="shared" si="14"/>
        <v>5.0000000000000711E-2</v>
      </c>
      <c r="CL16" s="338"/>
      <c r="CM16" s="337"/>
      <c r="CN16" s="336"/>
      <c r="CO16" s="375">
        <v>6</v>
      </c>
      <c r="CP16" s="375"/>
      <c r="CQ16" s="350"/>
      <c r="CR16" s="351">
        <f t="shared" si="15"/>
        <v>26.85</v>
      </c>
      <c r="CS16" s="351">
        <f t="shared" si="3"/>
        <v>26.8</v>
      </c>
      <c r="CT16" s="338"/>
      <c r="CU16" s="92"/>
    </row>
    <row r="17" spans="2:99" ht="15" thickBot="1" x14ac:dyDescent="0.35">
      <c r="U17" s="211"/>
      <c r="V17" s="336"/>
      <c r="W17" s="375">
        <v>7</v>
      </c>
      <c r="X17" s="375"/>
      <c r="Y17" s="350"/>
      <c r="Z17" s="351">
        <v>26.99</v>
      </c>
      <c r="AA17" s="351">
        <v>27.1</v>
      </c>
      <c r="AB17" s="351">
        <f t="shared" si="4"/>
        <v>27.045000000000002</v>
      </c>
      <c r="AC17" s="351">
        <f t="shared" si="5"/>
        <v>0.11000000000000298</v>
      </c>
      <c r="AD17" s="338"/>
      <c r="AE17" s="337"/>
      <c r="AF17" s="336"/>
      <c r="AG17" s="375">
        <v>7</v>
      </c>
      <c r="AH17" s="375"/>
      <c r="AI17" s="350"/>
      <c r="AJ17" s="351">
        <f t="shared" si="6"/>
        <v>26.99</v>
      </c>
      <c r="AK17" s="351">
        <f t="shared" si="0"/>
        <v>27.1</v>
      </c>
      <c r="AL17" s="338"/>
      <c r="AM17" s="92"/>
      <c r="AO17" s="211"/>
      <c r="AP17" s="336"/>
      <c r="AQ17" s="375">
        <v>7</v>
      </c>
      <c r="AR17" s="375"/>
      <c r="AS17" s="350"/>
      <c r="AT17" s="351">
        <v>26.99</v>
      </c>
      <c r="AU17" s="351">
        <v>27.08</v>
      </c>
      <c r="AV17" s="351">
        <f t="shared" si="7"/>
        <v>27.034999999999997</v>
      </c>
      <c r="AW17" s="351">
        <f t="shared" si="8"/>
        <v>8.9999999999999858E-2</v>
      </c>
      <c r="AX17" s="338"/>
      <c r="AY17" s="337"/>
      <c r="AZ17" s="336"/>
      <c r="BA17" s="375">
        <v>7</v>
      </c>
      <c r="BB17" s="375"/>
      <c r="BC17" s="350"/>
      <c r="BD17" s="351">
        <f t="shared" si="9"/>
        <v>26.99</v>
      </c>
      <c r="BE17" s="351">
        <f t="shared" si="1"/>
        <v>27.08</v>
      </c>
      <c r="BF17" s="338"/>
      <c r="BG17" s="92"/>
      <c r="BI17" s="211"/>
      <c r="BJ17" s="336"/>
      <c r="BK17" s="375">
        <v>7</v>
      </c>
      <c r="BL17" s="375"/>
      <c r="BM17" s="350"/>
      <c r="BN17" s="351">
        <v>26.99</v>
      </c>
      <c r="BO17" s="351">
        <v>27.1</v>
      </c>
      <c r="BP17" s="351">
        <f t="shared" si="10"/>
        <v>27.045000000000002</v>
      </c>
      <c r="BQ17" s="351">
        <f t="shared" si="11"/>
        <v>0.11000000000000298</v>
      </c>
      <c r="BR17" s="338"/>
      <c r="BS17" s="337"/>
      <c r="BT17" s="336"/>
      <c r="BU17" s="375">
        <v>7</v>
      </c>
      <c r="BV17" s="375"/>
      <c r="BW17" s="350"/>
      <c r="BX17" s="351">
        <f t="shared" si="12"/>
        <v>26.99</v>
      </c>
      <c r="BY17" s="351">
        <f t="shared" si="2"/>
        <v>27.1</v>
      </c>
      <c r="BZ17" s="338"/>
      <c r="CA17" s="92"/>
      <c r="CC17" s="211"/>
      <c r="CD17" s="336"/>
      <c r="CE17" s="375">
        <v>7</v>
      </c>
      <c r="CF17" s="375"/>
      <c r="CG17" s="350"/>
      <c r="CH17" s="351">
        <v>26.99</v>
      </c>
      <c r="CI17" s="351">
        <v>27.08</v>
      </c>
      <c r="CJ17" s="351">
        <f t="shared" si="13"/>
        <v>27.034999999999997</v>
      </c>
      <c r="CK17" s="351">
        <f t="shared" si="14"/>
        <v>8.9999999999999858E-2</v>
      </c>
      <c r="CL17" s="338"/>
      <c r="CM17" s="337"/>
      <c r="CN17" s="336"/>
      <c r="CO17" s="375">
        <v>7</v>
      </c>
      <c r="CP17" s="375"/>
      <c r="CQ17" s="350"/>
      <c r="CR17" s="351">
        <f t="shared" si="15"/>
        <v>26.99</v>
      </c>
      <c r="CS17" s="351">
        <f t="shared" si="3"/>
        <v>27.08</v>
      </c>
      <c r="CT17" s="338"/>
      <c r="CU17" s="92"/>
    </row>
    <row r="18" spans="2:99" ht="16.2" thickBot="1" x14ac:dyDescent="0.35">
      <c r="B18" s="733" t="s">
        <v>55</v>
      </c>
      <c r="C18" s="734"/>
      <c r="D18" s="734"/>
      <c r="E18" s="225" t="s">
        <v>195</v>
      </c>
      <c r="G18" s="175"/>
      <c r="U18" s="211"/>
      <c r="V18" s="336"/>
      <c r="W18" s="337"/>
      <c r="X18" s="337"/>
      <c r="Y18" s="337"/>
      <c r="Z18" s="337"/>
      <c r="AA18" s="337"/>
      <c r="AB18" s="337"/>
      <c r="AC18" s="337"/>
      <c r="AD18" s="338"/>
      <c r="AE18" s="337"/>
      <c r="AF18" s="341"/>
      <c r="AG18" s="342"/>
      <c r="AH18" s="342"/>
      <c r="AI18" s="342"/>
      <c r="AJ18" s="342"/>
      <c r="AK18" s="342"/>
      <c r="AL18" s="343"/>
      <c r="AM18" s="92"/>
      <c r="AO18" s="211"/>
      <c r="AP18" s="336"/>
      <c r="AQ18" s="337"/>
      <c r="AR18" s="337"/>
      <c r="AS18" s="337"/>
      <c r="AT18" s="337"/>
      <c r="AU18" s="337"/>
      <c r="AV18" s="337"/>
      <c r="AW18" s="337"/>
      <c r="AX18" s="338"/>
      <c r="AY18" s="337"/>
      <c r="AZ18" s="341"/>
      <c r="BA18" s="342"/>
      <c r="BB18" s="342"/>
      <c r="BC18" s="342"/>
      <c r="BD18" s="342"/>
      <c r="BE18" s="342"/>
      <c r="BF18" s="343"/>
      <c r="BG18" s="92"/>
      <c r="BI18" s="211"/>
      <c r="BJ18" s="336"/>
      <c r="BK18" s="337"/>
      <c r="BL18" s="337"/>
      <c r="BM18" s="337"/>
      <c r="BN18" s="337"/>
      <c r="BO18" s="337"/>
      <c r="BP18" s="337"/>
      <c r="BQ18" s="337"/>
      <c r="BR18" s="338"/>
      <c r="BS18" s="337"/>
      <c r="BT18" s="341"/>
      <c r="BU18" s="342"/>
      <c r="BV18" s="342"/>
      <c r="BW18" s="342"/>
      <c r="BX18" s="342"/>
      <c r="BY18" s="342"/>
      <c r="BZ18" s="343"/>
      <c r="CA18" s="92"/>
      <c r="CC18" s="211"/>
      <c r="CD18" s="336"/>
      <c r="CE18" s="337"/>
      <c r="CF18" s="337"/>
      <c r="CG18" s="337"/>
      <c r="CH18" s="337"/>
      <c r="CI18" s="337"/>
      <c r="CJ18" s="337"/>
      <c r="CK18" s="337"/>
      <c r="CL18" s="338"/>
      <c r="CM18" s="337"/>
      <c r="CN18" s="341"/>
      <c r="CO18" s="342"/>
      <c r="CP18" s="342"/>
      <c r="CQ18" s="342"/>
      <c r="CR18" s="342"/>
      <c r="CS18" s="342"/>
      <c r="CT18" s="343"/>
      <c r="CU18" s="92"/>
    </row>
    <row r="19" spans="2:99" ht="16.2" thickBot="1" x14ac:dyDescent="0.35">
      <c r="B19" s="735" t="s">
        <v>225</v>
      </c>
      <c r="C19" s="736"/>
      <c r="D19" s="736"/>
      <c r="E19" s="226" t="s">
        <v>196</v>
      </c>
      <c r="G19" s="175"/>
      <c r="U19" s="211"/>
      <c r="V19" s="336"/>
      <c r="W19" s="337"/>
      <c r="X19" s="337"/>
      <c r="Y19" s="337"/>
      <c r="Z19" s="337"/>
      <c r="AA19" s="337"/>
      <c r="AB19" s="337"/>
      <c r="AC19" s="337"/>
      <c r="AD19" s="338"/>
      <c r="AE19" s="337"/>
      <c r="AM19" s="92"/>
      <c r="AO19" s="211"/>
      <c r="AP19" s="336"/>
      <c r="AQ19" s="337"/>
      <c r="AR19" s="337"/>
      <c r="AS19" s="337"/>
      <c r="AT19" s="337"/>
      <c r="AU19" s="337"/>
      <c r="AV19" s="337"/>
      <c r="AW19" s="337"/>
      <c r="AX19" s="338"/>
      <c r="AY19" s="337"/>
      <c r="BG19" s="92"/>
      <c r="BI19" s="211"/>
      <c r="BJ19" s="336"/>
      <c r="BK19" s="337"/>
      <c r="BL19" s="337"/>
      <c r="BM19" s="337"/>
      <c r="BN19" s="337"/>
      <c r="BO19" s="337"/>
      <c r="BP19" s="337"/>
      <c r="BQ19" s="337"/>
      <c r="BR19" s="338"/>
      <c r="BS19" s="337"/>
      <c r="CA19" s="92"/>
      <c r="CC19" s="211"/>
      <c r="CD19" s="336"/>
      <c r="CE19" s="337"/>
      <c r="CF19" s="337"/>
      <c r="CG19" s="337"/>
      <c r="CH19" s="337"/>
      <c r="CI19" s="337"/>
      <c r="CJ19" s="337"/>
      <c r="CK19" s="337"/>
      <c r="CL19" s="338"/>
      <c r="CM19" s="337"/>
      <c r="CU19" s="92"/>
    </row>
    <row r="20" spans="2:99" ht="16.2" thickBot="1" x14ac:dyDescent="0.35">
      <c r="B20" s="175"/>
      <c r="C20" s="175"/>
      <c r="D20" s="175"/>
      <c r="E20" s="175"/>
      <c r="G20" s="175"/>
      <c r="U20" s="211"/>
      <c r="V20" s="336"/>
      <c r="W20" s="337"/>
      <c r="X20" s="337"/>
      <c r="Y20" s="337"/>
      <c r="Z20" s="337"/>
      <c r="AA20" s="337"/>
      <c r="AB20" s="337"/>
      <c r="AC20" s="337"/>
      <c r="AD20" s="338"/>
      <c r="AE20" s="337"/>
      <c r="AM20" s="92"/>
      <c r="AO20" s="211"/>
      <c r="AP20" s="336"/>
      <c r="AQ20" s="337"/>
      <c r="AR20" s="337"/>
      <c r="AS20" s="337"/>
      <c r="AT20" s="337"/>
      <c r="AU20" s="337"/>
      <c r="AV20" s="337"/>
      <c r="AW20" s="337"/>
      <c r="AX20" s="338"/>
      <c r="AY20" s="337"/>
      <c r="BG20" s="92"/>
      <c r="BI20" s="211"/>
      <c r="BJ20" s="336"/>
      <c r="BK20" s="337"/>
      <c r="BL20" s="337"/>
      <c r="BM20" s="337"/>
      <c r="BN20" s="337"/>
      <c r="BO20" s="337"/>
      <c r="BP20" s="337"/>
      <c r="BQ20" s="337"/>
      <c r="BR20" s="338"/>
      <c r="BS20" s="337"/>
      <c r="CA20" s="92"/>
      <c r="CC20" s="211"/>
      <c r="CD20" s="336"/>
      <c r="CE20" s="337"/>
      <c r="CF20" s="337"/>
      <c r="CG20" s="337"/>
      <c r="CH20" s="337"/>
      <c r="CI20" s="337"/>
      <c r="CJ20" s="337"/>
      <c r="CK20" s="337"/>
      <c r="CL20" s="338"/>
      <c r="CM20" s="337"/>
      <c r="CU20" s="92"/>
    </row>
    <row r="21" spans="2:99" ht="15" x14ac:dyDescent="0.3">
      <c r="B21" s="227" t="s">
        <v>198</v>
      </c>
      <c r="C21" s="228" t="s">
        <v>0</v>
      </c>
      <c r="D21" s="229" t="s">
        <v>192</v>
      </c>
      <c r="E21" s="229" t="s">
        <v>193</v>
      </c>
      <c r="F21" s="229" t="s">
        <v>194</v>
      </c>
      <c r="G21" s="229" t="s">
        <v>226</v>
      </c>
      <c r="H21" s="229" t="s">
        <v>7</v>
      </c>
      <c r="I21" s="233" t="s">
        <v>45</v>
      </c>
      <c r="J21" s="233" t="s">
        <v>46</v>
      </c>
      <c r="K21" s="234" t="s">
        <v>200</v>
      </c>
      <c r="L21" s="233" t="s">
        <v>47</v>
      </c>
      <c r="M21" s="233" t="s">
        <v>48</v>
      </c>
      <c r="N21" s="235" t="s">
        <v>19</v>
      </c>
      <c r="O21" s="236" t="s">
        <v>196</v>
      </c>
      <c r="P21" s="229" t="s">
        <v>197</v>
      </c>
      <c r="Q21" s="229" t="s">
        <v>201</v>
      </c>
      <c r="R21" s="229" t="s">
        <v>202</v>
      </c>
      <c r="S21" s="237" t="s">
        <v>199</v>
      </c>
      <c r="T21" s="176"/>
      <c r="U21" s="378"/>
      <c r="V21" s="340"/>
      <c r="W21" s="337"/>
      <c r="X21" s="337"/>
      <c r="Y21" s="337"/>
      <c r="Z21" s="337"/>
      <c r="AA21" s="337"/>
      <c r="AB21" s="337"/>
      <c r="AC21" s="337"/>
      <c r="AD21" s="338"/>
      <c r="AE21" s="337"/>
      <c r="AM21" s="92"/>
      <c r="AO21" s="378"/>
      <c r="AP21" s="340"/>
      <c r="AQ21" s="337"/>
      <c r="AR21" s="337"/>
      <c r="AS21" s="337"/>
      <c r="AT21" s="337"/>
      <c r="AU21" s="337"/>
      <c r="AV21" s="337"/>
      <c r="AW21" s="337"/>
      <c r="AX21" s="338"/>
      <c r="AY21" s="337"/>
      <c r="BG21" s="92"/>
      <c r="BI21" s="378"/>
      <c r="BJ21" s="340"/>
      <c r="BK21" s="337"/>
      <c r="BL21" s="337"/>
      <c r="BM21" s="337"/>
      <c r="BN21" s="337"/>
      <c r="BO21" s="337"/>
      <c r="BP21" s="337"/>
      <c r="BQ21" s="337"/>
      <c r="BR21" s="338"/>
      <c r="BS21" s="337"/>
      <c r="CA21" s="92"/>
      <c r="CC21" s="378"/>
      <c r="CD21" s="340"/>
      <c r="CE21" s="337"/>
      <c r="CF21" s="337"/>
      <c r="CG21" s="337"/>
      <c r="CH21" s="337"/>
      <c r="CI21" s="337"/>
      <c r="CJ21" s="337"/>
      <c r="CK21" s="337"/>
      <c r="CL21" s="338"/>
      <c r="CM21" s="337"/>
      <c r="CU21" s="92"/>
    </row>
    <row r="22" spans="2:99" x14ac:dyDescent="0.3">
      <c r="B22" s="230">
        <v>1</v>
      </c>
      <c r="C22" s="328"/>
      <c r="D22" s="329"/>
      <c r="E22" s="330">
        <v>27</v>
      </c>
      <c r="F22" s="330">
        <v>26.99</v>
      </c>
      <c r="G22" s="231">
        <f t="shared" ref="G22:G42" si="16">IF(AND(E22="",F22=""),NA(),AVERAGE(E22:F22))</f>
        <v>26.994999999999997</v>
      </c>
      <c r="H22" s="232">
        <f>IF(AND(E22="",F22=""),NA(),ABS(E22-F22))</f>
        <v>1.0000000000001563E-2</v>
      </c>
      <c r="I22" s="232">
        <f>'[2]Plot Data'!$C$67</f>
        <v>26.787537881918869</v>
      </c>
      <c r="J22" s="232">
        <f>'[2]Plot Data'!$C$65</f>
        <v>26.863914143501468</v>
      </c>
      <c r="K22" s="238">
        <f>'[2]Plot Data'!$C$58</f>
        <v>27.016666666666666</v>
      </c>
      <c r="L22" s="238">
        <f>'[2]Plot Data'!$C$62</f>
        <v>27.169419189831864</v>
      </c>
      <c r="M22" s="238">
        <f>'[2]Plot Data'!$C$64</f>
        <v>27.245795451414462</v>
      </c>
      <c r="N22" s="239">
        <f>'[2]Plot Data'!$C$68</f>
        <v>0.12</v>
      </c>
      <c r="O22" s="177" t="str">
        <f t="shared" ref="O22:O42" si="17">IF(G22&gt;M22,"&gt;+3s",IF(G22&lt;I22,"&lt;-3s","Pass"))</f>
        <v>Pass</v>
      </c>
      <c r="P22" s="240"/>
      <c r="Q22" s="240"/>
      <c r="R22" s="240"/>
      <c r="S22" s="179" t="str">
        <f>IF(H22="","",IF(H22&gt;'[2]Plot Data'!$C$68,"No","Yes"))</f>
        <v>Yes</v>
      </c>
      <c r="T22" s="327"/>
      <c r="U22" s="379"/>
      <c r="V22" s="336"/>
      <c r="W22" s="337"/>
      <c r="X22" s="337"/>
      <c r="Y22" s="337"/>
      <c r="Z22" s="337"/>
      <c r="AA22" s="337"/>
      <c r="AB22" s="337"/>
      <c r="AC22" s="337"/>
      <c r="AD22" s="338"/>
      <c r="AE22" s="337"/>
      <c r="AM22" s="92"/>
      <c r="AO22" s="379"/>
      <c r="AP22" s="336"/>
      <c r="AQ22" s="337"/>
      <c r="AR22" s="337"/>
      <c r="AS22" s="337"/>
      <c r="AT22" s="337"/>
      <c r="AU22" s="337"/>
      <c r="AV22" s="337"/>
      <c r="AW22" s="337"/>
      <c r="AX22" s="338"/>
      <c r="AY22" s="337"/>
      <c r="BG22" s="92"/>
      <c r="BI22" s="379"/>
      <c r="BJ22" s="336"/>
      <c r="BK22" s="337"/>
      <c r="BL22" s="337"/>
      <c r="BM22" s="337"/>
      <c r="BN22" s="337"/>
      <c r="BO22" s="337"/>
      <c r="BP22" s="337"/>
      <c r="BQ22" s="337"/>
      <c r="BR22" s="338"/>
      <c r="BS22" s="337"/>
      <c r="CA22" s="92"/>
      <c r="CC22" s="379"/>
      <c r="CD22" s="336"/>
      <c r="CE22" s="337"/>
      <c r="CF22" s="337"/>
      <c r="CG22" s="337"/>
      <c r="CH22" s="337"/>
      <c r="CI22" s="337"/>
      <c r="CJ22" s="337"/>
      <c r="CK22" s="337"/>
      <c r="CL22" s="338"/>
      <c r="CM22" s="337"/>
      <c r="CU22" s="92"/>
    </row>
    <row r="23" spans="2:99" x14ac:dyDescent="0.3">
      <c r="B23" s="230">
        <v>2</v>
      </c>
      <c r="C23" s="328"/>
      <c r="D23" s="329"/>
      <c r="E23" s="330">
        <v>27.25</v>
      </c>
      <c r="F23" s="330">
        <v>27.3</v>
      </c>
      <c r="G23" s="231">
        <f t="shared" si="16"/>
        <v>27.274999999999999</v>
      </c>
      <c r="H23" s="232">
        <f t="shared" ref="H23:H42" si="18">IF(AND(E23="",F23=""),NA(),ABS(E23-F23))</f>
        <v>5.0000000000000711E-2</v>
      </c>
      <c r="I23" s="232">
        <f>'[2]Plot Data'!$C$67</f>
        <v>26.787537881918869</v>
      </c>
      <c r="J23" s="232">
        <f>'[2]Plot Data'!$C$65</f>
        <v>26.863914143501468</v>
      </c>
      <c r="K23" s="238">
        <f>'[2]Plot Data'!$C$58</f>
        <v>27.016666666666666</v>
      </c>
      <c r="L23" s="238">
        <f>'[2]Plot Data'!$C$62</f>
        <v>27.169419189831864</v>
      </c>
      <c r="M23" s="238">
        <f>'[2]Plot Data'!$C$64</f>
        <v>27.245795451414462</v>
      </c>
      <c r="N23" s="239">
        <f>'[2]Plot Data'!$C$68</f>
        <v>0.12</v>
      </c>
      <c r="O23" s="177" t="str">
        <f t="shared" si="17"/>
        <v>&gt;+3s</v>
      </c>
      <c r="P23" s="180" t="str">
        <f>IF(AND(G23&gt;L23,G22&gt;L22),"Fail &gt; +2s",IF(AND(G23&lt;J23,G22&lt;J22),"Fail &lt; -2s","Pass"))</f>
        <v>Pass</v>
      </c>
      <c r="Q23" s="240"/>
      <c r="R23" s="240"/>
      <c r="S23" s="179" t="str">
        <f>IF(H23="","",IF(H23&gt;'[2]Plot Data'!$C$68,"No","Yes"))</f>
        <v>Yes</v>
      </c>
      <c r="T23" s="327"/>
      <c r="U23" s="379"/>
      <c r="V23" s="336"/>
      <c r="W23" s="337"/>
      <c r="X23" s="337"/>
      <c r="Y23" s="337"/>
      <c r="Z23" s="337"/>
      <c r="AA23" s="337"/>
      <c r="AB23" s="337"/>
      <c r="AC23" s="337"/>
      <c r="AD23" s="338"/>
      <c r="AE23" s="337"/>
      <c r="AM23" s="92"/>
      <c r="AO23" s="379"/>
      <c r="AP23" s="336"/>
      <c r="AQ23" s="337"/>
      <c r="AR23" s="337"/>
      <c r="AS23" s="337"/>
      <c r="AT23" s="337"/>
      <c r="AU23" s="337"/>
      <c r="AV23" s="337"/>
      <c r="AW23" s="337"/>
      <c r="AX23" s="338"/>
      <c r="AY23" s="337"/>
      <c r="BG23" s="92"/>
      <c r="BI23" s="379"/>
      <c r="BJ23" s="336"/>
      <c r="BK23" s="337"/>
      <c r="BL23" s="337"/>
      <c r="BM23" s="337"/>
      <c r="BN23" s="337"/>
      <c r="BO23" s="337"/>
      <c r="BP23" s="337"/>
      <c r="BQ23" s="337"/>
      <c r="BR23" s="338"/>
      <c r="BS23" s="337"/>
      <c r="CA23" s="92"/>
      <c r="CC23" s="379"/>
      <c r="CD23" s="336"/>
      <c r="CE23" s="337"/>
      <c r="CF23" s="337"/>
      <c r="CG23" s="337"/>
      <c r="CH23" s="337"/>
      <c r="CI23" s="337"/>
      <c r="CJ23" s="337"/>
      <c r="CK23" s="337"/>
      <c r="CL23" s="338"/>
      <c r="CM23" s="337"/>
      <c r="CU23" s="92"/>
    </row>
    <row r="24" spans="2:99" x14ac:dyDescent="0.3">
      <c r="B24" s="230">
        <v>3</v>
      </c>
      <c r="C24" s="328"/>
      <c r="D24" s="329"/>
      <c r="E24" s="330">
        <v>27.11</v>
      </c>
      <c r="F24" s="330">
        <v>27.17</v>
      </c>
      <c r="G24" s="231">
        <f t="shared" si="16"/>
        <v>27.14</v>
      </c>
      <c r="H24" s="232">
        <f t="shared" si="18"/>
        <v>6.0000000000002274E-2</v>
      </c>
      <c r="I24" s="232">
        <f>'[2]Plot Data'!$C$67</f>
        <v>26.787537881918869</v>
      </c>
      <c r="J24" s="232">
        <f>'[2]Plot Data'!$C$65</f>
        <v>26.863914143501468</v>
      </c>
      <c r="K24" s="238">
        <f>'[2]Plot Data'!$C$58</f>
        <v>27.016666666666666</v>
      </c>
      <c r="L24" s="238">
        <f>'[2]Plot Data'!$C$62</f>
        <v>27.169419189831864</v>
      </c>
      <c r="M24" s="238">
        <f>'[2]Plot Data'!$C$64</f>
        <v>27.245795451414462</v>
      </c>
      <c r="N24" s="239">
        <f>'[2]Plot Data'!$C$68</f>
        <v>0.12</v>
      </c>
      <c r="O24" s="177" t="str">
        <f t="shared" si="17"/>
        <v>Pass</v>
      </c>
      <c r="P24" s="180" t="str">
        <f>IF(AND(G24&gt;L24,G23&gt;L23),"Fail &gt; +2s",IF(AND(G24&gt;L24,G22&gt;L22),"Fail &gt; +2s",IF(AND(G24&lt;J24,G23&lt;J23),"Fail &lt; -2s",IF(AND(G24&lt;J24,G22&lt;J22),"Fail &lt; -2s","Pass"))))</f>
        <v>Pass</v>
      </c>
      <c r="Q24" s="240"/>
      <c r="R24" s="240"/>
      <c r="S24" s="179" t="str">
        <f>IF(H24="","",IF(H24&gt;'[2]Plot Data'!$C$68,"No","Yes"))</f>
        <v>Yes</v>
      </c>
      <c r="T24" s="327"/>
      <c r="U24" s="379"/>
      <c r="V24" s="336"/>
      <c r="W24" s="337"/>
      <c r="X24" s="337"/>
      <c r="Y24" s="337"/>
      <c r="Z24" s="337"/>
      <c r="AA24" s="337"/>
      <c r="AB24" s="337"/>
      <c r="AC24" s="337"/>
      <c r="AD24" s="338"/>
      <c r="AE24" s="337"/>
      <c r="AM24" s="92"/>
      <c r="AO24" s="379"/>
      <c r="AP24" s="336"/>
      <c r="AQ24" s="337"/>
      <c r="AR24" s="337"/>
      <c r="AS24" s="337"/>
      <c r="AT24" s="337"/>
      <c r="AU24" s="337"/>
      <c r="AV24" s="337"/>
      <c r="AW24" s="337"/>
      <c r="AX24" s="338"/>
      <c r="AY24" s="337"/>
      <c r="BG24" s="92"/>
      <c r="BI24" s="379"/>
      <c r="BJ24" s="336"/>
      <c r="BK24" s="337"/>
      <c r="BL24" s="337"/>
      <c r="BM24" s="337"/>
      <c r="BN24" s="337"/>
      <c r="BO24" s="337"/>
      <c r="BP24" s="337"/>
      <c r="BQ24" s="337"/>
      <c r="BR24" s="338"/>
      <c r="BS24" s="337"/>
      <c r="CA24" s="92"/>
      <c r="CC24" s="379"/>
      <c r="CD24" s="336"/>
      <c r="CE24" s="337"/>
      <c r="CF24" s="337"/>
      <c r="CG24" s="337"/>
      <c r="CH24" s="337"/>
      <c r="CI24" s="337"/>
      <c r="CJ24" s="337"/>
      <c r="CK24" s="337"/>
      <c r="CL24" s="338"/>
      <c r="CM24" s="337"/>
      <c r="CU24" s="92"/>
    </row>
    <row r="25" spans="2:99" x14ac:dyDescent="0.3">
      <c r="B25" s="230">
        <v>4</v>
      </c>
      <c r="C25" s="328"/>
      <c r="D25" s="329"/>
      <c r="E25" s="330">
        <v>27.05</v>
      </c>
      <c r="F25" s="330">
        <v>27.11</v>
      </c>
      <c r="G25" s="231">
        <f t="shared" si="16"/>
        <v>27.08</v>
      </c>
      <c r="H25" s="232">
        <f t="shared" si="18"/>
        <v>5.9999999999998721E-2</v>
      </c>
      <c r="I25" s="232">
        <f>'[2]Plot Data'!$C$67</f>
        <v>26.787537881918869</v>
      </c>
      <c r="J25" s="232">
        <f>'[2]Plot Data'!$C$65</f>
        <v>26.863914143501468</v>
      </c>
      <c r="K25" s="238">
        <f>'[2]Plot Data'!$C$58</f>
        <v>27.016666666666666</v>
      </c>
      <c r="L25" s="238">
        <f>'[2]Plot Data'!$C$62</f>
        <v>27.169419189831864</v>
      </c>
      <c r="M25" s="238">
        <f>'[2]Plot Data'!$C$64</f>
        <v>27.245795451414462</v>
      </c>
      <c r="N25" s="239">
        <f>'[2]Plot Data'!$C$68</f>
        <v>0.12</v>
      </c>
      <c r="O25" s="177" t="str">
        <f t="shared" si="17"/>
        <v>Pass</v>
      </c>
      <c r="P25" s="180" t="str">
        <f t="shared" ref="P25:P42" si="19">IF(AND(G25&gt;L25,G24&gt;L24),"Fail &gt; +2s",IF(AND(G25&gt;L25,G23&gt;L23),"Fail &gt; +2s",IF(AND(G25&lt;J25,G24&lt;J24),"Fail &lt; -2s",IF(AND(G25&lt;J25,G23&lt;J23),"Fail &lt; -2s","Pass"))))</f>
        <v>Pass</v>
      </c>
      <c r="Q25" s="240"/>
      <c r="R25" s="240"/>
      <c r="S25" s="179" t="str">
        <f>IF(H25="","",IF(H25&gt;'[2]Plot Data'!$C$68,"No","Yes"))</f>
        <v>Yes</v>
      </c>
      <c r="T25" s="327"/>
      <c r="U25" s="379"/>
      <c r="V25" s="336"/>
      <c r="W25" s="337"/>
      <c r="X25" s="337"/>
      <c r="Y25" s="337"/>
      <c r="Z25" s="337"/>
      <c r="AA25" s="337"/>
      <c r="AB25" s="337"/>
      <c r="AC25" s="337"/>
      <c r="AD25" s="338"/>
      <c r="AE25" s="337"/>
      <c r="AM25" s="92"/>
      <c r="AO25" s="379"/>
      <c r="AP25" s="336"/>
      <c r="AQ25" s="337"/>
      <c r="AR25" s="337"/>
      <c r="AS25" s="337"/>
      <c r="AT25" s="337"/>
      <c r="AU25" s="337"/>
      <c r="AV25" s="337"/>
      <c r="AW25" s="337"/>
      <c r="AX25" s="338"/>
      <c r="AY25" s="337"/>
      <c r="BG25" s="92"/>
      <c r="BI25" s="379"/>
      <c r="BJ25" s="336"/>
      <c r="BK25" s="337"/>
      <c r="BL25" s="337"/>
      <c r="BM25" s="337"/>
      <c r="BN25" s="337"/>
      <c r="BO25" s="337"/>
      <c r="BP25" s="337"/>
      <c r="BQ25" s="337"/>
      <c r="BR25" s="338"/>
      <c r="BS25" s="337"/>
      <c r="CA25" s="92"/>
      <c r="CC25" s="379"/>
      <c r="CD25" s="336"/>
      <c r="CE25" s="337"/>
      <c r="CF25" s="337"/>
      <c r="CG25" s="337"/>
      <c r="CH25" s="337"/>
      <c r="CI25" s="337"/>
      <c r="CJ25" s="337"/>
      <c r="CK25" s="337"/>
      <c r="CL25" s="338"/>
      <c r="CM25" s="337"/>
      <c r="CU25" s="92"/>
    </row>
    <row r="26" spans="2:99" x14ac:dyDescent="0.3">
      <c r="B26" s="230">
        <v>5</v>
      </c>
      <c r="C26" s="328"/>
      <c r="D26" s="329"/>
      <c r="E26" s="330">
        <v>27.22</v>
      </c>
      <c r="F26" s="330">
        <v>27.15</v>
      </c>
      <c r="G26" s="231">
        <f t="shared" si="16"/>
        <v>27.184999999999999</v>
      </c>
      <c r="H26" s="232">
        <f t="shared" si="18"/>
        <v>7.0000000000000284E-2</v>
      </c>
      <c r="I26" s="232">
        <f>'[2]Plot Data'!$C$67</f>
        <v>26.787537881918869</v>
      </c>
      <c r="J26" s="232">
        <f>'[2]Plot Data'!$C$65</f>
        <v>26.863914143501468</v>
      </c>
      <c r="K26" s="238">
        <f>'[2]Plot Data'!$C$58</f>
        <v>27.016666666666666</v>
      </c>
      <c r="L26" s="238">
        <f>'[2]Plot Data'!$C$62</f>
        <v>27.169419189831864</v>
      </c>
      <c r="M26" s="238">
        <f>'[2]Plot Data'!$C$64</f>
        <v>27.245795451414462</v>
      </c>
      <c r="N26" s="239">
        <f>'[2]Plot Data'!$C$68</f>
        <v>0.12</v>
      </c>
      <c r="O26" s="177" t="str">
        <f t="shared" si="17"/>
        <v>Pass</v>
      </c>
      <c r="P26" s="180" t="str">
        <f t="shared" si="19"/>
        <v>Pass</v>
      </c>
      <c r="Q26" s="240"/>
      <c r="R26" s="240"/>
      <c r="S26" s="179" t="str">
        <f>IF(H26="","",IF(H26&gt;'[2]Plot Data'!$C$68,"No","Yes"))</f>
        <v>Yes</v>
      </c>
      <c r="T26" s="327"/>
      <c r="U26" s="379"/>
      <c r="V26" s="336"/>
      <c r="W26" s="337"/>
      <c r="X26" s="337"/>
      <c r="Y26" s="337"/>
      <c r="Z26" s="337"/>
      <c r="AA26" s="337"/>
      <c r="AB26" s="337"/>
      <c r="AC26" s="337"/>
      <c r="AD26" s="338"/>
      <c r="AE26" s="337"/>
      <c r="AM26" s="92"/>
      <c r="AO26" s="379"/>
      <c r="AP26" s="336"/>
      <c r="AQ26" s="337"/>
      <c r="AR26" s="337"/>
      <c r="AS26" s="337"/>
      <c r="AT26" s="337"/>
      <c r="AU26" s="337"/>
      <c r="AV26" s="337"/>
      <c r="AW26" s="337"/>
      <c r="AX26" s="338"/>
      <c r="AY26" s="337"/>
      <c r="BG26" s="92"/>
      <c r="BI26" s="379"/>
      <c r="BJ26" s="336"/>
      <c r="BK26" s="337"/>
      <c r="BL26" s="337"/>
      <c r="BM26" s="337"/>
      <c r="BN26" s="337"/>
      <c r="BO26" s="337"/>
      <c r="BP26" s="337"/>
      <c r="BQ26" s="337"/>
      <c r="BR26" s="338"/>
      <c r="BS26" s="337"/>
      <c r="CA26" s="92"/>
      <c r="CC26" s="379"/>
      <c r="CD26" s="336"/>
      <c r="CE26" s="337"/>
      <c r="CF26" s="337"/>
      <c r="CG26" s="337"/>
      <c r="CH26" s="337"/>
      <c r="CI26" s="337"/>
      <c r="CJ26" s="337"/>
      <c r="CK26" s="337"/>
      <c r="CL26" s="338"/>
      <c r="CM26" s="337"/>
      <c r="CU26" s="92"/>
    </row>
    <row r="27" spans="2:99" x14ac:dyDescent="0.3">
      <c r="B27" s="230">
        <v>6</v>
      </c>
      <c r="C27" s="328"/>
      <c r="D27" s="329"/>
      <c r="E27" s="330">
        <v>27.12</v>
      </c>
      <c r="F27" s="330">
        <v>27.06</v>
      </c>
      <c r="G27" s="231">
        <f t="shared" si="16"/>
        <v>27.09</v>
      </c>
      <c r="H27" s="232">
        <f t="shared" si="18"/>
        <v>6.0000000000002274E-2</v>
      </c>
      <c r="I27" s="232">
        <f>'[2]Plot Data'!$C$67</f>
        <v>26.787537881918869</v>
      </c>
      <c r="J27" s="232">
        <f>'[2]Plot Data'!$C$65</f>
        <v>26.863914143501468</v>
      </c>
      <c r="K27" s="238">
        <f>'[2]Plot Data'!$C$58</f>
        <v>27.016666666666666</v>
      </c>
      <c r="L27" s="238">
        <f>'[2]Plot Data'!$C$62</f>
        <v>27.169419189831864</v>
      </c>
      <c r="M27" s="238">
        <f>'[2]Plot Data'!$C$64</f>
        <v>27.245795451414462</v>
      </c>
      <c r="N27" s="239">
        <f>'[2]Plot Data'!$C$68</f>
        <v>0.12</v>
      </c>
      <c r="O27" s="177" t="str">
        <f t="shared" si="17"/>
        <v>Pass</v>
      </c>
      <c r="P27" s="180" t="str">
        <f t="shared" si="19"/>
        <v>Pass</v>
      </c>
      <c r="Q27" s="240"/>
      <c r="R27" s="180" t="str">
        <f>IF(AND(G27&gt;G26,G26&gt;G25,G25&gt;G24,G23&gt;G22),"Fail +ve trend",IF(AND(G27&lt;G26,G26&lt;G25,G25&lt;G24,G23&lt;G22),"Fail -ve trend","Pass"))</f>
        <v>Pass</v>
      </c>
      <c r="S27" s="179" t="str">
        <f>IF(H27="","",IF(H27&gt;'[2]Plot Data'!$C$68,"No","Yes"))</f>
        <v>Yes</v>
      </c>
      <c r="T27" s="327"/>
      <c r="U27" s="379"/>
      <c r="V27" s="336"/>
      <c r="W27" s="337"/>
      <c r="X27" s="337"/>
      <c r="Y27" s="337"/>
      <c r="Z27" s="337"/>
      <c r="AA27" s="337"/>
      <c r="AB27" s="337"/>
      <c r="AC27" s="337"/>
      <c r="AD27" s="338"/>
      <c r="AE27" s="337"/>
      <c r="AM27" s="92"/>
      <c r="AO27" s="379"/>
      <c r="AP27" s="336"/>
      <c r="AQ27" s="337"/>
      <c r="AR27" s="337"/>
      <c r="AS27" s="337"/>
      <c r="AT27" s="337"/>
      <c r="AU27" s="337"/>
      <c r="AV27" s="337"/>
      <c r="AW27" s="337"/>
      <c r="AX27" s="338"/>
      <c r="AY27" s="337"/>
      <c r="BG27" s="92"/>
      <c r="BI27" s="379"/>
      <c r="BJ27" s="336"/>
      <c r="BK27" s="337"/>
      <c r="BL27" s="337"/>
      <c r="BM27" s="337"/>
      <c r="BN27" s="337"/>
      <c r="BO27" s="337"/>
      <c r="BP27" s="337"/>
      <c r="BQ27" s="337"/>
      <c r="BR27" s="338"/>
      <c r="BS27" s="337"/>
      <c r="CA27" s="92"/>
      <c r="CC27" s="379"/>
      <c r="CD27" s="336"/>
      <c r="CE27" s="337"/>
      <c r="CF27" s="337"/>
      <c r="CG27" s="337"/>
      <c r="CH27" s="337"/>
      <c r="CI27" s="337"/>
      <c r="CJ27" s="337"/>
      <c r="CK27" s="337"/>
      <c r="CL27" s="338"/>
      <c r="CM27" s="337"/>
      <c r="CU27" s="92"/>
    </row>
    <row r="28" spans="2:99" x14ac:dyDescent="0.3">
      <c r="B28" s="230">
        <v>7</v>
      </c>
      <c r="C28" s="328"/>
      <c r="D28" s="329"/>
      <c r="E28" s="330">
        <v>26.99</v>
      </c>
      <c r="F28" s="330">
        <v>27.08</v>
      </c>
      <c r="G28" s="231">
        <f t="shared" si="16"/>
        <v>27.034999999999997</v>
      </c>
      <c r="H28" s="232">
        <f t="shared" si="18"/>
        <v>8.9999999999999858E-2</v>
      </c>
      <c r="I28" s="232">
        <f>'[2]Plot Data'!$C$67</f>
        <v>26.787537881918869</v>
      </c>
      <c r="J28" s="232">
        <f>'[2]Plot Data'!$C$65</f>
        <v>26.863914143501468</v>
      </c>
      <c r="K28" s="238">
        <f>'[2]Plot Data'!$C$58</f>
        <v>27.016666666666666</v>
      </c>
      <c r="L28" s="238">
        <f>'[2]Plot Data'!$C$62</f>
        <v>27.169419189831864</v>
      </c>
      <c r="M28" s="238">
        <f>'[2]Plot Data'!$C$64</f>
        <v>27.245795451414462</v>
      </c>
      <c r="N28" s="239">
        <f>'[2]Plot Data'!$C$68</f>
        <v>0.12</v>
      </c>
      <c r="O28" s="177" t="str">
        <f t="shared" si="17"/>
        <v>Pass</v>
      </c>
      <c r="P28" s="180" t="str">
        <f t="shared" si="19"/>
        <v>Pass</v>
      </c>
      <c r="Q28" s="240"/>
      <c r="R28" s="180" t="str">
        <f t="shared" ref="R28:R42" si="20">IF(AND(G28&gt;G27,G27&gt;G26,G26&gt;G25,G24&gt;G23),"Fail +ve trend",IF(AND(G28&lt;G27,G27&lt;G26,G26&lt;G25,G24&lt;G23),"Fail -ve trend","Pass"))</f>
        <v>Pass</v>
      </c>
      <c r="S28" s="179" t="str">
        <f>IF(H28="","",IF(H28&gt;'[2]Plot Data'!$C$68,"No","Yes"))</f>
        <v>Yes</v>
      </c>
      <c r="T28" s="327"/>
      <c r="U28" s="379"/>
      <c r="V28" s="336"/>
      <c r="W28" s="337"/>
      <c r="X28" s="337"/>
      <c r="Y28" s="337"/>
      <c r="Z28" s="337"/>
      <c r="AA28" s="337"/>
      <c r="AB28" s="337"/>
      <c r="AC28" s="337"/>
      <c r="AD28" s="338"/>
      <c r="AE28" s="337"/>
      <c r="AM28" s="92"/>
      <c r="AO28" s="379"/>
      <c r="AP28" s="336"/>
      <c r="AQ28" s="337"/>
      <c r="AR28" s="337"/>
      <c r="AS28" s="337"/>
      <c r="AT28" s="337"/>
      <c r="AU28" s="337"/>
      <c r="AV28" s="337"/>
      <c r="AW28" s="337"/>
      <c r="AX28" s="338"/>
      <c r="AY28" s="337"/>
      <c r="BG28" s="92"/>
      <c r="BI28" s="379"/>
      <c r="BJ28" s="336"/>
      <c r="BK28" s="337"/>
      <c r="BL28" s="337"/>
      <c r="BM28" s="337"/>
      <c r="BN28" s="337"/>
      <c r="BO28" s="337"/>
      <c r="BP28" s="337"/>
      <c r="BQ28" s="337"/>
      <c r="BR28" s="338"/>
      <c r="BS28" s="337"/>
      <c r="CA28" s="92"/>
      <c r="CC28" s="379"/>
      <c r="CD28" s="336"/>
      <c r="CE28" s="337"/>
      <c r="CF28" s="337"/>
      <c r="CG28" s="337"/>
      <c r="CH28" s="337"/>
      <c r="CI28" s="337"/>
      <c r="CJ28" s="337"/>
      <c r="CK28" s="337"/>
      <c r="CL28" s="338"/>
      <c r="CM28" s="337"/>
      <c r="CU28" s="92"/>
    </row>
    <row r="29" spans="2:99" x14ac:dyDescent="0.3">
      <c r="B29" s="230">
        <v>8</v>
      </c>
      <c r="C29" s="328"/>
      <c r="D29" s="329"/>
      <c r="E29" s="330"/>
      <c r="F29" s="330"/>
      <c r="G29" s="231" t="e">
        <f t="shared" si="16"/>
        <v>#N/A</v>
      </c>
      <c r="H29" s="232" t="e">
        <f t="shared" si="18"/>
        <v>#N/A</v>
      </c>
      <c r="I29" s="232">
        <f>'[2]Plot Data'!$C$67</f>
        <v>26.787537881918869</v>
      </c>
      <c r="J29" s="232">
        <f>'[2]Plot Data'!$C$65</f>
        <v>26.863914143501468</v>
      </c>
      <c r="K29" s="238">
        <f>'[2]Plot Data'!$C$58</f>
        <v>27.016666666666666</v>
      </c>
      <c r="L29" s="238">
        <f>'[2]Plot Data'!$C$62</f>
        <v>27.169419189831864</v>
      </c>
      <c r="M29" s="238">
        <f>'[2]Plot Data'!$C$64</f>
        <v>27.245795451414462</v>
      </c>
      <c r="N29" s="239">
        <f>'[2]Plot Data'!$C$68</f>
        <v>0.12</v>
      </c>
      <c r="O29" s="177" t="e">
        <f t="shared" si="17"/>
        <v>#N/A</v>
      </c>
      <c r="P29" s="180" t="e">
        <f t="shared" si="19"/>
        <v>#N/A</v>
      </c>
      <c r="Q29" s="180" t="e">
        <f>IF(AND(G29&gt;K29,G28&gt;K29,G27&gt;K29,G26&gt;K29,G25&gt;K29,G24&gt;K29,G23&gt;K29,G22&gt;K29),"Fail +ve bias",IF(AND(G29&lt;K29,G28&lt;K29,G27&lt;K29,G26&lt;K29,G25&lt;K29,G24&lt;K29,G23&lt;K29,G22&lt;K29),"Fail -ve bias","Pass"))</f>
        <v>#N/A</v>
      </c>
      <c r="R29" s="180" t="e">
        <f t="shared" si="20"/>
        <v>#N/A</v>
      </c>
      <c r="S29" s="179" t="e">
        <f>IF(H29="","",IF(H29&gt;'[2]Plot Data'!$C$68,"No","Yes"))</f>
        <v>#N/A</v>
      </c>
      <c r="T29" s="327"/>
      <c r="U29" s="379"/>
      <c r="V29" s="336"/>
      <c r="W29" s="337"/>
      <c r="X29" s="337"/>
      <c r="Y29" s="337"/>
      <c r="Z29" s="337"/>
      <c r="AA29" s="337"/>
      <c r="AB29" s="337"/>
      <c r="AC29" s="337"/>
      <c r="AD29" s="338"/>
      <c r="AE29" s="337"/>
      <c r="AM29" s="92"/>
      <c r="AO29" s="379"/>
      <c r="AP29" s="336"/>
      <c r="AQ29" s="337"/>
      <c r="AR29" s="337"/>
      <c r="AS29" s="337"/>
      <c r="AT29" s="337"/>
      <c r="AU29" s="337"/>
      <c r="AV29" s="337"/>
      <c r="AW29" s="337"/>
      <c r="AX29" s="338"/>
      <c r="AY29" s="337"/>
      <c r="BG29" s="92"/>
      <c r="BI29" s="379"/>
      <c r="BJ29" s="336"/>
      <c r="BK29" s="337"/>
      <c r="BL29" s="337"/>
      <c r="BM29" s="337"/>
      <c r="BN29" s="337"/>
      <c r="BO29" s="337"/>
      <c r="BP29" s="337"/>
      <c r="BQ29" s="337"/>
      <c r="BR29" s="338"/>
      <c r="BS29" s="337"/>
      <c r="CA29" s="92"/>
      <c r="CC29" s="379"/>
      <c r="CD29" s="336"/>
      <c r="CE29" s="337"/>
      <c r="CF29" s="337"/>
      <c r="CG29" s="337"/>
      <c r="CH29" s="337"/>
      <c r="CI29" s="337"/>
      <c r="CJ29" s="337"/>
      <c r="CK29" s="337"/>
      <c r="CL29" s="338"/>
      <c r="CM29" s="337"/>
      <c r="CU29" s="92"/>
    </row>
    <row r="30" spans="2:99" x14ac:dyDescent="0.3">
      <c r="B30" s="230">
        <v>9</v>
      </c>
      <c r="C30" s="328"/>
      <c r="D30" s="329"/>
      <c r="E30" s="330"/>
      <c r="F30" s="330"/>
      <c r="G30" s="231" t="e">
        <f t="shared" si="16"/>
        <v>#N/A</v>
      </c>
      <c r="H30" s="232" t="e">
        <f t="shared" si="18"/>
        <v>#N/A</v>
      </c>
      <c r="I30" s="232">
        <f>'[2]Plot Data'!$C$67</f>
        <v>26.787537881918869</v>
      </c>
      <c r="J30" s="232">
        <f>'[2]Plot Data'!$C$65</f>
        <v>26.863914143501468</v>
      </c>
      <c r="K30" s="238">
        <f>'[2]Plot Data'!$C$58</f>
        <v>27.016666666666666</v>
      </c>
      <c r="L30" s="238">
        <f>'[2]Plot Data'!$C$62</f>
        <v>27.169419189831864</v>
      </c>
      <c r="M30" s="238">
        <f>'[2]Plot Data'!$C$64</f>
        <v>27.245795451414462</v>
      </c>
      <c r="N30" s="239">
        <f>'[2]Plot Data'!$C$68</f>
        <v>0.12</v>
      </c>
      <c r="O30" s="177" t="e">
        <f t="shared" si="17"/>
        <v>#N/A</v>
      </c>
      <c r="P30" s="180" t="e">
        <f t="shared" si="19"/>
        <v>#N/A</v>
      </c>
      <c r="Q30" s="180" t="e">
        <f t="shared" ref="Q30:Q42" si="21">IF(AND(G30&gt;K30,G29&gt;K30,G28&gt;K30,G27&gt;K30,G26&gt;K30,G25&gt;K30,G24&gt;K30,G23&gt;K30),"Fail +ve bias",IF(AND(G30&lt;K30,G29&lt;K30,G28&lt;K30,G27&lt;K30,G26&lt;K30,G25&lt;K30,G24&lt;K30,G23&lt;K30),"Fail -ve bias","Pass"))</f>
        <v>#N/A</v>
      </c>
      <c r="R30" s="180" t="e">
        <f t="shared" si="20"/>
        <v>#N/A</v>
      </c>
      <c r="S30" s="179" t="e">
        <f>IF(H30="","",IF(H30&gt;'[2]Plot Data'!$C$68,"No","Yes"))</f>
        <v>#N/A</v>
      </c>
      <c r="T30" s="327"/>
      <c r="U30" s="379"/>
      <c r="V30" s="336"/>
      <c r="W30" s="337"/>
      <c r="X30" s="337"/>
      <c r="Y30" s="337"/>
      <c r="Z30" s="337"/>
      <c r="AA30" s="337"/>
      <c r="AB30" s="337"/>
      <c r="AC30" s="337"/>
      <c r="AD30" s="338"/>
      <c r="AE30" s="337"/>
      <c r="AM30" s="92"/>
      <c r="AO30" s="379"/>
      <c r="AP30" s="336"/>
      <c r="AQ30" s="337"/>
      <c r="AR30" s="337"/>
      <c r="AS30" s="337"/>
      <c r="AT30" s="337"/>
      <c r="AU30" s="337"/>
      <c r="AV30" s="337"/>
      <c r="AW30" s="337"/>
      <c r="AX30" s="338"/>
      <c r="AY30" s="337"/>
      <c r="BG30" s="92"/>
      <c r="BI30" s="379"/>
      <c r="BJ30" s="336"/>
      <c r="BK30" s="337"/>
      <c r="BL30" s="337"/>
      <c r="BM30" s="337"/>
      <c r="BN30" s="337"/>
      <c r="BO30" s="337"/>
      <c r="BP30" s="337"/>
      <c r="BQ30" s="337"/>
      <c r="BR30" s="338"/>
      <c r="BS30" s="337"/>
      <c r="CA30" s="92"/>
      <c r="CC30" s="379"/>
      <c r="CD30" s="336"/>
      <c r="CE30" s="337"/>
      <c r="CF30" s="337"/>
      <c r="CG30" s="337"/>
      <c r="CH30" s="337"/>
      <c r="CI30" s="337"/>
      <c r="CJ30" s="337"/>
      <c r="CK30" s="337"/>
      <c r="CL30" s="338"/>
      <c r="CM30" s="337"/>
      <c r="CU30" s="92"/>
    </row>
    <row r="31" spans="2:99" x14ac:dyDescent="0.3">
      <c r="B31" s="230">
        <v>10</v>
      </c>
      <c r="C31" s="328"/>
      <c r="D31" s="329"/>
      <c r="E31" s="330"/>
      <c r="F31" s="330"/>
      <c r="G31" s="231" t="e">
        <f t="shared" si="16"/>
        <v>#N/A</v>
      </c>
      <c r="H31" s="232" t="e">
        <f t="shared" si="18"/>
        <v>#N/A</v>
      </c>
      <c r="I31" s="232">
        <f>'[2]Plot Data'!$C$67</f>
        <v>26.787537881918869</v>
      </c>
      <c r="J31" s="232">
        <f>'[2]Plot Data'!$C$65</f>
        <v>26.863914143501468</v>
      </c>
      <c r="K31" s="238">
        <f>'[2]Plot Data'!$C$58</f>
        <v>27.016666666666666</v>
      </c>
      <c r="L31" s="238">
        <f>'[2]Plot Data'!$C$62</f>
        <v>27.169419189831864</v>
      </c>
      <c r="M31" s="238">
        <f>'[2]Plot Data'!$C$64</f>
        <v>27.245795451414462</v>
      </c>
      <c r="N31" s="239">
        <f>'[2]Plot Data'!$C$68</f>
        <v>0.12</v>
      </c>
      <c r="O31" s="177" t="e">
        <f t="shared" si="17"/>
        <v>#N/A</v>
      </c>
      <c r="P31" s="180" t="e">
        <f t="shared" si="19"/>
        <v>#N/A</v>
      </c>
      <c r="Q31" s="180" t="e">
        <f t="shared" si="21"/>
        <v>#N/A</v>
      </c>
      <c r="R31" s="180" t="e">
        <f t="shared" si="20"/>
        <v>#N/A</v>
      </c>
      <c r="S31" s="179" t="e">
        <f>IF(H31="","",IF(H31&gt;'[2]Plot Data'!$C$68,"No","Yes"))</f>
        <v>#N/A</v>
      </c>
      <c r="T31" s="327"/>
      <c r="U31" s="379"/>
      <c r="V31" s="336"/>
      <c r="W31" s="337"/>
      <c r="X31" s="337"/>
      <c r="Y31" s="337"/>
      <c r="Z31" s="337"/>
      <c r="AA31" s="337"/>
      <c r="AB31" s="337"/>
      <c r="AC31" s="337"/>
      <c r="AD31" s="338"/>
      <c r="AE31" s="337"/>
      <c r="AM31" s="92"/>
      <c r="AO31" s="379"/>
      <c r="AP31" s="336"/>
      <c r="AQ31" s="337"/>
      <c r="AR31" s="337"/>
      <c r="AS31" s="337"/>
      <c r="AT31" s="337"/>
      <c r="AU31" s="337"/>
      <c r="AV31" s="337"/>
      <c r="AW31" s="337"/>
      <c r="AX31" s="338"/>
      <c r="AY31" s="337"/>
      <c r="BG31" s="92"/>
      <c r="BI31" s="379"/>
      <c r="BJ31" s="336"/>
      <c r="BK31" s="337"/>
      <c r="BL31" s="337"/>
      <c r="BM31" s="337"/>
      <c r="BN31" s="337"/>
      <c r="BO31" s="337"/>
      <c r="BP31" s="337"/>
      <c r="BQ31" s="337"/>
      <c r="BR31" s="338"/>
      <c r="BS31" s="337"/>
      <c r="CA31" s="92"/>
      <c r="CC31" s="379"/>
      <c r="CD31" s="336"/>
      <c r="CE31" s="337"/>
      <c r="CF31" s="337"/>
      <c r="CG31" s="337"/>
      <c r="CH31" s="337"/>
      <c r="CI31" s="337"/>
      <c r="CJ31" s="337"/>
      <c r="CK31" s="337"/>
      <c r="CL31" s="338"/>
      <c r="CM31" s="337"/>
      <c r="CU31" s="92"/>
    </row>
    <row r="32" spans="2:99" x14ac:dyDescent="0.3">
      <c r="B32" s="230">
        <v>11</v>
      </c>
      <c r="C32" s="328"/>
      <c r="D32" s="329"/>
      <c r="E32" s="330"/>
      <c r="F32" s="330"/>
      <c r="G32" s="231" t="e">
        <f t="shared" si="16"/>
        <v>#N/A</v>
      </c>
      <c r="H32" s="232" t="e">
        <f t="shared" si="18"/>
        <v>#N/A</v>
      </c>
      <c r="I32" s="232">
        <f>'[2]Plot Data'!$C$67</f>
        <v>26.787537881918869</v>
      </c>
      <c r="J32" s="232">
        <f>'[2]Plot Data'!$C$65</f>
        <v>26.863914143501468</v>
      </c>
      <c r="K32" s="238">
        <f>'[2]Plot Data'!$C$58</f>
        <v>27.016666666666666</v>
      </c>
      <c r="L32" s="238">
        <f>'[2]Plot Data'!$C$62</f>
        <v>27.169419189831864</v>
      </c>
      <c r="M32" s="238">
        <f>'[2]Plot Data'!$C$64</f>
        <v>27.245795451414462</v>
      </c>
      <c r="N32" s="239">
        <f>'[2]Plot Data'!$C$68</f>
        <v>0.12</v>
      </c>
      <c r="O32" s="177" t="e">
        <f t="shared" si="17"/>
        <v>#N/A</v>
      </c>
      <c r="P32" s="180" t="e">
        <f t="shared" si="19"/>
        <v>#N/A</v>
      </c>
      <c r="Q32" s="180" t="e">
        <f t="shared" si="21"/>
        <v>#N/A</v>
      </c>
      <c r="R32" s="180" t="e">
        <f t="shared" si="20"/>
        <v>#N/A</v>
      </c>
      <c r="S32" s="179" t="e">
        <f>IF(H32="","",IF(H32&gt;'[2]Plot Data'!$C$68,"No","Yes"))</f>
        <v>#N/A</v>
      </c>
      <c r="T32" s="327"/>
      <c r="U32" s="379"/>
      <c r="V32" s="336"/>
      <c r="W32" s="337"/>
      <c r="X32" s="337"/>
      <c r="Y32" s="337"/>
      <c r="Z32" s="337"/>
      <c r="AA32" s="337"/>
      <c r="AB32" s="337"/>
      <c r="AC32" s="337"/>
      <c r="AD32" s="338"/>
      <c r="AE32" s="337"/>
      <c r="AM32" s="92"/>
      <c r="AO32" s="379"/>
      <c r="AP32" s="336"/>
      <c r="AQ32" s="337"/>
      <c r="AR32" s="337"/>
      <c r="AS32" s="337"/>
      <c r="AT32" s="337"/>
      <c r="AU32" s="337"/>
      <c r="AV32" s="337"/>
      <c r="AW32" s="337"/>
      <c r="AX32" s="338"/>
      <c r="AY32" s="337"/>
      <c r="BG32" s="92"/>
      <c r="BI32" s="379"/>
      <c r="BJ32" s="336"/>
      <c r="BK32" s="337"/>
      <c r="BL32" s="337"/>
      <c r="BM32" s="337"/>
      <c r="BN32" s="337"/>
      <c r="BO32" s="337"/>
      <c r="BP32" s="337"/>
      <c r="BQ32" s="337"/>
      <c r="BR32" s="338"/>
      <c r="BS32" s="337"/>
      <c r="CA32" s="92"/>
      <c r="CC32" s="379"/>
      <c r="CD32" s="336"/>
      <c r="CE32" s="337"/>
      <c r="CF32" s="337"/>
      <c r="CG32" s="337"/>
      <c r="CH32" s="337"/>
      <c r="CI32" s="337"/>
      <c r="CJ32" s="337"/>
      <c r="CK32" s="337"/>
      <c r="CL32" s="338"/>
      <c r="CM32" s="337"/>
      <c r="CU32" s="92"/>
    </row>
    <row r="33" spans="2:99" x14ac:dyDescent="0.3">
      <c r="B33" s="230">
        <v>12</v>
      </c>
      <c r="C33" s="328"/>
      <c r="D33" s="329"/>
      <c r="E33" s="330"/>
      <c r="F33" s="330"/>
      <c r="G33" s="231" t="e">
        <f t="shared" si="16"/>
        <v>#N/A</v>
      </c>
      <c r="H33" s="232" t="e">
        <f t="shared" si="18"/>
        <v>#N/A</v>
      </c>
      <c r="I33" s="232">
        <f>'[2]Plot Data'!$C$67</f>
        <v>26.787537881918869</v>
      </c>
      <c r="J33" s="232">
        <f>'[2]Plot Data'!$C$65</f>
        <v>26.863914143501468</v>
      </c>
      <c r="K33" s="238">
        <f>'[2]Plot Data'!$C$58</f>
        <v>27.016666666666666</v>
      </c>
      <c r="L33" s="238">
        <f>'[2]Plot Data'!$C$62</f>
        <v>27.169419189831864</v>
      </c>
      <c r="M33" s="238">
        <f>'[2]Plot Data'!$C$64</f>
        <v>27.245795451414462</v>
      </c>
      <c r="N33" s="239">
        <f>'[2]Plot Data'!$C$68</f>
        <v>0.12</v>
      </c>
      <c r="O33" s="177" t="e">
        <f t="shared" si="17"/>
        <v>#N/A</v>
      </c>
      <c r="P33" s="180" t="e">
        <f t="shared" si="19"/>
        <v>#N/A</v>
      </c>
      <c r="Q33" s="180" t="e">
        <f t="shared" si="21"/>
        <v>#N/A</v>
      </c>
      <c r="R33" s="180" t="e">
        <f t="shared" si="20"/>
        <v>#N/A</v>
      </c>
      <c r="S33" s="179" t="e">
        <f>IF(H33="","",IF(H33&gt;'[2]Plot Data'!$C$68,"No","Yes"))</f>
        <v>#N/A</v>
      </c>
      <c r="T33" s="327"/>
      <c r="U33" s="379"/>
      <c r="V33" s="336"/>
      <c r="W33" s="337"/>
      <c r="X33" s="337"/>
      <c r="Y33" s="337"/>
      <c r="Z33" s="337"/>
      <c r="AA33" s="337"/>
      <c r="AB33" s="337"/>
      <c r="AC33" s="337"/>
      <c r="AD33" s="338"/>
      <c r="AE33" s="337"/>
      <c r="AM33" s="92"/>
      <c r="AO33" s="379"/>
      <c r="AP33" s="336"/>
      <c r="AQ33" s="337"/>
      <c r="AR33" s="337"/>
      <c r="AS33" s="337"/>
      <c r="AT33" s="337"/>
      <c r="AU33" s="337"/>
      <c r="AV33" s="337"/>
      <c r="AW33" s="337"/>
      <c r="AX33" s="338"/>
      <c r="AY33" s="337"/>
      <c r="BG33" s="92"/>
      <c r="BI33" s="379"/>
      <c r="BJ33" s="336"/>
      <c r="BK33" s="337"/>
      <c r="BL33" s="337"/>
      <c r="BM33" s="337"/>
      <c r="BN33" s="337"/>
      <c r="BO33" s="337"/>
      <c r="BP33" s="337"/>
      <c r="BQ33" s="337"/>
      <c r="BR33" s="338"/>
      <c r="BS33" s="337"/>
      <c r="CA33" s="92"/>
      <c r="CC33" s="379"/>
      <c r="CD33" s="336"/>
      <c r="CE33" s="337"/>
      <c r="CF33" s="337"/>
      <c r="CG33" s="337"/>
      <c r="CH33" s="337"/>
      <c r="CI33" s="337"/>
      <c r="CJ33" s="337"/>
      <c r="CK33" s="337"/>
      <c r="CL33" s="338"/>
      <c r="CM33" s="337"/>
      <c r="CU33" s="92"/>
    </row>
    <row r="34" spans="2:99" x14ac:dyDescent="0.3">
      <c r="B34" s="230">
        <v>13</v>
      </c>
      <c r="C34" s="328"/>
      <c r="D34" s="329"/>
      <c r="E34" s="330"/>
      <c r="F34" s="330"/>
      <c r="G34" s="231" t="e">
        <f t="shared" si="16"/>
        <v>#N/A</v>
      </c>
      <c r="H34" s="232" t="e">
        <f t="shared" si="18"/>
        <v>#N/A</v>
      </c>
      <c r="I34" s="232">
        <f>'[2]Plot Data'!$C$67</f>
        <v>26.787537881918869</v>
      </c>
      <c r="J34" s="232">
        <f>'[2]Plot Data'!$C$65</f>
        <v>26.863914143501468</v>
      </c>
      <c r="K34" s="238">
        <f>'[2]Plot Data'!$C$58</f>
        <v>27.016666666666666</v>
      </c>
      <c r="L34" s="238">
        <f>'[2]Plot Data'!$C$62</f>
        <v>27.169419189831864</v>
      </c>
      <c r="M34" s="238">
        <f>'[2]Plot Data'!$C$64</f>
        <v>27.245795451414462</v>
      </c>
      <c r="N34" s="239">
        <f>'[2]Plot Data'!$C$68</f>
        <v>0.12</v>
      </c>
      <c r="O34" s="177" t="e">
        <f t="shared" si="17"/>
        <v>#N/A</v>
      </c>
      <c r="P34" s="180" t="e">
        <f t="shared" si="19"/>
        <v>#N/A</v>
      </c>
      <c r="Q34" s="180" t="e">
        <f t="shared" si="21"/>
        <v>#N/A</v>
      </c>
      <c r="R34" s="180" t="e">
        <f t="shared" si="20"/>
        <v>#N/A</v>
      </c>
      <c r="S34" s="179" t="e">
        <f>IF(H34="","",IF(H34&gt;'[2]Plot Data'!$C$68,"No","Yes"))</f>
        <v>#N/A</v>
      </c>
      <c r="T34" s="327"/>
      <c r="U34" s="379"/>
      <c r="V34" s="336"/>
      <c r="W34" s="337"/>
      <c r="X34" s="337"/>
      <c r="Y34" s="337"/>
      <c r="Z34" s="337"/>
      <c r="AA34" s="337"/>
      <c r="AB34" s="337"/>
      <c r="AC34" s="337"/>
      <c r="AD34" s="338"/>
      <c r="AE34" s="337"/>
      <c r="AM34" s="92"/>
      <c r="AO34" s="379"/>
      <c r="AP34" s="336"/>
      <c r="AQ34" s="337"/>
      <c r="AR34" s="337"/>
      <c r="AS34" s="337"/>
      <c r="AT34" s="337"/>
      <c r="AU34" s="337"/>
      <c r="AV34" s="337"/>
      <c r="AW34" s="337"/>
      <c r="AX34" s="338"/>
      <c r="AY34" s="337"/>
      <c r="BG34" s="92"/>
      <c r="BI34" s="379"/>
      <c r="BJ34" s="336"/>
      <c r="BK34" s="337"/>
      <c r="BL34" s="337"/>
      <c r="BM34" s="337"/>
      <c r="BN34" s="337"/>
      <c r="BO34" s="337"/>
      <c r="BP34" s="337"/>
      <c r="BQ34" s="337"/>
      <c r="BR34" s="338"/>
      <c r="BS34" s="337"/>
      <c r="CA34" s="92"/>
      <c r="CC34" s="379"/>
      <c r="CD34" s="336"/>
      <c r="CE34" s="337"/>
      <c r="CF34" s="337"/>
      <c r="CG34" s="337"/>
      <c r="CH34" s="337"/>
      <c r="CI34" s="337"/>
      <c r="CJ34" s="337"/>
      <c r="CK34" s="337"/>
      <c r="CL34" s="338"/>
      <c r="CM34" s="337"/>
      <c r="CU34" s="92"/>
    </row>
    <row r="35" spans="2:99" x14ac:dyDescent="0.3">
      <c r="B35" s="230">
        <v>14</v>
      </c>
      <c r="C35" s="328"/>
      <c r="D35" s="329"/>
      <c r="E35" s="330"/>
      <c r="F35" s="330"/>
      <c r="G35" s="231" t="e">
        <f t="shared" si="16"/>
        <v>#N/A</v>
      </c>
      <c r="H35" s="232" t="e">
        <f t="shared" si="18"/>
        <v>#N/A</v>
      </c>
      <c r="I35" s="232">
        <f>'[2]Plot Data'!$C$67</f>
        <v>26.787537881918869</v>
      </c>
      <c r="J35" s="232">
        <f>'[2]Plot Data'!$C$65</f>
        <v>26.863914143501468</v>
      </c>
      <c r="K35" s="238">
        <f>'[2]Plot Data'!$C$58</f>
        <v>27.016666666666666</v>
      </c>
      <c r="L35" s="238">
        <f>'[2]Plot Data'!$C$62</f>
        <v>27.169419189831864</v>
      </c>
      <c r="M35" s="238">
        <f>'[2]Plot Data'!$C$64</f>
        <v>27.245795451414462</v>
      </c>
      <c r="N35" s="239">
        <f>'[2]Plot Data'!$C$68</f>
        <v>0.12</v>
      </c>
      <c r="O35" s="177" t="e">
        <f t="shared" si="17"/>
        <v>#N/A</v>
      </c>
      <c r="P35" s="180" t="e">
        <f t="shared" si="19"/>
        <v>#N/A</v>
      </c>
      <c r="Q35" s="180" t="e">
        <f t="shared" si="21"/>
        <v>#N/A</v>
      </c>
      <c r="R35" s="180" t="e">
        <f t="shared" si="20"/>
        <v>#N/A</v>
      </c>
      <c r="S35" s="179" t="e">
        <f>IF(H35="","",IF(H35&gt;'[2]Plot Data'!$C$68,"No","Yes"))</f>
        <v>#N/A</v>
      </c>
      <c r="T35" s="327"/>
      <c r="U35" s="379"/>
      <c r="V35" s="336"/>
      <c r="W35" s="337"/>
      <c r="X35" s="337"/>
      <c r="Y35" s="337"/>
      <c r="Z35" s="337"/>
      <c r="AA35" s="337"/>
      <c r="AB35" s="337"/>
      <c r="AC35" s="337"/>
      <c r="AD35" s="338"/>
      <c r="AE35" s="337"/>
      <c r="AM35" s="92"/>
      <c r="AO35" s="379"/>
      <c r="AP35" s="336"/>
      <c r="AQ35" s="337"/>
      <c r="AR35" s="337"/>
      <c r="AS35" s="337"/>
      <c r="AT35" s="337"/>
      <c r="AU35" s="337"/>
      <c r="AV35" s="337"/>
      <c r="AW35" s="337"/>
      <c r="AX35" s="338"/>
      <c r="AY35" s="337"/>
      <c r="BG35" s="92"/>
      <c r="BI35" s="379"/>
      <c r="BJ35" s="336"/>
      <c r="BK35" s="337"/>
      <c r="BL35" s="337"/>
      <c r="BM35" s="337"/>
      <c r="BN35" s="337"/>
      <c r="BO35" s="337"/>
      <c r="BP35" s="337"/>
      <c r="BQ35" s="337"/>
      <c r="BR35" s="338"/>
      <c r="BS35" s="337"/>
      <c r="CA35" s="92"/>
      <c r="CC35" s="379"/>
      <c r="CD35" s="336"/>
      <c r="CE35" s="337"/>
      <c r="CF35" s="337"/>
      <c r="CG35" s="337"/>
      <c r="CH35" s="337"/>
      <c r="CI35" s="337"/>
      <c r="CJ35" s="337"/>
      <c r="CK35" s="337"/>
      <c r="CL35" s="338"/>
      <c r="CM35" s="337"/>
      <c r="CU35" s="92"/>
    </row>
    <row r="36" spans="2:99" x14ac:dyDescent="0.3">
      <c r="B36" s="230">
        <v>15</v>
      </c>
      <c r="C36" s="328"/>
      <c r="D36" s="329"/>
      <c r="E36" s="330"/>
      <c r="F36" s="330"/>
      <c r="G36" s="231" t="e">
        <f t="shared" si="16"/>
        <v>#N/A</v>
      </c>
      <c r="H36" s="232" t="e">
        <f t="shared" si="18"/>
        <v>#N/A</v>
      </c>
      <c r="I36" s="232">
        <f>'[2]Plot Data'!$C$67</f>
        <v>26.787537881918869</v>
      </c>
      <c r="J36" s="232">
        <f>'[2]Plot Data'!$C$65</f>
        <v>26.863914143501468</v>
      </c>
      <c r="K36" s="238">
        <f>'[2]Plot Data'!$C$58</f>
        <v>27.016666666666666</v>
      </c>
      <c r="L36" s="238">
        <f>'[2]Plot Data'!$C$62</f>
        <v>27.169419189831864</v>
      </c>
      <c r="M36" s="238">
        <f>'[2]Plot Data'!$C$64</f>
        <v>27.245795451414462</v>
      </c>
      <c r="N36" s="239">
        <f>'[2]Plot Data'!$C$68</f>
        <v>0.12</v>
      </c>
      <c r="O36" s="177" t="e">
        <f t="shared" si="17"/>
        <v>#N/A</v>
      </c>
      <c r="P36" s="180" t="e">
        <f t="shared" si="19"/>
        <v>#N/A</v>
      </c>
      <c r="Q36" s="180" t="e">
        <f t="shared" si="21"/>
        <v>#N/A</v>
      </c>
      <c r="R36" s="180" t="e">
        <f t="shared" si="20"/>
        <v>#N/A</v>
      </c>
      <c r="S36" s="179" t="e">
        <f>IF(H36="","",IF(H36&gt;'[2]Plot Data'!$C$68,"No","Yes"))</f>
        <v>#N/A</v>
      </c>
      <c r="T36" s="327"/>
      <c r="U36" s="379"/>
      <c r="V36" s="336"/>
      <c r="W36" s="337"/>
      <c r="X36" s="337"/>
      <c r="Y36" s="337"/>
      <c r="Z36" s="337"/>
      <c r="AA36" s="337"/>
      <c r="AB36" s="337"/>
      <c r="AC36" s="337"/>
      <c r="AD36" s="338"/>
      <c r="AE36" s="337"/>
      <c r="AM36" s="92"/>
      <c r="AO36" s="379"/>
      <c r="AP36" s="336"/>
      <c r="AQ36" s="337"/>
      <c r="AR36" s="337"/>
      <c r="AS36" s="337"/>
      <c r="AT36" s="337"/>
      <c r="AU36" s="337"/>
      <c r="AV36" s="337"/>
      <c r="AW36" s="337"/>
      <c r="AX36" s="338"/>
      <c r="AY36" s="337"/>
      <c r="BG36" s="92"/>
      <c r="BI36" s="379"/>
      <c r="BJ36" s="336"/>
      <c r="BK36" s="337"/>
      <c r="BL36" s="337"/>
      <c r="BM36" s="337"/>
      <c r="BN36" s="337"/>
      <c r="BO36" s="337"/>
      <c r="BP36" s="337"/>
      <c r="BQ36" s="337"/>
      <c r="BR36" s="338"/>
      <c r="BS36" s="337"/>
      <c r="CA36" s="92"/>
      <c r="CC36" s="379"/>
      <c r="CD36" s="336"/>
      <c r="CE36" s="337"/>
      <c r="CF36" s="337"/>
      <c r="CG36" s="337"/>
      <c r="CH36" s="337"/>
      <c r="CI36" s="337"/>
      <c r="CJ36" s="337"/>
      <c r="CK36" s="337"/>
      <c r="CL36" s="338"/>
      <c r="CM36" s="337"/>
      <c r="CU36" s="92"/>
    </row>
    <row r="37" spans="2:99" x14ac:dyDescent="0.3">
      <c r="B37" s="230">
        <v>16</v>
      </c>
      <c r="C37" s="328"/>
      <c r="D37" s="329"/>
      <c r="E37" s="330"/>
      <c r="F37" s="330"/>
      <c r="G37" s="231" t="e">
        <f t="shared" si="16"/>
        <v>#N/A</v>
      </c>
      <c r="H37" s="232" t="e">
        <f t="shared" si="18"/>
        <v>#N/A</v>
      </c>
      <c r="I37" s="232">
        <f>'[2]Plot Data'!$C$67</f>
        <v>26.787537881918869</v>
      </c>
      <c r="J37" s="232">
        <f>'[2]Plot Data'!$C$65</f>
        <v>26.863914143501468</v>
      </c>
      <c r="K37" s="238">
        <f>'[2]Plot Data'!$C$58</f>
        <v>27.016666666666666</v>
      </c>
      <c r="L37" s="238">
        <f>'[2]Plot Data'!$C$62</f>
        <v>27.169419189831864</v>
      </c>
      <c r="M37" s="238">
        <f>'[2]Plot Data'!$C$64</f>
        <v>27.245795451414462</v>
      </c>
      <c r="N37" s="239">
        <f>'[2]Plot Data'!$C$68</f>
        <v>0.12</v>
      </c>
      <c r="O37" s="177" t="e">
        <f t="shared" si="17"/>
        <v>#N/A</v>
      </c>
      <c r="P37" s="180" t="e">
        <f t="shared" si="19"/>
        <v>#N/A</v>
      </c>
      <c r="Q37" s="180" t="e">
        <f t="shared" si="21"/>
        <v>#N/A</v>
      </c>
      <c r="R37" s="180" t="e">
        <f t="shared" si="20"/>
        <v>#N/A</v>
      </c>
      <c r="S37" s="179" t="e">
        <f>IF(H37="","",IF(H37&gt;'[2]Plot Data'!$C$68,"No","Yes"))</f>
        <v>#N/A</v>
      </c>
      <c r="T37" s="327"/>
      <c r="U37" s="379"/>
      <c r="V37" s="336"/>
      <c r="W37" s="337"/>
      <c r="X37" s="337"/>
      <c r="Y37" s="337"/>
      <c r="Z37" s="337"/>
      <c r="AA37" s="337"/>
      <c r="AB37" s="337"/>
      <c r="AC37" s="337"/>
      <c r="AD37" s="338"/>
      <c r="AE37" s="337"/>
      <c r="AM37" s="92"/>
      <c r="AO37" s="379"/>
      <c r="AP37" s="336"/>
      <c r="AQ37" s="337"/>
      <c r="AR37" s="337"/>
      <c r="AS37" s="337"/>
      <c r="AT37" s="337"/>
      <c r="AU37" s="337"/>
      <c r="AV37" s="337"/>
      <c r="AW37" s="337"/>
      <c r="AX37" s="338"/>
      <c r="AY37" s="337"/>
      <c r="BG37" s="92"/>
      <c r="BI37" s="379"/>
      <c r="BJ37" s="336"/>
      <c r="BK37" s="337"/>
      <c r="BL37" s="337"/>
      <c r="BM37" s="337"/>
      <c r="BN37" s="337"/>
      <c r="BO37" s="337"/>
      <c r="BP37" s="337"/>
      <c r="BQ37" s="337"/>
      <c r="BR37" s="338"/>
      <c r="BS37" s="337"/>
      <c r="CA37" s="92"/>
      <c r="CC37" s="379"/>
      <c r="CD37" s="336"/>
      <c r="CE37" s="337"/>
      <c r="CF37" s="337"/>
      <c r="CG37" s="337"/>
      <c r="CH37" s="337"/>
      <c r="CI37" s="337"/>
      <c r="CJ37" s="337"/>
      <c r="CK37" s="337"/>
      <c r="CL37" s="338"/>
      <c r="CM37" s="337"/>
      <c r="CU37" s="92"/>
    </row>
    <row r="38" spans="2:99" x14ac:dyDescent="0.3">
      <c r="B38" s="230">
        <v>17</v>
      </c>
      <c r="C38" s="328"/>
      <c r="D38" s="329"/>
      <c r="E38" s="330"/>
      <c r="F38" s="330"/>
      <c r="G38" s="231" t="e">
        <f t="shared" si="16"/>
        <v>#N/A</v>
      </c>
      <c r="H38" s="232" t="e">
        <f t="shared" si="18"/>
        <v>#N/A</v>
      </c>
      <c r="I38" s="232">
        <f>'[2]Plot Data'!$C$67</f>
        <v>26.787537881918869</v>
      </c>
      <c r="J38" s="232">
        <f>'[2]Plot Data'!$C$65</f>
        <v>26.863914143501468</v>
      </c>
      <c r="K38" s="238">
        <f>'[2]Plot Data'!$C$58</f>
        <v>27.016666666666666</v>
      </c>
      <c r="L38" s="238">
        <f>'[2]Plot Data'!$C$62</f>
        <v>27.169419189831864</v>
      </c>
      <c r="M38" s="238">
        <f>'[2]Plot Data'!$C$64</f>
        <v>27.245795451414462</v>
      </c>
      <c r="N38" s="239">
        <f>'[2]Plot Data'!$C$68</f>
        <v>0.12</v>
      </c>
      <c r="O38" s="177" t="e">
        <f t="shared" si="17"/>
        <v>#N/A</v>
      </c>
      <c r="P38" s="180" t="e">
        <f t="shared" si="19"/>
        <v>#N/A</v>
      </c>
      <c r="Q38" s="180" t="e">
        <f t="shared" si="21"/>
        <v>#N/A</v>
      </c>
      <c r="R38" s="180" t="e">
        <f t="shared" si="20"/>
        <v>#N/A</v>
      </c>
      <c r="S38" s="179" t="e">
        <f>IF(H38="","",IF(H38&gt;'[2]Plot Data'!$C$68,"No","Yes"))</f>
        <v>#N/A</v>
      </c>
      <c r="T38" s="327"/>
      <c r="U38" s="379"/>
      <c r="V38" s="336"/>
      <c r="W38" s="337"/>
      <c r="X38" s="337"/>
      <c r="Y38" s="337"/>
      <c r="Z38" s="337"/>
      <c r="AA38" s="337"/>
      <c r="AB38" s="337"/>
      <c r="AC38" s="337"/>
      <c r="AD38" s="338"/>
      <c r="AE38" s="337"/>
      <c r="AM38" s="92"/>
      <c r="AO38" s="379"/>
      <c r="AP38" s="336"/>
      <c r="AQ38" s="337"/>
      <c r="AR38" s="337"/>
      <c r="AS38" s="337"/>
      <c r="AT38" s="337"/>
      <c r="AU38" s="337"/>
      <c r="AV38" s="337"/>
      <c r="AW38" s="337"/>
      <c r="AX38" s="338"/>
      <c r="AY38" s="337"/>
      <c r="BG38" s="92"/>
      <c r="BI38" s="379"/>
      <c r="BJ38" s="336"/>
      <c r="BK38" s="337"/>
      <c r="BL38" s="337"/>
      <c r="BM38" s="337"/>
      <c r="BN38" s="337"/>
      <c r="BO38" s="337"/>
      <c r="BP38" s="337"/>
      <c r="BQ38" s="337"/>
      <c r="BR38" s="338"/>
      <c r="BS38" s="337"/>
      <c r="CA38" s="92"/>
      <c r="CC38" s="379"/>
      <c r="CD38" s="336"/>
      <c r="CE38" s="337"/>
      <c r="CF38" s="337"/>
      <c r="CG38" s="337"/>
      <c r="CH38" s="337"/>
      <c r="CI38" s="337"/>
      <c r="CJ38" s="337"/>
      <c r="CK38" s="337"/>
      <c r="CL38" s="338"/>
      <c r="CM38" s="337"/>
      <c r="CU38" s="92"/>
    </row>
    <row r="39" spans="2:99" x14ac:dyDescent="0.3">
      <c r="B39" s="230">
        <v>18</v>
      </c>
      <c r="C39" s="328"/>
      <c r="D39" s="329"/>
      <c r="E39" s="330"/>
      <c r="F39" s="330"/>
      <c r="G39" s="231" t="e">
        <f t="shared" si="16"/>
        <v>#N/A</v>
      </c>
      <c r="H39" s="232" t="e">
        <f t="shared" si="18"/>
        <v>#N/A</v>
      </c>
      <c r="I39" s="232">
        <f>'[2]Plot Data'!$C$67</f>
        <v>26.787537881918869</v>
      </c>
      <c r="J39" s="232">
        <f>'[2]Plot Data'!$C$65</f>
        <v>26.863914143501468</v>
      </c>
      <c r="K39" s="238">
        <f>'[2]Plot Data'!$C$58</f>
        <v>27.016666666666666</v>
      </c>
      <c r="L39" s="238">
        <f>'[2]Plot Data'!$C$62</f>
        <v>27.169419189831864</v>
      </c>
      <c r="M39" s="238">
        <f>'[2]Plot Data'!$C$64</f>
        <v>27.245795451414462</v>
      </c>
      <c r="N39" s="239">
        <f>'[2]Plot Data'!$C$68</f>
        <v>0.12</v>
      </c>
      <c r="O39" s="177" t="e">
        <f t="shared" si="17"/>
        <v>#N/A</v>
      </c>
      <c r="P39" s="180" t="e">
        <f t="shared" si="19"/>
        <v>#N/A</v>
      </c>
      <c r="Q39" s="180" t="e">
        <f t="shared" si="21"/>
        <v>#N/A</v>
      </c>
      <c r="R39" s="180" t="e">
        <f t="shared" si="20"/>
        <v>#N/A</v>
      </c>
      <c r="S39" s="179" t="e">
        <f>IF(H39="","",IF(H39&gt;'[2]Plot Data'!$C$68,"No","Yes"))</f>
        <v>#N/A</v>
      </c>
      <c r="T39" s="327"/>
      <c r="U39" s="379"/>
      <c r="V39" s="336"/>
      <c r="W39" s="337"/>
      <c r="X39" s="337"/>
      <c r="Y39" s="337"/>
      <c r="Z39" s="337"/>
      <c r="AA39" s="337"/>
      <c r="AB39" s="337"/>
      <c r="AC39" s="337"/>
      <c r="AD39" s="338"/>
      <c r="AE39" s="337"/>
      <c r="AM39" s="92"/>
      <c r="AO39" s="379"/>
      <c r="AP39" s="336"/>
      <c r="AQ39" s="337"/>
      <c r="AR39" s="337"/>
      <c r="AS39" s="337"/>
      <c r="AT39" s="337"/>
      <c r="AU39" s="337"/>
      <c r="AV39" s="337"/>
      <c r="AW39" s="337"/>
      <c r="AX39" s="338"/>
      <c r="AY39" s="337"/>
      <c r="BG39" s="92"/>
      <c r="BI39" s="379"/>
      <c r="BJ39" s="336"/>
      <c r="BK39" s="337"/>
      <c r="BL39" s="337"/>
      <c r="BM39" s="337"/>
      <c r="BN39" s="337"/>
      <c r="BO39" s="337"/>
      <c r="BP39" s="337"/>
      <c r="BQ39" s="337"/>
      <c r="BR39" s="338"/>
      <c r="BS39" s="337"/>
      <c r="CA39" s="92"/>
      <c r="CC39" s="379"/>
      <c r="CD39" s="336"/>
      <c r="CE39" s="337"/>
      <c r="CF39" s="337"/>
      <c r="CG39" s="337"/>
      <c r="CH39" s="337"/>
      <c r="CI39" s="337"/>
      <c r="CJ39" s="337"/>
      <c r="CK39" s="337"/>
      <c r="CL39" s="338"/>
      <c r="CM39" s="337"/>
      <c r="CU39" s="92"/>
    </row>
    <row r="40" spans="2:99" x14ac:dyDescent="0.3">
      <c r="B40" s="230">
        <v>19</v>
      </c>
      <c r="C40" s="328"/>
      <c r="D40" s="329"/>
      <c r="E40" s="330"/>
      <c r="F40" s="330"/>
      <c r="G40" s="231" t="e">
        <f t="shared" si="16"/>
        <v>#N/A</v>
      </c>
      <c r="H40" s="232" t="e">
        <f t="shared" si="18"/>
        <v>#N/A</v>
      </c>
      <c r="I40" s="232">
        <f>'[2]Plot Data'!$C$67</f>
        <v>26.787537881918869</v>
      </c>
      <c r="J40" s="232">
        <f>'[2]Plot Data'!$C$65</f>
        <v>26.863914143501468</v>
      </c>
      <c r="K40" s="238">
        <f>'[2]Plot Data'!$C$58</f>
        <v>27.016666666666666</v>
      </c>
      <c r="L40" s="238">
        <f>'[2]Plot Data'!$C$62</f>
        <v>27.169419189831864</v>
      </c>
      <c r="M40" s="238">
        <f>'[2]Plot Data'!$C$64</f>
        <v>27.245795451414462</v>
      </c>
      <c r="N40" s="239">
        <f>'[2]Plot Data'!$C$68</f>
        <v>0.12</v>
      </c>
      <c r="O40" s="177" t="e">
        <f t="shared" si="17"/>
        <v>#N/A</v>
      </c>
      <c r="P40" s="180" t="e">
        <f t="shared" si="19"/>
        <v>#N/A</v>
      </c>
      <c r="Q40" s="180" t="e">
        <f t="shared" si="21"/>
        <v>#N/A</v>
      </c>
      <c r="R40" s="180" t="e">
        <f t="shared" si="20"/>
        <v>#N/A</v>
      </c>
      <c r="S40" s="179" t="e">
        <f>IF(H40="","",IF(H40&gt;'[2]Plot Data'!$C$68,"No","Yes"))</f>
        <v>#N/A</v>
      </c>
      <c r="T40" s="327"/>
      <c r="U40" s="379"/>
      <c r="V40" s="336"/>
      <c r="W40" s="337"/>
      <c r="X40" s="337"/>
      <c r="Y40" s="337"/>
      <c r="Z40" s="337"/>
      <c r="AA40" s="337"/>
      <c r="AB40" s="337"/>
      <c r="AC40" s="337"/>
      <c r="AD40" s="338"/>
      <c r="AE40" s="337"/>
      <c r="AM40" s="92"/>
      <c r="AO40" s="379"/>
      <c r="AP40" s="336"/>
      <c r="AQ40" s="337"/>
      <c r="AR40" s="337"/>
      <c r="AS40" s="337"/>
      <c r="AT40" s="337"/>
      <c r="AU40" s="337"/>
      <c r="AV40" s="337"/>
      <c r="AW40" s="337"/>
      <c r="AX40" s="338"/>
      <c r="AY40" s="337"/>
      <c r="BG40" s="92"/>
      <c r="BI40" s="379"/>
      <c r="BJ40" s="336"/>
      <c r="BK40" s="337"/>
      <c r="BL40" s="337"/>
      <c r="BM40" s="337"/>
      <c r="BN40" s="337"/>
      <c r="BO40" s="337"/>
      <c r="BP40" s="337"/>
      <c r="BQ40" s="337"/>
      <c r="BR40" s="338"/>
      <c r="BS40" s="337"/>
      <c r="CA40" s="92"/>
      <c r="CC40" s="379"/>
      <c r="CD40" s="336"/>
      <c r="CE40" s="337"/>
      <c r="CF40" s="337"/>
      <c r="CG40" s="337"/>
      <c r="CH40" s="337"/>
      <c r="CI40" s="337"/>
      <c r="CJ40" s="337"/>
      <c r="CK40" s="337"/>
      <c r="CL40" s="338"/>
      <c r="CM40" s="337"/>
      <c r="CU40" s="92"/>
    </row>
    <row r="41" spans="2:99" x14ac:dyDescent="0.3">
      <c r="B41" s="230">
        <v>20</v>
      </c>
      <c r="C41" s="328"/>
      <c r="D41" s="329"/>
      <c r="E41" s="330"/>
      <c r="F41" s="330"/>
      <c r="G41" s="231" t="e">
        <f t="shared" si="16"/>
        <v>#N/A</v>
      </c>
      <c r="H41" s="232" t="e">
        <f t="shared" si="18"/>
        <v>#N/A</v>
      </c>
      <c r="I41" s="232">
        <f>'[2]Plot Data'!$C$67</f>
        <v>26.787537881918869</v>
      </c>
      <c r="J41" s="232">
        <f>'[2]Plot Data'!$C$65</f>
        <v>26.863914143501468</v>
      </c>
      <c r="K41" s="238">
        <f>'[2]Plot Data'!$C$58</f>
        <v>27.016666666666666</v>
      </c>
      <c r="L41" s="238">
        <f>'[2]Plot Data'!$C$62</f>
        <v>27.169419189831864</v>
      </c>
      <c r="M41" s="238">
        <f>'[2]Plot Data'!$C$64</f>
        <v>27.245795451414462</v>
      </c>
      <c r="N41" s="239">
        <f>'[2]Plot Data'!$C$68</f>
        <v>0.12</v>
      </c>
      <c r="O41" s="177" t="e">
        <f t="shared" si="17"/>
        <v>#N/A</v>
      </c>
      <c r="P41" s="180" t="e">
        <f t="shared" si="19"/>
        <v>#N/A</v>
      </c>
      <c r="Q41" s="180" t="e">
        <f t="shared" si="21"/>
        <v>#N/A</v>
      </c>
      <c r="R41" s="180" t="e">
        <f t="shared" si="20"/>
        <v>#N/A</v>
      </c>
      <c r="S41" s="179" t="e">
        <f>IF(H41="","",IF(H41&gt;'[2]Plot Data'!$C$68,"No","Yes"))</f>
        <v>#N/A</v>
      </c>
      <c r="T41" s="327"/>
      <c r="U41" s="379"/>
      <c r="V41" s="336"/>
      <c r="W41" s="337"/>
      <c r="X41" s="337"/>
      <c r="Y41" s="337"/>
      <c r="Z41" s="337"/>
      <c r="AA41" s="337"/>
      <c r="AB41" s="337"/>
      <c r="AC41" s="337"/>
      <c r="AD41" s="338"/>
      <c r="AE41" s="337"/>
      <c r="AM41" s="92"/>
      <c r="AO41" s="379"/>
      <c r="AP41" s="336"/>
      <c r="AQ41" s="337"/>
      <c r="AR41" s="337"/>
      <c r="AS41" s="337"/>
      <c r="AT41" s="337"/>
      <c r="AU41" s="337"/>
      <c r="AV41" s="337"/>
      <c r="AW41" s="337"/>
      <c r="AX41" s="338"/>
      <c r="AY41" s="337"/>
      <c r="BG41" s="92"/>
      <c r="BI41" s="379"/>
      <c r="BJ41" s="336"/>
      <c r="BK41" s="337"/>
      <c r="BL41" s="337"/>
      <c r="BM41" s="337"/>
      <c r="BN41" s="337"/>
      <c r="BO41" s="337"/>
      <c r="BP41" s="337"/>
      <c r="BQ41" s="337"/>
      <c r="BR41" s="338"/>
      <c r="BS41" s="337"/>
      <c r="CA41" s="92"/>
      <c r="CC41" s="379"/>
      <c r="CD41" s="336"/>
      <c r="CE41" s="337"/>
      <c r="CF41" s="337"/>
      <c r="CG41" s="337"/>
      <c r="CH41" s="337"/>
      <c r="CI41" s="337"/>
      <c r="CJ41" s="337"/>
      <c r="CK41" s="337"/>
      <c r="CL41" s="338"/>
      <c r="CM41" s="337"/>
      <c r="CU41" s="92"/>
    </row>
    <row r="42" spans="2:99" ht="15" thickBot="1" x14ac:dyDescent="0.35">
      <c r="B42" s="241">
        <v>21</v>
      </c>
      <c r="C42" s="331"/>
      <c r="D42" s="332"/>
      <c r="E42" s="333"/>
      <c r="F42" s="333"/>
      <c r="G42" s="243" t="e">
        <f t="shared" si="16"/>
        <v>#N/A</v>
      </c>
      <c r="H42" s="244" t="e">
        <f t="shared" si="18"/>
        <v>#N/A</v>
      </c>
      <c r="I42" s="244">
        <f>'[2]Plot Data'!$C$67</f>
        <v>26.787537881918869</v>
      </c>
      <c r="J42" s="244">
        <f>'[2]Plot Data'!$C$65</f>
        <v>26.863914143501468</v>
      </c>
      <c r="K42" s="245">
        <f>'[2]Plot Data'!$C$58</f>
        <v>27.016666666666666</v>
      </c>
      <c r="L42" s="245">
        <f>'[2]Plot Data'!$C$62</f>
        <v>27.169419189831864</v>
      </c>
      <c r="M42" s="245">
        <f>'[2]Plot Data'!$C$64</f>
        <v>27.245795451414462</v>
      </c>
      <c r="N42" s="246">
        <f>'[2]Plot Data'!$C$68</f>
        <v>0.12</v>
      </c>
      <c r="O42" s="242" t="e">
        <f t="shared" si="17"/>
        <v>#N/A</v>
      </c>
      <c r="P42" s="180" t="e">
        <f t="shared" si="19"/>
        <v>#N/A</v>
      </c>
      <c r="Q42" s="247" t="e">
        <f t="shared" si="21"/>
        <v>#N/A</v>
      </c>
      <c r="R42" s="247" t="e">
        <f t="shared" si="20"/>
        <v>#N/A</v>
      </c>
      <c r="S42" s="248" t="e">
        <f>IF(H42="","",IF(H42&gt;'[2]Plot Data'!$C$68,"No","Yes"))</f>
        <v>#N/A</v>
      </c>
      <c r="T42" s="327"/>
      <c r="U42" s="379"/>
      <c r="V42" s="336"/>
      <c r="W42" s="337"/>
      <c r="X42" s="337"/>
      <c r="Y42" s="337"/>
      <c r="Z42" s="337"/>
      <c r="AA42" s="337"/>
      <c r="AB42" s="337"/>
      <c r="AC42" s="337"/>
      <c r="AD42" s="338"/>
      <c r="AE42" s="337"/>
      <c r="AM42" s="92"/>
      <c r="AO42" s="379"/>
      <c r="AP42" s="336"/>
      <c r="AQ42" s="337"/>
      <c r="AR42" s="337"/>
      <c r="AS42" s="337"/>
      <c r="AT42" s="337"/>
      <c r="AU42" s="337"/>
      <c r="AV42" s="337"/>
      <c r="AW42" s="337"/>
      <c r="AX42" s="338"/>
      <c r="AY42" s="337"/>
      <c r="BG42" s="92"/>
      <c r="BI42" s="379"/>
      <c r="BJ42" s="336"/>
      <c r="BK42" s="337"/>
      <c r="BL42" s="337"/>
      <c r="BM42" s="337"/>
      <c r="BN42" s="337"/>
      <c r="BO42" s="337"/>
      <c r="BP42" s="337"/>
      <c r="BQ42" s="337"/>
      <c r="BR42" s="338"/>
      <c r="BS42" s="337"/>
      <c r="CA42" s="92"/>
      <c r="CC42" s="379"/>
      <c r="CD42" s="336"/>
      <c r="CE42" s="337"/>
      <c r="CF42" s="337"/>
      <c r="CG42" s="337"/>
      <c r="CH42" s="337"/>
      <c r="CI42" s="337"/>
      <c r="CJ42" s="337"/>
      <c r="CK42" s="337"/>
      <c r="CL42" s="338"/>
      <c r="CM42" s="337"/>
      <c r="CU42" s="92"/>
    </row>
    <row r="43" spans="2:99" x14ac:dyDescent="0.3">
      <c r="U43" s="211"/>
      <c r="V43" s="336"/>
      <c r="W43" s="337"/>
      <c r="X43" s="337"/>
      <c r="Y43" s="337"/>
      <c r="Z43" s="337"/>
      <c r="AA43" s="337"/>
      <c r="AB43" s="337"/>
      <c r="AC43" s="337"/>
      <c r="AD43" s="338"/>
      <c r="AE43" s="337"/>
      <c r="AM43" s="92"/>
      <c r="AO43" s="211"/>
      <c r="AP43" s="336"/>
      <c r="AQ43" s="337"/>
      <c r="AR43" s="337"/>
      <c r="AS43" s="337"/>
      <c r="AT43" s="337"/>
      <c r="AU43" s="337"/>
      <c r="AV43" s="337"/>
      <c r="AW43" s="337"/>
      <c r="AX43" s="338"/>
      <c r="AY43" s="337"/>
      <c r="BG43" s="92"/>
      <c r="BI43" s="211"/>
      <c r="BJ43" s="336"/>
      <c r="BK43" s="337"/>
      <c r="BL43" s="337"/>
      <c r="BM43" s="337"/>
      <c r="BN43" s="337"/>
      <c r="BO43" s="337"/>
      <c r="BP43" s="337"/>
      <c r="BQ43" s="337"/>
      <c r="BR43" s="338"/>
      <c r="BS43" s="337"/>
      <c r="CA43" s="92"/>
      <c r="CC43" s="211"/>
      <c r="CD43" s="336"/>
      <c r="CE43" s="337"/>
      <c r="CF43" s="337"/>
      <c r="CG43" s="337"/>
      <c r="CH43" s="337"/>
      <c r="CI43" s="337"/>
      <c r="CJ43" s="337"/>
      <c r="CK43" s="337"/>
      <c r="CL43" s="338"/>
      <c r="CM43" s="337"/>
      <c r="CU43" s="92"/>
    </row>
    <row r="44" spans="2:99" x14ac:dyDescent="0.3">
      <c r="U44" s="211"/>
      <c r="V44" s="336"/>
      <c r="W44" s="337"/>
      <c r="X44" s="337"/>
      <c r="Y44" s="337"/>
      <c r="Z44" s="337"/>
      <c r="AA44" s="337"/>
      <c r="AB44" s="337"/>
      <c r="AC44" s="337"/>
      <c r="AD44" s="338"/>
      <c r="AE44" s="337"/>
      <c r="AM44" s="92"/>
      <c r="AO44" s="211"/>
      <c r="AP44" s="336"/>
      <c r="AQ44" s="337"/>
      <c r="AR44" s="337"/>
      <c r="AS44" s="337"/>
      <c r="AT44" s="337"/>
      <c r="AU44" s="337"/>
      <c r="AV44" s="337"/>
      <c r="AW44" s="337"/>
      <c r="AX44" s="338"/>
      <c r="AY44" s="337"/>
      <c r="BG44" s="92"/>
      <c r="BI44" s="211"/>
      <c r="BJ44" s="336"/>
      <c r="BK44" s="337"/>
      <c r="BL44" s="337"/>
      <c r="BM44" s="337"/>
      <c r="BN44" s="337"/>
      <c r="BO44" s="337"/>
      <c r="BP44" s="337"/>
      <c r="BQ44" s="337"/>
      <c r="BR44" s="338"/>
      <c r="BS44" s="337"/>
      <c r="CA44" s="92"/>
      <c r="CC44" s="211"/>
      <c r="CD44" s="336"/>
      <c r="CE44" s="337"/>
      <c r="CF44" s="337"/>
      <c r="CG44" s="337"/>
      <c r="CH44" s="337"/>
      <c r="CI44" s="337"/>
      <c r="CJ44" s="337"/>
      <c r="CK44" s="337"/>
      <c r="CL44" s="338"/>
      <c r="CM44" s="337"/>
      <c r="CU44" s="92"/>
    </row>
    <row r="45" spans="2:99" ht="15" thickBot="1" x14ac:dyDescent="0.35">
      <c r="U45" s="211"/>
      <c r="V45" s="341"/>
      <c r="W45" s="342"/>
      <c r="X45" s="342"/>
      <c r="Y45" s="342"/>
      <c r="Z45" s="342"/>
      <c r="AA45" s="342"/>
      <c r="AB45" s="342"/>
      <c r="AC45" s="342"/>
      <c r="AD45" s="343"/>
      <c r="AE45" s="337"/>
      <c r="AM45" s="92"/>
      <c r="AO45" s="211"/>
      <c r="AP45" s="341"/>
      <c r="AQ45" s="342"/>
      <c r="AR45" s="342"/>
      <c r="AS45" s="342"/>
      <c r="AT45" s="342"/>
      <c r="AU45" s="342"/>
      <c r="AV45" s="342"/>
      <c r="AW45" s="342"/>
      <c r="AX45" s="343"/>
      <c r="AY45" s="337"/>
      <c r="BG45" s="92"/>
      <c r="BI45" s="211"/>
      <c r="BJ45" s="341"/>
      <c r="BK45" s="342"/>
      <c r="BL45" s="342"/>
      <c r="BM45" s="342"/>
      <c r="BN45" s="342"/>
      <c r="BO45" s="342"/>
      <c r="BP45" s="342"/>
      <c r="BQ45" s="342"/>
      <c r="BR45" s="343"/>
      <c r="BS45" s="337"/>
      <c r="CA45" s="92"/>
      <c r="CC45" s="211"/>
      <c r="CD45" s="341"/>
      <c r="CE45" s="342"/>
      <c r="CF45" s="342"/>
      <c r="CG45" s="342"/>
      <c r="CH45" s="342"/>
      <c r="CI45" s="342"/>
      <c r="CJ45" s="342"/>
      <c r="CK45" s="342"/>
      <c r="CL45" s="343"/>
      <c r="CM45" s="337"/>
      <c r="CU45" s="92"/>
    </row>
    <row r="46" spans="2:99" ht="15" thickBot="1" x14ac:dyDescent="0.35">
      <c r="U46" s="212"/>
      <c r="V46" s="213"/>
      <c r="W46" s="213"/>
      <c r="X46" s="213"/>
      <c r="Y46" s="213"/>
      <c r="Z46" s="213"/>
      <c r="AA46" s="213"/>
      <c r="AB46" s="213"/>
      <c r="AC46" s="213"/>
      <c r="AD46" s="213"/>
      <c r="AE46" s="213"/>
      <c r="AF46" s="213"/>
      <c r="AG46" s="213"/>
      <c r="AH46" s="213"/>
      <c r="AI46" s="213"/>
      <c r="AJ46" s="213"/>
      <c r="AK46" s="213"/>
      <c r="AL46" s="213"/>
      <c r="AM46" s="214"/>
      <c r="AO46" s="212"/>
      <c r="AP46" s="213"/>
      <c r="AQ46" s="213"/>
      <c r="AR46" s="213"/>
      <c r="AS46" s="213"/>
      <c r="AT46" s="213"/>
      <c r="AU46" s="213"/>
      <c r="AV46" s="213"/>
      <c r="AW46" s="213"/>
      <c r="AX46" s="213"/>
      <c r="AY46" s="213"/>
      <c r="AZ46" s="213"/>
      <c r="BA46" s="213"/>
      <c r="BB46" s="213"/>
      <c r="BC46" s="213"/>
      <c r="BD46" s="213"/>
      <c r="BE46" s="213"/>
      <c r="BF46" s="213"/>
      <c r="BG46" s="214"/>
      <c r="BI46" s="212"/>
      <c r="BJ46" s="213"/>
      <c r="BK46" s="213"/>
      <c r="BL46" s="213"/>
      <c r="BM46" s="213"/>
      <c r="BN46" s="213"/>
      <c r="BO46" s="213"/>
      <c r="BP46" s="213"/>
      <c r="BQ46" s="213"/>
      <c r="BR46" s="213"/>
      <c r="BS46" s="213"/>
      <c r="BT46" s="213"/>
      <c r="BU46" s="213"/>
      <c r="BV46" s="213"/>
      <c r="BW46" s="213"/>
      <c r="BX46" s="213"/>
      <c r="BY46" s="213"/>
      <c r="BZ46" s="213"/>
      <c r="CA46" s="214"/>
      <c r="CC46" s="212"/>
      <c r="CD46" s="213"/>
      <c r="CE46" s="213"/>
      <c r="CF46" s="213"/>
      <c r="CG46" s="213"/>
      <c r="CH46" s="213"/>
      <c r="CI46" s="213"/>
      <c r="CJ46" s="213"/>
      <c r="CK46" s="213"/>
      <c r="CL46" s="213"/>
      <c r="CM46" s="213"/>
      <c r="CN46" s="213"/>
      <c r="CO46" s="213"/>
      <c r="CP46" s="213"/>
      <c r="CQ46" s="213"/>
      <c r="CR46" s="213"/>
      <c r="CS46" s="213"/>
      <c r="CT46" s="213"/>
      <c r="CU46" s="214"/>
    </row>
  </sheetData>
  <sheetProtection password="B7E1" sheet="1" objects="1" scenarios="1"/>
  <mergeCells count="22">
    <mergeCell ref="B19:D19"/>
    <mergeCell ref="V2:AL2"/>
    <mergeCell ref="AP2:BF2"/>
    <mergeCell ref="W4:AC4"/>
    <mergeCell ref="AG4:AK4"/>
    <mergeCell ref="AQ4:AW4"/>
    <mergeCell ref="BA4:BE4"/>
    <mergeCell ref="W7:Y7"/>
    <mergeCell ref="AQ7:AS7"/>
    <mergeCell ref="W8:Y8"/>
    <mergeCell ref="AQ8:AS8"/>
    <mergeCell ref="B18:D18"/>
    <mergeCell ref="BJ2:BZ2"/>
    <mergeCell ref="BK4:BQ4"/>
    <mergeCell ref="BU4:BY4"/>
    <mergeCell ref="BK7:BM7"/>
    <mergeCell ref="BK8:BM8"/>
    <mergeCell ref="CD2:CT2"/>
    <mergeCell ref="CE4:CK4"/>
    <mergeCell ref="CO4:CS4"/>
    <mergeCell ref="CE7:CG7"/>
    <mergeCell ref="CE8:CG8"/>
  </mergeCells>
  <conditionalFormatting sqref="O22:O42">
    <cfRule type="cellIs" dxfId="95" priority="22" operator="equal">
      <formula>"Pass"</formula>
    </cfRule>
    <cfRule type="cellIs" dxfId="94" priority="23" operator="equal">
      <formula>"&lt;-3s"</formula>
    </cfRule>
    <cfRule type="cellIs" dxfId="93" priority="24" operator="equal">
      <formula>"&gt;+3s"</formula>
    </cfRule>
  </conditionalFormatting>
  <conditionalFormatting sqref="P23:P42">
    <cfRule type="cellIs" dxfId="92" priority="14" operator="equal">
      <formula>"Pass"</formula>
    </cfRule>
    <cfRule type="cellIs" dxfId="91" priority="19" operator="equal">
      <formula>""</formula>
    </cfRule>
    <cfRule type="cellIs" dxfId="90" priority="20" operator="equal">
      <formula>"Fail &gt; +2s"</formula>
    </cfRule>
    <cfRule type="cellIs" dxfId="89" priority="21" operator="equal">
      <formula>"Fail &lt; -2s"</formula>
    </cfRule>
  </conditionalFormatting>
  <conditionalFormatting sqref="Q29:Q42">
    <cfRule type="cellIs" dxfId="88" priority="10" operator="equal">
      <formula>""</formula>
    </cfRule>
    <cfRule type="cellIs" dxfId="87" priority="11" operator="equal">
      <formula>"Pass"</formula>
    </cfRule>
    <cfRule type="cellIs" dxfId="86" priority="12" operator="equal">
      <formula>"Fail -ve bias"</formula>
    </cfRule>
    <cfRule type="cellIs" dxfId="85" priority="13" operator="equal">
      <formula>"Fail +ve bias"</formula>
    </cfRule>
  </conditionalFormatting>
  <conditionalFormatting sqref="R27:R42">
    <cfRule type="cellIs" dxfId="84" priority="15" operator="equal">
      <formula>""</formula>
    </cfRule>
    <cfRule type="cellIs" dxfId="83" priority="16" operator="equal">
      <formula>"Fail -ve trend"</formula>
    </cfRule>
    <cfRule type="cellIs" dxfId="82" priority="17" operator="equal">
      <formula>"Fail +ve trend"</formula>
    </cfRule>
    <cfRule type="cellIs" dxfId="81" priority="18" operator="equal">
      <formula>"Pass"</formula>
    </cfRule>
  </conditionalFormatting>
  <conditionalFormatting sqref="S22:U42">
    <cfRule type="cellIs" dxfId="80" priority="25" operator="equal">
      <formula>NA()</formula>
    </cfRule>
    <cfRule type="cellIs" dxfId="79" priority="26" operator="equal">
      <formula>"Yes"</formula>
    </cfRule>
    <cfRule type="cellIs" dxfId="78" priority="27" operator="equal">
      <formula>"No"</formula>
    </cfRule>
  </conditionalFormatting>
  <conditionalFormatting sqref="AO22:AO42">
    <cfRule type="cellIs" dxfId="77" priority="7" operator="equal">
      <formula>NA()</formula>
    </cfRule>
    <cfRule type="cellIs" dxfId="76" priority="8" operator="equal">
      <formula>"Yes"</formula>
    </cfRule>
    <cfRule type="cellIs" dxfId="75" priority="9" operator="equal">
      <formula>"No"</formula>
    </cfRule>
  </conditionalFormatting>
  <conditionalFormatting sqref="BI22:BI42">
    <cfRule type="cellIs" dxfId="74" priority="1" operator="equal">
      <formula>NA()</formula>
    </cfRule>
    <cfRule type="cellIs" dxfId="73" priority="2" operator="equal">
      <formula>"Yes"</formula>
    </cfRule>
    <cfRule type="cellIs" dxfId="72" priority="3" operator="equal">
      <formula>"No"</formula>
    </cfRule>
  </conditionalFormatting>
  <conditionalFormatting sqref="CC22:CC42">
    <cfRule type="cellIs" dxfId="71" priority="4" operator="equal">
      <formula>NA()</formula>
    </cfRule>
    <cfRule type="cellIs" dxfId="70" priority="5" operator="equal">
      <formula>"Yes"</formula>
    </cfRule>
    <cfRule type="cellIs" dxfId="69" priority="6" operator="equal">
      <formula>"No"</formula>
    </cfRule>
  </conditionalFormatting>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C3E02"/>
  </sheetPr>
  <dimension ref="B1:BG46"/>
  <sheetViews>
    <sheetView topLeftCell="AM1" zoomScale="90" zoomScaleNormal="90" workbookViewId="0">
      <selection activeCell="B36" sqref="B1:G36"/>
    </sheetView>
  </sheetViews>
  <sheetFormatPr defaultRowHeight="14.4" x14ac:dyDescent="0.3"/>
  <cols>
    <col min="2" max="2" width="5.77734375" bestFit="1" customWidth="1"/>
    <col min="3" max="9" width="13.77734375" customWidth="1"/>
    <col min="14" max="14" width="11.21875" bestFit="1" customWidth="1"/>
    <col min="15" max="15" width="15.77734375" style="174" customWidth="1"/>
    <col min="16" max="18" width="15.77734375" customWidth="1"/>
    <col min="19" max="21" width="13.77734375" customWidth="1"/>
    <col min="26" max="27" width="10.77734375" bestFit="1" customWidth="1"/>
    <col min="36" max="37" width="10.77734375" bestFit="1" customWidth="1"/>
    <col min="41" max="41" width="13.77734375" customWidth="1"/>
    <col min="46" max="47" width="10.77734375" bestFit="1" customWidth="1"/>
    <col min="56" max="57" width="10.77734375" bestFit="1" customWidth="1"/>
  </cols>
  <sheetData>
    <row r="1" spans="21:59" ht="15" thickBot="1" x14ac:dyDescent="0.35"/>
    <row r="2" spans="21:59" ht="21" x14ac:dyDescent="0.4">
      <c r="U2" s="376"/>
      <c r="V2" s="739" t="s">
        <v>286</v>
      </c>
      <c r="W2" s="739"/>
      <c r="X2" s="739"/>
      <c r="Y2" s="739"/>
      <c r="Z2" s="739"/>
      <c r="AA2" s="739"/>
      <c r="AB2" s="739"/>
      <c r="AC2" s="739"/>
      <c r="AD2" s="739"/>
      <c r="AE2" s="739"/>
      <c r="AF2" s="739"/>
      <c r="AG2" s="739"/>
      <c r="AH2" s="739"/>
      <c r="AI2" s="739"/>
      <c r="AJ2" s="739"/>
      <c r="AK2" s="739"/>
      <c r="AL2" s="739"/>
      <c r="AM2" s="377"/>
      <c r="AO2" s="376"/>
      <c r="AP2" s="739" t="s">
        <v>287</v>
      </c>
      <c r="AQ2" s="739"/>
      <c r="AR2" s="739"/>
      <c r="AS2" s="739"/>
      <c r="AT2" s="739"/>
      <c r="AU2" s="739"/>
      <c r="AV2" s="739"/>
      <c r="AW2" s="739"/>
      <c r="AX2" s="739"/>
      <c r="AY2" s="739"/>
      <c r="AZ2" s="739"/>
      <c r="BA2" s="739"/>
      <c r="BB2" s="739"/>
      <c r="BC2" s="739"/>
      <c r="BD2" s="739"/>
      <c r="BE2" s="739"/>
      <c r="BF2" s="739"/>
      <c r="BG2" s="377"/>
    </row>
    <row r="3" spans="21:59" ht="15" thickBot="1" x14ac:dyDescent="0.35">
      <c r="U3" s="211"/>
      <c r="AM3" s="92"/>
      <c r="AO3" s="211"/>
      <c r="BG3" s="92"/>
    </row>
    <row r="4" spans="21:59" ht="21" x14ac:dyDescent="0.4">
      <c r="U4" s="211"/>
      <c r="V4" s="334"/>
      <c r="W4" s="737" t="s">
        <v>262</v>
      </c>
      <c r="X4" s="737"/>
      <c r="Y4" s="737"/>
      <c r="Z4" s="737"/>
      <c r="AA4" s="737"/>
      <c r="AB4" s="737"/>
      <c r="AC4" s="737"/>
      <c r="AD4" s="335"/>
      <c r="AE4" s="337"/>
      <c r="AF4" s="334"/>
      <c r="AG4" s="737" t="s">
        <v>263</v>
      </c>
      <c r="AH4" s="737"/>
      <c r="AI4" s="737"/>
      <c r="AJ4" s="737"/>
      <c r="AK4" s="737"/>
      <c r="AL4" s="335"/>
      <c r="AM4" s="92"/>
      <c r="AO4" s="211"/>
      <c r="AP4" s="334"/>
      <c r="AQ4" s="737" t="s">
        <v>262</v>
      </c>
      <c r="AR4" s="737"/>
      <c r="AS4" s="737"/>
      <c r="AT4" s="737"/>
      <c r="AU4" s="737"/>
      <c r="AV4" s="737"/>
      <c r="AW4" s="737"/>
      <c r="AX4" s="335"/>
      <c r="AY4" s="337"/>
      <c r="AZ4" s="334"/>
      <c r="BA4" s="737" t="s">
        <v>263</v>
      </c>
      <c r="BB4" s="737"/>
      <c r="BC4" s="737"/>
      <c r="BD4" s="737"/>
      <c r="BE4" s="737"/>
      <c r="BF4" s="335"/>
      <c r="BG4" s="92"/>
    </row>
    <row r="5" spans="21:59" x14ac:dyDescent="0.3">
      <c r="U5" s="211"/>
      <c r="V5" s="336"/>
      <c r="W5" s="337"/>
      <c r="X5" s="337"/>
      <c r="Y5" s="337"/>
      <c r="Z5" s="337"/>
      <c r="AA5" s="337"/>
      <c r="AB5" s="337"/>
      <c r="AC5" s="337"/>
      <c r="AD5" s="338"/>
      <c r="AE5" s="337"/>
      <c r="AF5" s="336"/>
      <c r="AG5" s="337"/>
      <c r="AH5" s="337"/>
      <c r="AI5" s="337"/>
      <c r="AJ5" s="337"/>
      <c r="AK5" s="337"/>
      <c r="AL5" s="338"/>
      <c r="AM5" s="92"/>
      <c r="AO5" s="211"/>
      <c r="AP5" s="336"/>
      <c r="AQ5" s="337"/>
      <c r="AR5" s="337"/>
      <c r="AS5" s="337"/>
      <c r="AT5" s="337"/>
      <c r="AU5" s="337"/>
      <c r="AV5" s="337"/>
      <c r="AW5" s="337"/>
      <c r="AX5" s="338"/>
      <c r="AY5" s="337"/>
      <c r="AZ5" s="336"/>
      <c r="BA5" s="337"/>
      <c r="BB5" s="337"/>
      <c r="BC5" s="337"/>
      <c r="BD5" s="337"/>
      <c r="BE5" s="337"/>
      <c r="BF5" s="338"/>
      <c r="BG5" s="92"/>
    </row>
    <row r="6" spans="21:59" x14ac:dyDescent="0.3">
      <c r="U6" s="211"/>
      <c r="V6" s="336"/>
      <c r="W6" s="337"/>
      <c r="X6" s="337"/>
      <c r="Y6" s="337"/>
      <c r="Z6" s="337"/>
      <c r="AA6" s="337"/>
      <c r="AB6" s="337"/>
      <c r="AC6" s="337"/>
      <c r="AD6" s="338"/>
      <c r="AE6" s="337"/>
      <c r="AF6" s="336"/>
      <c r="AG6" s="337"/>
      <c r="AH6" s="337"/>
      <c r="AI6" s="337"/>
      <c r="AJ6" s="337"/>
      <c r="AK6" s="337"/>
      <c r="AL6" s="338"/>
      <c r="AM6" s="92"/>
      <c r="AO6" s="211"/>
      <c r="AP6" s="336"/>
      <c r="AQ6" s="337"/>
      <c r="AR6" s="337"/>
      <c r="AS6" s="337"/>
      <c r="AT6" s="337"/>
      <c r="AU6" s="337"/>
      <c r="AV6" s="337"/>
      <c r="AW6" s="337"/>
      <c r="AX6" s="338"/>
      <c r="AY6" s="337"/>
      <c r="AZ6" s="336"/>
      <c r="BA6" s="337"/>
      <c r="BB6" s="337"/>
      <c r="BC6" s="337"/>
      <c r="BD6" s="337"/>
      <c r="BE6" s="337"/>
      <c r="BF6" s="338"/>
      <c r="BG6" s="92"/>
    </row>
    <row r="7" spans="21:59" ht="15.6" x14ac:dyDescent="0.3">
      <c r="U7" s="211"/>
      <c r="V7" s="336"/>
      <c r="W7" s="738" t="s">
        <v>55</v>
      </c>
      <c r="X7" s="738"/>
      <c r="Y7" s="738"/>
      <c r="Z7" s="354" t="s">
        <v>195</v>
      </c>
      <c r="AA7" s="337"/>
      <c r="AB7" s="337"/>
      <c r="AC7" s="337"/>
      <c r="AD7" s="338"/>
      <c r="AE7" s="337"/>
      <c r="AF7" s="336"/>
      <c r="AG7" s="337"/>
      <c r="AH7" s="337"/>
      <c r="AI7" s="337"/>
      <c r="AJ7" s="337"/>
      <c r="AK7" s="337"/>
      <c r="AL7" s="338"/>
      <c r="AM7" s="92"/>
      <c r="AO7" s="211"/>
      <c r="AP7" s="336"/>
      <c r="AQ7" s="738" t="s">
        <v>55</v>
      </c>
      <c r="AR7" s="738"/>
      <c r="AS7" s="738"/>
      <c r="AT7" s="354" t="s">
        <v>195</v>
      </c>
      <c r="AU7" s="337"/>
      <c r="AV7" s="337"/>
      <c r="AW7" s="337"/>
      <c r="AX7" s="338"/>
      <c r="AY7" s="337"/>
      <c r="AZ7" s="336"/>
      <c r="BA7" s="337"/>
      <c r="BB7" s="337"/>
      <c r="BC7" s="337"/>
      <c r="BD7" s="337"/>
      <c r="BE7" s="337"/>
      <c r="BF7" s="338"/>
      <c r="BG7" s="92"/>
    </row>
    <row r="8" spans="21:59" ht="15.6" x14ac:dyDescent="0.3">
      <c r="U8" s="211"/>
      <c r="V8" s="336"/>
      <c r="W8" s="738" t="s">
        <v>225</v>
      </c>
      <c r="X8" s="738"/>
      <c r="Y8" s="738"/>
      <c r="Z8" s="740" t="s">
        <v>286</v>
      </c>
      <c r="AA8" s="740"/>
      <c r="AB8" s="337"/>
      <c r="AC8" s="337"/>
      <c r="AD8" s="338"/>
      <c r="AE8" s="337"/>
      <c r="AF8" s="336"/>
      <c r="AG8" s="337"/>
      <c r="AH8" s="337"/>
      <c r="AI8" s="337"/>
      <c r="AJ8" s="337"/>
      <c r="AK8" s="337"/>
      <c r="AL8" s="338"/>
      <c r="AM8" s="92"/>
      <c r="AO8" s="211"/>
      <c r="AP8" s="336"/>
      <c r="AQ8" s="738" t="s">
        <v>225</v>
      </c>
      <c r="AR8" s="738"/>
      <c r="AS8" s="738"/>
      <c r="AT8" s="740" t="s">
        <v>287</v>
      </c>
      <c r="AU8" s="740"/>
      <c r="AV8" s="337"/>
      <c r="AW8" s="337"/>
      <c r="AX8" s="338"/>
      <c r="AY8" s="337"/>
      <c r="AZ8" s="336"/>
      <c r="BA8" s="337"/>
      <c r="BB8" s="337"/>
      <c r="BC8" s="337"/>
      <c r="BD8" s="337"/>
      <c r="BE8" s="337"/>
      <c r="BF8" s="338"/>
      <c r="BG8" s="92"/>
    </row>
    <row r="9" spans="21:59" ht="15.6" x14ac:dyDescent="0.3">
      <c r="U9" s="211"/>
      <c r="V9" s="336"/>
      <c r="W9" s="339"/>
      <c r="X9" s="337"/>
      <c r="Y9" s="337"/>
      <c r="Z9" s="337"/>
      <c r="AA9" s="337"/>
      <c r="AB9" s="337"/>
      <c r="AC9" s="337"/>
      <c r="AD9" s="338"/>
      <c r="AE9" s="337"/>
      <c r="AF9" s="336"/>
      <c r="AG9" s="337"/>
      <c r="AH9" s="337"/>
      <c r="AI9" s="337"/>
      <c r="AJ9" s="337"/>
      <c r="AK9" s="337"/>
      <c r="AL9" s="338"/>
      <c r="AM9" s="92"/>
      <c r="AO9" s="211"/>
      <c r="AP9" s="336"/>
      <c r="AQ9" s="339"/>
      <c r="AR9" s="337"/>
      <c r="AS9" s="337"/>
      <c r="AT9" s="337"/>
      <c r="AU9" s="337"/>
      <c r="AV9" s="337"/>
      <c r="AW9" s="337"/>
      <c r="AX9" s="338"/>
      <c r="AY9" s="337"/>
      <c r="AZ9" s="336"/>
      <c r="BA9" s="337"/>
      <c r="BB9" s="337"/>
      <c r="BC9" s="337"/>
      <c r="BD9" s="337"/>
      <c r="BE9" s="337"/>
      <c r="BF9" s="338"/>
      <c r="BG9" s="92"/>
    </row>
    <row r="10" spans="21:59" x14ac:dyDescent="0.3">
      <c r="U10" s="211"/>
      <c r="V10" s="336"/>
      <c r="W10" s="374" t="s">
        <v>198</v>
      </c>
      <c r="X10" s="374" t="s">
        <v>0</v>
      </c>
      <c r="Y10" s="374" t="s">
        <v>192</v>
      </c>
      <c r="Z10" s="374" t="s">
        <v>193</v>
      </c>
      <c r="AA10" s="374" t="s">
        <v>194</v>
      </c>
      <c r="AB10" s="374" t="s">
        <v>226</v>
      </c>
      <c r="AC10" s="374" t="s">
        <v>7</v>
      </c>
      <c r="AD10" s="338"/>
      <c r="AE10" s="337"/>
      <c r="AF10" s="336"/>
      <c r="AG10" s="374" t="s">
        <v>198</v>
      </c>
      <c r="AH10" s="374" t="s">
        <v>0</v>
      </c>
      <c r="AI10" s="374" t="s">
        <v>192</v>
      </c>
      <c r="AJ10" s="374" t="s">
        <v>193</v>
      </c>
      <c r="AK10" s="374" t="s">
        <v>194</v>
      </c>
      <c r="AL10" s="338"/>
      <c r="AM10" s="92"/>
      <c r="AO10" s="211"/>
      <c r="AP10" s="336"/>
      <c r="AQ10" s="374" t="s">
        <v>198</v>
      </c>
      <c r="AR10" s="374" t="s">
        <v>0</v>
      </c>
      <c r="AS10" s="374" t="s">
        <v>192</v>
      </c>
      <c r="AT10" s="374" t="s">
        <v>193</v>
      </c>
      <c r="AU10" s="374" t="s">
        <v>194</v>
      </c>
      <c r="AV10" s="374" t="s">
        <v>226</v>
      </c>
      <c r="AW10" s="374" t="s">
        <v>7</v>
      </c>
      <c r="AX10" s="338"/>
      <c r="AY10" s="337"/>
      <c r="AZ10" s="336"/>
      <c r="BA10" s="374" t="s">
        <v>198</v>
      </c>
      <c r="BB10" s="374" t="s">
        <v>0</v>
      </c>
      <c r="BC10" s="374" t="s">
        <v>192</v>
      </c>
      <c r="BD10" s="374" t="s">
        <v>193</v>
      </c>
      <c r="BE10" s="374" t="s">
        <v>194</v>
      </c>
      <c r="BF10" s="338"/>
      <c r="BG10" s="92"/>
    </row>
    <row r="11" spans="21:59" x14ac:dyDescent="0.3">
      <c r="U11" s="211"/>
      <c r="V11" s="336"/>
      <c r="W11" s="375">
        <v>1</v>
      </c>
      <c r="X11" s="375"/>
      <c r="Y11" s="350"/>
      <c r="Z11" s="351">
        <v>27</v>
      </c>
      <c r="AA11" s="351">
        <v>26.99</v>
      </c>
      <c r="AB11" s="351">
        <f>IF(AND(Z11&gt;0,AA11&gt;0),AVERAGE(Z11:AA11),"")</f>
        <v>26.994999999999997</v>
      </c>
      <c r="AC11" s="351">
        <f>IF(AND(Z11&gt;0,AA11&gt;0),ABS(Z11-AA11),"")</f>
        <v>1.0000000000001563E-2</v>
      </c>
      <c r="AD11" s="338"/>
      <c r="AE11" s="337"/>
      <c r="AF11" s="336"/>
      <c r="AG11" s="375">
        <v>1</v>
      </c>
      <c r="AH11" s="375"/>
      <c r="AI11" s="350"/>
      <c r="AJ11" s="351">
        <f>Z11</f>
        <v>27</v>
      </c>
      <c r="AK11" s="351">
        <f t="shared" ref="AK11:AK19" si="0">AA11</f>
        <v>26.99</v>
      </c>
      <c r="AL11" s="338"/>
      <c r="AM11" s="92"/>
      <c r="AO11" s="211"/>
      <c r="AP11" s="336"/>
      <c r="AQ11" s="375">
        <v>1</v>
      </c>
      <c r="AR11" s="375"/>
      <c r="AS11" s="350"/>
      <c r="AT11" s="351">
        <v>27.1</v>
      </c>
      <c r="AU11" s="351">
        <v>27.17</v>
      </c>
      <c r="AV11" s="351">
        <f>IF(AND(AT11&gt;0,AU11&gt;0),AVERAGE(AT11:AU11),"")</f>
        <v>27.135000000000002</v>
      </c>
      <c r="AW11" s="351">
        <f>IF(AND(AT11&gt;0,AU11&gt;0),ABS(AT11-AU11),"")</f>
        <v>7.0000000000000284E-2</v>
      </c>
      <c r="AX11" s="338"/>
      <c r="AY11" s="337"/>
      <c r="AZ11" s="336"/>
      <c r="BA11" s="375">
        <v>1</v>
      </c>
      <c r="BB11" s="375"/>
      <c r="BC11" s="350"/>
      <c r="BD11" s="351">
        <f>AT11</f>
        <v>27.1</v>
      </c>
      <c r="BE11" s="351">
        <f t="shared" ref="BE11:BE17" si="1">AU11</f>
        <v>27.17</v>
      </c>
      <c r="BF11" s="338"/>
      <c r="BG11" s="92"/>
    </row>
    <row r="12" spans="21:59" x14ac:dyDescent="0.3">
      <c r="U12" s="211"/>
      <c r="V12" s="336"/>
      <c r="W12" s="375">
        <v>2</v>
      </c>
      <c r="X12" s="375"/>
      <c r="Y12" s="350"/>
      <c r="Z12" s="351">
        <v>27.15</v>
      </c>
      <c r="AA12" s="351">
        <v>27.05</v>
      </c>
      <c r="AB12" s="351">
        <f t="shared" ref="AB12:AB17" si="2">IF(AND(Z12&gt;0,AA12&gt;0),AVERAGE(Z12:AA12),"")</f>
        <v>27.1</v>
      </c>
      <c r="AC12" s="351">
        <f t="shared" ref="AC12:AC17" si="3">IF(AND(Z12&gt;0,AA12&gt;0),ABS(Z12-AA12),"")</f>
        <v>9.9999999999997868E-2</v>
      </c>
      <c r="AD12" s="338"/>
      <c r="AE12" s="337"/>
      <c r="AF12" s="336"/>
      <c r="AG12" s="375">
        <v>2</v>
      </c>
      <c r="AH12" s="375"/>
      <c r="AI12" s="350"/>
      <c r="AJ12" s="351">
        <f t="shared" ref="AJ12:AJ17" si="4">Z12</f>
        <v>27.15</v>
      </c>
      <c r="AK12" s="351">
        <f t="shared" si="0"/>
        <v>27.05</v>
      </c>
      <c r="AL12" s="338"/>
      <c r="AM12" s="92"/>
      <c r="AO12" s="211"/>
      <c r="AP12" s="336"/>
      <c r="AQ12" s="375">
        <v>2</v>
      </c>
      <c r="AR12" s="375"/>
      <c r="AS12" s="350"/>
      <c r="AT12" s="351">
        <v>26.85</v>
      </c>
      <c r="AU12" s="351">
        <v>26.8</v>
      </c>
      <c r="AV12" s="351">
        <f t="shared" ref="AV12:AV17" si="5">IF(AND(AT12&gt;0,AU12&gt;0),AVERAGE(AT12:AU12),"")</f>
        <v>26.825000000000003</v>
      </c>
      <c r="AW12" s="351">
        <f t="shared" ref="AW12:AW17" si="6">IF(AND(AT12&gt;0,AU12&gt;0),ABS(AT12-AU12),"")</f>
        <v>5.0000000000000711E-2</v>
      </c>
      <c r="AX12" s="338"/>
      <c r="AY12" s="337"/>
      <c r="AZ12" s="336"/>
      <c r="BA12" s="375">
        <v>2</v>
      </c>
      <c r="BB12" s="375"/>
      <c r="BC12" s="350"/>
      <c r="BD12" s="351">
        <f t="shared" ref="BD12:BD17" si="7">AT12</f>
        <v>26.85</v>
      </c>
      <c r="BE12" s="351">
        <f t="shared" si="1"/>
        <v>26.8</v>
      </c>
      <c r="BF12" s="338"/>
      <c r="BG12" s="92"/>
    </row>
    <row r="13" spans="21:59" x14ac:dyDescent="0.3">
      <c r="U13" s="211"/>
      <c r="V13" s="336"/>
      <c r="W13" s="375">
        <v>3</v>
      </c>
      <c r="X13" s="375"/>
      <c r="Y13" s="350"/>
      <c r="Z13" s="351">
        <v>27.1</v>
      </c>
      <c r="AA13" s="351">
        <v>27.17</v>
      </c>
      <c r="AB13" s="351">
        <f t="shared" si="2"/>
        <v>27.135000000000002</v>
      </c>
      <c r="AC13" s="351">
        <f t="shared" si="3"/>
        <v>7.0000000000000284E-2</v>
      </c>
      <c r="AD13" s="338"/>
      <c r="AE13" s="337"/>
      <c r="AF13" s="336"/>
      <c r="AG13" s="375">
        <v>3</v>
      </c>
      <c r="AH13" s="375"/>
      <c r="AI13" s="350"/>
      <c r="AJ13" s="351">
        <f t="shared" si="4"/>
        <v>27.1</v>
      </c>
      <c r="AK13" s="351">
        <f t="shared" si="0"/>
        <v>27.17</v>
      </c>
      <c r="AL13" s="338"/>
      <c r="AM13" s="92"/>
      <c r="AO13" s="211"/>
      <c r="AP13" s="336"/>
      <c r="AQ13" s="375">
        <v>3</v>
      </c>
      <c r="AR13" s="375"/>
      <c r="AS13" s="350"/>
      <c r="AT13" s="351">
        <v>27.01</v>
      </c>
      <c r="AU13" s="351">
        <v>27</v>
      </c>
      <c r="AV13" s="351">
        <f t="shared" si="5"/>
        <v>27.005000000000003</v>
      </c>
      <c r="AW13" s="351">
        <f t="shared" si="6"/>
        <v>1.0000000000001563E-2</v>
      </c>
      <c r="AX13" s="338"/>
      <c r="AY13" s="337"/>
      <c r="AZ13" s="336"/>
      <c r="BA13" s="375">
        <v>3</v>
      </c>
      <c r="BB13" s="375"/>
      <c r="BC13" s="350"/>
      <c r="BD13" s="351">
        <f t="shared" si="7"/>
        <v>27.01</v>
      </c>
      <c r="BE13" s="351">
        <f t="shared" si="1"/>
        <v>27</v>
      </c>
      <c r="BF13" s="338"/>
      <c r="BG13" s="92"/>
    </row>
    <row r="14" spans="21:59" x14ac:dyDescent="0.3">
      <c r="U14" s="211"/>
      <c r="V14" s="336"/>
      <c r="W14" s="375">
        <v>4</v>
      </c>
      <c r="X14" s="375"/>
      <c r="Y14" s="350"/>
      <c r="Z14" s="351">
        <v>27.12</v>
      </c>
      <c r="AA14" s="351">
        <v>27.11</v>
      </c>
      <c r="AB14" s="351">
        <f t="shared" si="2"/>
        <v>27.115000000000002</v>
      </c>
      <c r="AC14" s="351">
        <f t="shared" si="3"/>
        <v>1.0000000000001563E-2</v>
      </c>
      <c r="AD14" s="338"/>
      <c r="AE14" s="337"/>
      <c r="AF14" s="336"/>
      <c r="AG14" s="375">
        <v>4</v>
      </c>
      <c r="AH14" s="375"/>
      <c r="AI14" s="350"/>
      <c r="AJ14" s="351">
        <f t="shared" si="4"/>
        <v>27.12</v>
      </c>
      <c r="AK14" s="351">
        <f t="shared" si="0"/>
        <v>27.11</v>
      </c>
      <c r="AL14" s="338"/>
      <c r="AM14" s="92"/>
      <c r="AO14" s="211"/>
      <c r="AP14" s="336"/>
      <c r="AQ14" s="375">
        <v>4</v>
      </c>
      <c r="AR14" s="375"/>
      <c r="AS14" s="350"/>
      <c r="AT14" s="351">
        <v>26.95</v>
      </c>
      <c r="AU14" s="351">
        <v>26.91</v>
      </c>
      <c r="AV14" s="351">
        <f t="shared" si="5"/>
        <v>26.93</v>
      </c>
      <c r="AW14" s="351">
        <f t="shared" si="6"/>
        <v>3.9999999999999147E-2</v>
      </c>
      <c r="AX14" s="338"/>
      <c r="AY14" s="337"/>
      <c r="AZ14" s="336"/>
      <c r="BA14" s="375">
        <v>4</v>
      </c>
      <c r="BB14" s="375"/>
      <c r="BC14" s="350"/>
      <c r="BD14" s="351">
        <f t="shared" si="7"/>
        <v>26.95</v>
      </c>
      <c r="BE14" s="351">
        <f t="shared" si="1"/>
        <v>26.91</v>
      </c>
      <c r="BF14" s="338"/>
      <c r="BG14" s="92"/>
    </row>
    <row r="15" spans="21:59" x14ac:dyDescent="0.3">
      <c r="U15" s="211"/>
      <c r="V15" s="336"/>
      <c r="W15" s="375">
        <v>5</v>
      </c>
      <c r="X15" s="375"/>
      <c r="Y15" s="350"/>
      <c r="Z15" s="351">
        <v>27.22</v>
      </c>
      <c r="AA15" s="351">
        <v>27.15</v>
      </c>
      <c r="AB15" s="351">
        <f t="shared" si="2"/>
        <v>27.184999999999999</v>
      </c>
      <c r="AC15" s="351">
        <f t="shared" si="3"/>
        <v>7.0000000000000284E-2</v>
      </c>
      <c r="AD15" s="338"/>
      <c r="AE15" s="337"/>
      <c r="AF15" s="336"/>
      <c r="AG15" s="375">
        <v>5</v>
      </c>
      <c r="AH15" s="375"/>
      <c r="AI15" s="350"/>
      <c r="AJ15" s="351">
        <f t="shared" si="4"/>
        <v>27.22</v>
      </c>
      <c r="AK15" s="351">
        <f t="shared" si="0"/>
        <v>27.15</v>
      </c>
      <c r="AL15" s="338"/>
      <c r="AM15" s="92"/>
      <c r="AO15" s="211"/>
      <c r="AP15" s="336"/>
      <c r="AQ15" s="375">
        <v>5</v>
      </c>
      <c r="AR15" s="375"/>
      <c r="AS15" s="350"/>
      <c r="AT15" s="351">
        <v>26.9</v>
      </c>
      <c r="AU15" s="351">
        <v>26.9</v>
      </c>
      <c r="AV15" s="351">
        <f t="shared" si="5"/>
        <v>26.9</v>
      </c>
      <c r="AW15" s="351">
        <f t="shared" si="6"/>
        <v>0</v>
      </c>
      <c r="AX15" s="338"/>
      <c r="AY15" s="337"/>
      <c r="AZ15" s="336"/>
      <c r="BA15" s="375">
        <v>5</v>
      </c>
      <c r="BB15" s="375"/>
      <c r="BC15" s="350"/>
      <c r="BD15" s="351">
        <f t="shared" si="7"/>
        <v>26.9</v>
      </c>
      <c r="BE15" s="351">
        <f t="shared" si="1"/>
        <v>26.9</v>
      </c>
      <c r="BF15" s="338"/>
      <c r="BG15" s="92"/>
    </row>
    <row r="16" spans="21:59" x14ac:dyDescent="0.3">
      <c r="U16" s="211"/>
      <c r="V16" s="336"/>
      <c r="W16" s="375">
        <v>6</v>
      </c>
      <c r="X16" s="375"/>
      <c r="Y16" s="350"/>
      <c r="Z16" s="351">
        <v>27.04</v>
      </c>
      <c r="AA16" s="351">
        <v>27.06</v>
      </c>
      <c r="AB16" s="351">
        <f t="shared" si="2"/>
        <v>27.049999999999997</v>
      </c>
      <c r="AC16" s="351">
        <f t="shared" si="3"/>
        <v>1.9999999999999574E-2</v>
      </c>
      <c r="AD16" s="338"/>
      <c r="AE16" s="337"/>
      <c r="AF16" s="336"/>
      <c r="AG16" s="375">
        <v>6</v>
      </c>
      <c r="AH16" s="375"/>
      <c r="AI16" s="350"/>
      <c r="AJ16" s="351">
        <f t="shared" si="4"/>
        <v>27.04</v>
      </c>
      <c r="AK16" s="351">
        <f t="shared" si="0"/>
        <v>27.06</v>
      </c>
      <c r="AL16" s="338"/>
      <c r="AM16" s="92"/>
      <c r="AO16" s="211"/>
      <c r="AP16" s="336"/>
      <c r="AQ16" s="375">
        <v>6</v>
      </c>
      <c r="AR16" s="375"/>
      <c r="AS16" s="350"/>
      <c r="AT16" s="351">
        <v>26.95</v>
      </c>
      <c r="AU16" s="351">
        <v>26.93</v>
      </c>
      <c r="AV16" s="351">
        <f t="shared" si="5"/>
        <v>26.939999999999998</v>
      </c>
      <c r="AW16" s="351">
        <f t="shared" si="6"/>
        <v>1.9999999999999574E-2</v>
      </c>
      <c r="AX16" s="338"/>
      <c r="AY16" s="337"/>
      <c r="AZ16" s="336"/>
      <c r="BA16" s="375">
        <v>6</v>
      </c>
      <c r="BB16" s="375"/>
      <c r="BC16" s="350"/>
      <c r="BD16" s="351">
        <f t="shared" si="7"/>
        <v>26.95</v>
      </c>
      <c r="BE16" s="351">
        <f t="shared" si="1"/>
        <v>26.93</v>
      </c>
      <c r="BF16" s="338"/>
      <c r="BG16" s="92"/>
    </row>
    <row r="17" spans="2:59" ht="15" thickBot="1" x14ac:dyDescent="0.35">
      <c r="U17" s="211"/>
      <c r="V17" s="336"/>
      <c r="W17" s="375">
        <v>7</v>
      </c>
      <c r="X17" s="375"/>
      <c r="Y17" s="350"/>
      <c r="Z17" s="351">
        <v>27.06</v>
      </c>
      <c r="AA17" s="351">
        <v>27.12</v>
      </c>
      <c r="AB17" s="351">
        <f t="shared" si="2"/>
        <v>27.09</v>
      </c>
      <c r="AC17" s="351">
        <f t="shared" si="3"/>
        <v>6.0000000000002274E-2</v>
      </c>
      <c r="AD17" s="338"/>
      <c r="AE17" s="337"/>
      <c r="AF17" s="336"/>
      <c r="AG17" s="375">
        <v>7</v>
      </c>
      <c r="AH17" s="375"/>
      <c r="AI17" s="350"/>
      <c r="AJ17" s="351">
        <f t="shared" si="4"/>
        <v>27.06</v>
      </c>
      <c r="AK17" s="351">
        <f t="shared" si="0"/>
        <v>27.12</v>
      </c>
      <c r="AL17" s="338"/>
      <c r="AM17" s="92"/>
      <c r="AO17" s="211"/>
      <c r="AP17" s="336"/>
      <c r="AQ17" s="375">
        <v>7</v>
      </c>
      <c r="AR17" s="375"/>
      <c r="AS17" s="350"/>
      <c r="AT17" s="351">
        <v>26.97</v>
      </c>
      <c r="AU17" s="351">
        <v>26.99</v>
      </c>
      <c r="AV17" s="351">
        <f t="shared" si="5"/>
        <v>26.979999999999997</v>
      </c>
      <c r="AW17" s="351">
        <f t="shared" si="6"/>
        <v>1.9999999999999574E-2</v>
      </c>
      <c r="AX17" s="338"/>
      <c r="AY17" s="337"/>
      <c r="AZ17" s="336"/>
      <c r="BA17" s="375">
        <v>7</v>
      </c>
      <c r="BB17" s="375"/>
      <c r="BC17" s="350"/>
      <c r="BD17" s="351">
        <f t="shared" si="7"/>
        <v>26.97</v>
      </c>
      <c r="BE17" s="351">
        <f t="shared" si="1"/>
        <v>26.99</v>
      </c>
      <c r="BF17" s="338"/>
      <c r="BG17" s="92"/>
    </row>
    <row r="18" spans="2:59" ht="15.6" x14ac:dyDescent="0.3">
      <c r="B18" s="733" t="s">
        <v>55</v>
      </c>
      <c r="C18" s="734"/>
      <c r="D18" s="734"/>
      <c r="E18" s="225" t="s">
        <v>195</v>
      </c>
      <c r="G18" s="175"/>
      <c r="U18" s="211"/>
      <c r="V18" s="336"/>
      <c r="W18" s="375">
        <v>8</v>
      </c>
      <c r="X18" s="375"/>
      <c r="Y18" s="350"/>
      <c r="Z18" s="381">
        <v>27.1</v>
      </c>
      <c r="AA18" s="381">
        <v>27.2</v>
      </c>
      <c r="AB18" s="351">
        <f t="shared" ref="AB18:AB19" si="8">IF(AND(Z18&gt;0,AA18&gt;0),AVERAGE(Z18:AA18),"")</f>
        <v>27.15</v>
      </c>
      <c r="AC18" s="351">
        <f t="shared" ref="AC18:AC19" si="9">IF(AND(Z18&gt;0,AA18&gt;0),ABS(Z18-AA18),"")</f>
        <v>9.9999999999997868E-2</v>
      </c>
      <c r="AD18" s="338"/>
      <c r="AE18" s="337"/>
      <c r="AF18" s="336"/>
      <c r="AG18" s="375">
        <v>8</v>
      </c>
      <c r="AH18" s="373"/>
      <c r="AI18" s="373"/>
      <c r="AJ18" s="381">
        <f>Z18</f>
        <v>27.1</v>
      </c>
      <c r="AK18" s="381">
        <f t="shared" si="0"/>
        <v>27.2</v>
      </c>
      <c r="AL18" s="338"/>
      <c r="AM18" s="92"/>
      <c r="AO18" s="211"/>
      <c r="AP18" s="336"/>
      <c r="AQ18" s="380">
        <v>8</v>
      </c>
      <c r="AR18" s="373"/>
      <c r="AS18" s="373"/>
      <c r="AT18" s="351">
        <v>26.88</v>
      </c>
      <c r="AU18" s="351">
        <v>26.84</v>
      </c>
      <c r="AV18" s="351">
        <f t="shared" ref="AV18:AV19" si="10">IF(AND(AT18&gt;0,AU18&gt;0),AVERAGE(AT18:AU18),"")</f>
        <v>26.86</v>
      </c>
      <c r="AW18" s="351">
        <f t="shared" ref="AW18:AW19" si="11">IF(AND(AT18&gt;0,AU18&gt;0),ABS(AT18-AU18),"")</f>
        <v>3.9999999999999147E-2</v>
      </c>
      <c r="AX18" s="338"/>
      <c r="AY18" s="337"/>
      <c r="AZ18" s="336"/>
      <c r="BA18" s="375">
        <v>8</v>
      </c>
      <c r="BB18" s="375"/>
      <c r="BC18" s="350"/>
      <c r="BD18" s="351">
        <f t="shared" ref="BD18:BD19" si="12">AT18</f>
        <v>26.88</v>
      </c>
      <c r="BE18" s="351">
        <f t="shared" ref="BE18:BE19" si="13">AU18</f>
        <v>26.84</v>
      </c>
      <c r="BF18" s="338"/>
      <c r="BG18" s="92"/>
    </row>
    <row r="19" spans="2:59" ht="16.2" thickBot="1" x14ac:dyDescent="0.35">
      <c r="B19" s="735" t="s">
        <v>225</v>
      </c>
      <c r="C19" s="736"/>
      <c r="D19" s="736"/>
      <c r="E19" s="226" t="s">
        <v>196</v>
      </c>
      <c r="G19" s="175"/>
      <c r="U19" s="211"/>
      <c r="V19" s="336"/>
      <c r="W19" s="375">
        <v>9</v>
      </c>
      <c r="X19" s="375"/>
      <c r="Y19" s="350"/>
      <c r="Z19" s="381">
        <v>27.07</v>
      </c>
      <c r="AA19" s="381">
        <v>27.09</v>
      </c>
      <c r="AB19" s="351">
        <f t="shared" si="8"/>
        <v>27.08</v>
      </c>
      <c r="AC19" s="351">
        <f t="shared" si="9"/>
        <v>1.9999999999999574E-2</v>
      </c>
      <c r="AD19" s="338"/>
      <c r="AE19" s="337"/>
      <c r="AF19" s="336"/>
      <c r="AG19" s="375">
        <v>9</v>
      </c>
      <c r="AH19" s="373"/>
      <c r="AI19" s="373"/>
      <c r="AJ19" s="381">
        <f t="shared" ref="AJ19" si="14">Z19</f>
        <v>27.07</v>
      </c>
      <c r="AK19" s="381">
        <f t="shared" si="0"/>
        <v>27.09</v>
      </c>
      <c r="AL19" s="338"/>
      <c r="AM19" s="92"/>
      <c r="AO19" s="211"/>
      <c r="AP19" s="336"/>
      <c r="AQ19" s="380">
        <v>9</v>
      </c>
      <c r="AR19" s="373"/>
      <c r="AS19" s="373"/>
      <c r="AT19" s="351">
        <v>26.92</v>
      </c>
      <c r="AU19" s="351">
        <v>26.94</v>
      </c>
      <c r="AV19" s="351">
        <f t="shared" si="10"/>
        <v>26.93</v>
      </c>
      <c r="AW19" s="351">
        <f t="shared" si="11"/>
        <v>1.9999999999999574E-2</v>
      </c>
      <c r="AX19" s="338"/>
      <c r="AY19" s="337"/>
      <c r="AZ19" s="211"/>
      <c r="BA19" s="375">
        <v>9</v>
      </c>
      <c r="BB19" s="375"/>
      <c r="BC19" s="350"/>
      <c r="BD19" s="351">
        <f t="shared" si="12"/>
        <v>26.92</v>
      </c>
      <c r="BE19" s="351">
        <f t="shared" si="13"/>
        <v>26.94</v>
      </c>
      <c r="BF19" s="92"/>
      <c r="BG19" s="92"/>
    </row>
    <row r="20" spans="2:59" ht="16.2" thickBot="1" x14ac:dyDescent="0.35">
      <c r="B20" s="175"/>
      <c r="C20" s="175"/>
      <c r="D20" s="175"/>
      <c r="E20" s="175"/>
      <c r="G20" s="175"/>
      <c r="U20" s="211"/>
      <c r="V20" s="336"/>
      <c r="W20" s="337"/>
      <c r="X20" s="337"/>
      <c r="Y20" s="337"/>
      <c r="Z20" s="337"/>
      <c r="AA20" s="337"/>
      <c r="AB20" s="337"/>
      <c r="AC20" s="337"/>
      <c r="AD20" s="338"/>
      <c r="AE20" s="337"/>
      <c r="AF20" s="341"/>
      <c r="AG20" s="342"/>
      <c r="AH20" s="342"/>
      <c r="AI20" s="342"/>
      <c r="AJ20" s="342"/>
      <c r="AK20" s="342"/>
      <c r="AL20" s="343"/>
      <c r="AM20" s="92"/>
      <c r="AO20" s="211"/>
      <c r="AP20" s="336"/>
      <c r="AQ20" s="337"/>
      <c r="AR20" s="337"/>
      <c r="AS20" s="337"/>
      <c r="AT20" s="337"/>
      <c r="AU20" s="337"/>
      <c r="AV20" s="337"/>
      <c r="AW20" s="337"/>
      <c r="AX20" s="338"/>
      <c r="AY20" s="337"/>
      <c r="AZ20" s="212"/>
      <c r="BA20" s="213"/>
      <c r="BB20" s="213"/>
      <c r="BC20" s="213"/>
      <c r="BD20" s="213"/>
      <c r="BE20" s="213"/>
      <c r="BF20" s="214"/>
      <c r="BG20" s="92"/>
    </row>
    <row r="21" spans="2:59" ht="15" x14ac:dyDescent="0.3">
      <c r="B21" s="227" t="s">
        <v>198</v>
      </c>
      <c r="C21" s="228" t="s">
        <v>0</v>
      </c>
      <c r="D21" s="229" t="s">
        <v>192</v>
      </c>
      <c r="E21" s="229" t="s">
        <v>193</v>
      </c>
      <c r="F21" s="229" t="s">
        <v>194</v>
      </c>
      <c r="G21" s="229" t="s">
        <v>226</v>
      </c>
      <c r="H21" s="229" t="s">
        <v>7</v>
      </c>
      <c r="I21" s="233" t="s">
        <v>45</v>
      </c>
      <c r="J21" s="233" t="s">
        <v>46</v>
      </c>
      <c r="K21" s="234" t="s">
        <v>200</v>
      </c>
      <c r="L21" s="233" t="s">
        <v>47</v>
      </c>
      <c r="M21" s="233" t="s">
        <v>48</v>
      </c>
      <c r="N21" s="235" t="s">
        <v>19</v>
      </c>
      <c r="O21" s="236" t="s">
        <v>196</v>
      </c>
      <c r="P21" s="229" t="s">
        <v>197</v>
      </c>
      <c r="Q21" s="229" t="s">
        <v>201</v>
      </c>
      <c r="R21" s="229" t="s">
        <v>202</v>
      </c>
      <c r="S21" s="237" t="s">
        <v>199</v>
      </c>
      <c r="T21" s="176"/>
      <c r="U21" s="378"/>
      <c r="V21" s="340"/>
      <c r="W21" s="337"/>
      <c r="X21" s="337"/>
      <c r="Y21" s="337"/>
      <c r="Z21" s="337"/>
      <c r="AA21" s="337"/>
      <c r="AB21" s="337"/>
      <c r="AC21" s="337"/>
      <c r="AD21" s="338"/>
      <c r="AE21" s="337"/>
      <c r="AM21" s="92"/>
      <c r="AO21" s="378"/>
      <c r="AP21" s="340"/>
      <c r="AQ21" s="337"/>
      <c r="AR21" s="337"/>
      <c r="AS21" s="337"/>
      <c r="AT21" s="337"/>
      <c r="AU21" s="337"/>
      <c r="AV21" s="337"/>
      <c r="AW21" s="337"/>
      <c r="AX21" s="338"/>
      <c r="AY21" s="337"/>
      <c r="BG21" s="92"/>
    </row>
    <row r="22" spans="2:59" x14ac:dyDescent="0.3">
      <c r="B22" s="230">
        <v>1</v>
      </c>
      <c r="C22" s="328"/>
      <c r="D22" s="329"/>
      <c r="E22" s="330">
        <v>27</v>
      </c>
      <c r="F22" s="330">
        <v>26.99</v>
      </c>
      <c r="G22" s="231">
        <f t="shared" ref="G22:G42" si="15">IF(AND(E22="",F22=""),NA(),AVERAGE(E22:F22))</f>
        <v>26.994999999999997</v>
      </c>
      <c r="H22" s="232">
        <f>IF(AND(E22="",F22=""),NA(),ABS(E22-F22))</f>
        <v>1.0000000000001563E-2</v>
      </c>
      <c r="I22" s="232">
        <f>'[2]Plot Data'!$C$67</f>
        <v>26.787537881918869</v>
      </c>
      <c r="J22" s="232">
        <f>'[2]Plot Data'!$C$65</f>
        <v>26.863914143501468</v>
      </c>
      <c r="K22" s="238">
        <f>'[2]Plot Data'!$C$58</f>
        <v>27.016666666666666</v>
      </c>
      <c r="L22" s="238">
        <f>'[2]Plot Data'!$C$62</f>
        <v>27.169419189831864</v>
      </c>
      <c r="M22" s="238">
        <f>'[2]Plot Data'!$C$64</f>
        <v>27.245795451414462</v>
      </c>
      <c r="N22" s="239">
        <f>'[2]Plot Data'!$C$68</f>
        <v>0.12</v>
      </c>
      <c r="O22" s="177" t="str">
        <f t="shared" ref="O22:O42" si="16">IF(G22&gt;M22,"&gt;+3s",IF(G22&lt;I22,"&lt;-3s","Pass"))</f>
        <v>Pass</v>
      </c>
      <c r="P22" s="240"/>
      <c r="Q22" s="240"/>
      <c r="R22" s="240"/>
      <c r="S22" s="179" t="str">
        <f>IF(H22="","",IF(H22&gt;'[2]Plot Data'!$C$68,"No","Yes"))</f>
        <v>Yes</v>
      </c>
      <c r="T22" s="327"/>
      <c r="U22" s="379"/>
      <c r="V22" s="336"/>
      <c r="W22" s="337"/>
      <c r="X22" s="337"/>
      <c r="Y22" s="337"/>
      <c r="Z22" s="337"/>
      <c r="AA22" s="337"/>
      <c r="AB22" s="337"/>
      <c r="AC22" s="337"/>
      <c r="AD22" s="338"/>
      <c r="AE22" s="337"/>
      <c r="AM22" s="92"/>
      <c r="AO22" s="379"/>
      <c r="AP22" s="336"/>
      <c r="AQ22" s="337"/>
      <c r="AR22" s="337"/>
      <c r="AS22" s="337"/>
      <c r="AT22" s="337"/>
      <c r="AU22" s="337"/>
      <c r="AV22" s="337"/>
      <c r="AW22" s="337"/>
      <c r="AX22" s="338"/>
      <c r="AY22" s="337"/>
      <c r="BG22" s="92"/>
    </row>
    <row r="23" spans="2:59" x14ac:dyDescent="0.3">
      <c r="B23" s="230">
        <v>2</v>
      </c>
      <c r="C23" s="328"/>
      <c r="D23" s="329"/>
      <c r="E23" s="330">
        <v>27.25</v>
      </c>
      <c r="F23" s="330">
        <v>27.3</v>
      </c>
      <c r="G23" s="231">
        <f t="shared" si="15"/>
        <v>27.274999999999999</v>
      </c>
      <c r="H23" s="232">
        <f t="shared" ref="H23:H42" si="17">IF(AND(E23="",F23=""),NA(),ABS(E23-F23))</f>
        <v>5.0000000000000711E-2</v>
      </c>
      <c r="I23" s="232">
        <f>'[2]Plot Data'!$C$67</f>
        <v>26.787537881918869</v>
      </c>
      <c r="J23" s="232">
        <f>'[2]Plot Data'!$C$65</f>
        <v>26.863914143501468</v>
      </c>
      <c r="K23" s="238">
        <f>'[2]Plot Data'!$C$58</f>
        <v>27.016666666666666</v>
      </c>
      <c r="L23" s="238">
        <f>'[2]Plot Data'!$C$62</f>
        <v>27.169419189831864</v>
      </c>
      <c r="M23" s="238">
        <f>'[2]Plot Data'!$C$64</f>
        <v>27.245795451414462</v>
      </c>
      <c r="N23" s="239">
        <f>'[2]Plot Data'!$C$68</f>
        <v>0.12</v>
      </c>
      <c r="O23" s="177" t="str">
        <f t="shared" si="16"/>
        <v>&gt;+3s</v>
      </c>
      <c r="P23" s="180" t="str">
        <f>IF(AND(G23&gt;L23,G22&gt;L22),"Fail &gt; +2s",IF(AND(G23&lt;J23,G22&lt;J22),"Fail &lt; -2s","Pass"))</f>
        <v>Pass</v>
      </c>
      <c r="Q23" s="240"/>
      <c r="R23" s="240"/>
      <c r="S23" s="179" t="str">
        <f>IF(H23="","",IF(H23&gt;'[2]Plot Data'!$C$68,"No","Yes"))</f>
        <v>Yes</v>
      </c>
      <c r="T23" s="327"/>
      <c r="U23" s="379"/>
      <c r="V23" s="336"/>
      <c r="W23" s="337"/>
      <c r="X23" s="337"/>
      <c r="Y23" s="337"/>
      <c r="Z23" s="337"/>
      <c r="AA23" s="337"/>
      <c r="AB23" s="337"/>
      <c r="AC23" s="337"/>
      <c r="AD23" s="338"/>
      <c r="AE23" s="337"/>
      <c r="AM23" s="92"/>
      <c r="AO23" s="379"/>
      <c r="AP23" s="336"/>
      <c r="AQ23" s="337"/>
      <c r="AR23" s="337"/>
      <c r="AS23" s="337"/>
      <c r="AT23" s="337"/>
      <c r="AU23" s="337"/>
      <c r="AV23" s="337"/>
      <c r="AW23" s="337"/>
      <c r="AX23" s="338"/>
      <c r="AY23" s="337"/>
      <c r="BG23" s="92"/>
    </row>
    <row r="24" spans="2:59" x14ac:dyDescent="0.3">
      <c r="B24" s="230">
        <v>3</v>
      </c>
      <c r="C24" s="328"/>
      <c r="D24" s="329"/>
      <c r="E24" s="330">
        <v>27.11</v>
      </c>
      <c r="F24" s="330">
        <v>27.17</v>
      </c>
      <c r="G24" s="231">
        <f t="shared" si="15"/>
        <v>27.14</v>
      </c>
      <c r="H24" s="232">
        <f t="shared" si="17"/>
        <v>6.0000000000002274E-2</v>
      </c>
      <c r="I24" s="232">
        <f>'[2]Plot Data'!$C$67</f>
        <v>26.787537881918869</v>
      </c>
      <c r="J24" s="232">
        <f>'[2]Plot Data'!$C$65</f>
        <v>26.863914143501468</v>
      </c>
      <c r="K24" s="238">
        <f>'[2]Plot Data'!$C$58</f>
        <v>27.016666666666666</v>
      </c>
      <c r="L24" s="238">
        <f>'[2]Plot Data'!$C$62</f>
        <v>27.169419189831864</v>
      </c>
      <c r="M24" s="238">
        <f>'[2]Plot Data'!$C$64</f>
        <v>27.245795451414462</v>
      </c>
      <c r="N24" s="239">
        <f>'[2]Plot Data'!$C$68</f>
        <v>0.12</v>
      </c>
      <c r="O24" s="177" t="str">
        <f t="shared" si="16"/>
        <v>Pass</v>
      </c>
      <c r="P24" s="180" t="str">
        <f>IF(AND(G24&gt;L24,G23&gt;L23),"Fail &gt; +2s",IF(AND(G24&gt;L24,G22&gt;L22),"Fail &gt; +2s",IF(AND(G24&lt;J24,G23&lt;J23),"Fail &lt; -2s",IF(AND(G24&lt;J24,G22&lt;J22),"Fail &lt; -2s","Pass"))))</f>
        <v>Pass</v>
      </c>
      <c r="Q24" s="240"/>
      <c r="R24" s="240"/>
      <c r="S24" s="179" t="str">
        <f>IF(H24="","",IF(H24&gt;'[2]Plot Data'!$C$68,"No","Yes"))</f>
        <v>Yes</v>
      </c>
      <c r="T24" s="327"/>
      <c r="U24" s="379"/>
      <c r="V24" s="336"/>
      <c r="W24" s="337"/>
      <c r="X24" s="337"/>
      <c r="Y24" s="337"/>
      <c r="Z24" s="337"/>
      <c r="AA24" s="337"/>
      <c r="AB24" s="337"/>
      <c r="AC24" s="337"/>
      <c r="AD24" s="338"/>
      <c r="AE24" s="337"/>
      <c r="AM24" s="92"/>
      <c r="AO24" s="379"/>
      <c r="AP24" s="336"/>
      <c r="AQ24" s="337"/>
      <c r="AR24" s="337"/>
      <c r="AS24" s="337"/>
      <c r="AT24" s="337"/>
      <c r="AU24" s="337"/>
      <c r="AV24" s="337"/>
      <c r="AW24" s="337"/>
      <c r="AX24" s="338"/>
      <c r="AY24" s="337"/>
      <c r="BG24" s="92"/>
    </row>
    <row r="25" spans="2:59" x14ac:dyDescent="0.3">
      <c r="B25" s="230">
        <v>4</v>
      </c>
      <c r="C25" s="328"/>
      <c r="D25" s="329"/>
      <c r="E25" s="330">
        <v>27.05</v>
      </c>
      <c r="F25" s="330">
        <v>27.11</v>
      </c>
      <c r="G25" s="231">
        <f t="shared" si="15"/>
        <v>27.08</v>
      </c>
      <c r="H25" s="232">
        <f t="shared" si="17"/>
        <v>5.9999999999998721E-2</v>
      </c>
      <c r="I25" s="232">
        <f>'[2]Plot Data'!$C$67</f>
        <v>26.787537881918869</v>
      </c>
      <c r="J25" s="232">
        <f>'[2]Plot Data'!$C$65</f>
        <v>26.863914143501468</v>
      </c>
      <c r="K25" s="238">
        <f>'[2]Plot Data'!$C$58</f>
        <v>27.016666666666666</v>
      </c>
      <c r="L25" s="238">
        <f>'[2]Plot Data'!$C$62</f>
        <v>27.169419189831864</v>
      </c>
      <c r="M25" s="238">
        <f>'[2]Plot Data'!$C$64</f>
        <v>27.245795451414462</v>
      </c>
      <c r="N25" s="239">
        <f>'[2]Plot Data'!$C$68</f>
        <v>0.12</v>
      </c>
      <c r="O25" s="177" t="str">
        <f t="shared" si="16"/>
        <v>Pass</v>
      </c>
      <c r="P25" s="180" t="str">
        <f t="shared" ref="P25:P42" si="18">IF(AND(G25&gt;L25,G24&gt;L24),"Fail &gt; +2s",IF(AND(G25&gt;L25,G23&gt;L23),"Fail &gt; +2s",IF(AND(G25&lt;J25,G24&lt;J24),"Fail &lt; -2s",IF(AND(G25&lt;J25,G23&lt;J23),"Fail &lt; -2s","Pass"))))</f>
        <v>Pass</v>
      </c>
      <c r="Q25" s="240"/>
      <c r="R25" s="240"/>
      <c r="S25" s="179" t="str">
        <f>IF(H25="","",IF(H25&gt;'[2]Plot Data'!$C$68,"No","Yes"))</f>
        <v>Yes</v>
      </c>
      <c r="T25" s="327"/>
      <c r="U25" s="379"/>
      <c r="V25" s="336"/>
      <c r="W25" s="337"/>
      <c r="X25" s="337"/>
      <c r="Y25" s="337"/>
      <c r="Z25" s="337"/>
      <c r="AA25" s="337"/>
      <c r="AB25" s="337"/>
      <c r="AC25" s="337"/>
      <c r="AD25" s="338"/>
      <c r="AE25" s="337"/>
      <c r="AM25" s="92"/>
      <c r="AO25" s="379"/>
      <c r="AP25" s="336"/>
      <c r="AQ25" s="337"/>
      <c r="AR25" s="337"/>
      <c r="AS25" s="337"/>
      <c r="AT25" s="337"/>
      <c r="AU25" s="337"/>
      <c r="AV25" s="337"/>
      <c r="AW25" s="337"/>
      <c r="AX25" s="338"/>
      <c r="AY25" s="337"/>
      <c r="BG25" s="92"/>
    </row>
    <row r="26" spans="2:59" x14ac:dyDescent="0.3">
      <c r="B26" s="230">
        <v>5</v>
      </c>
      <c r="C26" s="328"/>
      <c r="D26" s="329"/>
      <c r="E26" s="330">
        <v>27.22</v>
      </c>
      <c r="F26" s="330">
        <v>27.15</v>
      </c>
      <c r="G26" s="231">
        <f t="shared" si="15"/>
        <v>27.184999999999999</v>
      </c>
      <c r="H26" s="232">
        <f t="shared" si="17"/>
        <v>7.0000000000000284E-2</v>
      </c>
      <c r="I26" s="232">
        <f>'[2]Plot Data'!$C$67</f>
        <v>26.787537881918869</v>
      </c>
      <c r="J26" s="232">
        <f>'[2]Plot Data'!$C$65</f>
        <v>26.863914143501468</v>
      </c>
      <c r="K26" s="238">
        <f>'[2]Plot Data'!$C$58</f>
        <v>27.016666666666666</v>
      </c>
      <c r="L26" s="238">
        <f>'[2]Plot Data'!$C$62</f>
        <v>27.169419189831864</v>
      </c>
      <c r="M26" s="238">
        <f>'[2]Plot Data'!$C$64</f>
        <v>27.245795451414462</v>
      </c>
      <c r="N26" s="239">
        <f>'[2]Plot Data'!$C$68</f>
        <v>0.12</v>
      </c>
      <c r="O26" s="177" t="str">
        <f t="shared" si="16"/>
        <v>Pass</v>
      </c>
      <c r="P26" s="180" t="str">
        <f t="shared" si="18"/>
        <v>Pass</v>
      </c>
      <c r="Q26" s="240"/>
      <c r="R26" s="240"/>
      <c r="S26" s="179" t="str">
        <f>IF(H26="","",IF(H26&gt;'[2]Plot Data'!$C$68,"No","Yes"))</f>
        <v>Yes</v>
      </c>
      <c r="T26" s="327"/>
      <c r="U26" s="379"/>
      <c r="V26" s="336"/>
      <c r="W26" s="337"/>
      <c r="X26" s="337"/>
      <c r="Y26" s="337"/>
      <c r="Z26" s="337"/>
      <c r="AA26" s="337"/>
      <c r="AB26" s="337"/>
      <c r="AC26" s="337"/>
      <c r="AD26" s="338"/>
      <c r="AE26" s="337"/>
      <c r="AM26" s="92"/>
      <c r="AO26" s="379"/>
      <c r="AP26" s="336"/>
      <c r="AQ26" s="337"/>
      <c r="AR26" s="337"/>
      <c r="AS26" s="337"/>
      <c r="AT26" s="337"/>
      <c r="AU26" s="337"/>
      <c r="AV26" s="337"/>
      <c r="AW26" s="337"/>
      <c r="AX26" s="338"/>
      <c r="AY26" s="337"/>
      <c r="BG26" s="92"/>
    </row>
    <row r="27" spans="2:59" x14ac:dyDescent="0.3">
      <c r="B27" s="230">
        <v>6</v>
      </c>
      <c r="C27" s="328"/>
      <c r="D27" s="329"/>
      <c r="E27" s="330">
        <v>27.12</v>
      </c>
      <c r="F27" s="330">
        <v>27.06</v>
      </c>
      <c r="G27" s="231">
        <f t="shared" si="15"/>
        <v>27.09</v>
      </c>
      <c r="H27" s="232">
        <f t="shared" si="17"/>
        <v>6.0000000000002274E-2</v>
      </c>
      <c r="I27" s="232">
        <f>'[2]Plot Data'!$C$67</f>
        <v>26.787537881918869</v>
      </c>
      <c r="J27" s="232">
        <f>'[2]Plot Data'!$C$65</f>
        <v>26.863914143501468</v>
      </c>
      <c r="K27" s="238">
        <f>'[2]Plot Data'!$C$58</f>
        <v>27.016666666666666</v>
      </c>
      <c r="L27" s="238">
        <f>'[2]Plot Data'!$C$62</f>
        <v>27.169419189831864</v>
      </c>
      <c r="M27" s="238">
        <f>'[2]Plot Data'!$C$64</f>
        <v>27.245795451414462</v>
      </c>
      <c r="N27" s="239">
        <f>'[2]Plot Data'!$C$68</f>
        <v>0.12</v>
      </c>
      <c r="O27" s="177" t="str">
        <f t="shared" si="16"/>
        <v>Pass</v>
      </c>
      <c r="P27" s="180" t="str">
        <f t="shared" si="18"/>
        <v>Pass</v>
      </c>
      <c r="Q27" s="240"/>
      <c r="R27" s="180" t="str">
        <f>IF(AND(G27&gt;G26,G26&gt;G25,G25&gt;G24,G23&gt;G22),"Fail +ve trend",IF(AND(G27&lt;G26,G26&lt;G25,G25&lt;G24,G23&lt;G22),"Fail -ve trend","Pass"))</f>
        <v>Pass</v>
      </c>
      <c r="S27" s="179" t="str">
        <f>IF(H27="","",IF(H27&gt;'[2]Plot Data'!$C$68,"No","Yes"))</f>
        <v>Yes</v>
      </c>
      <c r="T27" s="327"/>
      <c r="U27" s="379"/>
      <c r="V27" s="336"/>
      <c r="W27" s="337"/>
      <c r="X27" s="337"/>
      <c r="Y27" s="337"/>
      <c r="Z27" s="337"/>
      <c r="AA27" s="337"/>
      <c r="AB27" s="337"/>
      <c r="AC27" s="337"/>
      <c r="AD27" s="338"/>
      <c r="AE27" s="337"/>
      <c r="AM27" s="92"/>
      <c r="AO27" s="379"/>
      <c r="AP27" s="336"/>
      <c r="AQ27" s="337"/>
      <c r="AR27" s="337"/>
      <c r="AS27" s="337"/>
      <c r="AT27" s="337"/>
      <c r="AU27" s="337"/>
      <c r="AV27" s="337"/>
      <c r="AW27" s="337"/>
      <c r="AX27" s="338"/>
      <c r="AY27" s="337"/>
      <c r="BG27" s="92"/>
    </row>
    <row r="28" spans="2:59" x14ac:dyDescent="0.3">
      <c r="B28" s="230">
        <v>7</v>
      </c>
      <c r="C28" s="328"/>
      <c r="D28" s="329"/>
      <c r="E28" s="330">
        <v>26.99</v>
      </c>
      <c r="F28" s="330">
        <v>27.08</v>
      </c>
      <c r="G28" s="231">
        <f t="shared" si="15"/>
        <v>27.034999999999997</v>
      </c>
      <c r="H28" s="232">
        <f t="shared" si="17"/>
        <v>8.9999999999999858E-2</v>
      </c>
      <c r="I28" s="232">
        <f>'[2]Plot Data'!$C$67</f>
        <v>26.787537881918869</v>
      </c>
      <c r="J28" s="232">
        <f>'[2]Plot Data'!$C$65</f>
        <v>26.863914143501468</v>
      </c>
      <c r="K28" s="238">
        <f>'[2]Plot Data'!$C$58</f>
        <v>27.016666666666666</v>
      </c>
      <c r="L28" s="238">
        <f>'[2]Plot Data'!$C$62</f>
        <v>27.169419189831864</v>
      </c>
      <c r="M28" s="238">
        <f>'[2]Plot Data'!$C$64</f>
        <v>27.245795451414462</v>
      </c>
      <c r="N28" s="239">
        <f>'[2]Plot Data'!$C$68</f>
        <v>0.12</v>
      </c>
      <c r="O28" s="177" t="str">
        <f t="shared" si="16"/>
        <v>Pass</v>
      </c>
      <c r="P28" s="180" t="str">
        <f t="shared" si="18"/>
        <v>Pass</v>
      </c>
      <c r="Q28" s="240"/>
      <c r="R28" s="180" t="str">
        <f t="shared" ref="R28:R42" si="19">IF(AND(G28&gt;G27,G27&gt;G26,G26&gt;G25,G24&gt;G23),"Fail +ve trend",IF(AND(G28&lt;G27,G27&lt;G26,G26&lt;G25,G24&lt;G23),"Fail -ve trend","Pass"))</f>
        <v>Pass</v>
      </c>
      <c r="S28" s="179" t="str">
        <f>IF(H28="","",IF(H28&gt;'[2]Plot Data'!$C$68,"No","Yes"))</f>
        <v>Yes</v>
      </c>
      <c r="T28" s="327"/>
      <c r="U28" s="379"/>
      <c r="V28" s="336"/>
      <c r="W28" s="337"/>
      <c r="X28" s="337"/>
      <c r="Y28" s="337"/>
      <c r="Z28" s="337"/>
      <c r="AA28" s="337"/>
      <c r="AB28" s="337"/>
      <c r="AC28" s="337"/>
      <c r="AD28" s="338"/>
      <c r="AE28" s="337"/>
      <c r="AM28" s="92"/>
      <c r="AO28" s="379"/>
      <c r="AP28" s="336"/>
      <c r="AQ28" s="337"/>
      <c r="AR28" s="337"/>
      <c r="AS28" s="337"/>
      <c r="AT28" s="337"/>
      <c r="AU28" s="337"/>
      <c r="AV28" s="337"/>
      <c r="AW28" s="337"/>
      <c r="AX28" s="338"/>
      <c r="AY28" s="337"/>
      <c r="BG28" s="92"/>
    </row>
    <row r="29" spans="2:59" x14ac:dyDescent="0.3">
      <c r="B29" s="230">
        <v>8</v>
      </c>
      <c r="C29" s="328"/>
      <c r="D29" s="329"/>
      <c r="E29" s="330"/>
      <c r="F29" s="330"/>
      <c r="G29" s="231" t="e">
        <f t="shared" si="15"/>
        <v>#N/A</v>
      </c>
      <c r="H29" s="232" t="e">
        <f t="shared" si="17"/>
        <v>#N/A</v>
      </c>
      <c r="I29" s="232">
        <f>'[2]Plot Data'!$C$67</f>
        <v>26.787537881918869</v>
      </c>
      <c r="J29" s="232">
        <f>'[2]Plot Data'!$C$65</f>
        <v>26.863914143501468</v>
      </c>
      <c r="K29" s="238">
        <f>'[2]Plot Data'!$C$58</f>
        <v>27.016666666666666</v>
      </c>
      <c r="L29" s="238">
        <f>'[2]Plot Data'!$C$62</f>
        <v>27.169419189831864</v>
      </c>
      <c r="M29" s="238">
        <f>'[2]Plot Data'!$C$64</f>
        <v>27.245795451414462</v>
      </c>
      <c r="N29" s="239">
        <f>'[2]Plot Data'!$C$68</f>
        <v>0.12</v>
      </c>
      <c r="O29" s="177" t="e">
        <f t="shared" si="16"/>
        <v>#N/A</v>
      </c>
      <c r="P29" s="180" t="e">
        <f t="shared" si="18"/>
        <v>#N/A</v>
      </c>
      <c r="Q29" s="180" t="e">
        <f>IF(AND(G29&gt;K29,G28&gt;K29,G27&gt;K29,G26&gt;K29,G25&gt;K29,G24&gt;K29,G23&gt;K29,G22&gt;K29),"Fail +ve bias",IF(AND(G29&lt;K29,G28&lt;K29,G27&lt;K29,G26&lt;K29,G25&lt;K29,G24&lt;K29,G23&lt;K29,G22&lt;K29),"Fail -ve bias","Pass"))</f>
        <v>#N/A</v>
      </c>
      <c r="R29" s="180" t="e">
        <f t="shared" si="19"/>
        <v>#N/A</v>
      </c>
      <c r="S29" s="179" t="e">
        <f>IF(H29="","",IF(H29&gt;'[2]Plot Data'!$C$68,"No","Yes"))</f>
        <v>#N/A</v>
      </c>
      <c r="T29" s="327"/>
      <c r="U29" s="379"/>
      <c r="V29" s="336"/>
      <c r="W29" s="337"/>
      <c r="X29" s="337"/>
      <c r="Y29" s="337"/>
      <c r="Z29" s="337"/>
      <c r="AA29" s="337"/>
      <c r="AB29" s="337"/>
      <c r="AC29" s="337"/>
      <c r="AD29" s="338"/>
      <c r="AE29" s="337"/>
      <c r="AM29" s="92"/>
      <c r="AO29" s="379"/>
      <c r="AP29" s="336"/>
      <c r="AQ29" s="337"/>
      <c r="AR29" s="337"/>
      <c r="AS29" s="337"/>
      <c r="AT29" s="337"/>
      <c r="AU29" s="337"/>
      <c r="AV29" s="337"/>
      <c r="AW29" s="337"/>
      <c r="AX29" s="338"/>
      <c r="AY29" s="337"/>
      <c r="BG29" s="92"/>
    </row>
    <row r="30" spans="2:59" x14ac:dyDescent="0.3">
      <c r="B30" s="230">
        <v>9</v>
      </c>
      <c r="C30" s="328"/>
      <c r="D30" s="329"/>
      <c r="E30" s="330"/>
      <c r="F30" s="330"/>
      <c r="G30" s="231" t="e">
        <f t="shared" si="15"/>
        <v>#N/A</v>
      </c>
      <c r="H30" s="232" t="e">
        <f t="shared" si="17"/>
        <v>#N/A</v>
      </c>
      <c r="I30" s="232">
        <f>'[2]Plot Data'!$C$67</f>
        <v>26.787537881918869</v>
      </c>
      <c r="J30" s="232">
        <f>'[2]Plot Data'!$C$65</f>
        <v>26.863914143501468</v>
      </c>
      <c r="K30" s="238">
        <f>'[2]Plot Data'!$C$58</f>
        <v>27.016666666666666</v>
      </c>
      <c r="L30" s="238">
        <f>'[2]Plot Data'!$C$62</f>
        <v>27.169419189831864</v>
      </c>
      <c r="M30" s="238">
        <f>'[2]Plot Data'!$C$64</f>
        <v>27.245795451414462</v>
      </c>
      <c r="N30" s="239">
        <f>'[2]Plot Data'!$C$68</f>
        <v>0.12</v>
      </c>
      <c r="O30" s="177" t="e">
        <f t="shared" si="16"/>
        <v>#N/A</v>
      </c>
      <c r="P30" s="180" t="e">
        <f t="shared" si="18"/>
        <v>#N/A</v>
      </c>
      <c r="Q30" s="180" t="e">
        <f t="shared" ref="Q30:Q42" si="20">IF(AND(G30&gt;K30,G29&gt;K30,G28&gt;K30,G27&gt;K30,G26&gt;K30,G25&gt;K30,G24&gt;K30,G23&gt;K30),"Fail +ve bias",IF(AND(G30&lt;K30,G29&lt;K30,G28&lt;K30,G27&lt;K30,G26&lt;K30,G25&lt;K30,G24&lt;K30,G23&lt;K30),"Fail -ve bias","Pass"))</f>
        <v>#N/A</v>
      </c>
      <c r="R30" s="180" t="e">
        <f t="shared" si="19"/>
        <v>#N/A</v>
      </c>
      <c r="S30" s="179" t="e">
        <f>IF(H30="","",IF(H30&gt;'[2]Plot Data'!$C$68,"No","Yes"))</f>
        <v>#N/A</v>
      </c>
      <c r="T30" s="327"/>
      <c r="U30" s="379"/>
      <c r="V30" s="336"/>
      <c r="W30" s="337"/>
      <c r="X30" s="337"/>
      <c r="Y30" s="337"/>
      <c r="Z30" s="337"/>
      <c r="AA30" s="337"/>
      <c r="AB30" s="337"/>
      <c r="AC30" s="337"/>
      <c r="AD30" s="338"/>
      <c r="AE30" s="337"/>
      <c r="AM30" s="92"/>
      <c r="AO30" s="379"/>
      <c r="AP30" s="336"/>
      <c r="AQ30" s="337"/>
      <c r="AR30" s="337"/>
      <c r="AS30" s="337"/>
      <c r="AT30" s="337"/>
      <c r="AU30" s="337"/>
      <c r="AV30" s="337"/>
      <c r="AW30" s="337"/>
      <c r="AX30" s="338"/>
      <c r="AY30" s="337"/>
      <c r="BG30" s="92"/>
    </row>
    <row r="31" spans="2:59" x14ac:dyDescent="0.3">
      <c r="B31" s="230">
        <v>10</v>
      </c>
      <c r="C31" s="328"/>
      <c r="D31" s="329"/>
      <c r="E31" s="330"/>
      <c r="F31" s="330"/>
      <c r="G31" s="231" t="e">
        <f t="shared" si="15"/>
        <v>#N/A</v>
      </c>
      <c r="H31" s="232" t="e">
        <f t="shared" si="17"/>
        <v>#N/A</v>
      </c>
      <c r="I31" s="232">
        <f>'[2]Plot Data'!$C$67</f>
        <v>26.787537881918869</v>
      </c>
      <c r="J31" s="232">
        <f>'[2]Plot Data'!$C$65</f>
        <v>26.863914143501468</v>
      </c>
      <c r="K31" s="238">
        <f>'[2]Plot Data'!$C$58</f>
        <v>27.016666666666666</v>
      </c>
      <c r="L31" s="238">
        <f>'[2]Plot Data'!$C$62</f>
        <v>27.169419189831864</v>
      </c>
      <c r="M31" s="238">
        <f>'[2]Plot Data'!$C$64</f>
        <v>27.245795451414462</v>
      </c>
      <c r="N31" s="239">
        <f>'[2]Plot Data'!$C$68</f>
        <v>0.12</v>
      </c>
      <c r="O31" s="177" t="e">
        <f t="shared" si="16"/>
        <v>#N/A</v>
      </c>
      <c r="P31" s="180" t="e">
        <f t="shared" si="18"/>
        <v>#N/A</v>
      </c>
      <c r="Q31" s="180" t="e">
        <f t="shared" si="20"/>
        <v>#N/A</v>
      </c>
      <c r="R31" s="180" t="e">
        <f t="shared" si="19"/>
        <v>#N/A</v>
      </c>
      <c r="S31" s="179" t="e">
        <f>IF(H31="","",IF(H31&gt;'[2]Plot Data'!$C$68,"No","Yes"))</f>
        <v>#N/A</v>
      </c>
      <c r="T31" s="327"/>
      <c r="U31" s="379"/>
      <c r="V31" s="336"/>
      <c r="W31" s="337"/>
      <c r="X31" s="337"/>
      <c r="Y31" s="337"/>
      <c r="Z31" s="337"/>
      <c r="AA31" s="337"/>
      <c r="AB31" s="337"/>
      <c r="AC31" s="337"/>
      <c r="AD31" s="338"/>
      <c r="AE31" s="337"/>
      <c r="AM31" s="92"/>
      <c r="AO31" s="379"/>
      <c r="AP31" s="336"/>
      <c r="AQ31" s="337"/>
      <c r="AR31" s="337"/>
      <c r="AS31" s="337"/>
      <c r="AT31" s="337"/>
      <c r="AU31" s="337"/>
      <c r="AV31" s="337"/>
      <c r="AW31" s="337"/>
      <c r="AX31" s="338"/>
      <c r="AY31" s="337"/>
      <c r="BG31" s="92"/>
    </row>
    <row r="32" spans="2:59" x14ac:dyDescent="0.3">
      <c r="B32" s="230">
        <v>11</v>
      </c>
      <c r="C32" s="328"/>
      <c r="D32" s="329"/>
      <c r="E32" s="330"/>
      <c r="F32" s="330"/>
      <c r="G32" s="231" t="e">
        <f t="shared" si="15"/>
        <v>#N/A</v>
      </c>
      <c r="H32" s="232" t="e">
        <f t="shared" si="17"/>
        <v>#N/A</v>
      </c>
      <c r="I32" s="232">
        <f>'[2]Plot Data'!$C$67</f>
        <v>26.787537881918869</v>
      </c>
      <c r="J32" s="232">
        <f>'[2]Plot Data'!$C$65</f>
        <v>26.863914143501468</v>
      </c>
      <c r="K32" s="238">
        <f>'[2]Plot Data'!$C$58</f>
        <v>27.016666666666666</v>
      </c>
      <c r="L32" s="238">
        <f>'[2]Plot Data'!$C$62</f>
        <v>27.169419189831864</v>
      </c>
      <c r="M32" s="238">
        <f>'[2]Plot Data'!$C$64</f>
        <v>27.245795451414462</v>
      </c>
      <c r="N32" s="239">
        <f>'[2]Plot Data'!$C$68</f>
        <v>0.12</v>
      </c>
      <c r="O32" s="177" t="e">
        <f t="shared" si="16"/>
        <v>#N/A</v>
      </c>
      <c r="P32" s="180" t="e">
        <f t="shared" si="18"/>
        <v>#N/A</v>
      </c>
      <c r="Q32" s="180" t="e">
        <f t="shared" si="20"/>
        <v>#N/A</v>
      </c>
      <c r="R32" s="180" t="e">
        <f t="shared" si="19"/>
        <v>#N/A</v>
      </c>
      <c r="S32" s="179" t="e">
        <f>IF(H32="","",IF(H32&gt;'[2]Plot Data'!$C$68,"No","Yes"))</f>
        <v>#N/A</v>
      </c>
      <c r="T32" s="327"/>
      <c r="U32" s="379"/>
      <c r="V32" s="336"/>
      <c r="W32" s="337"/>
      <c r="X32" s="337"/>
      <c r="Y32" s="337"/>
      <c r="Z32" s="337"/>
      <c r="AA32" s="337"/>
      <c r="AB32" s="337"/>
      <c r="AC32" s="337"/>
      <c r="AD32" s="338"/>
      <c r="AE32" s="337"/>
      <c r="AM32" s="92"/>
      <c r="AO32" s="379"/>
      <c r="AP32" s="336"/>
      <c r="AQ32" s="337"/>
      <c r="AR32" s="337"/>
      <c r="AS32" s="337"/>
      <c r="AT32" s="337"/>
      <c r="AU32" s="337"/>
      <c r="AV32" s="337"/>
      <c r="AW32" s="337"/>
      <c r="AX32" s="338"/>
      <c r="AY32" s="337"/>
      <c r="BG32" s="92"/>
    </row>
    <row r="33" spans="2:59" x14ac:dyDescent="0.3">
      <c r="B33" s="230">
        <v>12</v>
      </c>
      <c r="C33" s="328"/>
      <c r="D33" s="329"/>
      <c r="E33" s="330"/>
      <c r="F33" s="330"/>
      <c r="G33" s="231" t="e">
        <f t="shared" si="15"/>
        <v>#N/A</v>
      </c>
      <c r="H33" s="232" t="e">
        <f t="shared" si="17"/>
        <v>#N/A</v>
      </c>
      <c r="I33" s="232">
        <f>'[2]Plot Data'!$C$67</f>
        <v>26.787537881918869</v>
      </c>
      <c r="J33" s="232">
        <f>'[2]Plot Data'!$C$65</f>
        <v>26.863914143501468</v>
      </c>
      <c r="K33" s="238">
        <f>'[2]Plot Data'!$C$58</f>
        <v>27.016666666666666</v>
      </c>
      <c r="L33" s="238">
        <f>'[2]Plot Data'!$C$62</f>
        <v>27.169419189831864</v>
      </c>
      <c r="M33" s="238">
        <f>'[2]Plot Data'!$C$64</f>
        <v>27.245795451414462</v>
      </c>
      <c r="N33" s="239">
        <f>'[2]Plot Data'!$C$68</f>
        <v>0.12</v>
      </c>
      <c r="O33" s="177" t="e">
        <f t="shared" si="16"/>
        <v>#N/A</v>
      </c>
      <c r="P33" s="180" t="e">
        <f t="shared" si="18"/>
        <v>#N/A</v>
      </c>
      <c r="Q33" s="180" t="e">
        <f t="shared" si="20"/>
        <v>#N/A</v>
      </c>
      <c r="R33" s="180" t="e">
        <f t="shared" si="19"/>
        <v>#N/A</v>
      </c>
      <c r="S33" s="179" t="e">
        <f>IF(H33="","",IF(H33&gt;'[2]Plot Data'!$C$68,"No","Yes"))</f>
        <v>#N/A</v>
      </c>
      <c r="T33" s="327"/>
      <c r="U33" s="379"/>
      <c r="V33" s="336"/>
      <c r="W33" s="337"/>
      <c r="X33" s="337"/>
      <c r="Y33" s="337"/>
      <c r="Z33" s="337"/>
      <c r="AA33" s="337"/>
      <c r="AB33" s="337"/>
      <c r="AC33" s="337"/>
      <c r="AD33" s="338"/>
      <c r="AE33" s="337"/>
      <c r="AM33" s="92"/>
      <c r="AO33" s="379"/>
      <c r="AP33" s="336"/>
      <c r="AQ33" s="337"/>
      <c r="AR33" s="337"/>
      <c r="AS33" s="337"/>
      <c r="AT33" s="337"/>
      <c r="AU33" s="337"/>
      <c r="AV33" s="337"/>
      <c r="AW33" s="337"/>
      <c r="AX33" s="338"/>
      <c r="AY33" s="337"/>
      <c r="BG33" s="92"/>
    </row>
    <row r="34" spans="2:59" x14ac:dyDescent="0.3">
      <c r="B34" s="230">
        <v>13</v>
      </c>
      <c r="C34" s="328"/>
      <c r="D34" s="329"/>
      <c r="E34" s="330"/>
      <c r="F34" s="330"/>
      <c r="G34" s="231" t="e">
        <f t="shared" si="15"/>
        <v>#N/A</v>
      </c>
      <c r="H34" s="232" t="e">
        <f t="shared" si="17"/>
        <v>#N/A</v>
      </c>
      <c r="I34" s="232">
        <f>'[2]Plot Data'!$C$67</f>
        <v>26.787537881918869</v>
      </c>
      <c r="J34" s="232">
        <f>'[2]Plot Data'!$C$65</f>
        <v>26.863914143501468</v>
      </c>
      <c r="K34" s="238">
        <f>'[2]Plot Data'!$C$58</f>
        <v>27.016666666666666</v>
      </c>
      <c r="L34" s="238">
        <f>'[2]Plot Data'!$C$62</f>
        <v>27.169419189831864</v>
      </c>
      <c r="M34" s="238">
        <f>'[2]Plot Data'!$C$64</f>
        <v>27.245795451414462</v>
      </c>
      <c r="N34" s="239">
        <f>'[2]Plot Data'!$C$68</f>
        <v>0.12</v>
      </c>
      <c r="O34" s="177" t="e">
        <f t="shared" si="16"/>
        <v>#N/A</v>
      </c>
      <c r="P34" s="180" t="e">
        <f t="shared" si="18"/>
        <v>#N/A</v>
      </c>
      <c r="Q34" s="180" t="e">
        <f t="shared" si="20"/>
        <v>#N/A</v>
      </c>
      <c r="R34" s="180" t="e">
        <f t="shared" si="19"/>
        <v>#N/A</v>
      </c>
      <c r="S34" s="179" t="e">
        <f>IF(H34="","",IF(H34&gt;'[2]Plot Data'!$C$68,"No","Yes"))</f>
        <v>#N/A</v>
      </c>
      <c r="T34" s="327"/>
      <c r="U34" s="379"/>
      <c r="V34" s="336"/>
      <c r="W34" s="337"/>
      <c r="X34" s="337"/>
      <c r="Y34" s="337"/>
      <c r="Z34" s="337"/>
      <c r="AA34" s="337"/>
      <c r="AB34" s="337"/>
      <c r="AC34" s="337"/>
      <c r="AD34" s="338"/>
      <c r="AE34" s="337"/>
      <c r="AM34" s="92"/>
      <c r="AO34" s="379"/>
      <c r="AP34" s="336"/>
      <c r="AQ34" s="337"/>
      <c r="AR34" s="337"/>
      <c r="AS34" s="337"/>
      <c r="AT34" s="337"/>
      <c r="AU34" s="337"/>
      <c r="AV34" s="337"/>
      <c r="AW34" s="337"/>
      <c r="AX34" s="338"/>
      <c r="AY34" s="337"/>
      <c r="BG34" s="92"/>
    </row>
    <row r="35" spans="2:59" x14ac:dyDescent="0.3">
      <c r="B35" s="230">
        <v>14</v>
      </c>
      <c r="C35" s="328"/>
      <c r="D35" s="329"/>
      <c r="E35" s="330"/>
      <c r="F35" s="330"/>
      <c r="G35" s="231" t="e">
        <f t="shared" si="15"/>
        <v>#N/A</v>
      </c>
      <c r="H35" s="232" t="e">
        <f t="shared" si="17"/>
        <v>#N/A</v>
      </c>
      <c r="I35" s="232">
        <f>'[2]Plot Data'!$C$67</f>
        <v>26.787537881918869</v>
      </c>
      <c r="J35" s="232">
        <f>'[2]Plot Data'!$C$65</f>
        <v>26.863914143501468</v>
      </c>
      <c r="K35" s="238">
        <f>'[2]Plot Data'!$C$58</f>
        <v>27.016666666666666</v>
      </c>
      <c r="L35" s="238">
        <f>'[2]Plot Data'!$C$62</f>
        <v>27.169419189831864</v>
      </c>
      <c r="M35" s="238">
        <f>'[2]Plot Data'!$C$64</f>
        <v>27.245795451414462</v>
      </c>
      <c r="N35" s="239">
        <f>'[2]Plot Data'!$C$68</f>
        <v>0.12</v>
      </c>
      <c r="O35" s="177" t="e">
        <f t="shared" si="16"/>
        <v>#N/A</v>
      </c>
      <c r="P35" s="180" t="e">
        <f t="shared" si="18"/>
        <v>#N/A</v>
      </c>
      <c r="Q35" s="180" t="e">
        <f t="shared" si="20"/>
        <v>#N/A</v>
      </c>
      <c r="R35" s="180" t="e">
        <f t="shared" si="19"/>
        <v>#N/A</v>
      </c>
      <c r="S35" s="179" t="e">
        <f>IF(H35="","",IF(H35&gt;'[2]Plot Data'!$C$68,"No","Yes"))</f>
        <v>#N/A</v>
      </c>
      <c r="T35" s="327"/>
      <c r="U35" s="379"/>
      <c r="V35" s="336"/>
      <c r="W35" s="337"/>
      <c r="X35" s="337"/>
      <c r="Y35" s="337"/>
      <c r="Z35" s="337"/>
      <c r="AA35" s="337"/>
      <c r="AB35" s="337"/>
      <c r="AC35" s="337"/>
      <c r="AD35" s="338"/>
      <c r="AE35" s="337"/>
      <c r="AM35" s="92"/>
      <c r="AO35" s="379"/>
      <c r="AP35" s="336"/>
      <c r="AQ35" s="337"/>
      <c r="AR35" s="337"/>
      <c r="AS35" s="337"/>
      <c r="AT35" s="337"/>
      <c r="AU35" s="337"/>
      <c r="AV35" s="337"/>
      <c r="AW35" s="337"/>
      <c r="AX35" s="338"/>
      <c r="AY35" s="337"/>
      <c r="BG35" s="92"/>
    </row>
    <row r="36" spans="2:59" x14ac:dyDescent="0.3">
      <c r="B36" s="230">
        <v>15</v>
      </c>
      <c r="C36" s="328"/>
      <c r="D36" s="329"/>
      <c r="E36" s="330"/>
      <c r="F36" s="330"/>
      <c r="G36" s="231" t="e">
        <f t="shared" si="15"/>
        <v>#N/A</v>
      </c>
      <c r="H36" s="232" t="e">
        <f t="shared" si="17"/>
        <v>#N/A</v>
      </c>
      <c r="I36" s="232">
        <f>'[2]Plot Data'!$C$67</f>
        <v>26.787537881918869</v>
      </c>
      <c r="J36" s="232">
        <f>'[2]Plot Data'!$C$65</f>
        <v>26.863914143501468</v>
      </c>
      <c r="K36" s="238">
        <f>'[2]Plot Data'!$C$58</f>
        <v>27.016666666666666</v>
      </c>
      <c r="L36" s="238">
        <f>'[2]Plot Data'!$C$62</f>
        <v>27.169419189831864</v>
      </c>
      <c r="M36" s="238">
        <f>'[2]Plot Data'!$C$64</f>
        <v>27.245795451414462</v>
      </c>
      <c r="N36" s="239">
        <f>'[2]Plot Data'!$C$68</f>
        <v>0.12</v>
      </c>
      <c r="O36" s="177" t="e">
        <f t="shared" si="16"/>
        <v>#N/A</v>
      </c>
      <c r="P36" s="180" t="e">
        <f t="shared" si="18"/>
        <v>#N/A</v>
      </c>
      <c r="Q36" s="180" t="e">
        <f t="shared" si="20"/>
        <v>#N/A</v>
      </c>
      <c r="R36" s="180" t="e">
        <f t="shared" si="19"/>
        <v>#N/A</v>
      </c>
      <c r="S36" s="179" t="e">
        <f>IF(H36="","",IF(H36&gt;'[2]Plot Data'!$C$68,"No","Yes"))</f>
        <v>#N/A</v>
      </c>
      <c r="T36" s="327"/>
      <c r="U36" s="379"/>
      <c r="V36" s="336"/>
      <c r="W36" s="337"/>
      <c r="X36" s="337"/>
      <c r="Y36" s="337"/>
      <c r="Z36" s="337"/>
      <c r="AA36" s="337"/>
      <c r="AB36" s="337"/>
      <c r="AC36" s="337"/>
      <c r="AD36" s="338"/>
      <c r="AE36" s="337"/>
      <c r="AM36" s="92"/>
      <c r="AO36" s="379"/>
      <c r="AP36" s="336"/>
      <c r="AQ36" s="337"/>
      <c r="AR36" s="337"/>
      <c r="AS36" s="337"/>
      <c r="AT36" s="337"/>
      <c r="AU36" s="337"/>
      <c r="AV36" s="337"/>
      <c r="AW36" s="337"/>
      <c r="AX36" s="338"/>
      <c r="AY36" s="337"/>
      <c r="BG36" s="92"/>
    </row>
    <row r="37" spans="2:59" x14ac:dyDescent="0.3">
      <c r="B37" s="230">
        <v>16</v>
      </c>
      <c r="C37" s="328"/>
      <c r="D37" s="329"/>
      <c r="E37" s="330"/>
      <c r="F37" s="330"/>
      <c r="G37" s="231" t="e">
        <f t="shared" si="15"/>
        <v>#N/A</v>
      </c>
      <c r="H37" s="232" t="e">
        <f t="shared" si="17"/>
        <v>#N/A</v>
      </c>
      <c r="I37" s="232">
        <f>'[2]Plot Data'!$C$67</f>
        <v>26.787537881918869</v>
      </c>
      <c r="J37" s="232">
        <f>'[2]Plot Data'!$C$65</f>
        <v>26.863914143501468</v>
      </c>
      <c r="K37" s="238">
        <f>'[2]Plot Data'!$C$58</f>
        <v>27.016666666666666</v>
      </c>
      <c r="L37" s="238">
        <f>'[2]Plot Data'!$C$62</f>
        <v>27.169419189831864</v>
      </c>
      <c r="M37" s="238">
        <f>'[2]Plot Data'!$C$64</f>
        <v>27.245795451414462</v>
      </c>
      <c r="N37" s="239">
        <f>'[2]Plot Data'!$C$68</f>
        <v>0.12</v>
      </c>
      <c r="O37" s="177" t="e">
        <f t="shared" si="16"/>
        <v>#N/A</v>
      </c>
      <c r="P37" s="180" t="e">
        <f t="shared" si="18"/>
        <v>#N/A</v>
      </c>
      <c r="Q37" s="180" t="e">
        <f t="shared" si="20"/>
        <v>#N/A</v>
      </c>
      <c r="R37" s="180" t="e">
        <f t="shared" si="19"/>
        <v>#N/A</v>
      </c>
      <c r="S37" s="179" t="e">
        <f>IF(H37="","",IF(H37&gt;'[2]Plot Data'!$C$68,"No","Yes"))</f>
        <v>#N/A</v>
      </c>
      <c r="T37" s="327"/>
      <c r="U37" s="379"/>
      <c r="V37" s="336"/>
      <c r="W37" s="337"/>
      <c r="X37" s="337"/>
      <c r="Y37" s="337"/>
      <c r="Z37" s="337"/>
      <c r="AA37" s="337"/>
      <c r="AB37" s="337"/>
      <c r="AC37" s="337"/>
      <c r="AD37" s="338"/>
      <c r="AE37" s="337"/>
      <c r="AM37" s="92"/>
      <c r="AO37" s="379"/>
      <c r="AP37" s="336"/>
      <c r="AQ37" s="337"/>
      <c r="AR37" s="337"/>
      <c r="AS37" s="337"/>
      <c r="AT37" s="337"/>
      <c r="AU37" s="337"/>
      <c r="AV37" s="337"/>
      <c r="AW37" s="337"/>
      <c r="AX37" s="338"/>
      <c r="AY37" s="337"/>
      <c r="BG37" s="92"/>
    </row>
    <row r="38" spans="2:59" x14ac:dyDescent="0.3">
      <c r="B38" s="230">
        <v>17</v>
      </c>
      <c r="C38" s="328"/>
      <c r="D38" s="329"/>
      <c r="E38" s="330"/>
      <c r="F38" s="330"/>
      <c r="G38" s="231" t="e">
        <f t="shared" si="15"/>
        <v>#N/A</v>
      </c>
      <c r="H38" s="232" t="e">
        <f t="shared" si="17"/>
        <v>#N/A</v>
      </c>
      <c r="I38" s="232">
        <f>'[2]Plot Data'!$C$67</f>
        <v>26.787537881918869</v>
      </c>
      <c r="J38" s="232">
        <f>'[2]Plot Data'!$C$65</f>
        <v>26.863914143501468</v>
      </c>
      <c r="K38" s="238">
        <f>'[2]Plot Data'!$C$58</f>
        <v>27.016666666666666</v>
      </c>
      <c r="L38" s="238">
        <f>'[2]Plot Data'!$C$62</f>
        <v>27.169419189831864</v>
      </c>
      <c r="M38" s="238">
        <f>'[2]Plot Data'!$C$64</f>
        <v>27.245795451414462</v>
      </c>
      <c r="N38" s="239">
        <f>'[2]Plot Data'!$C$68</f>
        <v>0.12</v>
      </c>
      <c r="O38" s="177" t="e">
        <f t="shared" si="16"/>
        <v>#N/A</v>
      </c>
      <c r="P38" s="180" t="e">
        <f t="shared" si="18"/>
        <v>#N/A</v>
      </c>
      <c r="Q38" s="180" t="e">
        <f t="shared" si="20"/>
        <v>#N/A</v>
      </c>
      <c r="R38" s="180" t="e">
        <f t="shared" si="19"/>
        <v>#N/A</v>
      </c>
      <c r="S38" s="179" t="e">
        <f>IF(H38="","",IF(H38&gt;'[2]Plot Data'!$C$68,"No","Yes"))</f>
        <v>#N/A</v>
      </c>
      <c r="T38" s="327"/>
      <c r="U38" s="379"/>
      <c r="V38" s="336"/>
      <c r="W38" s="337"/>
      <c r="X38" s="337"/>
      <c r="Y38" s="337"/>
      <c r="Z38" s="337"/>
      <c r="AA38" s="337"/>
      <c r="AB38" s="337"/>
      <c r="AC38" s="337"/>
      <c r="AD38" s="338"/>
      <c r="AE38" s="337"/>
      <c r="AM38" s="92"/>
      <c r="AO38" s="379"/>
      <c r="AP38" s="336"/>
      <c r="AQ38" s="337"/>
      <c r="AR38" s="337"/>
      <c r="AS38" s="337"/>
      <c r="AT38" s="337"/>
      <c r="AU38" s="337"/>
      <c r="AV38" s="337"/>
      <c r="AW38" s="337"/>
      <c r="AX38" s="338"/>
      <c r="AY38" s="337"/>
      <c r="BG38" s="92"/>
    </row>
    <row r="39" spans="2:59" x14ac:dyDescent="0.3">
      <c r="B39" s="230">
        <v>18</v>
      </c>
      <c r="C39" s="328"/>
      <c r="D39" s="329"/>
      <c r="E39" s="330"/>
      <c r="F39" s="330"/>
      <c r="G39" s="231" t="e">
        <f t="shared" si="15"/>
        <v>#N/A</v>
      </c>
      <c r="H39" s="232" t="e">
        <f t="shared" si="17"/>
        <v>#N/A</v>
      </c>
      <c r="I39" s="232">
        <f>'[2]Plot Data'!$C$67</f>
        <v>26.787537881918869</v>
      </c>
      <c r="J39" s="232">
        <f>'[2]Plot Data'!$C$65</f>
        <v>26.863914143501468</v>
      </c>
      <c r="K39" s="238">
        <f>'[2]Plot Data'!$C$58</f>
        <v>27.016666666666666</v>
      </c>
      <c r="L39" s="238">
        <f>'[2]Plot Data'!$C$62</f>
        <v>27.169419189831864</v>
      </c>
      <c r="M39" s="238">
        <f>'[2]Plot Data'!$C$64</f>
        <v>27.245795451414462</v>
      </c>
      <c r="N39" s="239">
        <f>'[2]Plot Data'!$C$68</f>
        <v>0.12</v>
      </c>
      <c r="O39" s="177" t="e">
        <f t="shared" si="16"/>
        <v>#N/A</v>
      </c>
      <c r="P39" s="180" t="e">
        <f t="shared" si="18"/>
        <v>#N/A</v>
      </c>
      <c r="Q39" s="180" t="e">
        <f t="shared" si="20"/>
        <v>#N/A</v>
      </c>
      <c r="R39" s="180" t="e">
        <f t="shared" si="19"/>
        <v>#N/A</v>
      </c>
      <c r="S39" s="179" t="e">
        <f>IF(H39="","",IF(H39&gt;'[2]Plot Data'!$C$68,"No","Yes"))</f>
        <v>#N/A</v>
      </c>
      <c r="T39" s="327"/>
      <c r="U39" s="379"/>
      <c r="V39" s="336"/>
      <c r="W39" s="337"/>
      <c r="X39" s="337"/>
      <c r="Y39" s="337"/>
      <c r="Z39" s="337"/>
      <c r="AA39" s="337"/>
      <c r="AB39" s="337"/>
      <c r="AC39" s="337"/>
      <c r="AD39" s="338"/>
      <c r="AE39" s="337"/>
      <c r="AM39" s="92"/>
      <c r="AO39" s="379"/>
      <c r="AP39" s="336"/>
      <c r="AQ39" s="337"/>
      <c r="AR39" s="337"/>
      <c r="AS39" s="337"/>
      <c r="AT39" s="337"/>
      <c r="AU39" s="337"/>
      <c r="AV39" s="337"/>
      <c r="AW39" s="337"/>
      <c r="AX39" s="338"/>
      <c r="AY39" s="337"/>
      <c r="BG39" s="92"/>
    </row>
    <row r="40" spans="2:59" x14ac:dyDescent="0.3">
      <c r="B40" s="230">
        <v>19</v>
      </c>
      <c r="C40" s="328"/>
      <c r="D40" s="329"/>
      <c r="E40" s="330"/>
      <c r="F40" s="330"/>
      <c r="G40" s="231" t="e">
        <f t="shared" si="15"/>
        <v>#N/A</v>
      </c>
      <c r="H40" s="232" t="e">
        <f t="shared" si="17"/>
        <v>#N/A</v>
      </c>
      <c r="I40" s="232">
        <f>'[2]Plot Data'!$C$67</f>
        <v>26.787537881918869</v>
      </c>
      <c r="J40" s="232">
        <f>'[2]Plot Data'!$C$65</f>
        <v>26.863914143501468</v>
      </c>
      <c r="K40" s="238">
        <f>'[2]Plot Data'!$C$58</f>
        <v>27.016666666666666</v>
      </c>
      <c r="L40" s="238">
        <f>'[2]Plot Data'!$C$62</f>
        <v>27.169419189831864</v>
      </c>
      <c r="M40" s="238">
        <f>'[2]Plot Data'!$C$64</f>
        <v>27.245795451414462</v>
      </c>
      <c r="N40" s="239">
        <f>'[2]Plot Data'!$C$68</f>
        <v>0.12</v>
      </c>
      <c r="O40" s="177" t="e">
        <f t="shared" si="16"/>
        <v>#N/A</v>
      </c>
      <c r="P40" s="180" t="e">
        <f t="shared" si="18"/>
        <v>#N/A</v>
      </c>
      <c r="Q40" s="180" t="e">
        <f t="shared" si="20"/>
        <v>#N/A</v>
      </c>
      <c r="R40" s="180" t="e">
        <f t="shared" si="19"/>
        <v>#N/A</v>
      </c>
      <c r="S40" s="179" t="e">
        <f>IF(H40="","",IF(H40&gt;'[2]Plot Data'!$C$68,"No","Yes"))</f>
        <v>#N/A</v>
      </c>
      <c r="T40" s="327"/>
      <c r="U40" s="379"/>
      <c r="V40" s="336"/>
      <c r="W40" s="337"/>
      <c r="X40" s="337"/>
      <c r="Y40" s="337"/>
      <c r="Z40" s="337"/>
      <c r="AA40" s="337"/>
      <c r="AB40" s="337"/>
      <c r="AC40" s="337"/>
      <c r="AD40" s="338"/>
      <c r="AE40" s="337"/>
      <c r="AM40" s="92"/>
      <c r="AO40" s="379"/>
      <c r="AP40" s="336"/>
      <c r="AQ40" s="337"/>
      <c r="AR40" s="337"/>
      <c r="AS40" s="337"/>
      <c r="AT40" s="337"/>
      <c r="AU40" s="337"/>
      <c r="AV40" s="337"/>
      <c r="AW40" s="337"/>
      <c r="AX40" s="338"/>
      <c r="AY40" s="337"/>
      <c r="BG40" s="92"/>
    </row>
    <row r="41" spans="2:59" x14ac:dyDescent="0.3">
      <c r="B41" s="230">
        <v>20</v>
      </c>
      <c r="C41" s="328"/>
      <c r="D41" s="329"/>
      <c r="E41" s="330"/>
      <c r="F41" s="330"/>
      <c r="G41" s="231" t="e">
        <f t="shared" si="15"/>
        <v>#N/A</v>
      </c>
      <c r="H41" s="232" t="e">
        <f t="shared" si="17"/>
        <v>#N/A</v>
      </c>
      <c r="I41" s="232">
        <f>'[2]Plot Data'!$C$67</f>
        <v>26.787537881918869</v>
      </c>
      <c r="J41" s="232">
        <f>'[2]Plot Data'!$C$65</f>
        <v>26.863914143501468</v>
      </c>
      <c r="K41" s="238">
        <f>'[2]Plot Data'!$C$58</f>
        <v>27.016666666666666</v>
      </c>
      <c r="L41" s="238">
        <f>'[2]Plot Data'!$C$62</f>
        <v>27.169419189831864</v>
      </c>
      <c r="M41" s="238">
        <f>'[2]Plot Data'!$C$64</f>
        <v>27.245795451414462</v>
      </c>
      <c r="N41" s="239">
        <f>'[2]Plot Data'!$C$68</f>
        <v>0.12</v>
      </c>
      <c r="O41" s="177" t="e">
        <f t="shared" si="16"/>
        <v>#N/A</v>
      </c>
      <c r="P41" s="180" t="e">
        <f t="shared" si="18"/>
        <v>#N/A</v>
      </c>
      <c r="Q41" s="180" t="e">
        <f t="shared" si="20"/>
        <v>#N/A</v>
      </c>
      <c r="R41" s="180" t="e">
        <f t="shared" si="19"/>
        <v>#N/A</v>
      </c>
      <c r="S41" s="179" t="e">
        <f>IF(H41="","",IF(H41&gt;'[2]Plot Data'!$C$68,"No","Yes"))</f>
        <v>#N/A</v>
      </c>
      <c r="T41" s="327"/>
      <c r="U41" s="379"/>
      <c r="V41" s="336"/>
      <c r="W41" s="337"/>
      <c r="X41" s="337"/>
      <c r="Y41" s="337"/>
      <c r="Z41" s="337"/>
      <c r="AA41" s="337"/>
      <c r="AB41" s="337"/>
      <c r="AC41" s="337"/>
      <c r="AD41" s="338"/>
      <c r="AE41" s="337"/>
      <c r="AM41" s="92"/>
      <c r="AO41" s="379"/>
      <c r="AP41" s="336"/>
      <c r="AQ41" s="337"/>
      <c r="AR41" s="337"/>
      <c r="AS41" s="337"/>
      <c r="AT41" s="337"/>
      <c r="AU41" s="337"/>
      <c r="AV41" s="337"/>
      <c r="AW41" s="337"/>
      <c r="AX41" s="338"/>
      <c r="AY41" s="337"/>
      <c r="BG41" s="92"/>
    </row>
    <row r="42" spans="2:59" ht="15" thickBot="1" x14ac:dyDescent="0.35">
      <c r="B42" s="241">
        <v>21</v>
      </c>
      <c r="C42" s="331"/>
      <c r="D42" s="332"/>
      <c r="E42" s="333"/>
      <c r="F42" s="333"/>
      <c r="G42" s="243" t="e">
        <f t="shared" si="15"/>
        <v>#N/A</v>
      </c>
      <c r="H42" s="244" t="e">
        <f t="shared" si="17"/>
        <v>#N/A</v>
      </c>
      <c r="I42" s="244">
        <f>'[2]Plot Data'!$C$67</f>
        <v>26.787537881918869</v>
      </c>
      <c r="J42" s="244">
        <f>'[2]Plot Data'!$C$65</f>
        <v>26.863914143501468</v>
      </c>
      <c r="K42" s="245">
        <f>'[2]Plot Data'!$C$58</f>
        <v>27.016666666666666</v>
      </c>
      <c r="L42" s="245">
        <f>'[2]Plot Data'!$C$62</f>
        <v>27.169419189831864</v>
      </c>
      <c r="M42" s="245">
        <f>'[2]Plot Data'!$C$64</f>
        <v>27.245795451414462</v>
      </c>
      <c r="N42" s="246">
        <f>'[2]Plot Data'!$C$68</f>
        <v>0.12</v>
      </c>
      <c r="O42" s="242" t="e">
        <f t="shared" si="16"/>
        <v>#N/A</v>
      </c>
      <c r="P42" s="180" t="e">
        <f t="shared" si="18"/>
        <v>#N/A</v>
      </c>
      <c r="Q42" s="247" t="e">
        <f t="shared" si="20"/>
        <v>#N/A</v>
      </c>
      <c r="R42" s="247" t="e">
        <f t="shared" si="19"/>
        <v>#N/A</v>
      </c>
      <c r="S42" s="248" t="e">
        <f>IF(H42="","",IF(H42&gt;'[2]Plot Data'!$C$68,"No","Yes"))</f>
        <v>#N/A</v>
      </c>
      <c r="T42" s="327"/>
      <c r="U42" s="379"/>
      <c r="V42" s="336"/>
      <c r="W42" s="337"/>
      <c r="X42" s="337"/>
      <c r="Y42" s="337"/>
      <c r="Z42" s="337"/>
      <c r="AA42" s="337"/>
      <c r="AB42" s="337"/>
      <c r="AC42" s="337"/>
      <c r="AD42" s="338"/>
      <c r="AE42" s="337"/>
      <c r="AM42" s="92"/>
      <c r="AO42" s="379"/>
      <c r="AP42" s="336"/>
      <c r="AQ42" s="337"/>
      <c r="AR42" s="337"/>
      <c r="AS42" s="337"/>
      <c r="AT42" s="337"/>
      <c r="AU42" s="337"/>
      <c r="AV42" s="337"/>
      <c r="AW42" s="337"/>
      <c r="AX42" s="338"/>
      <c r="AY42" s="337"/>
      <c r="BG42" s="92"/>
    </row>
    <row r="43" spans="2:59" x14ac:dyDescent="0.3">
      <c r="U43" s="211"/>
      <c r="V43" s="336"/>
      <c r="W43" s="337"/>
      <c r="X43" s="337"/>
      <c r="Y43" s="337"/>
      <c r="Z43" s="337"/>
      <c r="AA43" s="337"/>
      <c r="AB43" s="337"/>
      <c r="AC43" s="337"/>
      <c r="AD43" s="338"/>
      <c r="AE43" s="337"/>
      <c r="AM43" s="92"/>
      <c r="AO43" s="211"/>
      <c r="AP43" s="336"/>
      <c r="AQ43" s="337"/>
      <c r="AR43" s="337"/>
      <c r="AS43" s="337"/>
      <c r="AT43" s="337"/>
      <c r="AU43" s="337"/>
      <c r="AV43" s="337"/>
      <c r="AW43" s="337"/>
      <c r="AX43" s="338"/>
      <c r="AY43" s="337"/>
      <c r="BG43" s="92"/>
    </row>
    <row r="44" spans="2:59" x14ac:dyDescent="0.3">
      <c r="U44" s="211"/>
      <c r="V44" s="336"/>
      <c r="W44" s="337"/>
      <c r="X44" s="337"/>
      <c r="Y44" s="337"/>
      <c r="Z44" s="337"/>
      <c r="AA44" s="337"/>
      <c r="AB44" s="337"/>
      <c r="AC44" s="337"/>
      <c r="AD44" s="338"/>
      <c r="AE44" s="337"/>
      <c r="AM44" s="92"/>
      <c r="AO44" s="211"/>
      <c r="AP44" s="336"/>
      <c r="AQ44" s="337"/>
      <c r="AR44" s="337"/>
      <c r="AS44" s="337"/>
      <c r="AT44" s="337"/>
      <c r="AU44" s="337"/>
      <c r="AV44" s="337"/>
      <c r="AW44" s="337"/>
      <c r="AX44" s="338"/>
      <c r="AY44" s="337"/>
      <c r="BG44" s="92"/>
    </row>
    <row r="45" spans="2:59" ht="15" thickBot="1" x14ac:dyDescent="0.35">
      <c r="U45" s="211"/>
      <c r="V45" s="341"/>
      <c r="W45" s="342"/>
      <c r="X45" s="342"/>
      <c r="Y45" s="342"/>
      <c r="Z45" s="342"/>
      <c r="AA45" s="342"/>
      <c r="AB45" s="342"/>
      <c r="AC45" s="342"/>
      <c r="AD45" s="343"/>
      <c r="AE45" s="337"/>
      <c r="AM45" s="92"/>
      <c r="AO45" s="211"/>
      <c r="AP45" s="341"/>
      <c r="AQ45" s="342"/>
      <c r="AR45" s="342"/>
      <c r="AS45" s="342"/>
      <c r="AT45" s="342"/>
      <c r="AU45" s="342"/>
      <c r="AV45" s="342"/>
      <c r="AW45" s="342"/>
      <c r="AX45" s="343"/>
      <c r="AY45" s="337"/>
      <c r="BG45" s="92"/>
    </row>
    <row r="46" spans="2:59" ht="15" thickBot="1" x14ac:dyDescent="0.35">
      <c r="U46" s="212"/>
      <c r="V46" s="213"/>
      <c r="W46" s="213"/>
      <c r="X46" s="213"/>
      <c r="Y46" s="213"/>
      <c r="Z46" s="213"/>
      <c r="AA46" s="213"/>
      <c r="AB46" s="213"/>
      <c r="AC46" s="213"/>
      <c r="AD46" s="213"/>
      <c r="AE46" s="213"/>
      <c r="AF46" s="213"/>
      <c r="AG46" s="213"/>
      <c r="AH46" s="213"/>
      <c r="AI46" s="213"/>
      <c r="AJ46" s="213"/>
      <c r="AK46" s="213"/>
      <c r="AL46" s="213"/>
      <c r="AM46" s="214"/>
      <c r="AO46" s="212"/>
      <c r="AP46" s="213"/>
      <c r="AQ46" s="213"/>
      <c r="AR46" s="213"/>
      <c r="AS46" s="213"/>
      <c r="AT46" s="213"/>
      <c r="AU46" s="213"/>
      <c r="AV46" s="213"/>
      <c r="AW46" s="213"/>
      <c r="AX46" s="213"/>
      <c r="AY46" s="213"/>
      <c r="AZ46" s="213"/>
      <c r="BA46" s="213"/>
      <c r="BB46" s="213"/>
      <c r="BC46" s="213"/>
      <c r="BD46" s="213"/>
      <c r="BE46" s="213"/>
      <c r="BF46" s="213"/>
      <c r="BG46" s="214"/>
    </row>
  </sheetData>
  <sheetProtection password="B7E1" sheet="1" objects="1" scenarios="1"/>
  <mergeCells count="14">
    <mergeCell ref="B18:D18"/>
    <mergeCell ref="B19:D19"/>
    <mergeCell ref="Z8:AA8"/>
    <mergeCell ref="V2:AL2"/>
    <mergeCell ref="AP2:BF2"/>
    <mergeCell ref="W4:AC4"/>
    <mergeCell ref="AG4:AK4"/>
    <mergeCell ref="AQ4:AW4"/>
    <mergeCell ref="BA4:BE4"/>
    <mergeCell ref="AT8:AU8"/>
    <mergeCell ref="W7:Y7"/>
    <mergeCell ref="AQ7:AS7"/>
    <mergeCell ref="W8:Y8"/>
    <mergeCell ref="AQ8:AS8"/>
  </mergeCells>
  <conditionalFormatting sqref="O22:O42">
    <cfRule type="cellIs" dxfId="68" priority="16" operator="equal">
      <formula>"Pass"</formula>
    </cfRule>
    <cfRule type="cellIs" dxfId="67" priority="17" operator="equal">
      <formula>"&lt;-3s"</formula>
    </cfRule>
    <cfRule type="cellIs" dxfId="66" priority="18" operator="equal">
      <formula>"&gt;+3s"</formula>
    </cfRule>
  </conditionalFormatting>
  <conditionalFormatting sqref="P23:P42">
    <cfRule type="cellIs" dxfId="65" priority="8" operator="equal">
      <formula>"Pass"</formula>
    </cfRule>
    <cfRule type="cellIs" dxfId="64" priority="13" operator="equal">
      <formula>""</formula>
    </cfRule>
    <cfRule type="cellIs" dxfId="63" priority="14" operator="equal">
      <formula>"Fail &gt; +2s"</formula>
    </cfRule>
    <cfRule type="cellIs" dxfId="62" priority="15" operator="equal">
      <formula>"Fail &lt; -2s"</formula>
    </cfRule>
  </conditionalFormatting>
  <conditionalFormatting sqref="Q29:Q42">
    <cfRule type="cellIs" dxfId="61" priority="4" operator="equal">
      <formula>""</formula>
    </cfRule>
    <cfRule type="cellIs" dxfId="60" priority="5" operator="equal">
      <formula>"Pass"</formula>
    </cfRule>
    <cfRule type="cellIs" dxfId="59" priority="6" operator="equal">
      <formula>"Fail -ve bias"</formula>
    </cfRule>
    <cfRule type="cellIs" dxfId="58" priority="7" operator="equal">
      <formula>"Fail +ve bias"</formula>
    </cfRule>
  </conditionalFormatting>
  <conditionalFormatting sqref="R27:R42">
    <cfRule type="cellIs" dxfId="57" priority="9" operator="equal">
      <formula>""</formula>
    </cfRule>
    <cfRule type="cellIs" dxfId="56" priority="10" operator="equal">
      <formula>"Fail -ve trend"</formula>
    </cfRule>
    <cfRule type="cellIs" dxfId="55" priority="11" operator="equal">
      <formula>"Fail +ve trend"</formula>
    </cfRule>
    <cfRule type="cellIs" dxfId="54" priority="12" operator="equal">
      <formula>"Pass"</formula>
    </cfRule>
  </conditionalFormatting>
  <conditionalFormatting sqref="S22:U42">
    <cfRule type="cellIs" dxfId="53" priority="19" operator="equal">
      <formula>NA()</formula>
    </cfRule>
    <cfRule type="cellIs" dxfId="52" priority="20" operator="equal">
      <formula>"Yes"</formula>
    </cfRule>
    <cfRule type="cellIs" dxfId="51" priority="21" operator="equal">
      <formula>"No"</formula>
    </cfRule>
  </conditionalFormatting>
  <conditionalFormatting sqref="AO22:AO42">
    <cfRule type="cellIs" dxfId="50" priority="1" operator="equal">
      <formula>NA()</formula>
    </cfRule>
    <cfRule type="cellIs" dxfId="49" priority="2" operator="equal">
      <formula>"Yes"</formula>
    </cfRule>
    <cfRule type="cellIs" dxfId="48" priority="3" operator="equal">
      <formula>"No"</formula>
    </cfRule>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C3E02"/>
  </sheetPr>
  <dimension ref="B1:BH46"/>
  <sheetViews>
    <sheetView topLeftCell="Z1" zoomScale="90" zoomScaleNormal="90" workbookViewId="0">
      <selection activeCell="B36" sqref="B1:G36"/>
    </sheetView>
  </sheetViews>
  <sheetFormatPr defaultRowHeight="14.4" x14ac:dyDescent="0.3"/>
  <cols>
    <col min="2" max="2" width="5.77734375" bestFit="1" customWidth="1"/>
    <col min="3" max="9" width="13.77734375" customWidth="1"/>
    <col min="14" max="14" width="11.21875" bestFit="1" customWidth="1"/>
    <col min="15" max="15" width="15.77734375" style="174" customWidth="1"/>
    <col min="16" max="18" width="15.77734375" customWidth="1"/>
    <col min="19" max="20" width="13.77734375" customWidth="1"/>
    <col min="22" max="22" width="13.77734375" customWidth="1"/>
    <col min="27" max="28" width="10.77734375" bestFit="1" customWidth="1"/>
    <col min="37" max="38" width="10.77734375" bestFit="1" customWidth="1"/>
    <col min="47" max="48" width="10.77734375" bestFit="1" customWidth="1"/>
    <col min="57" max="58" width="10.77734375" bestFit="1" customWidth="1"/>
  </cols>
  <sheetData>
    <row r="1" spans="22:60" ht="15" thickBot="1" x14ac:dyDescent="0.35"/>
    <row r="2" spans="22:60" ht="21" x14ac:dyDescent="0.4">
      <c r="V2" s="376"/>
      <c r="W2" s="739" t="s">
        <v>288</v>
      </c>
      <c r="X2" s="739"/>
      <c r="Y2" s="739"/>
      <c r="Z2" s="739"/>
      <c r="AA2" s="739"/>
      <c r="AB2" s="739"/>
      <c r="AC2" s="739"/>
      <c r="AD2" s="739"/>
      <c r="AE2" s="739"/>
      <c r="AF2" s="739"/>
      <c r="AG2" s="739"/>
      <c r="AH2" s="739"/>
      <c r="AI2" s="739"/>
      <c r="AJ2" s="739"/>
      <c r="AK2" s="739"/>
      <c r="AL2" s="739"/>
      <c r="AM2" s="739"/>
      <c r="AN2" s="377"/>
      <c r="AP2" s="376"/>
      <c r="AQ2" s="739" t="s">
        <v>289</v>
      </c>
      <c r="AR2" s="739"/>
      <c r="AS2" s="739"/>
      <c r="AT2" s="739"/>
      <c r="AU2" s="739"/>
      <c r="AV2" s="739"/>
      <c r="AW2" s="739"/>
      <c r="AX2" s="739"/>
      <c r="AY2" s="739"/>
      <c r="AZ2" s="739"/>
      <c r="BA2" s="739"/>
      <c r="BB2" s="739"/>
      <c r="BC2" s="739"/>
      <c r="BD2" s="739"/>
      <c r="BE2" s="739"/>
      <c r="BF2" s="739"/>
      <c r="BG2" s="739"/>
      <c r="BH2" s="377"/>
    </row>
    <row r="3" spans="22:60" ht="15" thickBot="1" x14ac:dyDescent="0.35">
      <c r="V3" s="211"/>
      <c r="AN3" s="92"/>
      <c r="AP3" s="211"/>
      <c r="BH3" s="92"/>
    </row>
    <row r="4" spans="22:60" ht="21" x14ac:dyDescent="0.4">
      <c r="V4" s="211"/>
      <c r="W4" s="334"/>
      <c r="X4" s="737" t="s">
        <v>262</v>
      </c>
      <c r="Y4" s="737"/>
      <c r="Z4" s="737"/>
      <c r="AA4" s="737"/>
      <c r="AB4" s="737"/>
      <c r="AC4" s="737"/>
      <c r="AD4" s="737"/>
      <c r="AE4" s="335"/>
      <c r="AF4" s="337"/>
      <c r="AG4" s="334"/>
      <c r="AH4" s="737" t="s">
        <v>263</v>
      </c>
      <c r="AI4" s="737"/>
      <c r="AJ4" s="737"/>
      <c r="AK4" s="737"/>
      <c r="AL4" s="737"/>
      <c r="AM4" s="335"/>
      <c r="AN4" s="92"/>
      <c r="AP4" s="211"/>
      <c r="AQ4" s="334"/>
      <c r="AR4" s="737" t="s">
        <v>262</v>
      </c>
      <c r="AS4" s="737"/>
      <c r="AT4" s="737"/>
      <c r="AU4" s="737"/>
      <c r="AV4" s="737"/>
      <c r="AW4" s="737"/>
      <c r="AX4" s="737"/>
      <c r="AY4" s="335"/>
      <c r="AZ4" s="337"/>
      <c r="BA4" s="334"/>
      <c r="BB4" s="737" t="s">
        <v>263</v>
      </c>
      <c r="BC4" s="737"/>
      <c r="BD4" s="737"/>
      <c r="BE4" s="737"/>
      <c r="BF4" s="737"/>
      <c r="BG4" s="335"/>
      <c r="BH4" s="92"/>
    </row>
    <row r="5" spans="22:60" x14ac:dyDescent="0.3">
      <c r="V5" s="211"/>
      <c r="W5" s="336"/>
      <c r="X5" s="337"/>
      <c r="Y5" s="337"/>
      <c r="Z5" s="337"/>
      <c r="AA5" s="337"/>
      <c r="AB5" s="337"/>
      <c r="AC5" s="337"/>
      <c r="AD5" s="337"/>
      <c r="AE5" s="338"/>
      <c r="AF5" s="337"/>
      <c r="AG5" s="336"/>
      <c r="AH5" s="337"/>
      <c r="AI5" s="337"/>
      <c r="AJ5" s="337"/>
      <c r="AK5" s="337"/>
      <c r="AL5" s="337"/>
      <c r="AM5" s="338"/>
      <c r="AN5" s="92"/>
      <c r="AP5" s="211"/>
      <c r="AQ5" s="336"/>
      <c r="AR5" s="337"/>
      <c r="AS5" s="337"/>
      <c r="AT5" s="337"/>
      <c r="AU5" s="337"/>
      <c r="AV5" s="337"/>
      <c r="AW5" s="337"/>
      <c r="AX5" s="337"/>
      <c r="AY5" s="338"/>
      <c r="AZ5" s="337"/>
      <c r="BA5" s="336"/>
      <c r="BB5" s="337"/>
      <c r="BC5" s="337"/>
      <c r="BD5" s="337"/>
      <c r="BE5" s="337"/>
      <c r="BF5" s="337"/>
      <c r="BG5" s="338"/>
      <c r="BH5" s="92"/>
    </row>
    <row r="6" spans="22:60" x14ac:dyDescent="0.3">
      <c r="V6" s="211"/>
      <c r="W6" s="336"/>
      <c r="X6" s="337"/>
      <c r="Y6" s="337"/>
      <c r="Z6" s="337"/>
      <c r="AA6" s="337"/>
      <c r="AB6" s="337"/>
      <c r="AC6" s="337"/>
      <c r="AD6" s="337"/>
      <c r="AE6" s="338"/>
      <c r="AF6" s="337"/>
      <c r="AG6" s="336"/>
      <c r="AH6" s="337"/>
      <c r="AI6" s="337"/>
      <c r="AJ6" s="337"/>
      <c r="AK6" s="337"/>
      <c r="AL6" s="337"/>
      <c r="AM6" s="338"/>
      <c r="AN6" s="92"/>
      <c r="AP6" s="211"/>
      <c r="AQ6" s="336"/>
      <c r="AR6" s="337"/>
      <c r="AS6" s="337"/>
      <c r="AT6" s="337"/>
      <c r="AU6" s="337"/>
      <c r="AV6" s="337"/>
      <c r="AW6" s="337"/>
      <c r="AX6" s="337"/>
      <c r="AY6" s="338"/>
      <c r="AZ6" s="337"/>
      <c r="BA6" s="336"/>
      <c r="BB6" s="337"/>
      <c r="BC6" s="337"/>
      <c r="BD6" s="337"/>
      <c r="BE6" s="337"/>
      <c r="BF6" s="337"/>
      <c r="BG6" s="338"/>
      <c r="BH6" s="92"/>
    </row>
    <row r="7" spans="22:60" ht="15.6" x14ac:dyDescent="0.3">
      <c r="V7" s="211"/>
      <c r="W7" s="336"/>
      <c r="X7" s="738" t="s">
        <v>55</v>
      </c>
      <c r="Y7" s="738"/>
      <c r="Z7" s="738"/>
      <c r="AA7" s="354" t="s">
        <v>195</v>
      </c>
      <c r="AB7" s="337"/>
      <c r="AC7" s="337"/>
      <c r="AD7" s="337"/>
      <c r="AE7" s="338"/>
      <c r="AF7" s="337"/>
      <c r="AG7" s="336"/>
      <c r="AH7" s="337"/>
      <c r="AI7" s="337"/>
      <c r="AJ7" s="337"/>
      <c r="AK7" s="337"/>
      <c r="AL7" s="337"/>
      <c r="AM7" s="338"/>
      <c r="AN7" s="92"/>
      <c r="AP7" s="211"/>
      <c r="AQ7" s="336"/>
      <c r="AR7" s="738" t="s">
        <v>55</v>
      </c>
      <c r="AS7" s="738"/>
      <c r="AT7" s="738"/>
      <c r="AU7" s="354" t="s">
        <v>195</v>
      </c>
      <c r="AV7" s="337"/>
      <c r="AW7" s="337"/>
      <c r="AX7" s="337"/>
      <c r="AY7" s="338"/>
      <c r="AZ7" s="337"/>
      <c r="BA7" s="336"/>
      <c r="BB7" s="337"/>
      <c r="BC7" s="337"/>
      <c r="BD7" s="337"/>
      <c r="BE7" s="337"/>
      <c r="BF7" s="337"/>
      <c r="BG7" s="338"/>
      <c r="BH7" s="92"/>
    </row>
    <row r="8" spans="22:60" ht="15.6" x14ac:dyDescent="0.3">
      <c r="V8" s="211"/>
      <c r="W8" s="336"/>
      <c r="X8" s="738" t="s">
        <v>225</v>
      </c>
      <c r="Y8" s="738"/>
      <c r="Z8" s="738"/>
      <c r="AA8" s="740" t="s">
        <v>288</v>
      </c>
      <c r="AB8" s="740"/>
      <c r="AC8" s="740"/>
      <c r="AD8" s="337"/>
      <c r="AE8" s="338"/>
      <c r="AF8" s="337"/>
      <c r="AG8" s="336"/>
      <c r="AH8" s="337"/>
      <c r="AI8" s="337"/>
      <c r="AJ8" s="337"/>
      <c r="AK8" s="337"/>
      <c r="AL8" s="337"/>
      <c r="AM8" s="338"/>
      <c r="AN8" s="92"/>
      <c r="AP8" s="211"/>
      <c r="AQ8" s="336"/>
      <c r="AR8" s="738" t="s">
        <v>225</v>
      </c>
      <c r="AS8" s="738"/>
      <c r="AT8" s="738"/>
      <c r="AU8" s="740" t="s">
        <v>289</v>
      </c>
      <c r="AV8" s="740"/>
      <c r="AW8" s="740"/>
      <c r="AX8" s="337"/>
      <c r="AY8" s="338"/>
      <c r="AZ8" s="337"/>
      <c r="BA8" s="336"/>
      <c r="BB8" s="337"/>
      <c r="BC8" s="337"/>
      <c r="BD8" s="337"/>
      <c r="BE8" s="337"/>
      <c r="BF8" s="337"/>
      <c r="BG8" s="338"/>
      <c r="BH8" s="92"/>
    </row>
    <row r="9" spans="22:60" ht="15.6" x14ac:dyDescent="0.3">
      <c r="V9" s="211"/>
      <c r="W9" s="336"/>
      <c r="X9" s="339"/>
      <c r="Y9" s="337"/>
      <c r="Z9" s="337"/>
      <c r="AA9" s="337"/>
      <c r="AB9" s="337"/>
      <c r="AC9" s="337"/>
      <c r="AD9" s="337"/>
      <c r="AE9" s="338"/>
      <c r="AF9" s="337"/>
      <c r="AG9" s="336"/>
      <c r="AH9" s="337"/>
      <c r="AI9" s="337"/>
      <c r="AJ9" s="337"/>
      <c r="AK9" s="337"/>
      <c r="AL9" s="337"/>
      <c r="AM9" s="338"/>
      <c r="AN9" s="92"/>
      <c r="AP9" s="211"/>
      <c r="AQ9" s="336"/>
      <c r="AR9" s="339"/>
      <c r="AS9" s="337"/>
      <c r="AT9" s="337"/>
      <c r="AU9" s="337"/>
      <c r="AV9" s="337"/>
      <c r="AW9" s="337"/>
      <c r="AX9" s="337"/>
      <c r="AY9" s="338"/>
      <c r="AZ9" s="337"/>
      <c r="BA9" s="336"/>
      <c r="BB9" s="337"/>
      <c r="BC9" s="337"/>
      <c r="BD9" s="337"/>
      <c r="BE9" s="337"/>
      <c r="BF9" s="337"/>
      <c r="BG9" s="338"/>
      <c r="BH9" s="92"/>
    </row>
    <row r="10" spans="22:60" x14ac:dyDescent="0.3">
      <c r="V10" s="211"/>
      <c r="W10" s="336"/>
      <c r="X10" s="374" t="s">
        <v>198</v>
      </c>
      <c r="Y10" s="374" t="s">
        <v>0</v>
      </c>
      <c r="Z10" s="374" t="s">
        <v>192</v>
      </c>
      <c r="AA10" s="374" t="s">
        <v>193</v>
      </c>
      <c r="AB10" s="374" t="s">
        <v>194</v>
      </c>
      <c r="AC10" s="374" t="s">
        <v>226</v>
      </c>
      <c r="AD10" s="374" t="s">
        <v>7</v>
      </c>
      <c r="AE10" s="338"/>
      <c r="AF10" s="337"/>
      <c r="AG10" s="336"/>
      <c r="AH10" s="374" t="s">
        <v>198</v>
      </c>
      <c r="AI10" s="374" t="s">
        <v>0</v>
      </c>
      <c r="AJ10" s="374" t="s">
        <v>192</v>
      </c>
      <c r="AK10" s="374" t="s">
        <v>193</v>
      </c>
      <c r="AL10" s="374" t="s">
        <v>194</v>
      </c>
      <c r="AM10" s="338"/>
      <c r="AN10" s="92"/>
      <c r="AP10" s="211"/>
      <c r="AQ10" s="336"/>
      <c r="AR10" s="374" t="s">
        <v>198</v>
      </c>
      <c r="AS10" s="374" t="s">
        <v>0</v>
      </c>
      <c r="AT10" s="374" t="s">
        <v>192</v>
      </c>
      <c r="AU10" s="374" t="s">
        <v>193</v>
      </c>
      <c r="AV10" s="374" t="s">
        <v>194</v>
      </c>
      <c r="AW10" s="374" t="s">
        <v>226</v>
      </c>
      <c r="AX10" s="374" t="s">
        <v>7</v>
      </c>
      <c r="AY10" s="338"/>
      <c r="AZ10" s="337"/>
      <c r="BA10" s="336"/>
      <c r="BB10" s="374" t="s">
        <v>198</v>
      </c>
      <c r="BC10" s="374" t="s">
        <v>0</v>
      </c>
      <c r="BD10" s="374" t="s">
        <v>192</v>
      </c>
      <c r="BE10" s="374" t="s">
        <v>193</v>
      </c>
      <c r="BF10" s="374" t="s">
        <v>194</v>
      </c>
      <c r="BG10" s="338"/>
      <c r="BH10" s="92"/>
    </row>
    <row r="11" spans="22:60" x14ac:dyDescent="0.3">
      <c r="V11" s="211"/>
      <c r="W11" s="336"/>
      <c r="X11" s="375">
        <v>1</v>
      </c>
      <c r="Y11" s="375"/>
      <c r="Z11" s="350"/>
      <c r="AA11" s="351">
        <v>27</v>
      </c>
      <c r="AB11" s="351">
        <v>26.99</v>
      </c>
      <c r="AC11" s="351">
        <f>IF(AND(AA11&gt;0,AB11&gt;0),AVERAGE(AA11:AB11),"")</f>
        <v>26.994999999999997</v>
      </c>
      <c r="AD11" s="351">
        <f>IF(AND(AA11&gt;0,AB11&gt;0),ABS(AA11-AB11),"")</f>
        <v>1.0000000000001563E-2</v>
      </c>
      <c r="AE11" s="338"/>
      <c r="AF11" s="337"/>
      <c r="AG11" s="336"/>
      <c r="AH11" s="375">
        <v>1</v>
      </c>
      <c r="AI11" s="375"/>
      <c r="AJ11" s="350"/>
      <c r="AK11" s="351">
        <f>AA11</f>
        <v>27</v>
      </c>
      <c r="AL11" s="351">
        <f t="shared" ref="AL11:AL17" si="0">AB11</f>
        <v>26.99</v>
      </c>
      <c r="AM11" s="338"/>
      <c r="AN11" s="92"/>
      <c r="AP11" s="211"/>
      <c r="AQ11" s="336"/>
      <c r="AR11" s="375">
        <v>1</v>
      </c>
      <c r="AS11" s="375"/>
      <c r="AT11" s="350"/>
      <c r="AU11" s="351">
        <v>27</v>
      </c>
      <c r="AV11" s="351">
        <v>27.1</v>
      </c>
      <c r="AW11" s="351">
        <f>IF(AND(AU11&gt;0,AV11&gt;0),AVERAGE(AU11:AV11),"")</f>
        <v>27.05</v>
      </c>
      <c r="AX11" s="351">
        <f>IF(AND(AU11&gt;0,AV11&gt;0),ABS(AU11-AV11),"")</f>
        <v>0.10000000000000142</v>
      </c>
      <c r="AY11" s="338"/>
      <c r="AZ11" s="337"/>
      <c r="BA11" s="336"/>
      <c r="BB11" s="375">
        <v>1</v>
      </c>
      <c r="BC11" s="375"/>
      <c r="BD11" s="350"/>
      <c r="BE11" s="351">
        <f>AU11</f>
        <v>27</v>
      </c>
      <c r="BF11" s="351">
        <f t="shared" ref="BF11:BF17" si="1">AV11</f>
        <v>27.1</v>
      </c>
      <c r="BG11" s="338"/>
      <c r="BH11" s="92"/>
    </row>
    <row r="12" spans="22:60" x14ac:dyDescent="0.3">
      <c r="V12" s="211"/>
      <c r="W12" s="336"/>
      <c r="X12" s="375">
        <v>2</v>
      </c>
      <c r="Y12" s="375"/>
      <c r="Z12" s="350"/>
      <c r="AA12" s="351">
        <v>27.15</v>
      </c>
      <c r="AB12" s="351">
        <v>27.05</v>
      </c>
      <c r="AC12" s="351">
        <f t="shared" ref="AC12:AC17" si="2">IF(AND(AA12&gt;0,AB12&gt;0),AVERAGE(AA12:AB12),"")</f>
        <v>27.1</v>
      </c>
      <c r="AD12" s="351">
        <f t="shared" ref="AD12:AD17" si="3">IF(AND(AA12&gt;0,AB12&gt;0),ABS(AA12-AB12),"")</f>
        <v>9.9999999999997868E-2</v>
      </c>
      <c r="AE12" s="338"/>
      <c r="AF12" s="337"/>
      <c r="AG12" s="336"/>
      <c r="AH12" s="375">
        <v>2</v>
      </c>
      <c r="AI12" s="375"/>
      <c r="AJ12" s="350"/>
      <c r="AK12" s="351">
        <f t="shared" ref="AK12:AK17" si="4">AA12</f>
        <v>27.15</v>
      </c>
      <c r="AL12" s="351">
        <f t="shared" si="0"/>
        <v>27.05</v>
      </c>
      <c r="AM12" s="338"/>
      <c r="AN12" s="92"/>
      <c r="AP12" s="211"/>
      <c r="AQ12" s="336"/>
      <c r="AR12" s="375">
        <v>2</v>
      </c>
      <c r="AS12" s="375"/>
      <c r="AT12" s="350"/>
      <c r="AU12" s="351">
        <v>26.9</v>
      </c>
      <c r="AV12" s="351">
        <v>26.88</v>
      </c>
      <c r="AW12" s="351">
        <f t="shared" ref="AW12:AW17" si="5">IF(AND(AU12&gt;0,AV12&gt;0),AVERAGE(AU12:AV12),"")</f>
        <v>26.89</v>
      </c>
      <c r="AX12" s="351">
        <f t="shared" ref="AX12:AX17" si="6">IF(AND(AU12&gt;0,AV12&gt;0),ABS(AU12-AV12),"")</f>
        <v>1.9999999999999574E-2</v>
      </c>
      <c r="AY12" s="338"/>
      <c r="AZ12" s="337"/>
      <c r="BA12" s="336"/>
      <c r="BB12" s="375">
        <v>2</v>
      </c>
      <c r="BC12" s="375"/>
      <c r="BD12" s="350"/>
      <c r="BE12" s="351">
        <f t="shared" ref="BE12:BE17" si="7">AU12</f>
        <v>26.9</v>
      </c>
      <c r="BF12" s="351">
        <f t="shared" si="1"/>
        <v>26.88</v>
      </c>
      <c r="BG12" s="338"/>
      <c r="BH12" s="92"/>
    </row>
    <row r="13" spans="22:60" x14ac:dyDescent="0.3">
      <c r="V13" s="211"/>
      <c r="W13" s="336"/>
      <c r="X13" s="375">
        <v>3</v>
      </c>
      <c r="Y13" s="375"/>
      <c r="Z13" s="350"/>
      <c r="AA13" s="351">
        <v>27.02</v>
      </c>
      <c r="AB13" s="351">
        <v>27</v>
      </c>
      <c r="AC13" s="351">
        <f t="shared" si="2"/>
        <v>27.009999999999998</v>
      </c>
      <c r="AD13" s="351">
        <f t="shared" si="3"/>
        <v>1.9999999999999574E-2</v>
      </c>
      <c r="AE13" s="338"/>
      <c r="AF13" s="337"/>
      <c r="AG13" s="336"/>
      <c r="AH13" s="375">
        <v>3</v>
      </c>
      <c r="AI13" s="375"/>
      <c r="AJ13" s="350"/>
      <c r="AK13" s="351">
        <f t="shared" si="4"/>
        <v>27.02</v>
      </c>
      <c r="AL13" s="351">
        <f t="shared" si="0"/>
        <v>27</v>
      </c>
      <c r="AM13" s="338"/>
      <c r="AN13" s="92"/>
      <c r="AP13" s="211"/>
      <c r="AQ13" s="336"/>
      <c r="AR13" s="375">
        <v>3</v>
      </c>
      <c r="AS13" s="375"/>
      <c r="AT13" s="350"/>
      <c r="AU13" s="351">
        <v>26.95</v>
      </c>
      <c r="AV13" s="351">
        <v>26.93</v>
      </c>
      <c r="AW13" s="351">
        <f t="shared" si="5"/>
        <v>26.939999999999998</v>
      </c>
      <c r="AX13" s="351">
        <f t="shared" si="6"/>
        <v>1.9999999999999574E-2</v>
      </c>
      <c r="AY13" s="338"/>
      <c r="AZ13" s="337"/>
      <c r="BA13" s="336"/>
      <c r="BB13" s="375">
        <v>3</v>
      </c>
      <c r="BC13" s="375"/>
      <c r="BD13" s="350"/>
      <c r="BE13" s="351">
        <f t="shared" si="7"/>
        <v>26.95</v>
      </c>
      <c r="BF13" s="351">
        <f t="shared" si="1"/>
        <v>26.93</v>
      </c>
      <c r="BG13" s="338"/>
      <c r="BH13" s="92"/>
    </row>
    <row r="14" spans="22:60" x14ac:dyDescent="0.3">
      <c r="V14" s="211"/>
      <c r="W14" s="336"/>
      <c r="X14" s="375">
        <v>4</v>
      </c>
      <c r="Y14" s="375"/>
      <c r="Z14" s="350"/>
      <c r="AA14" s="351">
        <v>26.98</v>
      </c>
      <c r="AB14" s="351">
        <v>27</v>
      </c>
      <c r="AC14" s="351">
        <f t="shared" si="2"/>
        <v>26.990000000000002</v>
      </c>
      <c r="AD14" s="351">
        <f t="shared" si="3"/>
        <v>1.9999999999999574E-2</v>
      </c>
      <c r="AE14" s="338"/>
      <c r="AF14" s="337"/>
      <c r="AG14" s="336"/>
      <c r="AH14" s="375">
        <v>4</v>
      </c>
      <c r="AI14" s="375"/>
      <c r="AJ14" s="350"/>
      <c r="AK14" s="351">
        <f t="shared" si="4"/>
        <v>26.98</v>
      </c>
      <c r="AL14" s="351">
        <f t="shared" si="0"/>
        <v>27</v>
      </c>
      <c r="AM14" s="338"/>
      <c r="AN14" s="92"/>
      <c r="AP14" s="211"/>
      <c r="AQ14" s="336"/>
      <c r="AR14" s="375">
        <v>4</v>
      </c>
      <c r="AS14" s="375"/>
      <c r="AT14" s="350"/>
      <c r="AU14" s="351">
        <v>26.98</v>
      </c>
      <c r="AV14" s="351">
        <v>27</v>
      </c>
      <c r="AW14" s="351">
        <f t="shared" si="5"/>
        <v>26.990000000000002</v>
      </c>
      <c r="AX14" s="351">
        <f t="shared" si="6"/>
        <v>1.9999999999999574E-2</v>
      </c>
      <c r="AY14" s="338"/>
      <c r="AZ14" s="337"/>
      <c r="BA14" s="336"/>
      <c r="BB14" s="375">
        <v>4</v>
      </c>
      <c r="BC14" s="375"/>
      <c r="BD14" s="350"/>
      <c r="BE14" s="351">
        <f t="shared" si="7"/>
        <v>26.98</v>
      </c>
      <c r="BF14" s="351">
        <f t="shared" si="1"/>
        <v>27</v>
      </c>
      <c r="BG14" s="338"/>
      <c r="BH14" s="92"/>
    </row>
    <row r="15" spans="22:60" x14ac:dyDescent="0.3">
      <c r="V15" s="211"/>
      <c r="W15" s="336"/>
      <c r="X15" s="375">
        <v>5</v>
      </c>
      <c r="Y15" s="375"/>
      <c r="Z15" s="350"/>
      <c r="AA15" s="351">
        <v>26.95</v>
      </c>
      <c r="AB15" s="351">
        <v>26.93</v>
      </c>
      <c r="AC15" s="351">
        <f t="shared" si="2"/>
        <v>26.939999999999998</v>
      </c>
      <c r="AD15" s="351">
        <f t="shared" si="3"/>
        <v>1.9999999999999574E-2</v>
      </c>
      <c r="AE15" s="338"/>
      <c r="AF15" s="337"/>
      <c r="AG15" s="336"/>
      <c r="AH15" s="375">
        <v>5</v>
      </c>
      <c r="AI15" s="375"/>
      <c r="AJ15" s="350"/>
      <c r="AK15" s="351">
        <f t="shared" si="4"/>
        <v>26.95</v>
      </c>
      <c r="AL15" s="351">
        <f t="shared" si="0"/>
        <v>26.93</v>
      </c>
      <c r="AM15" s="338"/>
      <c r="AN15" s="92"/>
      <c r="AP15" s="211"/>
      <c r="AQ15" s="336"/>
      <c r="AR15" s="375">
        <v>5</v>
      </c>
      <c r="AS15" s="375"/>
      <c r="AT15" s="350"/>
      <c r="AU15" s="351">
        <v>27.03</v>
      </c>
      <c r="AV15" s="351">
        <v>27.01</v>
      </c>
      <c r="AW15" s="351">
        <f t="shared" si="5"/>
        <v>27.020000000000003</v>
      </c>
      <c r="AX15" s="351">
        <f t="shared" si="6"/>
        <v>1.9999999999999574E-2</v>
      </c>
      <c r="AY15" s="338"/>
      <c r="AZ15" s="337"/>
      <c r="BA15" s="336"/>
      <c r="BB15" s="375">
        <v>5</v>
      </c>
      <c r="BC15" s="375"/>
      <c r="BD15" s="350"/>
      <c r="BE15" s="351">
        <f t="shared" si="7"/>
        <v>27.03</v>
      </c>
      <c r="BF15" s="351">
        <f t="shared" si="1"/>
        <v>27.01</v>
      </c>
      <c r="BG15" s="338"/>
      <c r="BH15" s="92"/>
    </row>
    <row r="16" spans="22:60" x14ac:dyDescent="0.3">
      <c r="V16" s="211"/>
      <c r="W16" s="336"/>
      <c r="X16" s="375">
        <v>6</v>
      </c>
      <c r="Y16" s="375"/>
      <c r="Z16" s="350"/>
      <c r="AA16" s="351">
        <v>26.9</v>
      </c>
      <c r="AB16" s="351">
        <v>26.88</v>
      </c>
      <c r="AC16" s="351">
        <f t="shared" si="2"/>
        <v>26.89</v>
      </c>
      <c r="AD16" s="351">
        <f t="shared" si="3"/>
        <v>1.9999999999999574E-2</v>
      </c>
      <c r="AE16" s="338"/>
      <c r="AF16" s="337"/>
      <c r="AG16" s="336"/>
      <c r="AH16" s="375">
        <v>6</v>
      </c>
      <c r="AI16" s="375"/>
      <c r="AJ16" s="350"/>
      <c r="AK16" s="351">
        <f t="shared" si="4"/>
        <v>26.9</v>
      </c>
      <c r="AL16" s="351">
        <f t="shared" si="0"/>
        <v>26.88</v>
      </c>
      <c r="AM16" s="338"/>
      <c r="AN16" s="92"/>
      <c r="AP16" s="211"/>
      <c r="AQ16" s="336"/>
      <c r="AR16" s="375">
        <v>6</v>
      </c>
      <c r="AS16" s="375"/>
      <c r="AT16" s="350"/>
      <c r="AU16" s="351">
        <v>27.05</v>
      </c>
      <c r="AV16" s="351">
        <v>27.08</v>
      </c>
      <c r="AW16" s="351">
        <f t="shared" si="5"/>
        <v>27.064999999999998</v>
      </c>
      <c r="AX16" s="351">
        <f t="shared" si="6"/>
        <v>2.9999999999997584E-2</v>
      </c>
      <c r="AY16" s="338"/>
      <c r="AZ16" s="337"/>
      <c r="BA16" s="336"/>
      <c r="BB16" s="375">
        <v>6</v>
      </c>
      <c r="BC16" s="375"/>
      <c r="BD16" s="350"/>
      <c r="BE16" s="351">
        <f t="shared" si="7"/>
        <v>27.05</v>
      </c>
      <c r="BF16" s="351">
        <f t="shared" si="1"/>
        <v>27.08</v>
      </c>
      <c r="BG16" s="338"/>
      <c r="BH16" s="92"/>
    </row>
    <row r="17" spans="2:60" ht="15" thickBot="1" x14ac:dyDescent="0.35">
      <c r="V17" s="211"/>
      <c r="W17" s="336"/>
      <c r="X17" s="375">
        <v>7</v>
      </c>
      <c r="Y17" s="375"/>
      <c r="Z17" s="350"/>
      <c r="AA17" s="351">
        <v>26.9</v>
      </c>
      <c r="AB17" s="351">
        <v>26.84</v>
      </c>
      <c r="AC17" s="351">
        <f t="shared" si="2"/>
        <v>26.869999999999997</v>
      </c>
      <c r="AD17" s="351">
        <f t="shared" si="3"/>
        <v>5.9999999999998721E-2</v>
      </c>
      <c r="AE17" s="338"/>
      <c r="AF17" s="337"/>
      <c r="AG17" s="336"/>
      <c r="AH17" s="375">
        <v>7</v>
      </c>
      <c r="AI17" s="375"/>
      <c r="AJ17" s="350"/>
      <c r="AK17" s="351">
        <f t="shared" si="4"/>
        <v>26.9</v>
      </c>
      <c r="AL17" s="351">
        <f t="shared" si="0"/>
        <v>26.84</v>
      </c>
      <c r="AM17" s="338"/>
      <c r="AN17" s="92"/>
      <c r="AP17" s="211"/>
      <c r="AQ17" s="336"/>
      <c r="AR17" s="375">
        <v>7</v>
      </c>
      <c r="AS17" s="375"/>
      <c r="AT17" s="350"/>
      <c r="AU17" s="351">
        <v>27.12</v>
      </c>
      <c r="AV17" s="351">
        <v>27.18</v>
      </c>
      <c r="AW17" s="351">
        <f t="shared" si="5"/>
        <v>27.15</v>
      </c>
      <c r="AX17" s="351">
        <f t="shared" si="6"/>
        <v>5.9999999999998721E-2</v>
      </c>
      <c r="AY17" s="338"/>
      <c r="AZ17" s="337"/>
      <c r="BA17" s="336"/>
      <c r="BB17" s="375">
        <v>7</v>
      </c>
      <c r="BC17" s="375"/>
      <c r="BD17" s="350"/>
      <c r="BE17" s="351">
        <f t="shared" si="7"/>
        <v>27.12</v>
      </c>
      <c r="BF17" s="351">
        <f t="shared" si="1"/>
        <v>27.18</v>
      </c>
      <c r="BG17" s="338"/>
      <c r="BH17" s="92"/>
    </row>
    <row r="18" spans="2:60" ht="16.2" thickBot="1" x14ac:dyDescent="0.35">
      <c r="B18" s="733" t="s">
        <v>55</v>
      </c>
      <c r="C18" s="734"/>
      <c r="D18" s="734"/>
      <c r="E18" s="225" t="s">
        <v>195</v>
      </c>
      <c r="G18" s="175"/>
      <c r="V18" s="211"/>
      <c r="W18" s="336"/>
      <c r="X18" s="337"/>
      <c r="Y18" s="337"/>
      <c r="Z18" s="337"/>
      <c r="AA18" s="337"/>
      <c r="AB18" s="337"/>
      <c r="AC18" s="337"/>
      <c r="AD18" s="337"/>
      <c r="AE18" s="338"/>
      <c r="AF18" s="337"/>
      <c r="AG18" s="341"/>
      <c r="AH18" s="342"/>
      <c r="AI18" s="342"/>
      <c r="AJ18" s="342"/>
      <c r="AK18" s="342"/>
      <c r="AL18" s="342"/>
      <c r="AM18" s="343"/>
      <c r="AN18" s="92"/>
      <c r="AP18" s="211"/>
      <c r="AQ18" s="336"/>
      <c r="AR18" s="337"/>
      <c r="AS18" s="337"/>
      <c r="AT18" s="337"/>
      <c r="AU18" s="337"/>
      <c r="AV18" s="337"/>
      <c r="AW18" s="337"/>
      <c r="AX18" s="337"/>
      <c r="AY18" s="338"/>
      <c r="AZ18" s="337"/>
      <c r="BA18" s="341"/>
      <c r="BB18" s="342"/>
      <c r="BC18" s="342"/>
      <c r="BD18" s="342"/>
      <c r="BE18" s="342"/>
      <c r="BF18" s="342"/>
      <c r="BG18" s="343"/>
      <c r="BH18" s="92"/>
    </row>
    <row r="19" spans="2:60" ht="16.2" thickBot="1" x14ac:dyDescent="0.35">
      <c r="B19" s="735" t="s">
        <v>225</v>
      </c>
      <c r="C19" s="736"/>
      <c r="D19" s="736"/>
      <c r="E19" s="226" t="s">
        <v>196</v>
      </c>
      <c r="G19" s="175"/>
      <c r="V19" s="211"/>
      <c r="W19" s="336"/>
      <c r="X19" s="337"/>
      <c r="Y19" s="337"/>
      <c r="Z19" s="337"/>
      <c r="AA19" s="337"/>
      <c r="AB19" s="337"/>
      <c r="AC19" s="337"/>
      <c r="AD19" s="337"/>
      <c r="AE19" s="338"/>
      <c r="AF19" s="337"/>
      <c r="AN19" s="92"/>
      <c r="AP19" s="211"/>
      <c r="AQ19" s="336"/>
      <c r="AR19" s="337"/>
      <c r="AS19" s="337"/>
      <c r="AT19" s="337"/>
      <c r="AU19" s="337"/>
      <c r="AV19" s="337"/>
      <c r="AW19" s="337"/>
      <c r="AX19" s="337"/>
      <c r="AY19" s="338"/>
      <c r="AZ19" s="337"/>
      <c r="BH19" s="92"/>
    </row>
    <row r="20" spans="2:60" ht="16.2" thickBot="1" x14ac:dyDescent="0.35">
      <c r="B20" s="175"/>
      <c r="C20" s="175"/>
      <c r="D20" s="175"/>
      <c r="E20" s="175"/>
      <c r="G20" s="175"/>
      <c r="V20" s="211"/>
      <c r="W20" s="336"/>
      <c r="X20" s="337"/>
      <c r="Y20" s="337"/>
      <c r="Z20" s="337"/>
      <c r="AA20" s="337"/>
      <c r="AB20" s="337"/>
      <c r="AC20" s="337"/>
      <c r="AD20" s="337"/>
      <c r="AE20" s="338"/>
      <c r="AF20" s="337"/>
      <c r="AN20" s="92"/>
      <c r="AP20" s="211"/>
      <c r="AQ20" s="336"/>
      <c r="AR20" s="337"/>
      <c r="AS20" s="337"/>
      <c r="AT20" s="337"/>
      <c r="AU20" s="337"/>
      <c r="AV20" s="337"/>
      <c r="AW20" s="337"/>
      <c r="AX20" s="337"/>
      <c r="AY20" s="338"/>
      <c r="AZ20" s="337"/>
      <c r="BH20" s="92"/>
    </row>
    <row r="21" spans="2:60" ht="15" x14ac:dyDescent="0.3">
      <c r="B21" s="227" t="s">
        <v>198</v>
      </c>
      <c r="C21" s="228" t="s">
        <v>0</v>
      </c>
      <c r="D21" s="229" t="s">
        <v>192</v>
      </c>
      <c r="E21" s="229" t="s">
        <v>193</v>
      </c>
      <c r="F21" s="229" t="s">
        <v>194</v>
      </c>
      <c r="G21" s="229" t="s">
        <v>226</v>
      </c>
      <c r="H21" s="229" t="s">
        <v>7</v>
      </c>
      <c r="I21" s="233" t="s">
        <v>45</v>
      </c>
      <c r="J21" s="233" t="s">
        <v>46</v>
      </c>
      <c r="K21" s="234" t="s">
        <v>200</v>
      </c>
      <c r="L21" s="233" t="s">
        <v>47</v>
      </c>
      <c r="M21" s="233" t="s">
        <v>48</v>
      </c>
      <c r="N21" s="235" t="s">
        <v>19</v>
      </c>
      <c r="O21" s="236" t="s">
        <v>196</v>
      </c>
      <c r="P21" s="229" t="s">
        <v>197</v>
      </c>
      <c r="Q21" s="229" t="s">
        <v>201</v>
      </c>
      <c r="R21" s="229" t="s">
        <v>202</v>
      </c>
      <c r="S21" s="237" t="s">
        <v>199</v>
      </c>
      <c r="T21" s="176"/>
      <c r="V21" s="378"/>
      <c r="W21" s="340"/>
      <c r="X21" s="337"/>
      <c r="Y21" s="337"/>
      <c r="Z21" s="337"/>
      <c r="AA21" s="337"/>
      <c r="AB21" s="337"/>
      <c r="AC21" s="337"/>
      <c r="AD21" s="337"/>
      <c r="AE21" s="338"/>
      <c r="AF21" s="337"/>
      <c r="AN21" s="92"/>
      <c r="AP21" s="378"/>
      <c r="AQ21" s="340"/>
      <c r="AR21" s="337"/>
      <c r="AS21" s="337"/>
      <c r="AT21" s="337"/>
      <c r="AU21" s="337"/>
      <c r="AV21" s="337"/>
      <c r="AW21" s="337"/>
      <c r="AX21" s="337"/>
      <c r="AY21" s="338"/>
      <c r="AZ21" s="337"/>
      <c r="BH21" s="92"/>
    </row>
    <row r="22" spans="2:60" x14ac:dyDescent="0.3">
      <c r="B22" s="230">
        <v>1</v>
      </c>
      <c r="C22" s="328"/>
      <c r="D22" s="329"/>
      <c r="E22" s="330">
        <v>27</v>
      </c>
      <c r="F22" s="330">
        <v>26.99</v>
      </c>
      <c r="G22" s="231">
        <f t="shared" ref="G22:G42" si="8">IF(AND(E22="",F22=""),NA(),AVERAGE(E22:F22))</f>
        <v>26.994999999999997</v>
      </c>
      <c r="H22" s="232">
        <f>IF(AND(E22="",F22=""),NA(),ABS(E22-F22))</f>
        <v>1.0000000000001563E-2</v>
      </c>
      <c r="I22" s="232">
        <f>'[2]Plot Data'!$C$67</f>
        <v>26.787537881918869</v>
      </c>
      <c r="J22" s="232">
        <f>'[2]Plot Data'!$C$65</f>
        <v>26.863914143501468</v>
      </c>
      <c r="K22" s="238">
        <f>'[2]Plot Data'!$C$58</f>
        <v>27.016666666666666</v>
      </c>
      <c r="L22" s="238">
        <f>'[2]Plot Data'!$C$62</f>
        <v>27.169419189831864</v>
      </c>
      <c r="M22" s="238">
        <f>'[2]Plot Data'!$C$64</f>
        <v>27.245795451414462</v>
      </c>
      <c r="N22" s="239">
        <f>'[2]Plot Data'!$C$68</f>
        <v>0.12</v>
      </c>
      <c r="O22" s="177" t="str">
        <f t="shared" ref="O22:O42" si="9">IF(G22&gt;M22,"&gt;+3s",IF(G22&lt;I22,"&lt;-3s","Pass"))</f>
        <v>Pass</v>
      </c>
      <c r="P22" s="240"/>
      <c r="Q22" s="240"/>
      <c r="R22" s="240"/>
      <c r="S22" s="179" t="str">
        <f>IF(H22="","",IF(H22&gt;'[2]Plot Data'!$C$68,"No","Yes"))</f>
        <v>Yes</v>
      </c>
      <c r="T22" s="327"/>
      <c r="V22" s="379"/>
      <c r="W22" s="336"/>
      <c r="X22" s="337"/>
      <c r="Y22" s="337"/>
      <c r="Z22" s="337"/>
      <c r="AA22" s="337"/>
      <c r="AB22" s="337"/>
      <c r="AC22" s="337"/>
      <c r="AD22" s="337"/>
      <c r="AE22" s="338"/>
      <c r="AF22" s="337"/>
      <c r="AN22" s="92"/>
      <c r="AP22" s="379"/>
      <c r="AQ22" s="336"/>
      <c r="AR22" s="337"/>
      <c r="AS22" s="337"/>
      <c r="AT22" s="337"/>
      <c r="AU22" s="337"/>
      <c r="AV22" s="337"/>
      <c r="AW22" s="337"/>
      <c r="AX22" s="337"/>
      <c r="AY22" s="338"/>
      <c r="AZ22" s="337"/>
      <c r="BH22" s="92"/>
    </row>
    <row r="23" spans="2:60" x14ac:dyDescent="0.3">
      <c r="B23" s="230">
        <v>2</v>
      </c>
      <c r="C23" s="328"/>
      <c r="D23" s="329"/>
      <c r="E23" s="330">
        <v>27.25</v>
      </c>
      <c r="F23" s="330">
        <v>27.3</v>
      </c>
      <c r="G23" s="231">
        <f t="shared" si="8"/>
        <v>27.274999999999999</v>
      </c>
      <c r="H23" s="232">
        <f t="shared" ref="H23:H42" si="10">IF(AND(E23="",F23=""),NA(),ABS(E23-F23))</f>
        <v>5.0000000000000711E-2</v>
      </c>
      <c r="I23" s="232">
        <f>'[2]Plot Data'!$C$67</f>
        <v>26.787537881918869</v>
      </c>
      <c r="J23" s="232">
        <f>'[2]Plot Data'!$C$65</f>
        <v>26.863914143501468</v>
      </c>
      <c r="K23" s="238">
        <f>'[2]Plot Data'!$C$58</f>
        <v>27.016666666666666</v>
      </c>
      <c r="L23" s="238">
        <f>'[2]Plot Data'!$C$62</f>
        <v>27.169419189831864</v>
      </c>
      <c r="M23" s="238">
        <f>'[2]Plot Data'!$C$64</f>
        <v>27.245795451414462</v>
      </c>
      <c r="N23" s="239">
        <f>'[2]Plot Data'!$C$68</f>
        <v>0.12</v>
      </c>
      <c r="O23" s="177" t="str">
        <f t="shared" si="9"/>
        <v>&gt;+3s</v>
      </c>
      <c r="P23" s="180" t="str">
        <f>IF(AND(G23&gt;L23,G22&gt;L22),"Fail &gt; +2s",IF(AND(G23&lt;J23,G22&lt;J22),"Fail &lt; -2s","Pass"))</f>
        <v>Pass</v>
      </c>
      <c r="Q23" s="240"/>
      <c r="R23" s="240"/>
      <c r="S23" s="179" t="str">
        <f>IF(H23="","",IF(H23&gt;'[2]Plot Data'!$C$68,"No","Yes"))</f>
        <v>Yes</v>
      </c>
      <c r="T23" s="327"/>
      <c r="V23" s="379"/>
      <c r="W23" s="336"/>
      <c r="X23" s="337"/>
      <c r="Y23" s="337"/>
      <c r="Z23" s="337"/>
      <c r="AA23" s="337"/>
      <c r="AB23" s="337"/>
      <c r="AC23" s="337"/>
      <c r="AD23" s="337"/>
      <c r="AE23" s="338"/>
      <c r="AF23" s="337"/>
      <c r="AN23" s="92"/>
      <c r="AP23" s="379"/>
      <c r="AQ23" s="336"/>
      <c r="AR23" s="337"/>
      <c r="AS23" s="337"/>
      <c r="AT23" s="337"/>
      <c r="AU23" s="337"/>
      <c r="AV23" s="337"/>
      <c r="AW23" s="337"/>
      <c r="AX23" s="337"/>
      <c r="AY23" s="338"/>
      <c r="AZ23" s="337"/>
      <c r="BH23" s="92"/>
    </row>
    <row r="24" spans="2:60" x14ac:dyDescent="0.3">
      <c r="B24" s="230">
        <v>3</v>
      </c>
      <c r="C24" s="328"/>
      <c r="D24" s="329"/>
      <c r="E24" s="330">
        <v>27.11</v>
      </c>
      <c r="F24" s="330">
        <v>27.17</v>
      </c>
      <c r="G24" s="231">
        <f t="shared" si="8"/>
        <v>27.14</v>
      </c>
      <c r="H24" s="232">
        <f t="shared" si="10"/>
        <v>6.0000000000002274E-2</v>
      </c>
      <c r="I24" s="232">
        <f>'[2]Plot Data'!$C$67</f>
        <v>26.787537881918869</v>
      </c>
      <c r="J24" s="232">
        <f>'[2]Plot Data'!$C$65</f>
        <v>26.863914143501468</v>
      </c>
      <c r="K24" s="238">
        <f>'[2]Plot Data'!$C$58</f>
        <v>27.016666666666666</v>
      </c>
      <c r="L24" s="238">
        <f>'[2]Plot Data'!$C$62</f>
        <v>27.169419189831864</v>
      </c>
      <c r="M24" s="238">
        <f>'[2]Plot Data'!$C$64</f>
        <v>27.245795451414462</v>
      </c>
      <c r="N24" s="239">
        <f>'[2]Plot Data'!$C$68</f>
        <v>0.12</v>
      </c>
      <c r="O24" s="177" t="str">
        <f t="shared" si="9"/>
        <v>Pass</v>
      </c>
      <c r="P24" s="180" t="str">
        <f>IF(AND(G24&gt;L24,G23&gt;L23),"Fail &gt; +2s",IF(AND(G24&gt;L24,G22&gt;L22),"Fail &gt; +2s",IF(AND(G24&lt;J24,G23&lt;J23),"Fail &lt; -2s",IF(AND(G24&lt;J24,G22&lt;J22),"Fail &lt; -2s","Pass"))))</f>
        <v>Pass</v>
      </c>
      <c r="Q24" s="240"/>
      <c r="R24" s="240"/>
      <c r="S24" s="179" t="str">
        <f>IF(H24="","",IF(H24&gt;'[2]Plot Data'!$C$68,"No","Yes"))</f>
        <v>Yes</v>
      </c>
      <c r="T24" s="327"/>
      <c r="V24" s="379"/>
      <c r="W24" s="336"/>
      <c r="X24" s="337"/>
      <c r="Y24" s="337"/>
      <c r="Z24" s="337"/>
      <c r="AA24" s="337"/>
      <c r="AB24" s="337"/>
      <c r="AC24" s="337"/>
      <c r="AD24" s="337"/>
      <c r="AE24" s="338"/>
      <c r="AF24" s="337"/>
      <c r="AN24" s="92"/>
      <c r="AP24" s="379"/>
      <c r="AQ24" s="336"/>
      <c r="AR24" s="337"/>
      <c r="AS24" s="337"/>
      <c r="AT24" s="337"/>
      <c r="AU24" s="337"/>
      <c r="AV24" s="337"/>
      <c r="AW24" s="337"/>
      <c r="AX24" s="337"/>
      <c r="AY24" s="338"/>
      <c r="AZ24" s="337"/>
      <c r="BH24" s="92"/>
    </row>
    <row r="25" spans="2:60" x14ac:dyDescent="0.3">
      <c r="B25" s="230">
        <v>4</v>
      </c>
      <c r="C25" s="328"/>
      <c r="D25" s="329"/>
      <c r="E25" s="330">
        <v>27.05</v>
      </c>
      <c r="F25" s="330">
        <v>27.11</v>
      </c>
      <c r="G25" s="231">
        <f t="shared" si="8"/>
        <v>27.08</v>
      </c>
      <c r="H25" s="232">
        <f t="shared" si="10"/>
        <v>5.9999999999998721E-2</v>
      </c>
      <c r="I25" s="232">
        <f>'[2]Plot Data'!$C$67</f>
        <v>26.787537881918869</v>
      </c>
      <c r="J25" s="232">
        <f>'[2]Plot Data'!$C$65</f>
        <v>26.863914143501468</v>
      </c>
      <c r="K25" s="238">
        <f>'[2]Plot Data'!$C$58</f>
        <v>27.016666666666666</v>
      </c>
      <c r="L25" s="238">
        <f>'[2]Plot Data'!$C$62</f>
        <v>27.169419189831864</v>
      </c>
      <c r="M25" s="238">
        <f>'[2]Plot Data'!$C$64</f>
        <v>27.245795451414462</v>
      </c>
      <c r="N25" s="239">
        <f>'[2]Plot Data'!$C$68</f>
        <v>0.12</v>
      </c>
      <c r="O25" s="177" t="str">
        <f t="shared" si="9"/>
        <v>Pass</v>
      </c>
      <c r="P25" s="180" t="str">
        <f t="shared" ref="P25:P42" si="11">IF(AND(G25&gt;L25,G24&gt;L24),"Fail &gt; +2s",IF(AND(G25&gt;L25,G23&gt;L23),"Fail &gt; +2s",IF(AND(G25&lt;J25,G24&lt;J24),"Fail &lt; -2s",IF(AND(G25&lt;J25,G23&lt;J23),"Fail &lt; -2s","Pass"))))</f>
        <v>Pass</v>
      </c>
      <c r="Q25" s="240"/>
      <c r="R25" s="240"/>
      <c r="S25" s="179" t="str">
        <f>IF(H25="","",IF(H25&gt;'[2]Plot Data'!$C$68,"No","Yes"))</f>
        <v>Yes</v>
      </c>
      <c r="T25" s="327"/>
      <c r="V25" s="379"/>
      <c r="W25" s="336"/>
      <c r="X25" s="337"/>
      <c r="Y25" s="337"/>
      <c r="Z25" s="337"/>
      <c r="AA25" s="337"/>
      <c r="AB25" s="337"/>
      <c r="AC25" s="337"/>
      <c r="AD25" s="337"/>
      <c r="AE25" s="338"/>
      <c r="AF25" s="337"/>
      <c r="AN25" s="92"/>
      <c r="AP25" s="379"/>
      <c r="AQ25" s="336"/>
      <c r="AR25" s="337"/>
      <c r="AS25" s="337"/>
      <c r="AT25" s="337"/>
      <c r="AU25" s="337"/>
      <c r="AV25" s="337"/>
      <c r="AW25" s="337"/>
      <c r="AX25" s="337"/>
      <c r="AY25" s="338"/>
      <c r="AZ25" s="337"/>
      <c r="BH25" s="92"/>
    </row>
    <row r="26" spans="2:60" x14ac:dyDescent="0.3">
      <c r="B26" s="230">
        <v>5</v>
      </c>
      <c r="C26" s="328"/>
      <c r="D26" s="329"/>
      <c r="E26" s="330">
        <v>27.22</v>
      </c>
      <c r="F26" s="330">
        <v>27.15</v>
      </c>
      <c r="G26" s="231">
        <f t="shared" si="8"/>
        <v>27.184999999999999</v>
      </c>
      <c r="H26" s="232">
        <f t="shared" si="10"/>
        <v>7.0000000000000284E-2</v>
      </c>
      <c r="I26" s="232">
        <f>'[2]Plot Data'!$C$67</f>
        <v>26.787537881918869</v>
      </c>
      <c r="J26" s="232">
        <f>'[2]Plot Data'!$C$65</f>
        <v>26.863914143501468</v>
      </c>
      <c r="K26" s="238">
        <f>'[2]Plot Data'!$C$58</f>
        <v>27.016666666666666</v>
      </c>
      <c r="L26" s="238">
        <f>'[2]Plot Data'!$C$62</f>
        <v>27.169419189831864</v>
      </c>
      <c r="M26" s="238">
        <f>'[2]Plot Data'!$C$64</f>
        <v>27.245795451414462</v>
      </c>
      <c r="N26" s="239">
        <f>'[2]Plot Data'!$C$68</f>
        <v>0.12</v>
      </c>
      <c r="O26" s="177" t="str">
        <f t="shared" si="9"/>
        <v>Pass</v>
      </c>
      <c r="P26" s="180" t="str">
        <f t="shared" si="11"/>
        <v>Pass</v>
      </c>
      <c r="Q26" s="240"/>
      <c r="R26" s="240"/>
      <c r="S26" s="179" t="str">
        <f>IF(H26="","",IF(H26&gt;'[2]Plot Data'!$C$68,"No","Yes"))</f>
        <v>Yes</v>
      </c>
      <c r="T26" s="327"/>
      <c r="V26" s="379"/>
      <c r="W26" s="336"/>
      <c r="X26" s="337"/>
      <c r="Y26" s="337"/>
      <c r="Z26" s="337"/>
      <c r="AA26" s="337"/>
      <c r="AB26" s="337"/>
      <c r="AC26" s="337"/>
      <c r="AD26" s="337"/>
      <c r="AE26" s="338"/>
      <c r="AF26" s="337"/>
      <c r="AN26" s="92"/>
      <c r="AP26" s="379"/>
      <c r="AQ26" s="336"/>
      <c r="AR26" s="337"/>
      <c r="AS26" s="337"/>
      <c r="AT26" s="337"/>
      <c r="AU26" s="337"/>
      <c r="AV26" s="337"/>
      <c r="AW26" s="337"/>
      <c r="AX26" s="337"/>
      <c r="AY26" s="338"/>
      <c r="AZ26" s="337"/>
      <c r="BH26" s="92"/>
    </row>
    <row r="27" spans="2:60" x14ac:dyDescent="0.3">
      <c r="B27" s="230">
        <v>6</v>
      </c>
      <c r="C27" s="328"/>
      <c r="D27" s="329"/>
      <c r="E27" s="330">
        <v>27.12</v>
      </c>
      <c r="F27" s="330">
        <v>27.06</v>
      </c>
      <c r="G27" s="231">
        <f t="shared" si="8"/>
        <v>27.09</v>
      </c>
      <c r="H27" s="232">
        <f t="shared" si="10"/>
        <v>6.0000000000002274E-2</v>
      </c>
      <c r="I27" s="232">
        <f>'[2]Plot Data'!$C$67</f>
        <v>26.787537881918869</v>
      </c>
      <c r="J27" s="232">
        <f>'[2]Plot Data'!$C$65</f>
        <v>26.863914143501468</v>
      </c>
      <c r="K27" s="238">
        <f>'[2]Plot Data'!$C$58</f>
        <v>27.016666666666666</v>
      </c>
      <c r="L27" s="238">
        <f>'[2]Plot Data'!$C$62</f>
        <v>27.169419189831864</v>
      </c>
      <c r="M27" s="238">
        <f>'[2]Plot Data'!$C$64</f>
        <v>27.245795451414462</v>
      </c>
      <c r="N27" s="239">
        <f>'[2]Plot Data'!$C$68</f>
        <v>0.12</v>
      </c>
      <c r="O27" s="177" t="str">
        <f t="shared" si="9"/>
        <v>Pass</v>
      </c>
      <c r="P27" s="180" t="str">
        <f t="shared" si="11"/>
        <v>Pass</v>
      </c>
      <c r="Q27" s="240"/>
      <c r="R27" s="180" t="str">
        <f>IF(AND(G27&gt;G26,G26&gt;G25,G25&gt;G24,G23&gt;G22),"Fail +ve trend",IF(AND(G27&lt;G26,G26&lt;G25,G25&lt;G24,G23&lt;G22),"Fail -ve trend","Pass"))</f>
        <v>Pass</v>
      </c>
      <c r="S27" s="179" t="str">
        <f>IF(H27="","",IF(H27&gt;'[2]Plot Data'!$C$68,"No","Yes"))</f>
        <v>Yes</v>
      </c>
      <c r="T27" s="327"/>
      <c r="V27" s="379"/>
      <c r="W27" s="336"/>
      <c r="X27" s="337"/>
      <c r="Y27" s="337"/>
      <c r="Z27" s="337"/>
      <c r="AA27" s="337"/>
      <c r="AB27" s="337"/>
      <c r="AC27" s="337"/>
      <c r="AD27" s="337"/>
      <c r="AE27" s="338"/>
      <c r="AF27" s="337"/>
      <c r="AN27" s="92"/>
      <c r="AP27" s="379"/>
      <c r="AQ27" s="336"/>
      <c r="AR27" s="337"/>
      <c r="AS27" s="337"/>
      <c r="AT27" s="337"/>
      <c r="AU27" s="337"/>
      <c r="AV27" s="337"/>
      <c r="AW27" s="337"/>
      <c r="AX27" s="337"/>
      <c r="AY27" s="338"/>
      <c r="AZ27" s="337"/>
      <c r="BH27" s="92"/>
    </row>
    <row r="28" spans="2:60" x14ac:dyDescent="0.3">
      <c r="B28" s="230">
        <v>7</v>
      </c>
      <c r="C28" s="328"/>
      <c r="D28" s="329"/>
      <c r="E28" s="330">
        <v>26.99</v>
      </c>
      <c r="F28" s="330">
        <v>27.08</v>
      </c>
      <c r="G28" s="231">
        <f t="shared" si="8"/>
        <v>27.034999999999997</v>
      </c>
      <c r="H28" s="232">
        <f t="shared" si="10"/>
        <v>8.9999999999999858E-2</v>
      </c>
      <c r="I28" s="232">
        <f>'[2]Plot Data'!$C$67</f>
        <v>26.787537881918869</v>
      </c>
      <c r="J28" s="232">
        <f>'[2]Plot Data'!$C$65</f>
        <v>26.863914143501468</v>
      </c>
      <c r="K28" s="238">
        <f>'[2]Plot Data'!$C$58</f>
        <v>27.016666666666666</v>
      </c>
      <c r="L28" s="238">
        <f>'[2]Plot Data'!$C$62</f>
        <v>27.169419189831864</v>
      </c>
      <c r="M28" s="238">
        <f>'[2]Plot Data'!$C$64</f>
        <v>27.245795451414462</v>
      </c>
      <c r="N28" s="239">
        <f>'[2]Plot Data'!$C$68</f>
        <v>0.12</v>
      </c>
      <c r="O28" s="177" t="str">
        <f t="shared" si="9"/>
        <v>Pass</v>
      </c>
      <c r="P28" s="180" t="str">
        <f t="shared" si="11"/>
        <v>Pass</v>
      </c>
      <c r="Q28" s="240"/>
      <c r="R28" s="180" t="str">
        <f t="shared" ref="R28:R42" si="12">IF(AND(G28&gt;G27,G27&gt;G26,G26&gt;G25,G24&gt;G23),"Fail +ve trend",IF(AND(G28&lt;G27,G27&lt;G26,G26&lt;G25,G24&lt;G23),"Fail -ve trend","Pass"))</f>
        <v>Pass</v>
      </c>
      <c r="S28" s="179" t="str">
        <f>IF(H28="","",IF(H28&gt;'[2]Plot Data'!$C$68,"No","Yes"))</f>
        <v>Yes</v>
      </c>
      <c r="T28" s="327"/>
      <c r="V28" s="379"/>
      <c r="W28" s="336"/>
      <c r="X28" s="337"/>
      <c r="Y28" s="337"/>
      <c r="Z28" s="337"/>
      <c r="AA28" s="337"/>
      <c r="AB28" s="337"/>
      <c r="AC28" s="337"/>
      <c r="AD28" s="337"/>
      <c r="AE28" s="338"/>
      <c r="AF28" s="337"/>
      <c r="AN28" s="92"/>
      <c r="AP28" s="379"/>
      <c r="AQ28" s="336"/>
      <c r="AR28" s="337"/>
      <c r="AS28" s="337"/>
      <c r="AT28" s="337"/>
      <c r="AU28" s="337"/>
      <c r="AV28" s="337"/>
      <c r="AW28" s="337"/>
      <c r="AX28" s="337"/>
      <c r="AY28" s="338"/>
      <c r="AZ28" s="337"/>
      <c r="BH28" s="92"/>
    </row>
    <row r="29" spans="2:60" x14ac:dyDescent="0.3">
      <c r="B29" s="230">
        <v>8</v>
      </c>
      <c r="C29" s="328"/>
      <c r="D29" s="329"/>
      <c r="E29" s="330"/>
      <c r="F29" s="330"/>
      <c r="G29" s="231" t="e">
        <f t="shared" si="8"/>
        <v>#N/A</v>
      </c>
      <c r="H29" s="232" t="e">
        <f t="shared" si="10"/>
        <v>#N/A</v>
      </c>
      <c r="I29" s="232">
        <f>'[2]Plot Data'!$C$67</f>
        <v>26.787537881918869</v>
      </c>
      <c r="J29" s="232">
        <f>'[2]Plot Data'!$C$65</f>
        <v>26.863914143501468</v>
      </c>
      <c r="K29" s="238">
        <f>'[2]Plot Data'!$C$58</f>
        <v>27.016666666666666</v>
      </c>
      <c r="L29" s="238">
        <f>'[2]Plot Data'!$C$62</f>
        <v>27.169419189831864</v>
      </c>
      <c r="M29" s="238">
        <f>'[2]Plot Data'!$C$64</f>
        <v>27.245795451414462</v>
      </c>
      <c r="N29" s="239">
        <f>'[2]Plot Data'!$C$68</f>
        <v>0.12</v>
      </c>
      <c r="O29" s="177" t="e">
        <f t="shared" si="9"/>
        <v>#N/A</v>
      </c>
      <c r="P29" s="180" t="e">
        <f t="shared" si="11"/>
        <v>#N/A</v>
      </c>
      <c r="Q29" s="180" t="e">
        <f>IF(AND(G29&gt;K29,G28&gt;K29,G27&gt;K29,G26&gt;K29,G25&gt;K29,G24&gt;K29,G23&gt;K29,G22&gt;K29),"Fail +ve bias",IF(AND(G29&lt;K29,G28&lt;K29,G27&lt;K29,G26&lt;K29,G25&lt;K29,G24&lt;K29,G23&lt;K29,G22&lt;K29),"Fail -ve bias","Pass"))</f>
        <v>#N/A</v>
      </c>
      <c r="R29" s="180" t="e">
        <f t="shared" si="12"/>
        <v>#N/A</v>
      </c>
      <c r="S29" s="179" t="e">
        <f>IF(H29="","",IF(H29&gt;'[2]Plot Data'!$C$68,"No","Yes"))</f>
        <v>#N/A</v>
      </c>
      <c r="T29" s="327"/>
      <c r="V29" s="379"/>
      <c r="W29" s="336"/>
      <c r="X29" s="337"/>
      <c r="Y29" s="337"/>
      <c r="Z29" s="337"/>
      <c r="AA29" s="337"/>
      <c r="AB29" s="337"/>
      <c r="AC29" s="337"/>
      <c r="AD29" s="337"/>
      <c r="AE29" s="338"/>
      <c r="AF29" s="337"/>
      <c r="AN29" s="92"/>
      <c r="AP29" s="379"/>
      <c r="AQ29" s="336"/>
      <c r="AR29" s="337"/>
      <c r="AS29" s="337"/>
      <c r="AT29" s="337"/>
      <c r="AU29" s="337"/>
      <c r="AV29" s="337"/>
      <c r="AW29" s="337"/>
      <c r="AX29" s="337"/>
      <c r="AY29" s="338"/>
      <c r="AZ29" s="337"/>
      <c r="BH29" s="92"/>
    </row>
    <row r="30" spans="2:60" x14ac:dyDescent="0.3">
      <c r="B30" s="230">
        <v>9</v>
      </c>
      <c r="C30" s="328"/>
      <c r="D30" s="329"/>
      <c r="E30" s="330"/>
      <c r="F30" s="330"/>
      <c r="G30" s="231" t="e">
        <f t="shared" si="8"/>
        <v>#N/A</v>
      </c>
      <c r="H30" s="232" t="e">
        <f t="shared" si="10"/>
        <v>#N/A</v>
      </c>
      <c r="I30" s="232">
        <f>'[2]Plot Data'!$C$67</f>
        <v>26.787537881918869</v>
      </c>
      <c r="J30" s="232">
        <f>'[2]Plot Data'!$C$65</f>
        <v>26.863914143501468</v>
      </c>
      <c r="K30" s="238">
        <f>'[2]Plot Data'!$C$58</f>
        <v>27.016666666666666</v>
      </c>
      <c r="L30" s="238">
        <f>'[2]Plot Data'!$C$62</f>
        <v>27.169419189831864</v>
      </c>
      <c r="M30" s="238">
        <f>'[2]Plot Data'!$C$64</f>
        <v>27.245795451414462</v>
      </c>
      <c r="N30" s="239">
        <f>'[2]Plot Data'!$C$68</f>
        <v>0.12</v>
      </c>
      <c r="O30" s="177" t="e">
        <f t="shared" si="9"/>
        <v>#N/A</v>
      </c>
      <c r="P30" s="180" t="e">
        <f t="shared" si="11"/>
        <v>#N/A</v>
      </c>
      <c r="Q30" s="180" t="e">
        <f t="shared" ref="Q30:Q42" si="13">IF(AND(G30&gt;K30,G29&gt;K30,G28&gt;K30,G27&gt;K30,G26&gt;K30,G25&gt;K30,G24&gt;K30,G23&gt;K30),"Fail +ve bias",IF(AND(G30&lt;K30,G29&lt;K30,G28&lt;K30,G27&lt;K30,G26&lt;K30,G25&lt;K30,G24&lt;K30,G23&lt;K30),"Fail -ve bias","Pass"))</f>
        <v>#N/A</v>
      </c>
      <c r="R30" s="180" t="e">
        <f t="shared" si="12"/>
        <v>#N/A</v>
      </c>
      <c r="S30" s="179" t="e">
        <f>IF(H30="","",IF(H30&gt;'[2]Plot Data'!$C$68,"No","Yes"))</f>
        <v>#N/A</v>
      </c>
      <c r="T30" s="327"/>
      <c r="V30" s="379"/>
      <c r="W30" s="336"/>
      <c r="X30" s="337"/>
      <c r="Y30" s="337"/>
      <c r="Z30" s="337"/>
      <c r="AA30" s="337"/>
      <c r="AB30" s="337"/>
      <c r="AC30" s="337"/>
      <c r="AD30" s="337"/>
      <c r="AE30" s="338"/>
      <c r="AF30" s="337"/>
      <c r="AN30" s="92"/>
      <c r="AP30" s="379"/>
      <c r="AQ30" s="336"/>
      <c r="AR30" s="337"/>
      <c r="AS30" s="337"/>
      <c r="AT30" s="337"/>
      <c r="AU30" s="337"/>
      <c r="AV30" s="337"/>
      <c r="AW30" s="337"/>
      <c r="AX30" s="337"/>
      <c r="AY30" s="338"/>
      <c r="AZ30" s="337"/>
      <c r="BH30" s="92"/>
    </row>
    <row r="31" spans="2:60" x14ac:dyDescent="0.3">
      <c r="B31" s="230">
        <v>10</v>
      </c>
      <c r="C31" s="328"/>
      <c r="D31" s="329"/>
      <c r="E31" s="330"/>
      <c r="F31" s="330"/>
      <c r="G31" s="231" t="e">
        <f t="shared" si="8"/>
        <v>#N/A</v>
      </c>
      <c r="H31" s="232" t="e">
        <f t="shared" si="10"/>
        <v>#N/A</v>
      </c>
      <c r="I31" s="232">
        <f>'[2]Plot Data'!$C$67</f>
        <v>26.787537881918869</v>
      </c>
      <c r="J31" s="232">
        <f>'[2]Plot Data'!$C$65</f>
        <v>26.863914143501468</v>
      </c>
      <c r="K31" s="238">
        <f>'[2]Plot Data'!$C$58</f>
        <v>27.016666666666666</v>
      </c>
      <c r="L31" s="238">
        <f>'[2]Plot Data'!$C$62</f>
        <v>27.169419189831864</v>
      </c>
      <c r="M31" s="238">
        <f>'[2]Plot Data'!$C$64</f>
        <v>27.245795451414462</v>
      </c>
      <c r="N31" s="239">
        <f>'[2]Plot Data'!$C$68</f>
        <v>0.12</v>
      </c>
      <c r="O31" s="177" t="e">
        <f t="shared" si="9"/>
        <v>#N/A</v>
      </c>
      <c r="P31" s="180" t="e">
        <f t="shared" si="11"/>
        <v>#N/A</v>
      </c>
      <c r="Q31" s="180" t="e">
        <f t="shared" si="13"/>
        <v>#N/A</v>
      </c>
      <c r="R31" s="180" t="e">
        <f t="shared" si="12"/>
        <v>#N/A</v>
      </c>
      <c r="S31" s="179" t="e">
        <f>IF(H31="","",IF(H31&gt;'[2]Plot Data'!$C$68,"No","Yes"))</f>
        <v>#N/A</v>
      </c>
      <c r="T31" s="327"/>
      <c r="V31" s="379"/>
      <c r="W31" s="336"/>
      <c r="X31" s="337"/>
      <c r="Y31" s="337"/>
      <c r="Z31" s="337"/>
      <c r="AA31" s="337"/>
      <c r="AB31" s="337"/>
      <c r="AC31" s="337"/>
      <c r="AD31" s="337"/>
      <c r="AE31" s="338"/>
      <c r="AF31" s="337"/>
      <c r="AN31" s="92"/>
      <c r="AP31" s="379"/>
      <c r="AQ31" s="336"/>
      <c r="AR31" s="337"/>
      <c r="AS31" s="337"/>
      <c r="AT31" s="337"/>
      <c r="AU31" s="337"/>
      <c r="AV31" s="337"/>
      <c r="AW31" s="337"/>
      <c r="AX31" s="337"/>
      <c r="AY31" s="338"/>
      <c r="AZ31" s="337"/>
      <c r="BH31" s="92"/>
    </row>
    <row r="32" spans="2:60" x14ac:dyDescent="0.3">
      <c r="B32" s="230">
        <v>11</v>
      </c>
      <c r="C32" s="328"/>
      <c r="D32" s="329"/>
      <c r="E32" s="330"/>
      <c r="F32" s="330"/>
      <c r="G32" s="231" t="e">
        <f t="shared" si="8"/>
        <v>#N/A</v>
      </c>
      <c r="H32" s="232" t="e">
        <f t="shared" si="10"/>
        <v>#N/A</v>
      </c>
      <c r="I32" s="232">
        <f>'[2]Plot Data'!$C$67</f>
        <v>26.787537881918869</v>
      </c>
      <c r="J32" s="232">
        <f>'[2]Plot Data'!$C$65</f>
        <v>26.863914143501468</v>
      </c>
      <c r="K32" s="238">
        <f>'[2]Plot Data'!$C$58</f>
        <v>27.016666666666666</v>
      </c>
      <c r="L32" s="238">
        <f>'[2]Plot Data'!$C$62</f>
        <v>27.169419189831864</v>
      </c>
      <c r="M32" s="238">
        <f>'[2]Plot Data'!$C$64</f>
        <v>27.245795451414462</v>
      </c>
      <c r="N32" s="239">
        <f>'[2]Plot Data'!$C$68</f>
        <v>0.12</v>
      </c>
      <c r="O32" s="177" t="e">
        <f t="shared" si="9"/>
        <v>#N/A</v>
      </c>
      <c r="P32" s="180" t="e">
        <f t="shared" si="11"/>
        <v>#N/A</v>
      </c>
      <c r="Q32" s="180" t="e">
        <f t="shared" si="13"/>
        <v>#N/A</v>
      </c>
      <c r="R32" s="180" t="e">
        <f t="shared" si="12"/>
        <v>#N/A</v>
      </c>
      <c r="S32" s="179" t="e">
        <f>IF(H32="","",IF(H32&gt;'[2]Plot Data'!$C$68,"No","Yes"))</f>
        <v>#N/A</v>
      </c>
      <c r="T32" s="327"/>
      <c r="V32" s="379"/>
      <c r="W32" s="336"/>
      <c r="X32" s="337"/>
      <c r="Y32" s="337"/>
      <c r="Z32" s="337"/>
      <c r="AA32" s="337"/>
      <c r="AB32" s="337"/>
      <c r="AC32" s="337"/>
      <c r="AD32" s="337"/>
      <c r="AE32" s="338"/>
      <c r="AF32" s="337"/>
      <c r="AN32" s="92"/>
      <c r="AP32" s="379"/>
      <c r="AQ32" s="336"/>
      <c r="AR32" s="337"/>
      <c r="AS32" s="337"/>
      <c r="AT32" s="337"/>
      <c r="AU32" s="337"/>
      <c r="AV32" s="337"/>
      <c r="AW32" s="337"/>
      <c r="AX32" s="337"/>
      <c r="AY32" s="338"/>
      <c r="AZ32" s="337"/>
      <c r="BH32" s="92"/>
    </row>
    <row r="33" spans="2:60" x14ac:dyDescent="0.3">
      <c r="B33" s="230">
        <v>12</v>
      </c>
      <c r="C33" s="328"/>
      <c r="D33" s="329"/>
      <c r="E33" s="330"/>
      <c r="F33" s="330"/>
      <c r="G33" s="231" t="e">
        <f t="shared" si="8"/>
        <v>#N/A</v>
      </c>
      <c r="H33" s="232" t="e">
        <f t="shared" si="10"/>
        <v>#N/A</v>
      </c>
      <c r="I33" s="232">
        <f>'[2]Plot Data'!$C$67</f>
        <v>26.787537881918869</v>
      </c>
      <c r="J33" s="232">
        <f>'[2]Plot Data'!$C$65</f>
        <v>26.863914143501468</v>
      </c>
      <c r="K33" s="238">
        <f>'[2]Plot Data'!$C$58</f>
        <v>27.016666666666666</v>
      </c>
      <c r="L33" s="238">
        <f>'[2]Plot Data'!$C$62</f>
        <v>27.169419189831864</v>
      </c>
      <c r="M33" s="238">
        <f>'[2]Plot Data'!$C$64</f>
        <v>27.245795451414462</v>
      </c>
      <c r="N33" s="239">
        <f>'[2]Plot Data'!$C$68</f>
        <v>0.12</v>
      </c>
      <c r="O33" s="177" t="e">
        <f t="shared" si="9"/>
        <v>#N/A</v>
      </c>
      <c r="P33" s="180" t="e">
        <f t="shared" si="11"/>
        <v>#N/A</v>
      </c>
      <c r="Q33" s="180" t="e">
        <f t="shared" si="13"/>
        <v>#N/A</v>
      </c>
      <c r="R33" s="180" t="e">
        <f t="shared" si="12"/>
        <v>#N/A</v>
      </c>
      <c r="S33" s="179" t="e">
        <f>IF(H33="","",IF(H33&gt;'[2]Plot Data'!$C$68,"No","Yes"))</f>
        <v>#N/A</v>
      </c>
      <c r="T33" s="327"/>
      <c r="V33" s="379"/>
      <c r="W33" s="336"/>
      <c r="X33" s="337"/>
      <c r="Y33" s="337"/>
      <c r="Z33" s="337"/>
      <c r="AA33" s="337"/>
      <c r="AB33" s="337"/>
      <c r="AC33" s="337"/>
      <c r="AD33" s="337"/>
      <c r="AE33" s="338"/>
      <c r="AF33" s="337"/>
      <c r="AN33" s="92"/>
      <c r="AP33" s="379"/>
      <c r="AQ33" s="336"/>
      <c r="AR33" s="337"/>
      <c r="AS33" s="337"/>
      <c r="AT33" s="337"/>
      <c r="AU33" s="337"/>
      <c r="AV33" s="337"/>
      <c r="AW33" s="337"/>
      <c r="AX33" s="337"/>
      <c r="AY33" s="338"/>
      <c r="AZ33" s="337"/>
      <c r="BH33" s="92"/>
    </row>
    <row r="34" spans="2:60" x14ac:dyDescent="0.3">
      <c r="B34" s="230">
        <v>13</v>
      </c>
      <c r="C34" s="328"/>
      <c r="D34" s="329"/>
      <c r="E34" s="330"/>
      <c r="F34" s="330"/>
      <c r="G34" s="231" t="e">
        <f t="shared" si="8"/>
        <v>#N/A</v>
      </c>
      <c r="H34" s="232" t="e">
        <f t="shared" si="10"/>
        <v>#N/A</v>
      </c>
      <c r="I34" s="232">
        <f>'[2]Plot Data'!$C$67</f>
        <v>26.787537881918869</v>
      </c>
      <c r="J34" s="232">
        <f>'[2]Plot Data'!$C$65</f>
        <v>26.863914143501468</v>
      </c>
      <c r="K34" s="238">
        <f>'[2]Plot Data'!$C$58</f>
        <v>27.016666666666666</v>
      </c>
      <c r="L34" s="238">
        <f>'[2]Plot Data'!$C$62</f>
        <v>27.169419189831864</v>
      </c>
      <c r="M34" s="238">
        <f>'[2]Plot Data'!$C$64</f>
        <v>27.245795451414462</v>
      </c>
      <c r="N34" s="239">
        <f>'[2]Plot Data'!$C$68</f>
        <v>0.12</v>
      </c>
      <c r="O34" s="177" t="e">
        <f t="shared" si="9"/>
        <v>#N/A</v>
      </c>
      <c r="P34" s="180" t="e">
        <f t="shared" si="11"/>
        <v>#N/A</v>
      </c>
      <c r="Q34" s="180" t="e">
        <f t="shared" si="13"/>
        <v>#N/A</v>
      </c>
      <c r="R34" s="180" t="e">
        <f t="shared" si="12"/>
        <v>#N/A</v>
      </c>
      <c r="S34" s="179" t="e">
        <f>IF(H34="","",IF(H34&gt;'[2]Plot Data'!$C$68,"No","Yes"))</f>
        <v>#N/A</v>
      </c>
      <c r="T34" s="327"/>
      <c r="V34" s="379"/>
      <c r="W34" s="336"/>
      <c r="X34" s="337"/>
      <c r="Y34" s="337"/>
      <c r="Z34" s="337"/>
      <c r="AA34" s="337"/>
      <c r="AB34" s="337"/>
      <c r="AC34" s="337"/>
      <c r="AD34" s="337"/>
      <c r="AE34" s="338"/>
      <c r="AF34" s="337"/>
      <c r="AN34" s="92"/>
      <c r="AP34" s="379"/>
      <c r="AQ34" s="336"/>
      <c r="AR34" s="337"/>
      <c r="AS34" s="337"/>
      <c r="AT34" s="337"/>
      <c r="AU34" s="337"/>
      <c r="AV34" s="337"/>
      <c r="AW34" s="337"/>
      <c r="AX34" s="337"/>
      <c r="AY34" s="338"/>
      <c r="AZ34" s="337"/>
      <c r="BH34" s="92"/>
    </row>
    <row r="35" spans="2:60" x14ac:dyDescent="0.3">
      <c r="B35" s="230">
        <v>14</v>
      </c>
      <c r="C35" s="328"/>
      <c r="D35" s="329"/>
      <c r="E35" s="330"/>
      <c r="F35" s="330"/>
      <c r="G35" s="231" t="e">
        <f t="shared" si="8"/>
        <v>#N/A</v>
      </c>
      <c r="H35" s="232" t="e">
        <f t="shared" si="10"/>
        <v>#N/A</v>
      </c>
      <c r="I35" s="232">
        <f>'[2]Plot Data'!$C$67</f>
        <v>26.787537881918869</v>
      </c>
      <c r="J35" s="232">
        <f>'[2]Plot Data'!$C$65</f>
        <v>26.863914143501468</v>
      </c>
      <c r="K35" s="238">
        <f>'[2]Plot Data'!$C$58</f>
        <v>27.016666666666666</v>
      </c>
      <c r="L35" s="238">
        <f>'[2]Plot Data'!$C$62</f>
        <v>27.169419189831864</v>
      </c>
      <c r="M35" s="238">
        <f>'[2]Plot Data'!$C$64</f>
        <v>27.245795451414462</v>
      </c>
      <c r="N35" s="239">
        <f>'[2]Plot Data'!$C$68</f>
        <v>0.12</v>
      </c>
      <c r="O35" s="177" t="e">
        <f t="shared" si="9"/>
        <v>#N/A</v>
      </c>
      <c r="P35" s="180" t="e">
        <f t="shared" si="11"/>
        <v>#N/A</v>
      </c>
      <c r="Q35" s="180" t="e">
        <f t="shared" si="13"/>
        <v>#N/A</v>
      </c>
      <c r="R35" s="180" t="e">
        <f t="shared" si="12"/>
        <v>#N/A</v>
      </c>
      <c r="S35" s="179" t="e">
        <f>IF(H35="","",IF(H35&gt;'[2]Plot Data'!$C$68,"No","Yes"))</f>
        <v>#N/A</v>
      </c>
      <c r="T35" s="327"/>
      <c r="V35" s="379"/>
      <c r="W35" s="336"/>
      <c r="X35" s="337"/>
      <c r="Y35" s="337"/>
      <c r="Z35" s="337"/>
      <c r="AA35" s="337"/>
      <c r="AB35" s="337"/>
      <c r="AC35" s="337"/>
      <c r="AD35" s="337"/>
      <c r="AE35" s="338"/>
      <c r="AF35" s="337"/>
      <c r="AN35" s="92"/>
      <c r="AP35" s="379"/>
      <c r="AQ35" s="336"/>
      <c r="AR35" s="337"/>
      <c r="AS35" s="337"/>
      <c r="AT35" s="337"/>
      <c r="AU35" s="337"/>
      <c r="AV35" s="337"/>
      <c r="AW35" s="337"/>
      <c r="AX35" s="337"/>
      <c r="AY35" s="338"/>
      <c r="AZ35" s="337"/>
      <c r="BH35" s="92"/>
    </row>
    <row r="36" spans="2:60" x14ac:dyDescent="0.3">
      <c r="B36" s="230">
        <v>15</v>
      </c>
      <c r="C36" s="328"/>
      <c r="D36" s="329"/>
      <c r="E36" s="330"/>
      <c r="F36" s="330"/>
      <c r="G36" s="231" t="e">
        <f t="shared" si="8"/>
        <v>#N/A</v>
      </c>
      <c r="H36" s="232" t="e">
        <f t="shared" si="10"/>
        <v>#N/A</v>
      </c>
      <c r="I36" s="232">
        <f>'[2]Plot Data'!$C$67</f>
        <v>26.787537881918869</v>
      </c>
      <c r="J36" s="232">
        <f>'[2]Plot Data'!$C$65</f>
        <v>26.863914143501468</v>
      </c>
      <c r="K36" s="238">
        <f>'[2]Plot Data'!$C$58</f>
        <v>27.016666666666666</v>
      </c>
      <c r="L36" s="238">
        <f>'[2]Plot Data'!$C$62</f>
        <v>27.169419189831864</v>
      </c>
      <c r="M36" s="238">
        <f>'[2]Plot Data'!$C$64</f>
        <v>27.245795451414462</v>
      </c>
      <c r="N36" s="239">
        <f>'[2]Plot Data'!$C$68</f>
        <v>0.12</v>
      </c>
      <c r="O36" s="177" t="e">
        <f t="shared" si="9"/>
        <v>#N/A</v>
      </c>
      <c r="P36" s="180" t="e">
        <f t="shared" si="11"/>
        <v>#N/A</v>
      </c>
      <c r="Q36" s="180" t="e">
        <f t="shared" si="13"/>
        <v>#N/A</v>
      </c>
      <c r="R36" s="180" t="e">
        <f t="shared" si="12"/>
        <v>#N/A</v>
      </c>
      <c r="S36" s="179" t="e">
        <f>IF(H36="","",IF(H36&gt;'[2]Plot Data'!$C$68,"No","Yes"))</f>
        <v>#N/A</v>
      </c>
      <c r="T36" s="327"/>
      <c r="V36" s="379"/>
      <c r="W36" s="336"/>
      <c r="X36" s="337"/>
      <c r="Y36" s="337"/>
      <c r="Z36" s="337"/>
      <c r="AA36" s="337"/>
      <c r="AB36" s="337"/>
      <c r="AC36" s="337"/>
      <c r="AD36" s="337"/>
      <c r="AE36" s="338"/>
      <c r="AF36" s="337"/>
      <c r="AN36" s="92"/>
      <c r="AP36" s="379"/>
      <c r="AQ36" s="336"/>
      <c r="AR36" s="337"/>
      <c r="AS36" s="337"/>
      <c r="AT36" s="337"/>
      <c r="AU36" s="337"/>
      <c r="AV36" s="337"/>
      <c r="AW36" s="337"/>
      <c r="AX36" s="337"/>
      <c r="AY36" s="338"/>
      <c r="AZ36" s="337"/>
      <c r="BH36" s="92"/>
    </row>
    <row r="37" spans="2:60" x14ac:dyDescent="0.3">
      <c r="B37" s="230">
        <v>16</v>
      </c>
      <c r="C37" s="328"/>
      <c r="D37" s="329"/>
      <c r="E37" s="330"/>
      <c r="F37" s="330"/>
      <c r="G37" s="231" t="e">
        <f t="shared" si="8"/>
        <v>#N/A</v>
      </c>
      <c r="H37" s="232" t="e">
        <f t="shared" si="10"/>
        <v>#N/A</v>
      </c>
      <c r="I37" s="232">
        <f>'[2]Plot Data'!$C$67</f>
        <v>26.787537881918869</v>
      </c>
      <c r="J37" s="232">
        <f>'[2]Plot Data'!$C$65</f>
        <v>26.863914143501468</v>
      </c>
      <c r="K37" s="238">
        <f>'[2]Plot Data'!$C$58</f>
        <v>27.016666666666666</v>
      </c>
      <c r="L37" s="238">
        <f>'[2]Plot Data'!$C$62</f>
        <v>27.169419189831864</v>
      </c>
      <c r="M37" s="238">
        <f>'[2]Plot Data'!$C$64</f>
        <v>27.245795451414462</v>
      </c>
      <c r="N37" s="239">
        <f>'[2]Plot Data'!$C$68</f>
        <v>0.12</v>
      </c>
      <c r="O37" s="177" t="e">
        <f t="shared" si="9"/>
        <v>#N/A</v>
      </c>
      <c r="P37" s="180" t="e">
        <f t="shared" si="11"/>
        <v>#N/A</v>
      </c>
      <c r="Q37" s="180" t="e">
        <f t="shared" si="13"/>
        <v>#N/A</v>
      </c>
      <c r="R37" s="180" t="e">
        <f t="shared" si="12"/>
        <v>#N/A</v>
      </c>
      <c r="S37" s="179" t="e">
        <f>IF(H37="","",IF(H37&gt;'[2]Plot Data'!$C$68,"No","Yes"))</f>
        <v>#N/A</v>
      </c>
      <c r="T37" s="327"/>
      <c r="V37" s="379"/>
      <c r="W37" s="336"/>
      <c r="X37" s="337"/>
      <c r="Y37" s="337"/>
      <c r="Z37" s="337"/>
      <c r="AA37" s="337"/>
      <c r="AB37" s="337"/>
      <c r="AC37" s="337"/>
      <c r="AD37" s="337"/>
      <c r="AE37" s="338"/>
      <c r="AF37" s="337"/>
      <c r="AN37" s="92"/>
      <c r="AP37" s="379"/>
      <c r="AQ37" s="336"/>
      <c r="AR37" s="337"/>
      <c r="AS37" s="337"/>
      <c r="AT37" s="337"/>
      <c r="AU37" s="337"/>
      <c r="AV37" s="337"/>
      <c r="AW37" s="337"/>
      <c r="AX37" s="337"/>
      <c r="AY37" s="338"/>
      <c r="AZ37" s="337"/>
      <c r="BH37" s="92"/>
    </row>
    <row r="38" spans="2:60" x14ac:dyDescent="0.3">
      <c r="B38" s="230">
        <v>17</v>
      </c>
      <c r="C38" s="328"/>
      <c r="D38" s="329"/>
      <c r="E38" s="330"/>
      <c r="F38" s="330"/>
      <c r="G38" s="231" t="e">
        <f t="shared" si="8"/>
        <v>#N/A</v>
      </c>
      <c r="H38" s="232" t="e">
        <f t="shared" si="10"/>
        <v>#N/A</v>
      </c>
      <c r="I38" s="232">
        <f>'[2]Plot Data'!$C$67</f>
        <v>26.787537881918869</v>
      </c>
      <c r="J38" s="232">
        <f>'[2]Plot Data'!$C$65</f>
        <v>26.863914143501468</v>
      </c>
      <c r="K38" s="238">
        <f>'[2]Plot Data'!$C$58</f>
        <v>27.016666666666666</v>
      </c>
      <c r="L38" s="238">
        <f>'[2]Plot Data'!$C$62</f>
        <v>27.169419189831864</v>
      </c>
      <c r="M38" s="238">
        <f>'[2]Plot Data'!$C$64</f>
        <v>27.245795451414462</v>
      </c>
      <c r="N38" s="239">
        <f>'[2]Plot Data'!$C$68</f>
        <v>0.12</v>
      </c>
      <c r="O38" s="177" t="e">
        <f t="shared" si="9"/>
        <v>#N/A</v>
      </c>
      <c r="P38" s="180" t="e">
        <f t="shared" si="11"/>
        <v>#N/A</v>
      </c>
      <c r="Q38" s="180" t="e">
        <f t="shared" si="13"/>
        <v>#N/A</v>
      </c>
      <c r="R38" s="180" t="e">
        <f t="shared" si="12"/>
        <v>#N/A</v>
      </c>
      <c r="S38" s="179" t="e">
        <f>IF(H38="","",IF(H38&gt;'[2]Plot Data'!$C$68,"No","Yes"))</f>
        <v>#N/A</v>
      </c>
      <c r="T38" s="327"/>
      <c r="V38" s="379"/>
      <c r="W38" s="336"/>
      <c r="X38" s="337"/>
      <c r="Y38" s="337"/>
      <c r="Z38" s="337"/>
      <c r="AA38" s="337"/>
      <c r="AB38" s="337"/>
      <c r="AC38" s="337"/>
      <c r="AD38" s="337"/>
      <c r="AE38" s="338"/>
      <c r="AF38" s="337"/>
      <c r="AN38" s="92"/>
      <c r="AP38" s="379"/>
      <c r="AQ38" s="336"/>
      <c r="AR38" s="337"/>
      <c r="AS38" s="337"/>
      <c r="AT38" s="337"/>
      <c r="AU38" s="337"/>
      <c r="AV38" s="337"/>
      <c r="AW38" s="337"/>
      <c r="AX38" s="337"/>
      <c r="AY38" s="338"/>
      <c r="AZ38" s="337"/>
      <c r="BH38" s="92"/>
    </row>
    <row r="39" spans="2:60" x14ac:dyDescent="0.3">
      <c r="B39" s="230">
        <v>18</v>
      </c>
      <c r="C39" s="328"/>
      <c r="D39" s="329"/>
      <c r="E39" s="330"/>
      <c r="F39" s="330"/>
      <c r="G39" s="231" t="e">
        <f t="shared" si="8"/>
        <v>#N/A</v>
      </c>
      <c r="H39" s="232" t="e">
        <f t="shared" si="10"/>
        <v>#N/A</v>
      </c>
      <c r="I39" s="232">
        <f>'[2]Plot Data'!$C$67</f>
        <v>26.787537881918869</v>
      </c>
      <c r="J39" s="232">
        <f>'[2]Plot Data'!$C$65</f>
        <v>26.863914143501468</v>
      </c>
      <c r="K39" s="238">
        <f>'[2]Plot Data'!$C$58</f>
        <v>27.016666666666666</v>
      </c>
      <c r="L39" s="238">
        <f>'[2]Plot Data'!$C$62</f>
        <v>27.169419189831864</v>
      </c>
      <c r="M39" s="238">
        <f>'[2]Plot Data'!$C$64</f>
        <v>27.245795451414462</v>
      </c>
      <c r="N39" s="239">
        <f>'[2]Plot Data'!$C$68</f>
        <v>0.12</v>
      </c>
      <c r="O39" s="177" t="e">
        <f t="shared" si="9"/>
        <v>#N/A</v>
      </c>
      <c r="P39" s="180" t="e">
        <f t="shared" si="11"/>
        <v>#N/A</v>
      </c>
      <c r="Q39" s="180" t="e">
        <f t="shared" si="13"/>
        <v>#N/A</v>
      </c>
      <c r="R39" s="180" t="e">
        <f t="shared" si="12"/>
        <v>#N/A</v>
      </c>
      <c r="S39" s="179" t="e">
        <f>IF(H39="","",IF(H39&gt;'[2]Plot Data'!$C$68,"No","Yes"))</f>
        <v>#N/A</v>
      </c>
      <c r="T39" s="327"/>
      <c r="V39" s="379"/>
      <c r="W39" s="336"/>
      <c r="X39" s="337"/>
      <c r="Y39" s="337"/>
      <c r="Z39" s="337"/>
      <c r="AA39" s="337"/>
      <c r="AB39" s="337"/>
      <c r="AC39" s="337"/>
      <c r="AD39" s="337"/>
      <c r="AE39" s="338"/>
      <c r="AF39" s="337"/>
      <c r="AN39" s="92"/>
      <c r="AP39" s="379"/>
      <c r="AQ39" s="336"/>
      <c r="AR39" s="337"/>
      <c r="AS39" s="337"/>
      <c r="AT39" s="337"/>
      <c r="AU39" s="337"/>
      <c r="AV39" s="337"/>
      <c r="AW39" s="337"/>
      <c r="AX39" s="337"/>
      <c r="AY39" s="338"/>
      <c r="AZ39" s="337"/>
      <c r="BH39" s="92"/>
    </row>
    <row r="40" spans="2:60" x14ac:dyDescent="0.3">
      <c r="B40" s="230">
        <v>19</v>
      </c>
      <c r="C40" s="328"/>
      <c r="D40" s="329"/>
      <c r="E40" s="330"/>
      <c r="F40" s="330"/>
      <c r="G40" s="231" t="e">
        <f t="shared" si="8"/>
        <v>#N/A</v>
      </c>
      <c r="H40" s="232" t="e">
        <f t="shared" si="10"/>
        <v>#N/A</v>
      </c>
      <c r="I40" s="232">
        <f>'[2]Plot Data'!$C$67</f>
        <v>26.787537881918869</v>
      </c>
      <c r="J40" s="232">
        <f>'[2]Plot Data'!$C$65</f>
        <v>26.863914143501468</v>
      </c>
      <c r="K40" s="238">
        <f>'[2]Plot Data'!$C$58</f>
        <v>27.016666666666666</v>
      </c>
      <c r="L40" s="238">
        <f>'[2]Plot Data'!$C$62</f>
        <v>27.169419189831864</v>
      </c>
      <c r="M40" s="238">
        <f>'[2]Plot Data'!$C$64</f>
        <v>27.245795451414462</v>
      </c>
      <c r="N40" s="239">
        <f>'[2]Plot Data'!$C$68</f>
        <v>0.12</v>
      </c>
      <c r="O40" s="177" t="e">
        <f t="shared" si="9"/>
        <v>#N/A</v>
      </c>
      <c r="P40" s="180" t="e">
        <f t="shared" si="11"/>
        <v>#N/A</v>
      </c>
      <c r="Q40" s="180" t="e">
        <f t="shared" si="13"/>
        <v>#N/A</v>
      </c>
      <c r="R40" s="180" t="e">
        <f t="shared" si="12"/>
        <v>#N/A</v>
      </c>
      <c r="S40" s="179" t="e">
        <f>IF(H40="","",IF(H40&gt;'[2]Plot Data'!$C$68,"No","Yes"))</f>
        <v>#N/A</v>
      </c>
      <c r="T40" s="327"/>
      <c r="V40" s="379"/>
      <c r="W40" s="336"/>
      <c r="X40" s="337"/>
      <c r="Y40" s="337"/>
      <c r="Z40" s="337"/>
      <c r="AA40" s="337"/>
      <c r="AB40" s="337"/>
      <c r="AC40" s="337"/>
      <c r="AD40" s="337"/>
      <c r="AE40" s="338"/>
      <c r="AF40" s="337"/>
      <c r="AN40" s="92"/>
      <c r="AP40" s="379"/>
      <c r="AQ40" s="336"/>
      <c r="AR40" s="337"/>
      <c r="AS40" s="337"/>
      <c r="AT40" s="337"/>
      <c r="AU40" s="337"/>
      <c r="AV40" s="337"/>
      <c r="AW40" s="337"/>
      <c r="AX40" s="337"/>
      <c r="AY40" s="338"/>
      <c r="AZ40" s="337"/>
      <c r="BH40" s="92"/>
    </row>
    <row r="41" spans="2:60" x14ac:dyDescent="0.3">
      <c r="B41" s="230">
        <v>20</v>
      </c>
      <c r="C41" s="328"/>
      <c r="D41" s="329"/>
      <c r="E41" s="330"/>
      <c r="F41" s="330"/>
      <c r="G41" s="231" t="e">
        <f t="shared" si="8"/>
        <v>#N/A</v>
      </c>
      <c r="H41" s="232" t="e">
        <f t="shared" si="10"/>
        <v>#N/A</v>
      </c>
      <c r="I41" s="232">
        <f>'[2]Plot Data'!$C$67</f>
        <v>26.787537881918869</v>
      </c>
      <c r="J41" s="232">
        <f>'[2]Plot Data'!$C$65</f>
        <v>26.863914143501468</v>
      </c>
      <c r="K41" s="238">
        <f>'[2]Plot Data'!$C$58</f>
        <v>27.016666666666666</v>
      </c>
      <c r="L41" s="238">
        <f>'[2]Plot Data'!$C$62</f>
        <v>27.169419189831864</v>
      </c>
      <c r="M41" s="238">
        <f>'[2]Plot Data'!$C$64</f>
        <v>27.245795451414462</v>
      </c>
      <c r="N41" s="239">
        <f>'[2]Plot Data'!$C$68</f>
        <v>0.12</v>
      </c>
      <c r="O41" s="177" t="e">
        <f t="shared" si="9"/>
        <v>#N/A</v>
      </c>
      <c r="P41" s="180" t="e">
        <f t="shared" si="11"/>
        <v>#N/A</v>
      </c>
      <c r="Q41" s="180" t="e">
        <f t="shared" si="13"/>
        <v>#N/A</v>
      </c>
      <c r="R41" s="180" t="e">
        <f t="shared" si="12"/>
        <v>#N/A</v>
      </c>
      <c r="S41" s="179" t="e">
        <f>IF(H41="","",IF(H41&gt;'[2]Plot Data'!$C$68,"No","Yes"))</f>
        <v>#N/A</v>
      </c>
      <c r="T41" s="327"/>
      <c r="V41" s="379"/>
      <c r="W41" s="336"/>
      <c r="X41" s="337"/>
      <c r="Y41" s="337"/>
      <c r="Z41" s="337"/>
      <c r="AA41" s="337"/>
      <c r="AB41" s="337"/>
      <c r="AC41" s="337"/>
      <c r="AD41" s="337"/>
      <c r="AE41" s="338"/>
      <c r="AF41" s="337"/>
      <c r="AN41" s="92"/>
      <c r="AP41" s="379"/>
      <c r="AQ41" s="336"/>
      <c r="AR41" s="337"/>
      <c r="AS41" s="337"/>
      <c r="AT41" s="337"/>
      <c r="AU41" s="337"/>
      <c r="AV41" s="337"/>
      <c r="AW41" s="337"/>
      <c r="AX41" s="337"/>
      <c r="AY41" s="338"/>
      <c r="AZ41" s="337"/>
      <c r="BH41" s="92"/>
    </row>
    <row r="42" spans="2:60" ht="15" thickBot="1" x14ac:dyDescent="0.35">
      <c r="B42" s="241">
        <v>21</v>
      </c>
      <c r="C42" s="331"/>
      <c r="D42" s="332"/>
      <c r="E42" s="333"/>
      <c r="F42" s="333"/>
      <c r="G42" s="243" t="e">
        <f t="shared" si="8"/>
        <v>#N/A</v>
      </c>
      <c r="H42" s="244" t="e">
        <f t="shared" si="10"/>
        <v>#N/A</v>
      </c>
      <c r="I42" s="244">
        <f>'[2]Plot Data'!$C$67</f>
        <v>26.787537881918869</v>
      </c>
      <c r="J42" s="244">
        <f>'[2]Plot Data'!$C$65</f>
        <v>26.863914143501468</v>
      </c>
      <c r="K42" s="245">
        <f>'[2]Plot Data'!$C$58</f>
        <v>27.016666666666666</v>
      </c>
      <c r="L42" s="245">
        <f>'[2]Plot Data'!$C$62</f>
        <v>27.169419189831864</v>
      </c>
      <c r="M42" s="245">
        <f>'[2]Plot Data'!$C$64</f>
        <v>27.245795451414462</v>
      </c>
      <c r="N42" s="246">
        <f>'[2]Plot Data'!$C$68</f>
        <v>0.12</v>
      </c>
      <c r="O42" s="242" t="e">
        <f t="shared" si="9"/>
        <v>#N/A</v>
      </c>
      <c r="P42" s="180" t="e">
        <f t="shared" si="11"/>
        <v>#N/A</v>
      </c>
      <c r="Q42" s="247" t="e">
        <f t="shared" si="13"/>
        <v>#N/A</v>
      </c>
      <c r="R42" s="247" t="e">
        <f t="shared" si="12"/>
        <v>#N/A</v>
      </c>
      <c r="S42" s="248" t="e">
        <f>IF(H42="","",IF(H42&gt;'[2]Plot Data'!$C$68,"No","Yes"))</f>
        <v>#N/A</v>
      </c>
      <c r="T42" s="327"/>
      <c r="V42" s="379"/>
      <c r="W42" s="336"/>
      <c r="X42" s="337"/>
      <c r="Y42" s="337"/>
      <c r="Z42" s="337"/>
      <c r="AA42" s="337"/>
      <c r="AB42" s="337"/>
      <c r="AC42" s="337"/>
      <c r="AD42" s="337"/>
      <c r="AE42" s="338"/>
      <c r="AF42" s="337"/>
      <c r="AN42" s="92"/>
      <c r="AP42" s="379"/>
      <c r="AQ42" s="336"/>
      <c r="AR42" s="337"/>
      <c r="AS42" s="337"/>
      <c r="AT42" s="337"/>
      <c r="AU42" s="337"/>
      <c r="AV42" s="337"/>
      <c r="AW42" s="337"/>
      <c r="AX42" s="337"/>
      <c r="AY42" s="338"/>
      <c r="AZ42" s="337"/>
      <c r="BH42" s="92"/>
    </row>
    <row r="43" spans="2:60" x14ac:dyDescent="0.3">
      <c r="V43" s="211"/>
      <c r="W43" s="336"/>
      <c r="X43" s="337"/>
      <c r="Y43" s="337"/>
      <c r="Z43" s="337"/>
      <c r="AA43" s="337"/>
      <c r="AB43" s="337"/>
      <c r="AC43" s="337"/>
      <c r="AD43" s="337"/>
      <c r="AE43" s="338"/>
      <c r="AF43" s="337"/>
      <c r="AN43" s="92"/>
      <c r="AP43" s="211"/>
      <c r="AQ43" s="336"/>
      <c r="AR43" s="337"/>
      <c r="AS43" s="337"/>
      <c r="AT43" s="337"/>
      <c r="AU43" s="337"/>
      <c r="AV43" s="337"/>
      <c r="AW43" s="337"/>
      <c r="AX43" s="337"/>
      <c r="AY43" s="338"/>
      <c r="AZ43" s="337"/>
      <c r="BH43" s="92"/>
    </row>
    <row r="44" spans="2:60" x14ac:dyDescent="0.3">
      <c r="V44" s="211"/>
      <c r="W44" s="336"/>
      <c r="X44" s="337"/>
      <c r="Y44" s="337"/>
      <c r="Z44" s="337"/>
      <c r="AA44" s="337"/>
      <c r="AB44" s="337"/>
      <c r="AC44" s="337"/>
      <c r="AD44" s="337"/>
      <c r="AE44" s="338"/>
      <c r="AF44" s="337"/>
      <c r="AN44" s="92"/>
      <c r="AP44" s="211"/>
      <c r="AQ44" s="336"/>
      <c r="AR44" s="337"/>
      <c r="AS44" s="337"/>
      <c r="AT44" s="337"/>
      <c r="AU44" s="337"/>
      <c r="AV44" s="337"/>
      <c r="AW44" s="337"/>
      <c r="AX44" s="337"/>
      <c r="AY44" s="338"/>
      <c r="AZ44" s="337"/>
      <c r="BH44" s="92"/>
    </row>
    <row r="45" spans="2:60" ht="15" thickBot="1" x14ac:dyDescent="0.35">
      <c r="V45" s="211"/>
      <c r="W45" s="341"/>
      <c r="X45" s="342"/>
      <c r="Y45" s="342"/>
      <c r="Z45" s="342"/>
      <c r="AA45" s="342"/>
      <c r="AB45" s="342"/>
      <c r="AC45" s="342"/>
      <c r="AD45" s="342"/>
      <c r="AE45" s="343"/>
      <c r="AF45" s="337"/>
      <c r="AN45" s="92"/>
      <c r="AP45" s="211"/>
      <c r="AQ45" s="341"/>
      <c r="AR45" s="342"/>
      <c r="AS45" s="342"/>
      <c r="AT45" s="342"/>
      <c r="AU45" s="342"/>
      <c r="AV45" s="342"/>
      <c r="AW45" s="342"/>
      <c r="AX45" s="342"/>
      <c r="AY45" s="343"/>
      <c r="AZ45" s="337"/>
      <c r="BH45" s="92"/>
    </row>
    <row r="46" spans="2:60" ht="15" thickBot="1" x14ac:dyDescent="0.35">
      <c r="V46" s="212"/>
      <c r="W46" s="213"/>
      <c r="X46" s="213"/>
      <c r="Y46" s="213"/>
      <c r="Z46" s="213"/>
      <c r="AA46" s="213"/>
      <c r="AB46" s="213"/>
      <c r="AC46" s="213"/>
      <c r="AD46" s="213"/>
      <c r="AE46" s="213"/>
      <c r="AF46" s="213"/>
      <c r="AG46" s="213"/>
      <c r="AH46" s="213"/>
      <c r="AI46" s="213"/>
      <c r="AJ46" s="213"/>
      <c r="AK46" s="213"/>
      <c r="AL46" s="213"/>
      <c r="AM46" s="213"/>
      <c r="AN46" s="214"/>
      <c r="AP46" s="212"/>
      <c r="AQ46" s="213"/>
      <c r="AR46" s="213"/>
      <c r="AS46" s="213"/>
      <c r="AT46" s="213"/>
      <c r="AU46" s="213"/>
      <c r="AV46" s="213"/>
      <c r="AW46" s="213"/>
      <c r="AX46" s="213"/>
      <c r="AY46" s="213"/>
      <c r="AZ46" s="213"/>
      <c r="BA46" s="213"/>
      <c r="BB46" s="213"/>
      <c r="BC46" s="213"/>
      <c r="BD46" s="213"/>
      <c r="BE46" s="213"/>
      <c r="BF46" s="213"/>
      <c r="BG46" s="213"/>
      <c r="BH46" s="214"/>
    </row>
  </sheetData>
  <sheetProtection password="B7E1" sheet="1" objects="1" scenarios="1"/>
  <mergeCells count="14">
    <mergeCell ref="X7:Z7"/>
    <mergeCell ref="X8:Z8"/>
    <mergeCell ref="B18:D18"/>
    <mergeCell ref="B19:D19"/>
    <mergeCell ref="W2:AM2"/>
    <mergeCell ref="X4:AD4"/>
    <mergeCell ref="AH4:AL4"/>
    <mergeCell ref="AA8:AC8"/>
    <mergeCell ref="AQ2:BG2"/>
    <mergeCell ref="AR4:AX4"/>
    <mergeCell ref="BB4:BF4"/>
    <mergeCell ref="AR7:AT7"/>
    <mergeCell ref="AR8:AT8"/>
    <mergeCell ref="AU8:AW8"/>
  </mergeCells>
  <conditionalFormatting sqref="O22:O42">
    <cfRule type="cellIs" dxfId="47" priority="19" operator="equal">
      <formula>"Pass"</formula>
    </cfRule>
    <cfRule type="cellIs" dxfId="46" priority="20" operator="equal">
      <formula>"&lt;-3s"</formula>
    </cfRule>
    <cfRule type="cellIs" dxfId="45" priority="21" operator="equal">
      <formula>"&gt;+3s"</formula>
    </cfRule>
  </conditionalFormatting>
  <conditionalFormatting sqref="P23:P42">
    <cfRule type="cellIs" dxfId="44" priority="11" operator="equal">
      <formula>"Pass"</formula>
    </cfRule>
    <cfRule type="cellIs" dxfId="43" priority="16" operator="equal">
      <formula>""</formula>
    </cfRule>
    <cfRule type="cellIs" dxfId="42" priority="17" operator="equal">
      <formula>"Fail &gt; +2s"</formula>
    </cfRule>
    <cfRule type="cellIs" dxfId="41" priority="18" operator="equal">
      <formula>"Fail &lt; -2s"</formula>
    </cfRule>
  </conditionalFormatting>
  <conditionalFormatting sqref="Q29:Q42">
    <cfRule type="cellIs" dxfId="40" priority="7" operator="equal">
      <formula>""</formula>
    </cfRule>
    <cfRule type="cellIs" dxfId="39" priority="8" operator="equal">
      <formula>"Pass"</formula>
    </cfRule>
    <cfRule type="cellIs" dxfId="38" priority="9" operator="equal">
      <formula>"Fail -ve bias"</formula>
    </cfRule>
    <cfRule type="cellIs" dxfId="37" priority="10" operator="equal">
      <formula>"Fail +ve bias"</formula>
    </cfRule>
  </conditionalFormatting>
  <conditionalFormatting sqref="R27:R42">
    <cfRule type="cellIs" dxfId="36" priority="12" operator="equal">
      <formula>""</formula>
    </cfRule>
    <cfRule type="cellIs" dxfId="35" priority="13" operator="equal">
      <formula>"Fail -ve trend"</formula>
    </cfRule>
    <cfRule type="cellIs" dxfId="34" priority="14" operator="equal">
      <formula>"Fail +ve trend"</formula>
    </cfRule>
    <cfRule type="cellIs" dxfId="33" priority="15" operator="equal">
      <formula>"Pass"</formula>
    </cfRule>
  </conditionalFormatting>
  <conditionalFormatting sqref="S22:T42">
    <cfRule type="cellIs" dxfId="32" priority="22" operator="equal">
      <formula>NA()</formula>
    </cfRule>
    <cfRule type="cellIs" dxfId="31" priority="23" operator="equal">
      <formula>"Yes"</formula>
    </cfRule>
    <cfRule type="cellIs" dxfId="30" priority="24" operator="equal">
      <formula>"No"</formula>
    </cfRule>
  </conditionalFormatting>
  <conditionalFormatting sqref="V22:V42">
    <cfRule type="cellIs" dxfId="29" priority="4" operator="equal">
      <formula>NA()</formula>
    </cfRule>
    <cfRule type="cellIs" dxfId="28" priority="5" operator="equal">
      <formula>"Yes"</formula>
    </cfRule>
    <cfRule type="cellIs" dxfId="27" priority="6" operator="equal">
      <formula>"No"</formula>
    </cfRule>
  </conditionalFormatting>
  <conditionalFormatting sqref="AP22:AP42">
    <cfRule type="cellIs" dxfId="26" priority="1" operator="equal">
      <formula>NA()</formula>
    </cfRule>
    <cfRule type="cellIs" dxfId="25" priority="2" operator="equal">
      <formula>"Yes"</formula>
    </cfRule>
    <cfRule type="cellIs" dxfId="24" priority="3" operator="equal">
      <formula>"No"</formula>
    </cfRule>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C3E02"/>
  </sheetPr>
  <dimension ref="B2:AK42"/>
  <sheetViews>
    <sheetView topLeftCell="U11" workbookViewId="0">
      <selection activeCell="B36" sqref="B1:G36"/>
    </sheetView>
  </sheetViews>
  <sheetFormatPr defaultRowHeight="14.4" x14ac:dyDescent="0.3"/>
  <cols>
    <col min="2" max="2" width="5.77734375" bestFit="1" customWidth="1"/>
    <col min="3" max="9" width="13.77734375" customWidth="1"/>
    <col min="15" max="15" width="15.77734375" style="174" customWidth="1"/>
    <col min="16" max="18" width="15.77734375" customWidth="1"/>
    <col min="19" max="19" width="13.77734375" customWidth="1"/>
    <col min="25" max="26" width="10.77734375" bestFit="1" customWidth="1"/>
    <col min="27" max="27" width="8.21875" bestFit="1" customWidth="1"/>
    <col min="35" max="36" width="10.77734375" bestFit="1" customWidth="1"/>
  </cols>
  <sheetData>
    <row r="2" spans="21:37" ht="15" thickBot="1" x14ac:dyDescent="0.35"/>
    <row r="3" spans="21:37" x14ac:dyDescent="0.3">
      <c r="U3" s="334"/>
      <c r="V3" s="344"/>
      <c r="W3" s="344"/>
      <c r="X3" s="344"/>
      <c r="Y3" s="344"/>
      <c r="Z3" s="344"/>
      <c r="AA3" s="344"/>
      <c r="AB3" s="344"/>
      <c r="AC3" s="335"/>
      <c r="AD3" s="337"/>
    </row>
    <row r="4" spans="21:37" ht="21" x14ac:dyDescent="0.4">
      <c r="U4" s="336"/>
      <c r="V4" s="741" t="s">
        <v>262</v>
      </c>
      <c r="W4" s="741"/>
      <c r="X4" s="741"/>
      <c r="Y4" s="741"/>
      <c r="Z4" s="741"/>
      <c r="AA4" s="741"/>
      <c r="AB4" s="741"/>
      <c r="AC4" s="338"/>
      <c r="AD4" s="337"/>
    </row>
    <row r="5" spans="21:37" ht="15" thickBot="1" x14ac:dyDescent="0.35">
      <c r="U5" s="336"/>
      <c r="V5" s="337"/>
      <c r="W5" s="337"/>
      <c r="X5" s="337"/>
      <c r="Y5" s="337"/>
      <c r="Z5" s="337"/>
      <c r="AA5" s="337"/>
      <c r="AB5" s="337"/>
      <c r="AC5" s="338"/>
      <c r="AD5" s="337"/>
    </row>
    <row r="6" spans="21:37" ht="15.6" x14ac:dyDescent="0.3">
      <c r="U6" s="336"/>
      <c r="V6" s="742" t="s">
        <v>55</v>
      </c>
      <c r="W6" s="743"/>
      <c r="X6" s="743"/>
      <c r="Y6" s="352" t="s">
        <v>195</v>
      </c>
      <c r="Z6" s="337"/>
      <c r="AA6" s="339"/>
      <c r="AB6" s="337"/>
      <c r="AC6" s="338"/>
      <c r="AD6" s="337"/>
      <c r="AE6" s="334"/>
      <c r="AF6" s="344"/>
      <c r="AG6" s="344"/>
      <c r="AH6" s="344"/>
      <c r="AI6" s="344"/>
      <c r="AJ6" s="344"/>
      <c r="AK6" s="335"/>
    </row>
    <row r="7" spans="21:37" ht="21.6" thickBot="1" x14ac:dyDescent="0.45">
      <c r="U7" s="336"/>
      <c r="V7" s="744" t="s">
        <v>227</v>
      </c>
      <c r="W7" s="745"/>
      <c r="X7" s="745"/>
      <c r="Y7" s="353" t="s">
        <v>7</v>
      </c>
      <c r="Z7" s="337"/>
      <c r="AA7" s="339"/>
      <c r="AB7" s="337"/>
      <c r="AC7" s="338"/>
      <c r="AD7" s="337"/>
      <c r="AE7" s="336"/>
      <c r="AF7" s="741" t="s">
        <v>263</v>
      </c>
      <c r="AG7" s="741"/>
      <c r="AH7" s="741"/>
      <c r="AI7" s="741"/>
      <c r="AJ7" s="741"/>
      <c r="AK7" s="338"/>
    </row>
    <row r="8" spans="21:37" ht="16.2" thickBot="1" x14ac:dyDescent="0.35">
      <c r="U8" s="336"/>
      <c r="V8" s="339"/>
      <c r="W8" s="339"/>
      <c r="X8" s="339"/>
      <c r="Y8" s="339"/>
      <c r="Z8" s="337"/>
      <c r="AA8" s="339"/>
      <c r="AB8" s="337"/>
      <c r="AC8" s="338"/>
      <c r="AD8" s="337"/>
      <c r="AE8" s="336"/>
      <c r="AF8" s="337"/>
      <c r="AG8" s="337"/>
      <c r="AH8" s="337"/>
      <c r="AI8" s="337"/>
      <c r="AJ8" s="337"/>
      <c r="AK8" s="338"/>
    </row>
    <row r="9" spans="21:37" x14ac:dyDescent="0.3">
      <c r="U9" s="336"/>
      <c r="V9" s="345" t="s">
        <v>198</v>
      </c>
      <c r="W9" s="346" t="s">
        <v>0</v>
      </c>
      <c r="X9" s="347" t="s">
        <v>192</v>
      </c>
      <c r="Y9" s="347" t="s">
        <v>193</v>
      </c>
      <c r="Z9" s="347" t="s">
        <v>194</v>
      </c>
      <c r="AA9" s="347" t="s">
        <v>226</v>
      </c>
      <c r="AB9" s="347" t="s">
        <v>7</v>
      </c>
      <c r="AC9" s="338"/>
      <c r="AD9" s="337"/>
      <c r="AE9" s="336"/>
      <c r="AF9" s="345" t="s">
        <v>198</v>
      </c>
      <c r="AG9" s="346" t="s">
        <v>0</v>
      </c>
      <c r="AH9" s="347" t="s">
        <v>192</v>
      </c>
      <c r="AI9" s="347" t="s">
        <v>193</v>
      </c>
      <c r="AJ9" s="347" t="s">
        <v>194</v>
      </c>
      <c r="AK9" s="338"/>
    </row>
    <row r="10" spans="21:37" x14ac:dyDescent="0.3">
      <c r="U10" s="336"/>
      <c r="V10" s="348">
        <v>1</v>
      </c>
      <c r="W10" s="349"/>
      <c r="X10" s="350"/>
      <c r="Y10" s="351">
        <v>27</v>
      </c>
      <c r="Z10" s="351">
        <v>26.99</v>
      </c>
      <c r="AA10" s="351">
        <f t="shared" ref="AA10:AA16" si="0">IF(AND(Y10="",Z10=""),NA(),AVERAGE(Y10:Z10))</f>
        <v>26.994999999999997</v>
      </c>
      <c r="AB10" s="351">
        <f>IF(AND(Y10="",Z10=""),NA(),ABS(Y10-Z10))</f>
        <v>1.0000000000001563E-2</v>
      </c>
      <c r="AC10" s="338"/>
      <c r="AD10" s="337"/>
      <c r="AE10" s="336"/>
      <c r="AF10" s="348">
        <v>1</v>
      </c>
      <c r="AG10" s="349"/>
      <c r="AH10" s="350"/>
      <c r="AI10" s="351">
        <v>27</v>
      </c>
      <c r="AJ10" s="351">
        <v>26.99</v>
      </c>
      <c r="AK10" s="338"/>
    </row>
    <row r="11" spans="21:37" x14ac:dyDescent="0.3">
      <c r="U11" s="336"/>
      <c r="V11" s="348">
        <v>2</v>
      </c>
      <c r="W11" s="349"/>
      <c r="X11" s="350"/>
      <c r="Y11" s="351">
        <v>27.15</v>
      </c>
      <c r="Z11" s="351">
        <v>27.05</v>
      </c>
      <c r="AA11" s="351">
        <f t="shared" si="0"/>
        <v>27.1</v>
      </c>
      <c r="AB11" s="351">
        <f t="shared" ref="AB11:AB16" si="1">IF(AND(Y11="",Z11=""),NA(),ABS(Y11-Z11))</f>
        <v>9.9999999999997868E-2</v>
      </c>
      <c r="AC11" s="338"/>
      <c r="AD11" s="337"/>
      <c r="AE11" s="336"/>
      <c r="AF11" s="348">
        <v>2</v>
      </c>
      <c r="AG11" s="349"/>
      <c r="AH11" s="350"/>
      <c r="AI11" s="351">
        <v>27.15</v>
      </c>
      <c r="AJ11" s="351">
        <v>27.05</v>
      </c>
      <c r="AK11" s="338"/>
    </row>
    <row r="12" spans="21:37" x14ac:dyDescent="0.3">
      <c r="U12" s="336"/>
      <c r="V12" s="348">
        <v>3</v>
      </c>
      <c r="W12" s="349"/>
      <c r="X12" s="350"/>
      <c r="Y12" s="351">
        <v>27.2</v>
      </c>
      <c r="Z12" s="351">
        <v>27.17</v>
      </c>
      <c r="AA12" s="351">
        <f t="shared" si="0"/>
        <v>27.185000000000002</v>
      </c>
      <c r="AB12" s="351">
        <f t="shared" si="1"/>
        <v>2.9999999999997584E-2</v>
      </c>
      <c r="AC12" s="338"/>
      <c r="AD12" s="337"/>
      <c r="AE12" s="336"/>
      <c r="AF12" s="348">
        <v>3</v>
      </c>
      <c r="AG12" s="349"/>
      <c r="AH12" s="350"/>
      <c r="AI12" s="351">
        <v>27.2</v>
      </c>
      <c r="AJ12" s="351">
        <v>27.17</v>
      </c>
      <c r="AK12" s="338"/>
    </row>
    <row r="13" spans="21:37" x14ac:dyDescent="0.3">
      <c r="U13" s="336"/>
      <c r="V13" s="348">
        <v>4</v>
      </c>
      <c r="W13" s="349"/>
      <c r="X13" s="350"/>
      <c r="Y13" s="351">
        <v>27.05</v>
      </c>
      <c r="Z13" s="351">
        <v>27.11</v>
      </c>
      <c r="AA13" s="351">
        <f t="shared" si="0"/>
        <v>27.08</v>
      </c>
      <c r="AB13" s="351">
        <f t="shared" si="1"/>
        <v>5.9999999999998721E-2</v>
      </c>
      <c r="AC13" s="338"/>
      <c r="AD13" s="337"/>
      <c r="AE13" s="336"/>
      <c r="AF13" s="348">
        <v>4</v>
      </c>
      <c r="AG13" s="349"/>
      <c r="AH13" s="350"/>
      <c r="AI13" s="351">
        <v>27.05</v>
      </c>
      <c r="AJ13" s="351">
        <v>27.11</v>
      </c>
      <c r="AK13" s="338"/>
    </row>
    <row r="14" spans="21:37" x14ac:dyDescent="0.3">
      <c r="U14" s="336"/>
      <c r="V14" s="348">
        <v>5</v>
      </c>
      <c r="W14" s="349"/>
      <c r="X14" s="350"/>
      <c r="Y14" s="351">
        <v>27.11</v>
      </c>
      <c r="Z14" s="351">
        <v>27.15</v>
      </c>
      <c r="AA14" s="351">
        <f t="shared" si="0"/>
        <v>27.13</v>
      </c>
      <c r="AB14" s="351">
        <f t="shared" si="1"/>
        <v>3.9999999999999147E-2</v>
      </c>
      <c r="AC14" s="338"/>
      <c r="AD14" s="337"/>
      <c r="AE14" s="336"/>
      <c r="AF14" s="348">
        <v>5</v>
      </c>
      <c r="AG14" s="349"/>
      <c r="AH14" s="350"/>
      <c r="AI14" s="351">
        <v>27.11</v>
      </c>
      <c r="AJ14" s="351">
        <v>27.15</v>
      </c>
      <c r="AK14" s="338"/>
    </row>
    <row r="15" spans="21:37" x14ac:dyDescent="0.3">
      <c r="U15" s="336"/>
      <c r="V15" s="348">
        <v>6</v>
      </c>
      <c r="W15" s="349"/>
      <c r="X15" s="350"/>
      <c r="Y15" s="351">
        <v>27.12</v>
      </c>
      <c r="Z15" s="351">
        <v>27.06</v>
      </c>
      <c r="AA15" s="351">
        <f t="shared" si="0"/>
        <v>27.09</v>
      </c>
      <c r="AB15" s="351">
        <f t="shared" si="1"/>
        <v>6.0000000000002274E-2</v>
      </c>
      <c r="AC15" s="338"/>
      <c r="AD15" s="337"/>
      <c r="AE15" s="336"/>
      <c r="AF15" s="348">
        <v>6</v>
      </c>
      <c r="AG15" s="349"/>
      <c r="AH15" s="350"/>
      <c r="AI15" s="351">
        <v>27.12</v>
      </c>
      <c r="AJ15" s="351">
        <v>27.06</v>
      </c>
      <c r="AK15" s="338"/>
    </row>
    <row r="16" spans="21:37" x14ac:dyDescent="0.3">
      <c r="U16" s="336"/>
      <c r="V16" s="348">
        <v>7</v>
      </c>
      <c r="W16" s="349"/>
      <c r="X16" s="350"/>
      <c r="Y16" s="351">
        <v>26.99</v>
      </c>
      <c r="Z16" s="351">
        <v>27.12</v>
      </c>
      <c r="AA16" s="351">
        <f t="shared" si="0"/>
        <v>27.055</v>
      </c>
      <c r="AB16" s="351">
        <f t="shared" si="1"/>
        <v>0.13000000000000256</v>
      </c>
      <c r="AC16" s="338"/>
      <c r="AD16" s="337"/>
      <c r="AE16" s="336"/>
      <c r="AF16" s="348">
        <v>7</v>
      </c>
      <c r="AG16" s="349"/>
      <c r="AH16" s="350"/>
      <c r="AI16" s="351">
        <v>26.99</v>
      </c>
      <c r="AJ16" s="351">
        <v>27.12</v>
      </c>
      <c r="AK16" s="338"/>
    </row>
    <row r="17" spans="2:37" ht="15" thickBot="1" x14ac:dyDescent="0.35">
      <c r="U17" s="336"/>
      <c r="V17" s="337"/>
      <c r="W17" s="337"/>
      <c r="X17" s="337"/>
      <c r="Y17" s="337"/>
      <c r="Z17" s="337"/>
      <c r="AA17" s="337"/>
      <c r="AB17" s="337"/>
      <c r="AC17" s="338"/>
      <c r="AD17" s="337"/>
      <c r="AE17" s="336"/>
      <c r="AF17" s="337"/>
      <c r="AG17" s="337"/>
      <c r="AH17" s="337"/>
      <c r="AI17" s="337"/>
      <c r="AJ17" s="337"/>
      <c r="AK17" s="338"/>
    </row>
    <row r="18" spans="2:37" ht="16.2" thickBot="1" x14ac:dyDescent="0.35">
      <c r="B18" s="733" t="s">
        <v>55</v>
      </c>
      <c r="C18" s="734"/>
      <c r="D18" s="734"/>
      <c r="E18" s="225" t="s">
        <v>195</v>
      </c>
      <c r="G18" s="175"/>
      <c r="U18" s="336"/>
      <c r="V18" s="337"/>
      <c r="W18" s="337"/>
      <c r="X18" s="337"/>
      <c r="Y18" s="337"/>
      <c r="Z18" s="337"/>
      <c r="AA18" s="337"/>
      <c r="AB18" s="337"/>
      <c r="AC18" s="338"/>
      <c r="AD18" s="337"/>
      <c r="AE18" s="341"/>
      <c r="AF18" s="342"/>
      <c r="AG18" s="342"/>
      <c r="AH18" s="342"/>
      <c r="AI18" s="342"/>
      <c r="AJ18" s="342"/>
      <c r="AK18" s="343"/>
    </row>
    <row r="19" spans="2:37" ht="16.2" thickBot="1" x14ac:dyDescent="0.35">
      <c r="B19" s="735" t="s">
        <v>227</v>
      </c>
      <c r="C19" s="736"/>
      <c r="D19" s="736"/>
      <c r="E19" s="226" t="s">
        <v>7</v>
      </c>
      <c r="G19" s="175"/>
      <c r="U19" s="336"/>
      <c r="V19" s="337"/>
      <c r="W19" s="337"/>
      <c r="X19" s="337"/>
      <c r="Y19" s="337"/>
      <c r="Z19" s="337"/>
      <c r="AA19" s="337"/>
      <c r="AB19" s="337"/>
      <c r="AC19" s="338"/>
      <c r="AD19" s="337"/>
    </row>
    <row r="20" spans="2:37" ht="16.2" thickBot="1" x14ac:dyDescent="0.35">
      <c r="B20" s="175"/>
      <c r="C20" s="175"/>
      <c r="D20" s="175"/>
      <c r="E20" s="175"/>
      <c r="G20" s="175"/>
      <c r="U20" s="336"/>
      <c r="V20" s="337"/>
      <c r="W20" s="337"/>
      <c r="X20" s="337"/>
      <c r="Y20" s="337"/>
      <c r="Z20" s="337"/>
      <c r="AA20" s="337"/>
      <c r="AB20" s="337"/>
      <c r="AC20" s="338"/>
      <c r="AD20" s="337"/>
    </row>
    <row r="21" spans="2:37" ht="15" x14ac:dyDescent="0.3">
      <c r="B21" s="227" t="s">
        <v>198</v>
      </c>
      <c r="C21" s="228" t="s">
        <v>0</v>
      </c>
      <c r="D21" s="229" t="s">
        <v>192</v>
      </c>
      <c r="E21" s="229" t="s">
        <v>193</v>
      </c>
      <c r="F21" s="229" t="s">
        <v>194</v>
      </c>
      <c r="G21" s="229" t="s">
        <v>226</v>
      </c>
      <c r="H21" s="229" t="s">
        <v>7</v>
      </c>
      <c r="I21" s="233" t="s">
        <v>45</v>
      </c>
      <c r="J21" s="233" t="s">
        <v>46</v>
      </c>
      <c r="K21" s="234" t="s">
        <v>200</v>
      </c>
      <c r="L21" s="233" t="s">
        <v>47</v>
      </c>
      <c r="M21" s="233" t="s">
        <v>48</v>
      </c>
      <c r="N21" s="235" t="s">
        <v>7</v>
      </c>
      <c r="O21" s="236" t="s">
        <v>196</v>
      </c>
      <c r="P21" s="229" t="s">
        <v>197</v>
      </c>
      <c r="Q21" s="229" t="s">
        <v>201</v>
      </c>
      <c r="R21" s="229" t="s">
        <v>202</v>
      </c>
      <c r="S21" s="237" t="s">
        <v>199</v>
      </c>
      <c r="T21" s="176"/>
      <c r="U21" s="336"/>
      <c r="V21" s="337"/>
      <c r="W21" s="337"/>
      <c r="X21" s="337"/>
      <c r="Y21" s="337"/>
      <c r="Z21" s="337"/>
      <c r="AA21" s="337"/>
      <c r="AB21" s="337"/>
      <c r="AC21" s="338"/>
      <c r="AD21" s="337"/>
    </row>
    <row r="22" spans="2:37" x14ac:dyDescent="0.3">
      <c r="B22" s="230">
        <v>1</v>
      </c>
      <c r="C22" s="328"/>
      <c r="D22" s="329"/>
      <c r="E22" s="330">
        <v>27</v>
      </c>
      <c r="F22" s="330">
        <v>26.99</v>
      </c>
      <c r="G22" s="231">
        <f t="shared" ref="G22:G42" si="2">IF(AND(E22="",F22=""),NA(),AVERAGE(E22:F22))</f>
        <v>26.994999999999997</v>
      </c>
      <c r="H22" s="232">
        <f>IF(AND(E22="",F22=""),NA(),ABS(E22-F22))</f>
        <v>1.0000000000001563E-2</v>
      </c>
      <c r="I22" s="232">
        <f>'[2]Plot Data'!$C$67</f>
        <v>26.787537881918869</v>
      </c>
      <c r="J22" s="232">
        <f>'[2]Plot Data'!$C$65</f>
        <v>26.863914143501468</v>
      </c>
      <c r="K22" s="238">
        <f>'[2]Plot Data'!$C$58</f>
        <v>27.016666666666666</v>
      </c>
      <c r="L22" s="238">
        <f>'[2]Plot Data'!$C$62</f>
        <v>27.169419189831864</v>
      </c>
      <c r="M22" s="238">
        <f>'[2]Plot Data'!$C$64</f>
        <v>27.245795451414462</v>
      </c>
      <c r="N22" s="239">
        <f>'[2]Plot Data'!$C$68</f>
        <v>0.12</v>
      </c>
      <c r="O22" s="177" t="str">
        <f t="shared" ref="O22:O42" si="3">IF(G22&gt;M22,"&gt;+3s",IF(G22&lt;I22,"&lt;-3s","Pass"))</f>
        <v>Pass</v>
      </c>
      <c r="P22" s="240"/>
      <c r="Q22" s="240"/>
      <c r="R22" s="240"/>
      <c r="S22" s="179" t="str">
        <f>IF(H22="","",IF(H22&gt;'[2]Plot Data'!$C$68,"No","Yes"))</f>
        <v>Yes</v>
      </c>
      <c r="U22" s="336"/>
      <c r="V22" s="337"/>
      <c r="W22" s="337"/>
      <c r="X22" s="337"/>
      <c r="Y22" s="337"/>
      <c r="Z22" s="337"/>
      <c r="AA22" s="337"/>
      <c r="AB22" s="337"/>
      <c r="AC22" s="338"/>
      <c r="AD22" s="337"/>
    </row>
    <row r="23" spans="2:37" x14ac:dyDescent="0.3">
      <c r="B23" s="230">
        <v>2</v>
      </c>
      <c r="C23" s="328"/>
      <c r="D23" s="329"/>
      <c r="E23" s="330">
        <v>27.15</v>
      </c>
      <c r="F23" s="330">
        <v>27.05</v>
      </c>
      <c r="G23" s="231">
        <f t="shared" si="2"/>
        <v>27.1</v>
      </c>
      <c r="H23" s="232">
        <f t="shared" ref="H23:H42" si="4">IF(AND(E23="",F23=""),NA(),ABS(E23-F23))</f>
        <v>9.9999999999997868E-2</v>
      </c>
      <c r="I23" s="232">
        <f>'[2]Plot Data'!$C$67</f>
        <v>26.787537881918869</v>
      </c>
      <c r="J23" s="232">
        <f>'[2]Plot Data'!$C$65</f>
        <v>26.863914143501468</v>
      </c>
      <c r="K23" s="238">
        <f>'[2]Plot Data'!$C$58</f>
        <v>27.016666666666666</v>
      </c>
      <c r="L23" s="238">
        <f>'[2]Plot Data'!$C$62</f>
        <v>27.169419189831864</v>
      </c>
      <c r="M23" s="238">
        <f>'[2]Plot Data'!$C$64</f>
        <v>27.245795451414462</v>
      </c>
      <c r="N23" s="239">
        <f>'[2]Plot Data'!$C$68</f>
        <v>0.12</v>
      </c>
      <c r="O23" s="177" t="str">
        <f t="shared" si="3"/>
        <v>Pass</v>
      </c>
      <c r="P23" s="180" t="str">
        <f>IF(AND(G23&gt;L23,G22&gt;L22),"Fail &gt; +2s",IF(AND(G23&lt;J23,G22&lt;J22),"Fail &lt; -2s","Pass"))</f>
        <v>Pass</v>
      </c>
      <c r="Q23" s="240"/>
      <c r="R23" s="240"/>
      <c r="S23" s="179" t="str">
        <f>IF(H23="","",IF(H23&gt;'[2]Plot Data'!$C$68,"No","Yes"))</f>
        <v>Yes</v>
      </c>
      <c r="U23" s="336"/>
      <c r="V23" s="337"/>
      <c r="W23" s="337"/>
      <c r="X23" s="337"/>
      <c r="Y23" s="337"/>
      <c r="Z23" s="337"/>
      <c r="AA23" s="337"/>
      <c r="AB23" s="337"/>
      <c r="AC23" s="338"/>
      <c r="AD23" s="337"/>
    </row>
    <row r="24" spans="2:37" x14ac:dyDescent="0.3">
      <c r="B24" s="230">
        <v>3</v>
      </c>
      <c r="C24" s="328"/>
      <c r="D24" s="329"/>
      <c r="E24" s="330">
        <v>27.2</v>
      </c>
      <c r="F24" s="330">
        <v>27.17</v>
      </c>
      <c r="G24" s="231">
        <f t="shared" si="2"/>
        <v>27.185000000000002</v>
      </c>
      <c r="H24" s="232">
        <f t="shared" si="4"/>
        <v>2.9999999999997584E-2</v>
      </c>
      <c r="I24" s="232">
        <f>'[2]Plot Data'!$C$67</f>
        <v>26.787537881918869</v>
      </c>
      <c r="J24" s="232">
        <f>'[2]Plot Data'!$C$65</f>
        <v>26.863914143501468</v>
      </c>
      <c r="K24" s="238">
        <f>'[2]Plot Data'!$C$58</f>
        <v>27.016666666666666</v>
      </c>
      <c r="L24" s="238">
        <f>'[2]Plot Data'!$C$62</f>
        <v>27.169419189831864</v>
      </c>
      <c r="M24" s="238">
        <f>'[2]Plot Data'!$C$64</f>
        <v>27.245795451414462</v>
      </c>
      <c r="N24" s="239">
        <f>'[2]Plot Data'!$C$68</f>
        <v>0.12</v>
      </c>
      <c r="O24" s="177" t="str">
        <f t="shared" si="3"/>
        <v>Pass</v>
      </c>
      <c r="P24" s="180" t="str">
        <f>IF(AND(G24&gt;L24,G23&gt;L23),"Fail &gt; +2s",IF(AND(G24&gt;L24,G22&gt;L22),"Fail &gt; +2s",IF(AND(G24&lt;J24,G23&lt;J23),"Fail &lt; -2s",IF(AND(G24&lt;J24,G22&lt;J22),"Fail &lt; -2s","Pass"))))</f>
        <v>Pass</v>
      </c>
      <c r="Q24" s="240"/>
      <c r="R24" s="240"/>
      <c r="S24" s="179" t="str">
        <f>IF(H24="","",IF(H24&gt;'[2]Plot Data'!$C$68,"No","Yes"))</f>
        <v>Yes</v>
      </c>
      <c r="U24" s="336"/>
      <c r="V24" s="337"/>
      <c r="W24" s="337"/>
      <c r="X24" s="337"/>
      <c r="Y24" s="337"/>
      <c r="Z24" s="337"/>
      <c r="AA24" s="337"/>
      <c r="AB24" s="337"/>
      <c r="AC24" s="338"/>
      <c r="AD24" s="337"/>
    </row>
    <row r="25" spans="2:37" x14ac:dyDescent="0.3">
      <c r="B25" s="230">
        <v>4</v>
      </c>
      <c r="C25" s="328"/>
      <c r="D25" s="329"/>
      <c r="E25" s="330">
        <v>27.05</v>
      </c>
      <c r="F25" s="330">
        <v>27.11</v>
      </c>
      <c r="G25" s="231">
        <f t="shared" si="2"/>
        <v>27.08</v>
      </c>
      <c r="H25" s="232">
        <f t="shared" si="4"/>
        <v>5.9999999999998721E-2</v>
      </c>
      <c r="I25" s="232">
        <f>'[2]Plot Data'!$C$67</f>
        <v>26.787537881918869</v>
      </c>
      <c r="J25" s="232">
        <f>'[2]Plot Data'!$C$65</f>
        <v>26.863914143501468</v>
      </c>
      <c r="K25" s="238">
        <f>'[2]Plot Data'!$C$58</f>
        <v>27.016666666666666</v>
      </c>
      <c r="L25" s="238">
        <f>'[2]Plot Data'!$C$62</f>
        <v>27.169419189831864</v>
      </c>
      <c r="M25" s="238">
        <f>'[2]Plot Data'!$C$64</f>
        <v>27.245795451414462</v>
      </c>
      <c r="N25" s="239">
        <f>'[2]Plot Data'!$C$68</f>
        <v>0.12</v>
      </c>
      <c r="O25" s="177" t="str">
        <f t="shared" si="3"/>
        <v>Pass</v>
      </c>
      <c r="P25" s="180" t="str">
        <f t="shared" ref="P25:P42" si="5">IF(AND(G25&gt;L25,G24&gt;L24),"Fail &gt; +2s",IF(AND(G25&gt;L25,G23&gt;L23),"Fail &gt; +2s",IF(AND(G25&lt;J25,G24&lt;J24),"Fail &lt; -2s",IF(AND(G25&lt;J25,G23&lt;J23),"Fail &lt; -2s","Pass"))))</f>
        <v>Pass</v>
      </c>
      <c r="Q25" s="240"/>
      <c r="R25" s="240"/>
      <c r="S25" s="179" t="str">
        <f>IF(H25="","",IF(H25&gt;'[2]Plot Data'!$C$68,"No","Yes"))</f>
        <v>Yes</v>
      </c>
      <c r="U25" s="336"/>
      <c r="V25" s="337"/>
      <c r="W25" s="337"/>
      <c r="X25" s="337"/>
      <c r="Y25" s="337"/>
      <c r="Z25" s="337"/>
      <c r="AA25" s="337"/>
      <c r="AB25" s="337"/>
      <c r="AC25" s="338"/>
      <c r="AD25" s="337"/>
    </row>
    <row r="26" spans="2:37" x14ac:dyDescent="0.3">
      <c r="B26" s="230">
        <v>5</v>
      </c>
      <c r="C26" s="328"/>
      <c r="D26" s="329"/>
      <c r="E26" s="330">
        <v>27.11</v>
      </c>
      <c r="F26" s="330">
        <v>27.15</v>
      </c>
      <c r="G26" s="231">
        <f t="shared" si="2"/>
        <v>27.13</v>
      </c>
      <c r="H26" s="232">
        <f t="shared" si="4"/>
        <v>3.9999999999999147E-2</v>
      </c>
      <c r="I26" s="232">
        <f>'[2]Plot Data'!$C$67</f>
        <v>26.787537881918869</v>
      </c>
      <c r="J26" s="232">
        <f>'[2]Plot Data'!$C$65</f>
        <v>26.863914143501468</v>
      </c>
      <c r="K26" s="238">
        <f>'[2]Plot Data'!$C$58</f>
        <v>27.016666666666666</v>
      </c>
      <c r="L26" s="238">
        <f>'[2]Plot Data'!$C$62</f>
        <v>27.169419189831864</v>
      </c>
      <c r="M26" s="238">
        <f>'[2]Plot Data'!$C$64</f>
        <v>27.245795451414462</v>
      </c>
      <c r="N26" s="239">
        <f>'[2]Plot Data'!$C$68</f>
        <v>0.12</v>
      </c>
      <c r="O26" s="177" t="str">
        <f t="shared" si="3"/>
        <v>Pass</v>
      </c>
      <c r="P26" s="180" t="str">
        <f t="shared" si="5"/>
        <v>Pass</v>
      </c>
      <c r="Q26" s="240"/>
      <c r="R26" s="240"/>
      <c r="S26" s="179" t="str">
        <f>IF(H26="","",IF(H26&gt;'[2]Plot Data'!$C$68,"No","Yes"))</f>
        <v>Yes</v>
      </c>
      <c r="U26" s="336"/>
      <c r="V26" s="337"/>
      <c r="W26" s="337"/>
      <c r="X26" s="337"/>
      <c r="Y26" s="337"/>
      <c r="Z26" s="337"/>
      <c r="AA26" s="337"/>
      <c r="AB26" s="337"/>
      <c r="AC26" s="338"/>
      <c r="AD26" s="337"/>
    </row>
    <row r="27" spans="2:37" x14ac:dyDescent="0.3">
      <c r="B27" s="230">
        <v>6</v>
      </c>
      <c r="C27" s="328"/>
      <c r="D27" s="329"/>
      <c r="E27" s="330">
        <v>27.12</v>
      </c>
      <c r="F27" s="330">
        <v>27.06</v>
      </c>
      <c r="G27" s="231">
        <f t="shared" si="2"/>
        <v>27.09</v>
      </c>
      <c r="H27" s="232">
        <f t="shared" si="4"/>
        <v>6.0000000000002274E-2</v>
      </c>
      <c r="I27" s="232">
        <f>'[2]Plot Data'!$C$67</f>
        <v>26.787537881918869</v>
      </c>
      <c r="J27" s="232">
        <f>'[2]Plot Data'!$C$65</f>
        <v>26.863914143501468</v>
      </c>
      <c r="K27" s="238">
        <f>'[2]Plot Data'!$C$58</f>
        <v>27.016666666666666</v>
      </c>
      <c r="L27" s="238">
        <f>'[2]Plot Data'!$C$62</f>
        <v>27.169419189831864</v>
      </c>
      <c r="M27" s="238">
        <f>'[2]Plot Data'!$C$64</f>
        <v>27.245795451414462</v>
      </c>
      <c r="N27" s="239">
        <f>'[2]Plot Data'!$C$68</f>
        <v>0.12</v>
      </c>
      <c r="O27" s="177" t="str">
        <f t="shared" si="3"/>
        <v>Pass</v>
      </c>
      <c r="P27" s="180" t="str">
        <f t="shared" si="5"/>
        <v>Pass</v>
      </c>
      <c r="Q27" s="240"/>
      <c r="R27" s="180" t="str">
        <f>IF(AND(G27&gt;G26,G26&gt;G25,G25&gt;G24,G23&gt;G22),"Fail +ve trend",IF(AND(G27&lt;G26,G26&lt;G25,G25&lt;G24,G23&lt;G22),"Fail -ve trend","Pass"))</f>
        <v>Pass</v>
      </c>
      <c r="S27" s="179" t="str">
        <f>IF(H27="","",IF(H27&gt;'[2]Plot Data'!$C$68,"No","Yes"))</f>
        <v>Yes</v>
      </c>
      <c r="U27" s="336"/>
      <c r="V27" s="337"/>
      <c r="W27" s="337"/>
      <c r="X27" s="337"/>
      <c r="Y27" s="337"/>
      <c r="Z27" s="337"/>
      <c r="AA27" s="337"/>
      <c r="AB27" s="337"/>
      <c r="AC27" s="338"/>
      <c r="AD27" s="337"/>
    </row>
    <row r="28" spans="2:37" x14ac:dyDescent="0.3">
      <c r="B28" s="230">
        <v>7</v>
      </c>
      <c r="C28" s="328"/>
      <c r="D28" s="329"/>
      <c r="E28" s="330">
        <v>26.99</v>
      </c>
      <c r="F28" s="330">
        <v>27.12</v>
      </c>
      <c r="G28" s="231">
        <f t="shared" si="2"/>
        <v>27.055</v>
      </c>
      <c r="H28" s="232">
        <f t="shared" si="4"/>
        <v>0.13000000000000256</v>
      </c>
      <c r="I28" s="232">
        <f>'[2]Plot Data'!$C$67</f>
        <v>26.787537881918869</v>
      </c>
      <c r="J28" s="232">
        <f>'[2]Plot Data'!$C$65</f>
        <v>26.863914143501468</v>
      </c>
      <c r="K28" s="238">
        <f>'[2]Plot Data'!$C$58</f>
        <v>27.016666666666666</v>
      </c>
      <c r="L28" s="238">
        <f>'[2]Plot Data'!$C$62</f>
        <v>27.169419189831864</v>
      </c>
      <c r="M28" s="238">
        <f>'[2]Plot Data'!$C$64</f>
        <v>27.245795451414462</v>
      </c>
      <c r="N28" s="239">
        <f>'[2]Plot Data'!$C$68</f>
        <v>0.12</v>
      </c>
      <c r="O28" s="177" t="str">
        <f t="shared" si="3"/>
        <v>Pass</v>
      </c>
      <c r="P28" s="180" t="str">
        <f t="shared" si="5"/>
        <v>Pass</v>
      </c>
      <c r="Q28" s="240"/>
      <c r="R28" s="180" t="str">
        <f t="shared" ref="R28:R42" si="6">IF(AND(G28&gt;G27,G27&gt;G26,G26&gt;G25,G24&gt;G23),"Fail +ve trend",IF(AND(G28&lt;G27,G27&lt;G26,G26&lt;G25,G24&lt;G23),"Fail -ve trend","Pass"))</f>
        <v>Pass</v>
      </c>
      <c r="S28" s="179" t="str">
        <f>IF(H28="","",IF(H28&gt;'[2]Plot Data'!$C$68,"No","Yes"))</f>
        <v>No</v>
      </c>
      <c r="U28" s="336"/>
      <c r="V28" s="337"/>
      <c r="W28" s="337"/>
      <c r="X28" s="337"/>
      <c r="Y28" s="337"/>
      <c r="Z28" s="337"/>
      <c r="AA28" s="337"/>
      <c r="AB28" s="337"/>
      <c r="AC28" s="338"/>
      <c r="AD28" s="337"/>
    </row>
    <row r="29" spans="2:37" x14ac:dyDescent="0.3">
      <c r="B29" s="230">
        <v>8</v>
      </c>
      <c r="C29" s="328"/>
      <c r="D29" s="329"/>
      <c r="E29" s="330"/>
      <c r="F29" s="330"/>
      <c r="G29" s="231" t="e">
        <f t="shared" si="2"/>
        <v>#N/A</v>
      </c>
      <c r="H29" s="232" t="e">
        <f t="shared" si="4"/>
        <v>#N/A</v>
      </c>
      <c r="I29" s="232">
        <f>'[2]Plot Data'!$C$67</f>
        <v>26.787537881918869</v>
      </c>
      <c r="J29" s="232">
        <f>'[2]Plot Data'!$C$65</f>
        <v>26.863914143501468</v>
      </c>
      <c r="K29" s="238">
        <f>'[2]Plot Data'!$C$58</f>
        <v>27.016666666666666</v>
      </c>
      <c r="L29" s="238">
        <f>'[2]Plot Data'!$C$62</f>
        <v>27.169419189831864</v>
      </c>
      <c r="M29" s="238">
        <f>'[2]Plot Data'!$C$64</f>
        <v>27.245795451414462</v>
      </c>
      <c r="N29" s="239">
        <f>'[2]Plot Data'!$C$68</f>
        <v>0.12</v>
      </c>
      <c r="O29" s="177" t="e">
        <f t="shared" si="3"/>
        <v>#N/A</v>
      </c>
      <c r="P29" s="180" t="e">
        <f t="shared" si="5"/>
        <v>#N/A</v>
      </c>
      <c r="Q29" s="180" t="e">
        <f>IF(AND(G29&gt;K29,G28&gt;K29,G27&gt;K29,G26&gt;K29,G25&gt;K29,G24&gt;K29,G23&gt;K29,G22&gt;K29),"Fail +ve bias",IF(AND(G29&lt;K29,G28&lt;K29,G27&lt;K29,G26&lt;K29,G25&lt;K29,G24&lt;K29,G23&lt;K29,G22&lt;K29),"Fail -ve bias","Pass"))</f>
        <v>#N/A</v>
      </c>
      <c r="R29" s="180" t="e">
        <f t="shared" si="6"/>
        <v>#N/A</v>
      </c>
      <c r="S29" s="179" t="e">
        <f>IF(H29="","",IF(H29&gt;'[2]Plot Data'!$C$68,"No","Yes"))</f>
        <v>#N/A</v>
      </c>
      <c r="U29" s="336"/>
      <c r="V29" s="337"/>
      <c r="W29" s="337"/>
      <c r="X29" s="337"/>
      <c r="Y29" s="337"/>
      <c r="Z29" s="337"/>
      <c r="AA29" s="337"/>
      <c r="AB29" s="337"/>
      <c r="AC29" s="338"/>
      <c r="AD29" s="337"/>
    </row>
    <row r="30" spans="2:37" x14ac:dyDescent="0.3">
      <c r="B30" s="230">
        <v>9</v>
      </c>
      <c r="C30" s="328"/>
      <c r="D30" s="329"/>
      <c r="E30" s="330"/>
      <c r="F30" s="330"/>
      <c r="G30" s="231" t="e">
        <f t="shared" si="2"/>
        <v>#N/A</v>
      </c>
      <c r="H30" s="232" t="e">
        <f t="shared" si="4"/>
        <v>#N/A</v>
      </c>
      <c r="I30" s="232">
        <f>'[2]Plot Data'!$C$67</f>
        <v>26.787537881918869</v>
      </c>
      <c r="J30" s="232">
        <f>'[2]Plot Data'!$C$65</f>
        <v>26.863914143501468</v>
      </c>
      <c r="K30" s="238">
        <f>'[2]Plot Data'!$C$58</f>
        <v>27.016666666666666</v>
      </c>
      <c r="L30" s="238">
        <f>'[2]Plot Data'!$C$62</f>
        <v>27.169419189831864</v>
      </c>
      <c r="M30" s="238">
        <f>'[2]Plot Data'!$C$64</f>
        <v>27.245795451414462</v>
      </c>
      <c r="N30" s="239">
        <f>'[2]Plot Data'!$C$68</f>
        <v>0.12</v>
      </c>
      <c r="O30" s="177" t="e">
        <f t="shared" si="3"/>
        <v>#N/A</v>
      </c>
      <c r="P30" s="180" t="e">
        <f t="shared" si="5"/>
        <v>#N/A</v>
      </c>
      <c r="Q30" s="180" t="e">
        <f t="shared" ref="Q30:Q42" si="7">IF(AND(G30&gt;K30,G29&gt;K30,G28&gt;K30,G27&gt;K30,G26&gt;K30,G25&gt;K30,G24&gt;K30,G23&gt;K30),"Fail +ve bias",IF(AND(G30&lt;K30,G29&lt;K30,G28&lt;K30,G27&lt;K30,G26&lt;K30,G25&lt;K30,G24&lt;K30,G23&lt;K30),"Fail -ve bias","Pass"))</f>
        <v>#N/A</v>
      </c>
      <c r="R30" s="180" t="e">
        <f t="shared" si="6"/>
        <v>#N/A</v>
      </c>
      <c r="S30" s="179" t="e">
        <f>IF(H30="","",IF(H30&gt;'[2]Plot Data'!$C$68,"No","Yes"))</f>
        <v>#N/A</v>
      </c>
      <c r="U30" s="336"/>
      <c r="V30" s="337"/>
      <c r="W30" s="337"/>
      <c r="X30" s="337"/>
      <c r="Y30" s="337"/>
      <c r="Z30" s="337"/>
      <c r="AA30" s="337"/>
      <c r="AB30" s="337"/>
      <c r="AC30" s="338"/>
      <c r="AD30" s="337"/>
    </row>
    <row r="31" spans="2:37" x14ac:dyDescent="0.3">
      <c r="B31" s="230">
        <v>10</v>
      </c>
      <c r="C31" s="328"/>
      <c r="D31" s="329"/>
      <c r="E31" s="330"/>
      <c r="F31" s="330"/>
      <c r="G31" s="231" t="e">
        <f t="shared" si="2"/>
        <v>#N/A</v>
      </c>
      <c r="H31" s="232" t="e">
        <f t="shared" si="4"/>
        <v>#N/A</v>
      </c>
      <c r="I31" s="232">
        <f>'[2]Plot Data'!$C$67</f>
        <v>26.787537881918869</v>
      </c>
      <c r="J31" s="232">
        <f>'[2]Plot Data'!$C$65</f>
        <v>26.863914143501468</v>
      </c>
      <c r="K31" s="238">
        <f>'[2]Plot Data'!$C$58</f>
        <v>27.016666666666666</v>
      </c>
      <c r="L31" s="238">
        <f>'[2]Plot Data'!$C$62</f>
        <v>27.169419189831864</v>
      </c>
      <c r="M31" s="238">
        <f>'[2]Plot Data'!$C$64</f>
        <v>27.245795451414462</v>
      </c>
      <c r="N31" s="239">
        <f>'[2]Plot Data'!$C$68</f>
        <v>0.12</v>
      </c>
      <c r="O31" s="177" t="e">
        <f t="shared" si="3"/>
        <v>#N/A</v>
      </c>
      <c r="P31" s="180" t="e">
        <f t="shared" si="5"/>
        <v>#N/A</v>
      </c>
      <c r="Q31" s="180" t="e">
        <f t="shared" si="7"/>
        <v>#N/A</v>
      </c>
      <c r="R31" s="180" t="e">
        <f t="shared" si="6"/>
        <v>#N/A</v>
      </c>
      <c r="S31" s="179" t="e">
        <f>IF(H31="","",IF(H31&gt;'[2]Plot Data'!$C$68,"No","Yes"))</f>
        <v>#N/A</v>
      </c>
      <c r="U31" s="336"/>
      <c r="V31" s="337"/>
      <c r="W31" s="337"/>
      <c r="X31" s="337"/>
      <c r="Y31" s="337"/>
      <c r="Z31" s="337"/>
      <c r="AA31" s="337"/>
      <c r="AB31" s="337"/>
      <c r="AC31" s="338"/>
      <c r="AD31" s="337"/>
    </row>
    <row r="32" spans="2:37" x14ac:dyDescent="0.3">
      <c r="B32" s="230">
        <v>11</v>
      </c>
      <c r="C32" s="328"/>
      <c r="D32" s="329"/>
      <c r="E32" s="330"/>
      <c r="F32" s="330"/>
      <c r="G32" s="231" t="e">
        <f t="shared" si="2"/>
        <v>#N/A</v>
      </c>
      <c r="H32" s="232" t="e">
        <f t="shared" si="4"/>
        <v>#N/A</v>
      </c>
      <c r="I32" s="232">
        <f>'[2]Plot Data'!$C$67</f>
        <v>26.787537881918869</v>
      </c>
      <c r="J32" s="232">
        <f>'[2]Plot Data'!$C$65</f>
        <v>26.863914143501468</v>
      </c>
      <c r="K32" s="238">
        <f>'[2]Plot Data'!$C$58</f>
        <v>27.016666666666666</v>
      </c>
      <c r="L32" s="238">
        <f>'[2]Plot Data'!$C$62</f>
        <v>27.169419189831864</v>
      </c>
      <c r="M32" s="238">
        <f>'[2]Plot Data'!$C$64</f>
        <v>27.245795451414462</v>
      </c>
      <c r="N32" s="239">
        <f>'[2]Plot Data'!$C$68</f>
        <v>0.12</v>
      </c>
      <c r="O32" s="177" t="e">
        <f t="shared" si="3"/>
        <v>#N/A</v>
      </c>
      <c r="P32" s="180" t="e">
        <f t="shared" si="5"/>
        <v>#N/A</v>
      </c>
      <c r="Q32" s="180" t="e">
        <f t="shared" si="7"/>
        <v>#N/A</v>
      </c>
      <c r="R32" s="180" t="e">
        <f t="shared" si="6"/>
        <v>#N/A</v>
      </c>
      <c r="S32" s="179" t="e">
        <f>IF(H32="","",IF(H32&gt;'[2]Plot Data'!$C$68,"No","Yes"))</f>
        <v>#N/A</v>
      </c>
      <c r="U32" s="336"/>
      <c r="V32" s="337"/>
      <c r="W32" s="337"/>
      <c r="X32" s="337"/>
      <c r="Y32" s="337"/>
      <c r="Z32" s="337"/>
      <c r="AA32" s="337"/>
      <c r="AB32" s="337"/>
      <c r="AC32" s="338"/>
      <c r="AD32" s="337"/>
    </row>
    <row r="33" spans="2:30" x14ac:dyDescent="0.3">
      <c r="B33" s="230">
        <v>12</v>
      </c>
      <c r="C33" s="328"/>
      <c r="D33" s="329"/>
      <c r="E33" s="330"/>
      <c r="F33" s="330"/>
      <c r="G33" s="231" t="e">
        <f t="shared" si="2"/>
        <v>#N/A</v>
      </c>
      <c r="H33" s="232" t="e">
        <f t="shared" si="4"/>
        <v>#N/A</v>
      </c>
      <c r="I33" s="232">
        <f>'[2]Plot Data'!$C$67</f>
        <v>26.787537881918869</v>
      </c>
      <c r="J33" s="232">
        <f>'[2]Plot Data'!$C$65</f>
        <v>26.863914143501468</v>
      </c>
      <c r="K33" s="238">
        <f>'[2]Plot Data'!$C$58</f>
        <v>27.016666666666666</v>
      </c>
      <c r="L33" s="238">
        <f>'[2]Plot Data'!$C$62</f>
        <v>27.169419189831864</v>
      </c>
      <c r="M33" s="238">
        <f>'[2]Plot Data'!$C$64</f>
        <v>27.245795451414462</v>
      </c>
      <c r="N33" s="239">
        <f>'[2]Plot Data'!$C$68</f>
        <v>0.12</v>
      </c>
      <c r="O33" s="177" t="e">
        <f t="shared" si="3"/>
        <v>#N/A</v>
      </c>
      <c r="P33" s="180" t="e">
        <f t="shared" si="5"/>
        <v>#N/A</v>
      </c>
      <c r="Q33" s="180" t="e">
        <f t="shared" si="7"/>
        <v>#N/A</v>
      </c>
      <c r="R33" s="180" t="e">
        <f t="shared" si="6"/>
        <v>#N/A</v>
      </c>
      <c r="S33" s="179" t="e">
        <f>IF(H33="","",IF(H33&gt;'[2]Plot Data'!$C$68,"No","Yes"))</f>
        <v>#N/A</v>
      </c>
      <c r="U33" s="336"/>
      <c r="V33" s="337"/>
      <c r="W33" s="337"/>
      <c r="X33" s="337"/>
      <c r="Y33" s="337"/>
      <c r="Z33" s="337"/>
      <c r="AA33" s="337"/>
      <c r="AB33" s="337"/>
      <c r="AC33" s="338"/>
      <c r="AD33" s="337"/>
    </row>
    <row r="34" spans="2:30" x14ac:dyDescent="0.3">
      <c r="B34" s="230">
        <v>13</v>
      </c>
      <c r="C34" s="328"/>
      <c r="D34" s="329"/>
      <c r="E34" s="330"/>
      <c r="F34" s="330"/>
      <c r="G34" s="231" t="e">
        <f t="shared" si="2"/>
        <v>#N/A</v>
      </c>
      <c r="H34" s="232" t="e">
        <f t="shared" si="4"/>
        <v>#N/A</v>
      </c>
      <c r="I34" s="232">
        <f>'[2]Plot Data'!$C$67</f>
        <v>26.787537881918869</v>
      </c>
      <c r="J34" s="232">
        <f>'[2]Plot Data'!$C$65</f>
        <v>26.863914143501468</v>
      </c>
      <c r="K34" s="238">
        <f>'[2]Plot Data'!$C$58</f>
        <v>27.016666666666666</v>
      </c>
      <c r="L34" s="238">
        <f>'[2]Plot Data'!$C$62</f>
        <v>27.169419189831864</v>
      </c>
      <c r="M34" s="238">
        <f>'[2]Plot Data'!$C$64</f>
        <v>27.245795451414462</v>
      </c>
      <c r="N34" s="239">
        <f>'[2]Plot Data'!$C$68</f>
        <v>0.12</v>
      </c>
      <c r="O34" s="177" t="e">
        <f t="shared" si="3"/>
        <v>#N/A</v>
      </c>
      <c r="P34" s="180" t="e">
        <f t="shared" si="5"/>
        <v>#N/A</v>
      </c>
      <c r="Q34" s="180" t="e">
        <f t="shared" si="7"/>
        <v>#N/A</v>
      </c>
      <c r="R34" s="180" t="e">
        <f t="shared" si="6"/>
        <v>#N/A</v>
      </c>
      <c r="S34" s="179" t="e">
        <f>IF(H34="","",IF(H34&gt;'[2]Plot Data'!$C$68,"No","Yes"))</f>
        <v>#N/A</v>
      </c>
      <c r="U34" s="336"/>
      <c r="V34" s="337"/>
      <c r="W34" s="337"/>
      <c r="X34" s="337"/>
      <c r="Y34" s="337"/>
      <c r="Z34" s="337"/>
      <c r="AA34" s="337"/>
      <c r="AB34" s="337"/>
      <c r="AC34" s="338"/>
      <c r="AD34" s="337"/>
    </row>
    <row r="35" spans="2:30" x14ac:dyDescent="0.3">
      <c r="B35" s="230">
        <v>14</v>
      </c>
      <c r="C35" s="328"/>
      <c r="D35" s="329"/>
      <c r="E35" s="330"/>
      <c r="F35" s="330"/>
      <c r="G35" s="231" t="e">
        <f t="shared" si="2"/>
        <v>#N/A</v>
      </c>
      <c r="H35" s="232" t="e">
        <f t="shared" si="4"/>
        <v>#N/A</v>
      </c>
      <c r="I35" s="232">
        <f>'[2]Plot Data'!$C$67</f>
        <v>26.787537881918869</v>
      </c>
      <c r="J35" s="232">
        <f>'[2]Plot Data'!$C$65</f>
        <v>26.863914143501468</v>
      </c>
      <c r="K35" s="238">
        <f>'[2]Plot Data'!$C$58</f>
        <v>27.016666666666666</v>
      </c>
      <c r="L35" s="238">
        <f>'[2]Plot Data'!$C$62</f>
        <v>27.169419189831864</v>
      </c>
      <c r="M35" s="238">
        <f>'[2]Plot Data'!$C$64</f>
        <v>27.245795451414462</v>
      </c>
      <c r="N35" s="239">
        <f>'[2]Plot Data'!$C$68</f>
        <v>0.12</v>
      </c>
      <c r="O35" s="177" t="e">
        <f t="shared" si="3"/>
        <v>#N/A</v>
      </c>
      <c r="P35" s="180" t="e">
        <f t="shared" si="5"/>
        <v>#N/A</v>
      </c>
      <c r="Q35" s="180" t="e">
        <f t="shared" si="7"/>
        <v>#N/A</v>
      </c>
      <c r="R35" s="180" t="e">
        <f t="shared" si="6"/>
        <v>#N/A</v>
      </c>
      <c r="S35" s="179" t="e">
        <f>IF(H35="","",IF(H35&gt;'[2]Plot Data'!$C$68,"No","Yes"))</f>
        <v>#N/A</v>
      </c>
      <c r="U35" s="336"/>
      <c r="V35" s="337"/>
      <c r="W35" s="337"/>
      <c r="X35" s="337"/>
      <c r="Y35" s="337"/>
      <c r="Z35" s="337"/>
      <c r="AA35" s="337"/>
      <c r="AB35" s="337"/>
      <c r="AC35" s="338"/>
      <c r="AD35" s="337"/>
    </row>
    <row r="36" spans="2:30" x14ac:dyDescent="0.3">
      <c r="B36" s="230">
        <v>15</v>
      </c>
      <c r="C36" s="328"/>
      <c r="D36" s="329"/>
      <c r="E36" s="330"/>
      <c r="F36" s="330"/>
      <c r="G36" s="231" t="e">
        <f t="shared" si="2"/>
        <v>#N/A</v>
      </c>
      <c r="H36" s="232" t="e">
        <f t="shared" si="4"/>
        <v>#N/A</v>
      </c>
      <c r="I36" s="232">
        <f>'[2]Plot Data'!$C$67</f>
        <v>26.787537881918869</v>
      </c>
      <c r="J36" s="232">
        <f>'[2]Plot Data'!$C$65</f>
        <v>26.863914143501468</v>
      </c>
      <c r="K36" s="238">
        <f>'[2]Plot Data'!$C$58</f>
        <v>27.016666666666666</v>
      </c>
      <c r="L36" s="238">
        <f>'[2]Plot Data'!$C$62</f>
        <v>27.169419189831864</v>
      </c>
      <c r="M36" s="238">
        <f>'[2]Plot Data'!$C$64</f>
        <v>27.245795451414462</v>
      </c>
      <c r="N36" s="239">
        <f>'[2]Plot Data'!$C$68</f>
        <v>0.12</v>
      </c>
      <c r="O36" s="177" t="e">
        <f t="shared" si="3"/>
        <v>#N/A</v>
      </c>
      <c r="P36" s="180" t="e">
        <f t="shared" si="5"/>
        <v>#N/A</v>
      </c>
      <c r="Q36" s="180" t="e">
        <f t="shared" si="7"/>
        <v>#N/A</v>
      </c>
      <c r="R36" s="180" t="e">
        <f t="shared" si="6"/>
        <v>#N/A</v>
      </c>
      <c r="S36" s="179" t="e">
        <f>IF(H36="","",IF(H36&gt;'[2]Plot Data'!$C$68,"No","Yes"))</f>
        <v>#N/A</v>
      </c>
      <c r="U36" s="336"/>
      <c r="V36" s="337"/>
      <c r="W36" s="337"/>
      <c r="X36" s="337"/>
      <c r="Y36" s="337"/>
      <c r="Z36" s="337"/>
      <c r="AA36" s="337"/>
      <c r="AB36" s="337"/>
      <c r="AC36" s="338"/>
      <c r="AD36" s="337"/>
    </row>
    <row r="37" spans="2:30" x14ac:dyDescent="0.3">
      <c r="B37" s="230">
        <v>16</v>
      </c>
      <c r="C37" s="328"/>
      <c r="D37" s="329"/>
      <c r="E37" s="330"/>
      <c r="F37" s="330"/>
      <c r="G37" s="231" t="e">
        <f t="shared" si="2"/>
        <v>#N/A</v>
      </c>
      <c r="H37" s="232" t="e">
        <f t="shared" si="4"/>
        <v>#N/A</v>
      </c>
      <c r="I37" s="232">
        <f>'[2]Plot Data'!$C$67</f>
        <v>26.787537881918869</v>
      </c>
      <c r="J37" s="232">
        <f>'[2]Plot Data'!$C$65</f>
        <v>26.863914143501468</v>
      </c>
      <c r="K37" s="238">
        <f>'[2]Plot Data'!$C$58</f>
        <v>27.016666666666666</v>
      </c>
      <c r="L37" s="238">
        <f>'[2]Plot Data'!$C$62</f>
        <v>27.169419189831864</v>
      </c>
      <c r="M37" s="238">
        <f>'[2]Plot Data'!$C$64</f>
        <v>27.245795451414462</v>
      </c>
      <c r="N37" s="239">
        <f>'[2]Plot Data'!$C$68</f>
        <v>0.12</v>
      </c>
      <c r="O37" s="177" t="e">
        <f t="shared" si="3"/>
        <v>#N/A</v>
      </c>
      <c r="P37" s="180" t="e">
        <f t="shared" si="5"/>
        <v>#N/A</v>
      </c>
      <c r="Q37" s="180" t="e">
        <f t="shared" si="7"/>
        <v>#N/A</v>
      </c>
      <c r="R37" s="180" t="e">
        <f t="shared" si="6"/>
        <v>#N/A</v>
      </c>
      <c r="S37" s="179" t="e">
        <f>IF(H37="","",IF(H37&gt;'[2]Plot Data'!$C$68,"No","Yes"))</f>
        <v>#N/A</v>
      </c>
      <c r="U37" s="336"/>
      <c r="V37" s="337"/>
      <c r="W37" s="337"/>
      <c r="X37" s="337"/>
      <c r="Y37" s="337"/>
      <c r="Z37" s="337"/>
      <c r="AA37" s="337"/>
      <c r="AB37" s="337"/>
      <c r="AC37" s="338"/>
      <c r="AD37" s="337"/>
    </row>
    <row r="38" spans="2:30" x14ac:dyDescent="0.3">
      <c r="B38" s="230">
        <v>17</v>
      </c>
      <c r="C38" s="328"/>
      <c r="D38" s="329"/>
      <c r="E38" s="330"/>
      <c r="F38" s="330"/>
      <c r="G38" s="231" t="e">
        <f t="shared" si="2"/>
        <v>#N/A</v>
      </c>
      <c r="H38" s="232" t="e">
        <f t="shared" si="4"/>
        <v>#N/A</v>
      </c>
      <c r="I38" s="232">
        <f>'[2]Plot Data'!$C$67</f>
        <v>26.787537881918869</v>
      </c>
      <c r="J38" s="232">
        <f>'[2]Plot Data'!$C$65</f>
        <v>26.863914143501468</v>
      </c>
      <c r="K38" s="238">
        <f>'[2]Plot Data'!$C$58</f>
        <v>27.016666666666666</v>
      </c>
      <c r="L38" s="238">
        <f>'[2]Plot Data'!$C$62</f>
        <v>27.169419189831864</v>
      </c>
      <c r="M38" s="238">
        <f>'[2]Plot Data'!$C$64</f>
        <v>27.245795451414462</v>
      </c>
      <c r="N38" s="239">
        <f>'[2]Plot Data'!$C$68</f>
        <v>0.12</v>
      </c>
      <c r="O38" s="177" t="e">
        <f t="shared" si="3"/>
        <v>#N/A</v>
      </c>
      <c r="P38" s="180" t="e">
        <f t="shared" si="5"/>
        <v>#N/A</v>
      </c>
      <c r="Q38" s="180" t="e">
        <f t="shared" si="7"/>
        <v>#N/A</v>
      </c>
      <c r="R38" s="180" t="e">
        <f t="shared" si="6"/>
        <v>#N/A</v>
      </c>
      <c r="S38" s="179" t="e">
        <f>IF(H38="","",IF(H38&gt;'[2]Plot Data'!$C$68,"No","Yes"))</f>
        <v>#N/A</v>
      </c>
      <c r="U38" s="336"/>
      <c r="V38" s="337"/>
      <c r="W38" s="337"/>
      <c r="X38" s="337"/>
      <c r="Y38" s="337"/>
      <c r="Z38" s="337"/>
      <c r="AA38" s="337"/>
      <c r="AB38" s="337"/>
      <c r="AC38" s="338"/>
      <c r="AD38" s="337"/>
    </row>
    <row r="39" spans="2:30" x14ac:dyDescent="0.3">
      <c r="B39" s="230">
        <v>18</v>
      </c>
      <c r="C39" s="328"/>
      <c r="D39" s="329"/>
      <c r="E39" s="330"/>
      <c r="F39" s="330"/>
      <c r="G39" s="231" t="e">
        <f t="shared" si="2"/>
        <v>#N/A</v>
      </c>
      <c r="H39" s="232" t="e">
        <f t="shared" si="4"/>
        <v>#N/A</v>
      </c>
      <c r="I39" s="232">
        <f>'[2]Plot Data'!$C$67</f>
        <v>26.787537881918869</v>
      </c>
      <c r="J39" s="232">
        <f>'[2]Plot Data'!$C$65</f>
        <v>26.863914143501468</v>
      </c>
      <c r="K39" s="238">
        <f>'[2]Plot Data'!$C$58</f>
        <v>27.016666666666666</v>
      </c>
      <c r="L39" s="238">
        <f>'[2]Plot Data'!$C$62</f>
        <v>27.169419189831864</v>
      </c>
      <c r="M39" s="238">
        <f>'[2]Plot Data'!$C$64</f>
        <v>27.245795451414462</v>
      </c>
      <c r="N39" s="239">
        <f>'[2]Plot Data'!$C$68</f>
        <v>0.12</v>
      </c>
      <c r="O39" s="177" t="e">
        <f t="shared" si="3"/>
        <v>#N/A</v>
      </c>
      <c r="P39" s="180" t="e">
        <f t="shared" si="5"/>
        <v>#N/A</v>
      </c>
      <c r="Q39" s="180" t="e">
        <f t="shared" si="7"/>
        <v>#N/A</v>
      </c>
      <c r="R39" s="180" t="e">
        <f t="shared" si="6"/>
        <v>#N/A</v>
      </c>
      <c r="S39" s="179" t="e">
        <f>IF(H39="","",IF(H39&gt;'[2]Plot Data'!$C$68,"No","Yes"))</f>
        <v>#N/A</v>
      </c>
      <c r="U39" s="336"/>
      <c r="V39" s="337"/>
      <c r="W39" s="337"/>
      <c r="X39" s="337"/>
      <c r="Y39" s="337"/>
      <c r="Z39" s="337"/>
      <c r="AA39" s="337"/>
      <c r="AB39" s="337"/>
      <c r="AC39" s="338"/>
      <c r="AD39" s="337"/>
    </row>
    <row r="40" spans="2:30" ht="15" thickBot="1" x14ac:dyDescent="0.35">
      <c r="B40" s="230">
        <v>19</v>
      </c>
      <c r="C40" s="328"/>
      <c r="D40" s="329"/>
      <c r="E40" s="330"/>
      <c r="F40" s="330"/>
      <c r="G40" s="231" t="e">
        <f t="shared" si="2"/>
        <v>#N/A</v>
      </c>
      <c r="H40" s="232" t="e">
        <f t="shared" si="4"/>
        <v>#N/A</v>
      </c>
      <c r="I40" s="232">
        <f>'[2]Plot Data'!$C$67</f>
        <v>26.787537881918869</v>
      </c>
      <c r="J40" s="232">
        <f>'[2]Plot Data'!$C$65</f>
        <v>26.863914143501468</v>
      </c>
      <c r="K40" s="238">
        <f>'[2]Plot Data'!$C$58</f>
        <v>27.016666666666666</v>
      </c>
      <c r="L40" s="238">
        <f>'[2]Plot Data'!$C$62</f>
        <v>27.169419189831864</v>
      </c>
      <c r="M40" s="238">
        <f>'[2]Plot Data'!$C$64</f>
        <v>27.245795451414462</v>
      </c>
      <c r="N40" s="239">
        <f>'[2]Plot Data'!$C$68</f>
        <v>0.12</v>
      </c>
      <c r="O40" s="177" t="e">
        <f t="shared" si="3"/>
        <v>#N/A</v>
      </c>
      <c r="P40" s="180" t="e">
        <f t="shared" si="5"/>
        <v>#N/A</v>
      </c>
      <c r="Q40" s="180" t="e">
        <f t="shared" si="7"/>
        <v>#N/A</v>
      </c>
      <c r="R40" s="180" t="e">
        <f t="shared" si="6"/>
        <v>#N/A</v>
      </c>
      <c r="S40" s="179" t="e">
        <f>IF(H40="","",IF(H40&gt;'[2]Plot Data'!$C$68,"No","Yes"))</f>
        <v>#N/A</v>
      </c>
      <c r="U40" s="341"/>
      <c r="V40" s="342"/>
      <c r="W40" s="342"/>
      <c r="X40" s="342"/>
      <c r="Y40" s="342"/>
      <c r="Z40" s="342"/>
      <c r="AA40" s="342"/>
      <c r="AB40" s="342"/>
      <c r="AC40" s="343"/>
      <c r="AD40" s="337"/>
    </row>
    <row r="41" spans="2:30" x14ac:dyDescent="0.3">
      <c r="B41" s="230">
        <v>20</v>
      </c>
      <c r="C41" s="328"/>
      <c r="D41" s="329"/>
      <c r="E41" s="330"/>
      <c r="F41" s="330"/>
      <c r="G41" s="231" t="e">
        <f t="shared" si="2"/>
        <v>#N/A</v>
      </c>
      <c r="H41" s="232" t="e">
        <f t="shared" si="4"/>
        <v>#N/A</v>
      </c>
      <c r="I41" s="232">
        <f>'[2]Plot Data'!$C$67</f>
        <v>26.787537881918869</v>
      </c>
      <c r="J41" s="232">
        <f>'[2]Plot Data'!$C$65</f>
        <v>26.863914143501468</v>
      </c>
      <c r="K41" s="238">
        <f>'[2]Plot Data'!$C$58</f>
        <v>27.016666666666666</v>
      </c>
      <c r="L41" s="238">
        <f>'[2]Plot Data'!$C$62</f>
        <v>27.169419189831864</v>
      </c>
      <c r="M41" s="238">
        <f>'[2]Plot Data'!$C$64</f>
        <v>27.245795451414462</v>
      </c>
      <c r="N41" s="239">
        <f>'[2]Plot Data'!$C$68</f>
        <v>0.12</v>
      </c>
      <c r="O41" s="177" t="e">
        <f t="shared" si="3"/>
        <v>#N/A</v>
      </c>
      <c r="P41" s="180" t="e">
        <f t="shared" si="5"/>
        <v>#N/A</v>
      </c>
      <c r="Q41" s="180" t="e">
        <f t="shared" si="7"/>
        <v>#N/A</v>
      </c>
      <c r="R41" s="180" t="e">
        <f t="shared" si="6"/>
        <v>#N/A</v>
      </c>
      <c r="S41" s="179" t="e">
        <f>IF(H41="","",IF(H41&gt;'[2]Plot Data'!$C$68,"No","Yes"))</f>
        <v>#N/A</v>
      </c>
    </row>
    <row r="42" spans="2:30" ht="15" thickBot="1" x14ac:dyDescent="0.35">
      <c r="B42" s="241">
        <v>21</v>
      </c>
      <c r="C42" s="331"/>
      <c r="D42" s="332"/>
      <c r="E42" s="333"/>
      <c r="F42" s="333"/>
      <c r="G42" s="243" t="e">
        <f t="shared" si="2"/>
        <v>#N/A</v>
      </c>
      <c r="H42" s="244" t="e">
        <f t="shared" si="4"/>
        <v>#N/A</v>
      </c>
      <c r="I42" s="244">
        <f>'[2]Plot Data'!$C$67</f>
        <v>26.787537881918869</v>
      </c>
      <c r="J42" s="244">
        <f>'[2]Plot Data'!$C$65</f>
        <v>26.863914143501468</v>
      </c>
      <c r="K42" s="245">
        <f>'[2]Plot Data'!$C$58</f>
        <v>27.016666666666666</v>
      </c>
      <c r="L42" s="245">
        <f>'[2]Plot Data'!$C$62</f>
        <v>27.169419189831864</v>
      </c>
      <c r="M42" s="245">
        <f>'[2]Plot Data'!$C$64</f>
        <v>27.245795451414462</v>
      </c>
      <c r="N42" s="246">
        <f>'[2]Plot Data'!$C$68</f>
        <v>0.12</v>
      </c>
      <c r="O42" s="242" t="e">
        <f t="shared" si="3"/>
        <v>#N/A</v>
      </c>
      <c r="P42" s="180" t="e">
        <f t="shared" si="5"/>
        <v>#N/A</v>
      </c>
      <c r="Q42" s="247" t="e">
        <f t="shared" si="7"/>
        <v>#N/A</v>
      </c>
      <c r="R42" s="247" t="e">
        <f t="shared" si="6"/>
        <v>#N/A</v>
      </c>
      <c r="S42" s="248" t="e">
        <f>IF(H42="","",IF(H42&gt;'[2]Plot Data'!$C$68,"No","Yes"))</f>
        <v>#N/A</v>
      </c>
    </row>
  </sheetData>
  <sheetProtection password="B7E1" sheet="1" objects="1" scenarios="1"/>
  <mergeCells count="6">
    <mergeCell ref="B19:D19"/>
    <mergeCell ref="V4:AB4"/>
    <mergeCell ref="AF7:AJ7"/>
    <mergeCell ref="V6:X6"/>
    <mergeCell ref="V7:X7"/>
    <mergeCell ref="B18:D18"/>
  </mergeCells>
  <conditionalFormatting sqref="H22:H42">
    <cfRule type="cellIs" dxfId="23" priority="33" operator="equal">
      <formula>NA()</formula>
    </cfRule>
    <cfRule type="cellIs" dxfId="22" priority="34" operator="equal">
      <formula>"Yes"</formula>
    </cfRule>
    <cfRule type="cellIs" dxfId="21" priority="35" operator="equal">
      <formula>"No"</formula>
    </cfRule>
  </conditionalFormatting>
  <conditionalFormatting sqref="O22:O42">
    <cfRule type="cellIs" dxfId="20" priority="24" operator="equal">
      <formula>"Pass"</formula>
    </cfRule>
    <cfRule type="cellIs" dxfId="19" priority="25" operator="equal">
      <formula>"&lt;-3s"</formula>
    </cfRule>
    <cfRule type="cellIs" dxfId="18" priority="26" operator="equal">
      <formula>"&gt;+3s"</formula>
    </cfRule>
  </conditionalFormatting>
  <conditionalFormatting sqref="P23:P42">
    <cfRule type="cellIs" dxfId="17" priority="16" operator="equal">
      <formula>"Pass"</formula>
    </cfRule>
    <cfRule type="cellIs" dxfId="16" priority="21" operator="equal">
      <formula>""</formula>
    </cfRule>
    <cfRule type="cellIs" dxfId="15" priority="22" operator="equal">
      <formula>"Fail &gt; +2s"</formula>
    </cfRule>
    <cfRule type="cellIs" dxfId="14" priority="23" operator="equal">
      <formula>"Fail &lt; -2s"</formula>
    </cfRule>
  </conditionalFormatting>
  <conditionalFormatting sqref="Q29:Q42">
    <cfRule type="cellIs" dxfId="13" priority="8" operator="equal">
      <formula>""</formula>
    </cfRule>
    <cfRule type="cellIs" dxfId="12" priority="9" operator="equal">
      <formula>"Pass"</formula>
    </cfRule>
    <cfRule type="cellIs" dxfId="11" priority="10" operator="equal">
      <formula>"Fail -ve bias"</formula>
    </cfRule>
    <cfRule type="cellIs" dxfId="10" priority="11" operator="equal">
      <formula>"Fail +ve bias"</formula>
    </cfRule>
  </conditionalFormatting>
  <conditionalFormatting sqref="R27:R42">
    <cfRule type="cellIs" dxfId="9" priority="4" operator="equal">
      <formula>""</formula>
    </cfRule>
    <cfRule type="cellIs" dxfId="8" priority="5" operator="equal">
      <formula>"Fail -ve trend"</formula>
    </cfRule>
    <cfRule type="cellIs" dxfId="7" priority="6" operator="equal">
      <formula>"Fail +ve trend"</formula>
    </cfRule>
    <cfRule type="cellIs" dxfId="6" priority="7" operator="equal">
      <formula>"Pass"</formula>
    </cfRule>
  </conditionalFormatting>
  <conditionalFormatting sqref="S22:S42">
    <cfRule type="cellIs" dxfId="5" priority="30" operator="equal">
      <formula>NA()</formula>
    </cfRule>
    <cfRule type="cellIs" dxfId="4" priority="31" operator="equal">
      <formula>"Yes"</formula>
    </cfRule>
    <cfRule type="cellIs" dxfId="3" priority="32" operator="equal">
      <formula>"No"</formula>
    </cfRule>
  </conditionalFormatting>
  <conditionalFormatting sqref="AB10:AB16">
    <cfRule type="cellIs" dxfId="2" priority="1" operator="equal">
      <formula>NA()</formula>
    </cfRule>
    <cfRule type="cellIs" dxfId="1" priority="2" operator="equal">
      <formula>"Yes"</formula>
    </cfRule>
    <cfRule type="cellIs" dxfId="0" priority="3" operator="equal">
      <formula>"No"</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16</vt:i4>
      </vt:variant>
    </vt:vector>
  </HeadingPairs>
  <TitlesOfParts>
    <vt:vector size="49" baseType="lpstr">
      <vt:lpstr>Instructions</vt:lpstr>
      <vt:lpstr>Data Input</vt:lpstr>
      <vt:lpstr>CV Chart - Low</vt:lpstr>
      <vt:lpstr>Plot Data</vt:lpstr>
      <vt:lpstr>CV Chart</vt:lpstr>
      <vt:lpstr>CV Chart - Benzoic</vt:lpstr>
      <vt:lpstr>TS Chart Low</vt:lpstr>
      <vt:lpstr>TS Chart High</vt:lpstr>
      <vt:lpstr>MIAS Chart</vt:lpstr>
      <vt:lpstr>VM Chart</vt:lpstr>
      <vt:lpstr>ISO Ash Chart</vt:lpstr>
      <vt:lpstr>Quick Ash Chart</vt:lpstr>
      <vt:lpstr>ACTION SHEET CONTROL CHARTS</vt:lpstr>
      <vt:lpstr>AFT Cu Chart</vt:lpstr>
      <vt:lpstr>AFT Ni Chart</vt:lpstr>
      <vt:lpstr>AFT QC</vt:lpstr>
      <vt:lpstr>CV 1</vt:lpstr>
      <vt:lpstr>Sulphur 1</vt:lpstr>
      <vt:lpstr>MIAS 1</vt:lpstr>
      <vt:lpstr>VM 1</vt:lpstr>
      <vt:lpstr>ISO Ash 1</vt:lpstr>
      <vt:lpstr>Q Ash 1</vt:lpstr>
      <vt:lpstr>Rules</vt:lpstr>
      <vt:lpstr>Control Chart Flow Diagram</vt:lpstr>
      <vt:lpstr>Rule 1 Fail Examples</vt:lpstr>
      <vt:lpstr>Rule 2 Fail Examples</vt:lpstr>
      <vt:lpstr>Rule 3 Fail Examples</vt:lpstr>
      <vt:lpstr>Rule 4 Fail Examples</vt:lpstr>
      <vt:lpstr>CV Training Rule 1</vt:lpstr>
      <vt:lpstr>CV Training Rule 2</vt:lpstr>
      <vt:lpstr>CV Training Rule 3</vt:lpstr>
      <vt:lpstr>CV Training Rule 4</vt:lpstr>
      <vt:lpstr>CV Training Range</vt:lpstr>
      <vt:lpstr>'AFT Cu Chart'!Print_Area</vt:lpstr>
      <vt:lpstr>'AFT Ni Chart'!Print_Area</vt:lpstr>
      <vt:lpstr>'AFT QC'!Print_Area</vt:lpstr>
      <vt:lpstr>'CV Chart'!Print_Area</vt:lpstr>
      <vt:lpstr>'CV Chart - Benzoic'!Print_Area</vt:lpstr>
      <vt:lpstr>'CV Chart - Low'!Print_Area</vt:lpstr>
      <vt:lpstr>'Data Input'!Print_Area</vt:lpstr>
      <vt:lpstr>'ISO Ash Chart'!Print_Area</vt:lpstr>
      <vt:lpstr>'MIAS Chart'!Print_Area</vt:lpstr>
      <vt:lpstr>'Quick Ash Chart'!Print_Area</vt:lpstr>
      <vt:lpstr>'Rule 1 Fail Examples'!Print_Area</vt:lpstr>
      <vt:lpstr>'Rule 2 Fail Examples'!Print_Area</vt:lpstr>
      <vt:lpstr>'Rule 3 Fail Examples'!Print_Area</vt:lpstr>
      <vt:lpstr>'Rule 4 Fail Examples'!Print_Area</vt:lpstr>
      <vt:lpstr>Rules!Print_Area</vt:lpstr>
      <vt:lpstr>'TS Chart High'!Print_Area</vt:lpstr>
    </vt:vector>
  </TitlesOfParts>
  <Company>SGS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richard_turner</dc:creator>
  <cp:lastModifiedBy>ABENATHI JAMA</cp:lastModifiedBy>
  <cp:lastPrinted>2026-09-04T10:39:42Z</cp:lastPrinted>
  <dcterms:created xsi:type="dcterms:W3CDTF">2017-10-05T08:23:14Z</dcterms:created>
  <dcterms:modified xsi:type="dcterms:W3CDTF">2026-09-04T10:56:44Z</dcterms:modified>
</cp:coreProperties>
</file>