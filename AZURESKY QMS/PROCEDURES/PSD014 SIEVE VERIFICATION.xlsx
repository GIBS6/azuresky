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Z:\AZURESKY SYSTEM\AZURESKY QMS\PROCEDURES\"/>
    </mc:Choice>
  </mc:AlternateContent>
  <xr:revisionPtr revIDLastSave="0" documentId="13_ncr:1_{4CD5FB4D-171F-462D-AD21-0E3C92E5D24A}" xr6:coauthVersionLast="47" xr6:coauthVersionMax="47" xr10:uidLastSave="{00000000-0000-0000-0000-000000000000}"/>
  <bookViews>
    <workbookView xWindow="-108" yWindow="-108" windowWidth="23256" windowHeight="12456" activeTab="2" xr2:uid="{972B453F-FDA0-44C5-95D6-550240A6F8B0}"/>
  </bookViews>
  <sheets>
    <sheet name="Verification Procedure" sheetId="1" r:id="rId1"/>
    <sheet name="Tolerances" sheetId="2" r:id="rId2"/>
    <sheet name="Summarized Values" sheetId="3" r:id="rId3"/>
    <sheet name="Verification" sheetId="4" r:id="rId4"/>
  </sheets>
  <definedNames>
    <definedName name="_Toc226382851" localSheetId="0">'Verification Procedure'!$A$1</definedName>
    <definedName name="_Toc226382852" localSheetId="0">'Verification Procedure'!$A$3</definedName>
    <definedName name="_Toc226382853" localSheetId="0">'Verification Procedure'!$A$5</definedName>
    <definedName name="_Toc226382854" localSheetId="0">'Verification Procedure'!$A$12</definedName>
    <definedName name="_Toc226382855" localSheetId="0">'Verification Procedure'!$A$17</definedName>
    <definedName name="_Toc226382856" localSheetId="0">'Verification Procedure'!$A$20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3" l="1"/>
  <c r="E15" i="3"/>
  <c r="D16" i="3"/>
  <c r="D15" i="3"/>
  <c r="AK13" i="4"/>
  <c r="AK12" i="4"/>
  <c r="E14" i="3"/>
  <c r="E13" i="3"/>
  <c r="E12" i="3"/>
  <c r="E11" i="3"/>
  <c r="E10" i="3"/>
  <c r="E9" i="3"/>
  <c r="D14" i="3"/>
  <c r="D13" i="3"/>
  <c r="D12" i="3"/>
  <c r="D11" i="3"/>
  <c r="D10" i="3"/>
  <c r="D9" i="3"/>
  <c r="B13" i="4"/>
  <c r="G13" i="4"/>
  <c r="AF13" i="4"/>
  <c r="AA13" i="4"/>
  <c r="V13" i="4"/>
  <c r="Q13" i="4"/>
  <c r="L13" i="4"/>
  <c r="L12" i="4"/>
  <c r="G12" i="4"/>
  <c r="B12" i="4"/>
  <c r="AF12" i="4"/>
  <c r="AA12" i="4"/>
  <c r="V12" i="4"/>
  <c r="Q12" i="4"/>
</calcChain>
</file>

<file path=xl/sharedStrings.xml><?xml version="1.0" encoding="utf-8"?>
<sst xmlns="http://schemas.openxmlformats.org/spreadsheetml/2006/main" count="244" uniqueCount="169">
  <si>
    <t>7. Sieve Verification (ISO 3310-1 / ISO 3310-2)</t>
  </si>
  <si>
    <t>To maintain the accuracy of the PSD method, all sieves must be verified every six months.</t>
  </si>
  <si>
    <t>7.1. Why We Verify</t>
  </si>
  <si>
    <t>Coal is highly abrasive. Over time, the wires in the mesh can shift or wear down (becoming thinner), which effectively increases the size of the holes. If a 10mm sieve wears down to 10.5mm, your PSD results will be biased toward the smaller fractions.</t>
  </si>
  <si>
    <t>7.2. Measurement Protocol</t>
  </si>
  <si>
    <r>
      <t>1. Cleaning:</t>
    </r>
    <r>
      <rPr>
        <sz val="12"/>
        <color theme="1"/>
        <rFont val="Aptos"/>
        <family val="2"/>
      </rPr>
      <t xml:space="preserve"> Ensure the sieve is manually brushed to remove all "blinded" particles.</t>
    </r>
  </si>
  <si>
    <r>
      <t>2. Sampling the Mesh:</t>
    </r>
    <r>
      <rPr>
        <sz val="12"/>
        <color theme="1"/>
        <rFont val="Aptos"/>
        <family val="2"/>
      </rPr>
      <t xml:space="preserve"> You cannot measure every hole. You must measure 10 apertures chosen along a diagonal line (45°) across the mesh(for the smaller aperture screens).</t>
    </r>
  </si>
  <si>
    <r>
      <t>3. Two-Way Measurement:</t>
    </r>
    <r>
      <rPr>
        <sz val="12"/>
        <color theme="1"/>
        <rFont val="Aptos"/>
        <family val="2"/>
      </rPr>
      <t xml:space="preserve"> For each of the holes, use the internal jaws of a calibrated Digital Vernier Caliper to measure:</t>
    </r>
  </si>
  <si>
    <r>
      <t>Dimension X:</t>
    </r>
    <r>
      <rPr>
        <sz val="12"/>
        <color theme="1"/>
        <rFont val="Aptos"/>
        <family val="2"/>
      </rPr>
      <t xml:space="preserve"> The horizontal width of the opening.</t>
    </r>
  </si>
  <si>
    <r>
      <t>Dimension Y:</t>
    </r>
    <r>
      <rPr>
        <sz val="12"/>
        <color theme="1"/>
        <rFont val="Aptos"/>
        <family val="2"/>
      </rPr>
      <t xml:space="preserve"> The vertical height of the opening.</t>
    </r>
  </si>
  <si>
    <r>
      <t>Note:</t>
    </r>
    <r>
      <rPr>
        <sz val="12"/>
        <color theme="1"/>
        <rFont val="Aptos"/>
        <family val="2"/>
      </rPr>
      <t xml:space="preserve"> Ensure the jaws are flush against the wires but not forcing them apart.</t>
    </r>
  </si>
  <si>
    <t>7.3. Calculating the Result</t>
  </si>
  <si>
    <r>
      <t>1. Mean Aperture (w):</t>
    </r>
    <r>
      <rPr>
        <sz val="12"/>
        <color theme="1"/>
        <rFont val="Aptos"/>
        <family val="2"/>
      </rPr>
      <t xml:space="preserve"> Calculate the average of all 20 measurements (10X and 10Y).</t>
    </r>
  </si>
  <si>
    <r>
      <t>2. Tolerance Check:</t>
    </r>
    <r>
      <rPr>
        <sz val="12"/>
        <color theme="1"/>
        <rFont val="Aptos"/>
        <family val="2"/>
      </rPr>
      <t xml:space="preserve"> Compare the Mean Aperture against the </t>
    </r>
    <r>
      <rPr>
        <b/>
        <sz val="12"/>
        <color theme="1"/>
        <rFont val="Aptos"/>
        <family val="2"/>
      </rPr>
      <t>ISO 3310-1 Tolerance Table</t>
    </r>
    <r>
      <rPr>
        <sz val="12"/>
        <color theme="1"/>
        <rFont val="Aptos"/>
        <family val="2"/>
      </rPr>
      <t>.</t>
    </r>
  </si>
  <si>
    <r>
      <t>Example:</t>
    </r>
    <r>
      <rPr>
        <sz val="12"/>
        <color theme="1"/>
        <rFont val="Aptos"/>
        <family val="2"/>
      </rPr>
      <t xml:space="preserve"> For a </t>
    </r>
    <r>
      <rPr>
        <b/>
        <sz val="12"/>
        <color theme="1"/>
        <rFont val="Aptos"/>
        <family val="2"/>
      </rPr>
      <t>6.30 mm</t>
    </r>
    <r>
      <rPr>
        <sz val="12"/>
        <color theme="1"/>
        <rFont val="Aptos"/>
        <family val="2"/>
      </rPr>
      <t xml:space="preserve"> sieve, the typical tolerance is roughly 0.2 mm.</t>
    </r>
  </si>
  <si>
    <r>
      <t xml:space="preserve">If your average is </t>
    </r>
    <r>
      <rPr>
        <b/>
        <sz val="12"/>
        <color theme="1"/>
        <rFont val="Aptos"/>
        <family val="2"/>
      </rPr>
      <t>6.55 mm</t>
    </r>
    <r>
      <rPr>
        <sz val="12"/>
        <color theme="1"/>
        <rFont val="Aptos"/>
        <family val="2"/>
      </rPr>
      <t>, the sieve has stretched beyond the limit.</t>
    </r>
  </si>
  <si>
    <t>7.4. Final Documentation</t>
  </si>
  <si>
    <t>If the sieve passes, update the Sieve Calibration Log and apply a new green "Verified" sticker.</t>
  </si>
  <si>
    <r>
      <t xml:space="preserve">If the sieve fails, it must be etched with </t>
    </r>
    <r>
      <rPr>
        <b/>
        <sz val="12"/>
        <color theme="1"/>
        <rFont val="Aptos"/>
        <family val="2"/>
      </rPr>
      <t>"REJECTED"</t>
    </r>
    <r>
      <rPr>
        <sz val="12"/>
        <color theme="1"/>
        <rFont val="Aptos"/>
        <family val="2"/>
      </rPr>
      <t xml:space="preserve"> or the mesh must be physically punctured to prevent accidental use in the lab.</t>
    </r>
  </si>
  <si>
    <t>7. Verification of Large Apertures (&gt; 12.5 mm)</t>
  </si>
  <si>
    <r>
      <t>Visual Check:</t>
    </r>
    <r>
      <rPr>
        <sz val="12"/>
        <color theme="1"/>
        <rFont val="Aptos"/>
        <family val="2"/>
      </rPr>
      <t xml:space="preserve"> Ensure the plate is flat. Large screens often "bow" or warp under the weight of 65 kg of coal. A warped screen changes the effective aperture size and must be replaced.</t>
    </r>
  </si>
  <si>
    <r>
      <t>Measurement:</t>
    </r>
    <r>
      <rPr>
        <sz val="12"/>
        <color theme="1"/>
        <rFont val="Aptos"/>
        <family val="2"/>
      </rPr>
      <t xml:space="preserve"> Use a calibrated Vernier Caliper to measure the internal distance of 10 square apertures across the plate.</t>
    </r>
  </si>
  <si>
    <r>
      <t>Bridge Inspection:</t>
    </r>
    <r>
      <rPr>
        <sz val="12"/>
        <color theme="1"/>
        <rFont val="Aptos"/>
        <family val="2"/>
      </rPr>
      <t xml:space="preserve"> Inspect the metal strips between the apertures for thinning. If the metal bridge has worn down by more than 25% of its original thickness, the sieve must be decommissioned, as it will likely flex and bypass larger particles during the "8 revolutions" screening process.</t>
    </r>
  </si>
  <si>
    <t>Sieve Type</t>
  </si>
  <si>
    <t>Size Range</t>
  </si>
  <si>
    <t>Min. Apertures</t>
  </si>
  <si>
    <t>Total Measurements</t>
  </si>
  <si>
    <t>Pattern</t>
  </si>
  <si>
    <t>Woven Wire</t>
  </si>
  <si>
    <t>&lt; 12.5 mm</t>
  </si>
  <si>
    <t>20 (X &amp; Y)</t>
  </si>
  <si>
    <t>Diagonal Line</t>
  </si>
  <si>
    <t>Perforated Plate</t>
  </si>
  <si>
    <t>&gt; 12.5 mm</t>
  </si>
  <si>
    <t>"X" or Cross Pattern</t>
  </si>
  <si>
    <t>1. Fine &amp; Medium Sieves (ISO 3310-1: Woven Wire)</t>
  </si>
  <si>
    <t>Nominal Aperture (w)</t>
  </si>
  <si>
    <t>Tolerance on Average (±Y)</t>
  </si>
  <si>
    <t>Max Individual Aperture (X)</t>
  </si>
  <si>
    <t>Standard Deviation (σ)</t>
  </si>
  <si>
    <t>11.20 mm</t>
  </si>
  <si>
    <t>12.10 mm</t>
  </si>
  <si>
    <t>0.690 mm</t>
  </si>
  <si>
    <t>8.00 mm</t>
  </si>
  <si>
    <t>8.71 mm</t>
  </si>
  <si>
    <t>0.490 mm</t>
  </si>
  <si>
    <t>5.60 mm</t>
  </si>
  <si>
    <t>6.16 mm</t>
  </si>
  <si>
    <t>0.350 mm</t>
  </si>
  <si>
    <t>2.80 mm</t>
  </si>
  <si>
    <t>3.15 mm</t>
  </si>
  <si>
    <t>0.190 mm</t>
  </si>
  <si>
    <t>1.00 mm</t>
  </si>
  <si>
    <t>1.17 mm</t>
  </si>
  <si>
    <t>0.080 mm</t>
  </si>
  <si>
    <t>0.263 mm</t>
  </si>
  <si>
    <t>0.024 mm</t>
  </si>
  <si>
    <t>2. Coarse Sieves (ISO 3310-2: Perforated Plate)</t>
  </si>
  <si>
    <t>Min. Plate Thickness</t>
  </si>
  <si>
    <t>50.0 mm</t>
  </si>
  <si>
    <t>52.40 mm</t>
  </si>
  <si>
    <t>3.0 mm</t>
  </si>
  <si>
    <t>31.5 mm</t>
  </si>
  <si>
    <t>33.20 mm</t>
  </si>
  <si>
    <t>2.5 mm</t>
  </si>
  <si>
    <t>22.4 mm</t>
  </si>
  <si>
    <t>23.70 mm</t>
  </si>
  <si>
    <t>2.0 mm</t>
  </si>
  <si>
    <t>16.0 mm</t>
  </si>
  <si>
    <t>17.10 mm</t>
  </si>
  <si>
    <t>1.5 mm</t>
  </si>
  <si>
    <t>Sieve ID</t>
  </si>
  <si>
    <t>Nominal Size</t>
  </si>
  <si>
    <t>Date</t>
  </si>
  <si>
    <t>Average</t>
  </si>
  <si>
    <t>Max Found</t>
  </si>
  <si>
    <t>Status (Pass/Fail)</t>
  </si>
  <si>
    <t>Verified By</t>
  </si>
  <si>
    <t>PASS</t>
  </si>
  <si>
    <t>Table of tolerance of sieve apetures( smaller apeture screen)</t>
  </si>
  <si>
    <t>0.360 mm</t>
  </si>
  <si>
    <t>0.260 mm</t>
  </si>
  <si>
    <t>0.110 mm</t>
  </si>
  <si>
    <t>0.040 mm</t>
  </si>
  <si>
    <t>0.011 mm</t>
  </si>
  <si>
    <r>
      <t>212</t>
    </r>
    <r>
      <rPr>
        <b/>
        <sz val="11"/>
        <color rgb="FF1F1F1F"/>
        <rFont val="Aptos Narrow"/>
        <family val="2"/>
      </rPr>
      <t>µ</t>
    </r>
    <r>
      <rPr>
        <b/>
        <sz val="11"/>
        <color rgb="FF1F1F1F"/>
        <rFont val="Arial"/>
        <family val="2"/>
      </rPr>
      <t>m</t>
    </r>
    <r>
      <rPr>
        <sz val="11"/>
        <color rgb="FF1F1F1F"/>
        <rFont val="Arial"/>
        <family val="2"/>
      </rPr>
      <t xml:space="preserve"> (0.212 mm)</t>
    </r>
  </si>
  <si>
    <r>
      <t>Average Tolerance (Y):</t>
    </r>
    <r>
      <rPr>
        <sz val="11"/>
        <color rgb="FF1F1F1F"/>
        <rFont val="Arial"/>
        <family val="2"/>
      </rPr>
      <t xml:space="preserve"> If the average of your 20 measurements is outside this range, the sieve is out of calibration.</t>
    </r>
  </si>
  <si>
    <r>
      <t>Max Aperture (X):</t>
    </r>
    <r>
      <rPr>
        <sz val="11"/>
        <color rgb="FF1F1F1F"/>
        <rFont val="Arial"/>
        <family val="2"/>
      </rPr>
      <t xml:space="preserve"> If </t>
    </r>
    <r>
      <rPr>
        <b/>
        <sz val="11"/>
        <color rgb="FF1F1F1F"/>
        <rFont val="Arial"/>
        <family val="2"/>
      </rPr>
      <t>any single hole</t>
    </r>
    <r>
      <rPr>
        <sz val="11"/>
        <color rgb="FF1F1F1F"/>
        <rFont val="Arial"/>
        <family val="2"/>
      </rPr>
      <t xml:space="preserve"> measures larger than this, the sieve is </t>
    </r>
    <r>
      <rPr>
        <b/>
        <sz val="11"/>
        <color rgb="FF1F1F1F"/>
        <rFont val="Arial"/>
        <family val="2"/>
      </rPr>
      <t>REJECTED</t>
    </r>
    <r>
      <rPr>
        <sz val="11"/>
        <color rgb="FF1F1F1F"/>
        <rFont val="Arial"/>
        <family val="2"/>
      </rPr>
      <t xml:space="preserve"> immediately.</t>
    </r>
  </si>
  <si>
    <t xml:space="preserve"> These are usually square-hole or round-hole punched plates.</t>
  </si>
  <si>
    <t xml:space="preserve"> 1.50 mm</t>
  </si>
  <si>
    <t>0.70 mm</t>
  </si>
  <si>
    <t>0.50 mm</t>
  </si>
  <si>
    <r>
      <t>Plate Thickness:</t>
    </r>
    <r>
      <rPr>
        <sz val="11"/>
        <color rgb="FF1F1F1F"/>
        <rFont val="Arial"/>
        <family val="2"/>
      </rPr>
      <t xml:space="preserve"> For larger screens,  also measure the thickness of the metal. If the plate has worn thin due to the abrasive nature of coal, it will flex and allow "oversize" particles to pass during the 360° revolution.</t>
    </r>
  </si>
  <si>
    <t>Tshepo Maponya</t>
  </si>
  <si>
    <t>1mm</t>
  </si>
  <si>
    <t>3mm</t>
  </si>
  <si>
    <t>6mm</t>
  </si>
  <si>
    <t>4,75mm</t>
  </si>
  <si>
    <t>25mm</t>
  </si>
  <si>
    <t>50mm</t>
  </si>
  <si>
    <t>22.4mm</t>
  </si>
  <si>
    <t>Dimension X (mm)</t>
  </si>
  <si>
    <t>Dimension Y (mm)</t>
  </si>
  <si>
    <t>TOTALS</t>
  </si>
  <si>
    <t>Aperture #(Sieve 1 mm)</t>
  </si>
  <si>
    <t>Aperture #(Sieve 3 mm)</t>
  </si>
  <si>
    <t>Aperture #(Sieve 4,75 mm)</t>
  </si>
  <si>
    <t>Aperture #(Sieve 6 mm)</t>
  </si>
  <si>
    <t>Aperture #(Sieve 12 mm)</t>
  </si>
  <si>
    <t>Aperture #(Sieve 25 mm)</t>
  </si>
  <si>
    <t>Aperture #(Sieve 50 mm)</t>
  </si>
  <si>
    <t>3.37 mm</t>
  </si>
  <si>
    <t>5.26 mm</t>
  </si>
  <si>
    <t>6.58 mm</t>
  </si>
  <si>
    <t>12.90 mm</t>
  </si>
  <si>
    <t>ISO Limit (X)</t>
  </si>
  <si>
    <t>COMBINED TOTAL</t>
  </si>
  <si>
    <t>Within limits</t>
  </si>
  <si>
    <t>Combined Total</t>
  </si>
  <si>
    <t>Within Limits</t>
  </si>
  <si>
    <t>12,90mm</t>
  </si>
  <si>
    <t>26.40 mm</t>
  </si>
  <si>
    <t>26,40mm</t>
  </si>
  <si>
    <t>52,40mm</t>
  </si>
  <si>
    <t>3,37 mm</t>
  </si>
  <si>
    <t>5,26 mm</t>
  </si>
  <si>
    <t>Std Deviation</t>
  </si>
  <si>
    <t>Avg. Tolerance (±Y)</t>
  </si>
  <si>
    <t>Target Std Dev (σ)</t>
  </si>
  <si>
    <t>Max Individual (X)</t>
  </si>
  <si>
    <t>Perforated</t>
  </si>
  <si>
    <t>1.80 mm</t>
  </si>
  <si>
    <t>25.0 mm</t>
  </si>
  <si>
    <t>12.0 mm</t>
  </si>
  <si>
    <t>Woven/Perf</t>
  </si>
  <si>
    <t>6.0 mm</t>
  </si>
  <si>
    <t>0.38 mm</t>
  </si>
  <si>
    <t>4.75 mm</t>
  </si>
  <si>
    <t>0.30 mm</t>
  </si>
  <si>
    <t>0.19 mm</t>
  </si>
  <si>
    <t>1.0 mm</t>
  </si>
  <si>
    <t>0.08 mm</t>
  </si>
  <si>
    <t>22,4 mm</t>
  </si>
  <si>
    <t>0,70 mm</t>
  </si>
  <si>
    <t>0,90 mm</t>
  </si>
  <si>
    <t>23,70mm</t>
  </si>
  <si>
    <t>1.50 mm</t>
  </si>
  <si>
    <t>0.80 mm</t>
  </si>
  <si>
    <t>0.40 mm</t>
  </si>
  <si>
    <t>0.20 mm</t>
  </si>
  <si>
    <t>0.16 mm</t>
  </si>
  <si>
    <t xml:space="preserve"> 0.11 mm</t>
  </si>
  <si>
    <t xml:space="preserve"> 0.04 mm</t>
  </si>
  <si>
    <t>1,17 mm</t>
  </si>
  <si>
    <t>Aperture #(Sieve 22,4 mm)</t>
  </si>
  <si>
    <t>10mm</t>
  </si>
  <si>
    <t>Vernier Caliper Used :</t>
  </si>
  <si>
    <t>Serial Number:</t>
  </si>
  <si>
    <t>Certificate Number:</t>
  </si>
  <si>
    <t>UoM:</t>
  </si>
  <si>
    <t>DB-14965</t>
  </si>
  <si>
    <t>MG-10</t>
  </si>
  <si>
    <t>0-150 Digital Caliper</t>
  </si>
  <si>
    <t>±0,015mm</t>
  </si>
  <si>
    <t xml:space="preserve">Doc No: PSD014 </t>
  </si>
  <si>
    <t>Compiled By: TMJ Maponya</t>
  </si>
  <si>
    <t>Approved By: SB Nyambi</t>
  </si>
  <si>
    <t>Effective Date: 15 April 2026</t>
  </si>
  <si>
    <t xml:space="preserve">3. Overall Sieve Verification Log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</si>
</sst>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1"/>
      <color theme="1"/>
      <name val="Aptos Narrow"/>
      <family val="2"/>
      <scheme val="minor"/>
    </font>
    <font>
      <b/>
      <sz val="12"/>
      <name val="Aptos Display"/>
      <family val="2"/>
    </font>
    <font>
      <sz val="12"/>
      <color theme="1"/>
      <name val="Aptos"/>
      <family val="2"/>
    </font>
    <font>
      <b/>
      <sz val="12"/>
      <color theme="1"/>
      <name val="Aptos"/>
      <family val="2"/>
    </font>
    <font>
      <i/>
      <sz val="12"/>
      <color theme="1"/>
      <name val="Aptos"/>
      <family val="2"/>
    </font>
    <font>
      <sz val="11"/>
      <color rgb="FF1F1F1F"/>
      <name val="Arial"/>
      <family val="2"/>
    </font>
    <font>
      <b/>
      <sz val="11"/>
      <color rgb="FF1F1F1F"/>
      <name val="Arial"/>
      <family val="2"/>
    </font>
    <font>
      <b/>
      <sz val="13.5"/>
      <color rgb="FF1F1F1F"/>
      <name val="Arial"/>
      <family val="2"/>
    </font>
    <font>
      <i/>
      <sz val="11"/>
      <color rgb="FF1F1F1F"/>
      <name val="Arial"/>
      <family val="2"/>
    </font>
    <font>
      <b/>
      <sz val="11"/>
      <color rgb="FF1F1F1F"/>
      <name val="Aptos Narrow"/>
      <family val="2"/>
    </font>
    <font>
      <b/>
      <sz val="11"/>
      <color theme="1"/>
      <name val="Arial"/>
      <family val="2"/>
    </font>
    <font>
      <b/>
      <sz val="11"/>
      <color theme="1"/>
      <name val="Aptos Narrow"/>
      <family val="2"/>
      <scheme val="minor"/>
    </font>
    <font>
      <sz val="11"/>
      <color theme="1"/>
      <name val="Aptos Narrow"/>
      <family val="2"/>
    </font>
  </fonts>
  <fills count="2">
    <fill>
      <patternFill patternType="none"/>
    </fill>
    <fill>
      <patternFill patternType="gray125"/>
    </fill>
  </fills>
  <borders count="6">
    <border>
      <left/>
      <right/>
      <top/>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ck">
        <color indexed="64"/>
      </bottom>
      <diagonal/>
    </border>
    <border>
      <left/>
      <right style="medium">
        <color indexed="64"/>
      </right>
      <top/>
      <bottom/>
      <diagonal/>
    </border>
    <border>
      <left style="medium">
        <color rgb="FF000000"/>
      </left>
      <right style="medium">
        <color indexed="64"/>
      </right>
      <top style="medium">
        <color rgb="FF000000"/>
      </top>
      <bottom style="medium">
        <color rgb="FF000000"/>
      </bottom>
      <diagonal/>
    </border>
  </borders>
  <cellStyleXfs count="1">
    <xf numFmtId="0" fontId="0" fillId="0" borderId="0"/>
  </cellStyleXfs>
  <cellXfs count="42">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indent="1"/>
    </xf>
    <xf numFmtId="0" fontId="3" fillId="0" borderId="0" xfId="0" applyFont="1" applyAlignment="1">
      <alignment horizontal="left" vertical="center" indent="2"/>
    </xf>
    <xf numFmtId="0" fontId="4" fillId="0" borderId="0" xfId="0" applyFont="1" applyAlignment="1">
      <alignment horizontal="left" vertical="center" indent="2"/>
    </xf>
    <xf numFmtId="0" fontId="2" fillId="0" borderId="0" xfId="0" applyFont="1" applyAlignment="1">
      <alignment horizontal="left" vertical="center" indent="2"/>
    </xf>
    <xf numFmtId="0" fontId="2" fillId="0" borderId="0" xfId="0" applyFont="1" applyAlignment="1">
      <alignment horizontal="left" vertical="center" indent="1"/>
    </xf>
    <xf numFmtId="0" fontId="3" fillId="0" borderId="1" xfId="0" applyFont="1" applyBorder="1" applyAlignment="1">
      <alignment horizontal="left" vertical="center" wrapText="1" indent="1"/>
    </xf>
    <xf numFmtId="0" fontId="3" fillId="0" borderId="1" xfId="0" applyFont="1" applyBorder="1" applyAlignment="1">
      <alignment vertical="center" wrapText="1"/>
    </xf>
    <xf numFmtId="0" fontId="2" fillId="0" borderId="1" xfId="0" applyFont="1" applyBorder="1" applyAlignment="1">
      <alignment horizontal="left" vertical="center" wrapText="1" indent="1"/>
    </xf>
    <xf numFmtId="0" fontId="2" fillId="0" borderId="1" xfId="0" applyFont="1" applyBorder="1" applyAlignment="1">
      <alignment vertical="center" wrapText="1"/>
    </xf>
    <xf numFmtId="0" fontId="5" fillId="0" borderId="0" xfId="0" applyFont="1" applyAlignment="1">
      <alignment vertical="center" readingOrder="1"/>
    </xf>
    <xf numFmtId="0" fontId="7" fillId="0" borderId="0" xfId="0" applyFont="1" applyAlignment="1">
      <alignment vertical="center" readingOrder="1"/>
    </xf>
    <xf numFmtId="0" fontId="6" fillId="0" borderId="2" xfId="0" applyFont="1" applyBorder="1" applyAlignment="1">
      <alignment horizontal="left" vertical="center" wrapText="1" indent="1" readingOrder="1"/>
    </xf>
    <xf numFmtId="0" fontId="6" fillId="0" borderId="2" xfId="0" applyFont="1" applyBorder="1" applyAlignment="1">
      <alignment vertical="center" wrapText="1" readingOrder="1"/>
    </xf>
    <xf numFmtId="0" fontId="5" fillId="0" borderId="2" xfId="0" applyFont="1" applyBorder="1" applyAlignment="1">
      <alignment horizontal="left" vertical="center" wrapText="1" indent="1" readingOrder="1"/>
    </xf>
    <xf numFmtId="0" fontId="5" fillId="0" borderId="2" xfId="0" applyFont="1" applyBorder="1" applyAlignment="1">
      <alignment vertical="center" wrapText="1" readingOrder="1"/>
    </xf>
    <xf numFmtId="0" fontId="6" fillId="0" borderId="0" xfId="0" applyFont="1" applyAlignment="1">
      <alignment horizontal="left" vertical="center" indent="1" readingOrder="1"/>
    </xf>
    <xf numFmtId="14" fontId="5" fillId="0" borderId="2" xfId="0" applyNumberFormat="1" applyFont="1" applyBorder="1" applyAlignment="1">
      <alignment horizontal="left" vertical="center" wrapText="1" indent="1" readingOrder="1"/>
    </xf>
    <xf numFmtId="0" fontId="8" fillId="0" borderId="0" xfId="0" applyFont="1" applyAlignment="1">
      <alignment horizontal="left" vertical="center" indent="1" readingOrder="1"/>
    </xf>
    <xf numFmtId="0" fontId="6" fillId="0" borderId="0" xfId="0" applyFont="1" applyAlignment="1">
      <alignment vertical="center" readingOrder="1"/>
    </xf>
    <xf numFmtId="0" fontId="8" fillId="0" borderId="0" xfId="0" applyFont="1" applyAlignment="1">
      <alignment vertical="center" readingOrder="1"/>
    </xf>
    <xf numFmtId="0" fontId="5" fillId="0" borderId="2" xfId="0" applyFont="1" applyBorder="1" applyAlignment="1">
      <alignment horizontal="center" vertical="center" wrapText="1" readingOrder="1"/>
    </xf>
    <xf numFmtId="0" fontId="6" fillId="0" borderId="2" xfId="0" applyFont="1" applyBorder="1" applyAlignment="1">
      <alignment horizontal="center" vertical="center" wrapText="1" readingOrder="1"/>
    </xf>
    <xf numFmtId="0" fontId="6" fillId="0" borderId="2" xfId="0" applyFont="1" applyBorder="1" applyAlignment="1">
      <alignment horizontal="right" vertical="center" wrapText="1" indent="1" readingOrder="1"/>
    </xf>
    <xf numFmtId="0" fontId="5" fillId="0" borderId="2" xfId="0" applyFont="1" applyBorder="1" applyAlignment="1">
      <alignment horizontal="right" vertical="center" wrapText="1" indent="1" readingOrder="1"/>
    </xf>
    <xf numFmtId="0" fontId="6" fillId="0" borderId="2" xfId="0" applyFont="1" applyBorder="1" applyAlignment="1">
      <alignment horizontal="left" vertical="center" wrapText="1" readingOrder="1"/>
    </xf>
    <xf numFmtId="0" fontId="6" fillId="0" borderId="0" xfId="0" applyFont="1" applyAlignment="1">
      <alignment horizontal="center" vertical="center" wrapText="1" readingOrder="1"/>
    </xf>
    <xf numFmtId="164" fontId="6" fillId="0" borderId="2" xfId="0" applyNumberFormat="1" applyFont="1" applyBorder="1" applyAlignment="1">
      <alignment horizontal="center" vertical="center" wrapText="1" readingOrder="1"/>
    </xf>
    <xf numFmtId="0" fontId="6" fillId="0" borderId="0" xfId="0" applyFont="1" applyAlignment="1">
      <alignment horizontal="right" vertical="center" wrapText="1" indent="1" readingOrder="1"/>
    </xf>
    <xf numFmtId="0" fontId="5" fillId="0" borderId="0" xfId="0" applyFont="1" applyAlignment="1">
      <alignment horizontal="right" vertical="center" wrapText="1" indent="1" readingOrder="1"/>
    </xf>
    <xf numFmtId="0" fontId="5" fillId="0" borderId="0" xfId="0" applyFont="1" applyAlignment="1">
      <alignment vertical="center" wrapText="1" readingOrder="1"/>
    </xf>
    <xf numFmtId="0" fontId="6" fillId="0" borderId="0" xfId="0" applyFont="1" applyAlignment="1">
      <alignment vertical="center" wrapText="1" readingOrder="1"/>
    </xf>
    <xf numFmtId="0" fontId="5" fillId="0" borderId="3" xfId="0" applyFont="1" applyBorder="1" applyAlignment="1">
      <alignment horizontal="right" vertical="center" wrapText="1" indent="1" readingOrder="1"/>
    </xf>
    <xf numFmtId="0" fontId="10" fillId="0" borderId="0" xfId="0" applyFont="1"/>
    <xf numFmtId="0" fontId="0" fillId="0" borderId="4" xfId="0" applyBorder="1"/>
    <xf numFmtId="0" fontId="5" fillId="0" borderId="5" xfId="0" applyFont="1" applyBorder="1" applyAlignment="1">
      <alignment vertical="center" wrapText="1" readingOrder="1"/>
    </xf>
    <xf numFmtId="0" fontId="10" fillId="0" borderId="0" xfId="0" applyFont="1" applyAlignment="1">
      <alignment horizontal="center"/>
    </xf>
    <xf numFmtId="0" fontId="6" fillId="0" borderId="3" xfId="0" applyFont="1" applyBorder="1" applyAlignment="1">
      <alignment horizontal="center" vertical="center" wrapText="1" readingOrder="1"/>
    </xf>
    <xf numFmtId="0" fontId="11" fillId="0" borderId="0" xfId="0" applyFont="1"/>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121920</xdr:colOff>
      <xdr:row>0</xdr:row>
      <xdr:rowOff>15240</xdr:rowOff>
    </xdr:from>
    <xdr:to>
      <xdr:col>0</xdr:col>
      <xdr:colOff>1120140</xdr:colOff>
      <xdr:row>4</xdr:row>
      <xdr:rowOff>175260</xdr:rowOff>
    </xdr:to>
    <xdr:pic>
      <xdr:nvPicPr>
        <xdr:cNvPr id="3" name="Picture 2">
          <a:extLst>
            <a:ext uri="{FF2B5EF4-FFF2-40B4-BE49-F238E27FC236}">
              <a16:creationId xmlns:a16="http://schemas.microsoft.com/office/drawing/2014/main" id="{5AFFD928-4E15-9E5C-0F6F-26D1681EC0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920" y="15240"/>
          <a:ext cx="998220" cy="8915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6314-54DB-42FB-869D-88FCC92ECDD8}">
  <dimension ref="A1:E27"/>
  <sheetViews>
    <sheetView workbookViewId="0">
      <selection activeCell="K4" sqref="K4"/>
    </sheetView>
  </sheetViews>
  <sheetFormatPr defaultRowHeight="14.4" x14ac:dyDescent="0.3"/>
  <cols>
    <col min="1" max="1" width="16.88671875" customWidth="1"/>
    <col min="2" max="2" width="33.5546875" customWidth="1"/>
    <col min="3" max="3" width="27.5546875" customWidth="1"/>
    <col min="4" max="4" width="25.21875" customWidth="1"/>
    <col min="5" max="5" width="31" customWidth="1"/>
  </cols>
  <sheetData>
    <row r="1" spans="1:1" ht="15.6" x14ac:dyDescent="0.3">
      <c r="A1" s="1" t="s">
        <v>0</v>
      </c>
    </row>
    <row r="2" spans="1:1" ht="15.6" x14ac:dyDescent="0.3">
      <c r="A2" s="2" t="s">
        <v>1</v>
      </c>
    </row>
    <row r="3" spans="1:1" ht="15.6" x14ac:dyDescent="0.3">
      <c r="A3" s="1" t="s">
        <v>2</v>
      </c>
    </row>
    <row r="4" spans="1:1" ht="15.6" x14ac:dyDescent="0.3">
      <c r="A4" s="2" t="s">
        <v>3</v>
      </c>
    </row>
    <row r="5" spans="1:1" ht="15.6" x14ac:dyDescent="0.3">
      <c r="A5" s="1" t="s">
        <v>4</v>
      </c>
    </row>
    <row r="6" spans="1:1" ht="15.6" x14ac:dyDescent="0.3">
      <c r="A6" s="3" t="s">
        <v>5</v>
      </c>
    </row>
    <row r="7" spans="1:1" ht="15.6" x14ac:dyDescent="0.3">
      <c r="A7" s="3" t="s">
        <v>6</v>
      </c>
    </row>
    <row r="8" spans="1:1" ht="15.6" x14ac:dyDescent="0.3">
      <c r="A8" s="3" t="s">
        <v>7</v>
      </c>
    </row>
    <row r="9" spans="1:1" ht="15.6" x14ac:dyDescent="0.3">
      <c r="A9" s="4" t="s">
        <v>8</v>
      </c>
    </row>
    <row r="10" spans="1:1" ht="15.6" x14ac:dyDescent="0.3">
      <c r="A10" s="4" t="s">
        <v>9</v>
      </c>
    </row>
    <row r="11" spans="1:1" ht="15.6" x14ac:dyDescent="0.3">
      <c r="A11" s="5" t="s">
        <v>10</v>
      </c>
    </row>
    <row r="12" spans="1:1" ht="15.6" x14ac:dyDescent="0.3">
      <c r="A12" s="1" t="s">
        <v>11</v>
      </c>
    </row>
    <row r="13" spans="1:1" ht="15.6" x14ac:dyDescent="0.3">
      <c r="A13" s="3" t="s">
        <v>12</v>
      </c>
    </row>
    <row r="14" spans="1:1" ht="15.6" x14ac:dyDescent="0.3">
      <c r="A14" s="3" t="s">
        <v>13</v>
      </c>
    </row>
    <row r="15" spans="1:1" ht="15.6" x14ac:dyDescent="0.3">
      <c r="A15" s="5" t="s">
        <v>14</v>
      </c>
    </row>
    <row r="16" spans="1:1" ht="15.6" x14ac:dyDescent="0.3">
      <c r="A16" s="6" t="s">
        <v>15</v>
      </c>
    </row>
    <row r="17" spans="1:5" ht="15.6" x14ac:dyDescent="0.3">
      <c r="A17" s="1" t="s">
        <v>16</v>
      </c>
    </row>
    <row r="18" spans="1:5" ht="15.6" x14ac:dyDescent="0.3">
      <c r="A18" s="7" t="s">
        <v>17</v>
      </c>
    </row>
    <row r="19" spans="1:5" ht="15.6" x14ac:dyDescent="0.3">
      <c r="A19" s="7" t="s">
        <v>18</v>
      </c>
    </row>
    <row r="20" spans="1:5" ht="15.6" x14ac:dyDescent="0.3">
      <c r="A20" s="1" t="s">
        <v>19</v>
      </c>
    </row>
    <row r="21" spans="1:5" ht="15.6" x14ac:dyDescent="0.3">
      <c r="A21" s="3" t="s">
        <v>20</v>
      </c>
    </row>
    <row r="22" spans="1:5" ht="15.6" x14ac:dyDescent="0.3">
      <c r="A22" s="3" t="s">
        <v>21</v>
      </c>
    </row>
    <row r="23" spans="1:5" ht="16.2" thickBot="1" x14ac:dyDescent="0.35">
      <c r="A23" s="3" t="s">
        <v>22</v>
      </c>
    </row>
    <row r="24" spans="1:5" ht="16.2" thickBot="1" x14ac:dyDescent="0.35">
      <c r="A24" s="8" t="s">
        <v>23</v>
      </c>
      <c r="B24" s="8" t="s">
        <v>24</v>
      </c>
      <c r="C24" s="8" t="s">
        <v>25</v>
      </c>
      <c r="D24" s="8" t="s">
        <v>26</v>
      </c>
      <c r="E24" s="9" t="s">
        <v>27</v>
      </c>
    </row>
    <row r="25" spans="1:5" ht="16.2" thickBot="1" x14ac:dyDescent="0.35">
      <c r="A25" s="8" t="s">
        <v>28</v>
      </c>
      <c r="B25" s="10" t="s">
        <v>29</v>
      </c>
      <c r="C25" s="10">
        <v>10</v>
      </c>
      <c r="D25" s="10" t="s">
        <v>30</v>
      </c>
      <c r="E25" s="11" t="s">
        <v>31</v>
      </c>
    </row>
    <row r="26" spans="1:5" ht="31.8" thickBot="1" x14ac:dyDescent="0.35">
      <c r="A26" s="8" t="s">
        <v>32</v>
      </c>
      <c r="B26" s="10" t="s">
        <v>33</v>
      </c>
      <c r="C26" s="10">
        <v>10</v>
      </c>
      <c r="D26" s="10" t="s">
        <v>30</v>
      </c>
      <c r="E26" s="11" t="s">
        <v>34</v>
      </c>
    </row>
    <row r="27" spans="1:5" ht="15.6" x14ac:dyDescent="0.3">
      <c r="A2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781A0-CFBB-4037-B4AA-A0DF4F375EF0}">
  <dimension ref="A1:D36"/>
  <sheetViews>
    <sheetView topLeftCell="A2" workbookViewId="0">
      <selection activeCell="D29" sqref="D29"/>
    </sheetView>
  </sheetViews>
  <sheetFormatPr defaultRowHeight="14.4" x14ac:dyDescent="0.3"/>
  <cols>
    <col min="1" max="1" width="26.21875" customWidth="1"/>
    <col min="2" max="2" width="29.33203125" customWidth="1"/>
    <col min="3" max="3" width="32.44140625" customWidth="1"/>
    <col min="4" max="4" width="30.21875" customWidth="1"/>
    <col min="5" max="5" width="21.44140625" customWidth="1"/>
    <col min="6" max="6" width="22.21875" customWidth="1"/>
    <col min="7" max="7" width="17.5546875" customWidth="1"/>
    <col min="8" max="8" width="12.44140625" customWidth="1"/>
  </cols>
  <sheetData>
    <row r="1" spans="1:4" x14ac:dyDescent="0.3">
      <c r="A1" s="12"/>
    </row>
    <row r="2" spans="1:4" x14ac:dyDescent="0.3">
      <c r="A2" s="12"/>
    </row>
    <row r="4" spans="1:4" ht="17.399999999999999" x14ac:dyDescent="0.3">
      <c r="A4" s="13" t="s">
        <v>35</v>
      </c>
    </row>
    <row r="5" spans="1:4" ht="15" thickBot="1" x14ac:dyDescent="0.35">
      <c r="A5" s="12" t="s">
        <v>79</v>
      </c>
    </row>
    <row r="6" spans="1:4" ht="15" thickBot="1" x14ac:dyDescent="0.35">
      <c r="A6" s="14" t="s">
        <v>36</v>
      </c>
      <c r="B6" s="14" t="s">
        <v>37</v>
      </c>
      <c r="C6" s="14" t="s">
        <v>38</v>
      </c>
      <c r="D6" s="15" t="s">
        <v>39</v>
      </c>
    </row>
    <row r="7" spans="1:4" ht="15" thickBot="1" x14ac:dyDescent="0.35">
      <c r="A7" s="14" t="s">
        <v>40</v>
      </c>
      <c r="B7" s="16" t="s">
        <v>80</v>
      </c>
      <c r="C7" s="16" t="s">
        <v>41</v>
      </c>
      <c r="D7" s="17" t="s">
        <v>42</v>
      </c>
    </row>
    <row r="8" spans="1:4" ht="15" thickBot="1" x14ac:dyDescent="0.35">
      <c r="A8" s="14" t="s">
        <v>43</v>
      </c>
      <c r="B8" s="16" t="s">
        <v>81</v>
      </c>
      <c r="C8" s="16" t="s">
        <v>44</v>
      </c>
      <c r="D8" s="17" t="s">
        <v>45</v>
      </c>
    </row>
    <row r="9" spans="1:4" ht="15" thickBot="1" x14ac:dyDescent="0.35">
      <c r="A9" s="14" t="s">
        <v>46</v>
      </c>
      <c r="B9" s="16" t="s">
        <v>51</v>
      </c>
      <c r="C9" s="16" t="s">
        <v>47</v>
      </c>
      <c r="D9" s="17" t="s">
        <v>48</v>
      </c>
    </row>
    <row r="10" spans="1:4" ht="15" thickBot="1" x14ac:dyDescent="0.35">
      <c r="A10" s="14" t="s">
        <v>49</v>
      </c>
      <c r="B10" s="16" t="s">
        <v>82</v>
      </c>
      <c r="C10" s="16" t="s">
        <v>50</v>
      </c>
      <c r="D10" s="17" t="s">
        <v>51</v>
      </c>
    </row>
    <row r="11" spans="1:4" ht="15" thickBot="1" x14ac:dyDescent="0.35">
      <c r="A11" s="14" t="s">
        <v>52</v>
      </c>
      <c r="B11" s="16" t="s">
        <v>83</v>
      </c>
      <c r="C11" s="16" t="s">
        <v>53</v>
      </c>
      <c r="D11" s="17" t="s">
        <v>54</v>
      </c>
    </row>
    <row r="12" spans="1:4" ht="15" thickBot="1" x14ac:dyDescent="0.35">
      <c r="A12" s="14" t="s">
        <v>85</v>
      </c>
      <c r="B12" s="16" t="s">
        <v>84</v>
      </c>
      <c r="C12" s="16" t="s">
        <v>55</v>
      </c>
      <c r="D12" s="17" t="s">
        <v>56</v>
      </c>
    </row>
    <row r="13" spans="1:4" x14ac:dyDescent="0.3">
      <c r="A13" s="18" t="s">
        <v>86</v>
      </c>
    </row>
    <row r="14" spans="1:4" x14ac:dyDescent="0.3">
      <c r="A14" s="18" t="s">
        <v>87</v>
      </c>
    </row>
    <row r="16" spans="1:4" ht="17.399999999999999" x14ac:dyDescent="0.3">
      <c r="A16" s="13" t="s">
        <v>57</v>
      </c>
    </row>
    <row r="17" spans="1:4" ht="15" thickBot="1" x14ac:dyDescent="0.35">
      <c r="A17" s="12" t="s">
        <v>88</v>
      </c>
    </row>
    <row r="18" spans="1:4" ht="40.799999999999997" customHeight="1" thickBot="1" x14ac:dyDescent="0.35">
      <c r="A18" s="14" t="s">
        <v>36</v>
      </c>
      <c r="B18" s="14" t="s">
        <v>37</v>
      </c>
      <c r="C18" s="14" t="s">
        <v>38</v>
      </c>
      <c r="D18" s="15" t="s">
        <v>58</v>
      </c>
    </row>
    <row r="19" spans="1:4" ht="15" thickBot="1" x14ac:dyDescent="0.35">
      <c r="A19" s="14" t="s">
        <v>59</v>
      </c>
      <c r="B19" s="16" t="s">
        <v>89</v>
      </c>
      <c r="C19" s="16" t="s">
        <v>60</v>
      </c>
      <c r="D19" s="17" t="s">
        <v>61</v>
      </c>
    </row>
    <row r="20" spans="1:4" ht="15" thickBot="1" x14ac:dyDescent="0.35">
      <c r="A20" s="14" t="s">
        <v>62</v>
      </c>
      <c r="B20" s="16" t="s">
        <v>52</v>
      </c>
      <c r="C20" s="16" t="s">
        <v>63</v>
      </c>
      <c r="D20" s="17" t="s">
        <v>64</v>
      </c>
    </row>
    <row r="21" spans="1:4" ht="15" thickBot="1" x14ac:dyDescent="0.35">
      <c r="A21" s="14" t="s">
        <v>65</v>
      </c>
      <c r="B21" s="16" t="s">
        <v>90</v>
      </c>
      <c r="C21" s="16" t="s">
        <v>66</v>
      </c>
      <c r="D21" s="17" t="s">
        <v>67</v>
      </c>
    </row>
    <row r="22" spans="1:4" ht="15" thickBot="1" x14ac:dyDescent="0.35">
      <c r="A22" s="14" t="s">
        <v>68</v>
      </c>
      <c r="B22" s="16" t="s">
        <v>91</v>
      </c>
      <c r="C22" s="16" t="s">
        <v>69</v>
      </c>
      <c r="D22" s="17" t="s">
        <v>70</v>
      </c>
    </row>
    <row r="23" spans="1:4" x14ac:dyDescent="0.3">
      <c r="A23" s="18" t="s">
        <v>92</v>
      </c>
    </row>
    <row r="30" spans="1:4" ht="17.399999999999999" x14ac:dyDescent="0.3">
      <c r="A30" s="13"/>
    </row>
    <row r="31" spans="1:4" x14ac:dyDescent="0.3">
      <c r="A31" s="12"/>
    </row>
    <row r="32" spans="1:4" x14ac:dyDescent="0.3">
      <c r="A32" s="20"/>
    </row>
    <row r="33" spans="1:1" x14ac:dyDescent="0.3">
      <c r="A33" s="21"/>
    </row>
    <row r="35" spans="1:1" x14ac:dyDescent="0.3">
      <c r="A35" s="22"/>
    </row>
    <row r="36" spans="1:1" x14ac:dyDescent="0.3">
      <c r="A36"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6247D-9F21-4A06-9D52-4EE9E96E65A1}">
  <sheetPr>
    <pageSetUpPr fitToPage="1"/>
  </sheetPr>
  <dimension ref="A2:G27"/>
  <sheetViews>
    <sheetView tabSelected="1" topLeftCell="A2" workbookViewId="0">
      <selection activeCell="E6" sqref="E6"/>
    </sheetView>
  </sheetViews>
  <sheetFormatPr defaultRowHeight="14.4" x14ac:dyDescent="0.3"/>
  <cols>
    <col min="1" max="1" width="22.109375" customWidth="1"/>
    <col min="2" max="2" width="15.109375" customWidth="1"/>
    <col min="3" max="3" width="20.6640625" customWidth="1"/>
    <col min="4" max="4" width="18.21875" customWidth="1"/>
    <col min="5" max="5" width="19.44140625" customWidth="1"/>
    <col min="6" max="6" width="15.109375" customWidth="1"/>
    <col min="7" max="7" width="24.77734375" customWidth="1"/>
  </cols>
  <sheetData>
    <row r="2" spans="1:7" x14ac:dyDescent="0.3">
      <c r="B2" s="40" t="s">
        <v>164</v>
      </c>
    </row>
    <row r="3" spans="1:7" x14ac:dyDescent="0.3">
      <c r="B3" s="40" t="s">
        <v>165</v>
      </c>
    </row>
    <row r="4" spans="1:7" x14ac:dyDescent="0.3">
      <c r="B4" s="40" t="s">
        <v>166</v>
      </c>
    </row>
    <row r="5" spans="1:7" x14ac:dyDescent="0.3">
      <c r="B5" s="40" t="s">
        <v>167</v>
      </c>
    </row>
    <row r="6" spans="1:7" ht="17.399999999999999" x14ac:dyDescent="0.3">
      <c r="A6" s="13" t="s">
        <v>168</v>
      </c>
    </row>
    <row r="7" spans="1:7" ht="15" thickBot="1" x14ac:dyDescent="0.35">
      <c r="A7" s="12"/>
    </row>
    <row r="8" spans="1:7" ht="28.2" thickBot="1" x14ac:dyDescent="0.35">
      <c r="A8" s="14" t="s">
        <v>71</v>
      </c>
      <c r="B8" s="14" t="s">
        <v>72</v>
      </c>
      <c r="C8" s="14" t="s">
        <v>73</v>
      </c>
      <c r="D8" s="14" t="s">
        <v>74</v>
      </c>
      <c r="E8" s="14" t="s">
        <v>75</v>
      </c>
      <c r="F8" s="14" t="s">
        <v>76</v>
      </c>
      <c r="G8" s="15" t="s">
        <v>77</v>
      </c>
    </row>
    <row r="9" spans="1:7" ht="18.600000000000001" customHeight="1" thickBot="1" x14ac:dyDescent="0.35">
      <c r="A9" s="16">
        <v>500401</v>
      </c>
      <c r="B9" s="16" t="s">
        <v>94</v>
      </c>
      <c r="C9" s="19">
        <v>46129</v>
      </c>
      <c r="D9" s="16">
        <f>Verification!B12</f>
        <v>1.0035000000000001</v>
      </c>
      <c r="E9" s="16">
        <f>MAX(Verification!B2:C11)</f>
        <v>1.03</v>
      </c>
      <c r="F9" s="14" t="s">
        <v>78</v>
      </c>
      <c r="G9" s="17" t="s">
        <v>93</v>
      </c>
    </row>
    <row r="10" spans="1:7" ht="16.8" customHeight="1" thickBot="1" x14ac:dyDescent="0.35">
      <c r="A10" s="16">
        <v>500623</v>
      </c>
      <c r="B10" s="16" t="s">
        <v>95</v>
      </c>
      <c r="C10" s="19">
        <v>46129</v>
      </c>
      <c r="D10" s="16">
        <f>Verification!G12</f>
        <v>3.0015000000000001</v>
      </c>
      <c r="E10" s="16">
        <f>MAX(Verification!G2:H11)</f>
        <v>3.05</v>
      </c>
      <c r="F10" s="14" t="s">
        <v>78</v>
      </c>
      <c r="G10" s="17" t="s">
        <v>93</v>
      </c>
    </row>
    <row r="11" spans="1:7" ht="15" thickBot="1" x14ac:dyDescent="0.35">
      <c r="A11" s="16">
        <v>500628</v>
      </c>
      <c r="B11" s="16" t="s">
        <v>97</v>
      </c>
      <c r="C11" s="19">
        <v>46129</v>
      </c>
      <c r="D11" s="16">
        <f>Verification!L12</f>
        <v>4.7509999999999994</v>
      </c>
      <c r="E11" s="16">
        <f>MAX(Verification!L2:M11)</f>
        <v>4.8099999999999996</v>
      </c>
      <c r="F11" s="14" t="s">
        <v>78</v>
      </c>
      <c r="G11" s="17" t="s">
        <v>93</v>
      </c>
    </row>
    <row r="12" spans="1:7" ht="15" thickBot="1" x14ac:dyDescent="0.35">
      <c r="A12" s="16">
        <v>500847</v>
      </c>
      <c r="B12" s="16" t="s">
        <v>96</v>
      </c>
      <c r="C12" s="19">
        <v>46129</v>
      </c>
      <c r="D12" s="16">
        <f>Verification!Q12</f>
        <v>6.0050000000000008</v>
      </c>
      <c r="E12" s="16">
        <f>MAX(Verification!Q2:R11)</f>
        <v>6.06</v>
      </c>
      <c r="F12" s="14" t="s">
        <v>78</v>
      </c>
      <c r="G12" s="17" t="s">
        <v>93</v>
      </c>
    </row>
    <row r="13" spans="1:7" ht="15" thickBot="1" x14ac:dyDescent="0.35">
      <c r="A13" s="16">
        <v>600311</v>
      </c>
      <c r="B13" s="16" t="s">
        <v>155</v>
      </c>
      <c r="C13" s="19">
        <v>46129</v>
      </c>
      <c r="D13" s="16">
        <f>Verification!V12</f>
        <v>12.000999999999999</v>
      </c>
      <c r="E13" s="16">
        <f>MAX(Verification!V2:W11)</f>
        <v>12.2</v>
      </c>
      <c r="F13" s="14" t="s">
        <v>78</v>
      </c>
      <c r="G13" s="17" t="s">
        <v>93</v>
      </c>
    </row>
    <row r="14" spans="1:7" ht="15" thickBot="1" x14ac:dyDescent="0.35">
      <c r="A14" s="16">
        <v>600519</v>
      </c>
      <c r="B14" s="16" t="s">
        <v>98</v>
      </c>
      <c r="C14" s="19">
        <v>46129</v>
      </c>
      <c r="D14" s="16">
        <f>Verification!AA12</f>
        <v>25.020000000000003</v>
      </c>
      <c r="E14" s="16">
        <f>MAX(Verification!AA2:AB11)</f>
        <v>25.3</v>
      </c>
      <c r="F14" s="14" t="s">
        <v>78</v>
      </c>
      <c r="G14" s="17" t="s">
        <v>93</v>
      </c>
    </row>
    <row r="15" spans="1:7" ht="15" thickBot="1" x14ac:dyDescent="0.35">
      <c r="A15" s="16">
        <v>610209</v>
      </c>
      <c r="B15" s="16" t="s">
        <v>100</v>
      </c>
      <c r="C15" s="19">
        <v>46129</v>
      </c>
      <c r="D15" s="16">
        <f>Verification!AK12</f>
        <v>22.223499999999998</v>
      </c>
      <c r="E15" s="16">
        <f>MAX(Verification!AK2:AL11)</f>
        <v>22.5</v>
      </c>
      <c r="F15" s="14" t="s">
        <v>78</v>
      </c>
      <c r="G15" s="17" t="s">
        <v>93</v>
      </c>
    </row>
    <row r="16" spans="1:7" ht="15" thickBot="1" x14ac:dyDescent="0.35">
      <c r="A16" s="16">
        <v>500697</v>
      </c>
      <c r="B16" s="16" t="s">
        <v>99</v>
      </c>
      <c r="C16" s="19">
        <v>46129</v>
      </c>
      <c r="D16" s="16">
        <f>Verification!AF12</f>
        <v>50.035000000000004</v>
      </c>
      <c r="E16" s="16">
        <f>MAX(Verification!AF2:AG11)</f>
        <v>50.4</v>
      </c>
      <c r="F16" s="14" t="s">
        <v>78</v>
      </c>
      <c r="G16" s="17" t="s">
        <v>93</v>
      </c>
    </row>
    <row r="17" spans="1:7" ht="15" thickBot="1" x14ac:dyDescent="0.35">
      <c r="A17" s="16"/>
      <c r="B17" s="16"/>
      <c r="C17" s="19"/>
      <c r="D17" s="16"/>
      <c r="E17" s="16"/>
      <c r="F17" s="14"/>
      <c r="G17" s="17"/>
    </row>
    <row r="18" spans="1:7" ht="15" thickBot="1" x14ac:dyDescent="0.35">
      <c r="A18" s="16"/>
      <c r="B18" s="16"/>
      <c r="C18" s="19"/>
      <c r="D18" s="16"/>
      <c r="E18" s="16"/>
      <c r="F18" s="14"/>
      <c r="G18" s="17"/>
    </row>
    <row r="19" spans="1:7" ht="15" thickBot="1" x14ac:dyDescent="0.35">
      <c r="A19" s="16"/>
      <c r="B19" s="16"/>
      <c r="C19" s="19"/>
      <c r="D19" s="16"/>
      <c r="E19" s="16"/>
      <c r="F19" s="14"/>
      <c r="G19" s="17"/>
    </row>
    <row r="20" spans="1:7" ht="15" thickBot="1" x14ac:dyDescent="0.35">
      <c r="A20" s="16"/>
      <c r="B20" s="16"/>
      <c r="C20" s="19"/>
      <c r="D20" s="16"/>
      <c r="E20" s="16"/>
      <c r="F20" s="14"/>
      <c r="G20" s="17"/>
    </row>
    <row r="21" spans="1:7" ht="15" thickBot="1" x14ac:dyDescent="0.35">
      <c r="A21" s="16"/>
      <c r="B21" s="16"/>
      <c r="C21" s="19"/>
      <c r="D21" s="16"/>
      <c r="E21" s="16"/>
      <c r="F21" s="14"/>
      <c r="G21" s="17"/>
    </row>
    <row r="22" spans="1:7" ht="15" thickBot="1" x14ac:dyDescent="0.35">
      <c r="A22" s="16"/>
      <c r="B22" s="16"/>
      <c r="C22" s="19"/>
      <c r="D22" s="16"/>
      <c r="E22" s="16"/>
      <c r="F22" s="14"/>
      <c r="G22" s="17"/>
    </row>
    <row r="24" spans="1:7" x14ac:dyDescent="0.3">
      <c r="A24" s="40" t="s">
        <v>156</v>
      </c>
      <c r="B24" t="s">
        <v>162</v>
      </c>
    </row>
    <row r="25" spans="1:7" x14ac:dyDescent="0.3">
      <c r="A25" s="40" t="s">
        <v>158</v>
      </c>
      <c r="B25" t="s">
        <v>160</v>
      </c>
    </row>
    <row r="26" spans="1:7" x14ac:dyDescent="0.3">
      <c r="A26" s="40" t="s">
        <v>159</v>
      </c>
      <c r="B26" s="41" t="s">
        <v>163</v>
      </c>
    </row>
    <row r="27" spans="1:7" x14ac:dyDescent="0.3">
      <c r="A27" s="40" t="s">
        <v>157</v>
      </c>
      <c r="B27" t="s">
        <v>161</v>
      </c>
    </row>
  </sheetData>
  <pageMargins left="0.7" right="0.7" top="0.75" bottom="0.75" header="0.3" footer="0.3"/>
  <pageSetup paperSize="9" scale="96" orientation="landscape"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1E2B2-B9AF-46EE-8B6E-B77C8A7526D4}">
  <dimension ref="A1:AL31"/>
  <sheetViews>
    <sheetView workbookViewId="0">
      <selection activeCell="AF18" sqref="AF18"/>
    </sheetView>
  </sheetViews>
  <sheetFormatPr defaultRowHeight="14.4" x14ac:dyDescent="0.3"/>
  <cols>
    <col min="1" max="1" width="25.77734375" customWidth="1"/>
    <col min="2" max="2" width="23.6640625" customWidth="1"/>
    <col min="3" max="3" width="19" customWidth="1"/>
    <col min="4" max="4" width="24.109375" customWidth="1"/>
    <col min="5" max="5" width="22.6640625" customWidth="1"/>
    <col min="6" max="6" width="25.77734375" customWidth="1"/>
    <col min="7" max="7" width="22" customWidth="1"/>
    <col min="8" max="8" width="20.6640625" customWidth="1"/>
    <col min="11" max="11" width="29.21875" customWidth="1"/>
    <col min="12" max="12" width="24.77734375" customWidth="1"/>
    <col min="13" max="13" width="20.77734375" customWidth="1"/>
    <col min="16" max="16" width="26.44140625" customWidth="1"/>
    <col min="17" max="17" width="22.21875" customWidth="1"/>
    <col min="18" max="18" width="21.88671875" customWidth="1"/>
    <col min="21" max="21" width="26.44140625" customWidth="1"/>
    <col min="22" max="22" width="23.109375" customWidth="1"/>
    <col min="23" max="23" width="22" customWidth="1"/>
    <col min="26" max="26" width="29" customWidth="1"/>
    <col min="27" max="27" width="20.6640625" customWidth="1"/>
    <col min="28" max="28" width="22.6640625" customWidth="1"/>
    <col min="31" max="31" width="26.88671875" customWidth="1"/>
    <col min="32" max="32" width="25.109375" customWidth="1"/>
    <col min="33" max="33" width="21.77734375" customWidth="1"/>
    <col min="36" max="36" width="31" customWidth="1"/>
    <col min="37" max="37" width="22.21875" customWidth="1"/>
    <col min="38" max="38" width="21.6640625" customWidth="1"/>
  </cols>
  <sheetData>
    <row r="1" spans="1:38" ht="48" customHeight="1" thickBot="1" x14ac:dyDescent="0.35">
      <c r="A1" s="14" t="s">
        <v>104</v>
      </c>
      <c r="B1" s="14" t="s">
        <v>101</v>
      </c>
      <c r="C1" s="15" t="s">
        <v>102</v>
      </c>
      <c r="F1" s="14" t="s">
        <v>105</v>
      </c>
      <c r="G1" s="14" t="s">
        <v>101</v>
      </c>
      <c r="H1" s="15" t="s">
        <v>102</v>
      </c>
      <c r="K1" s="14" t="s">
        <v>106</v>
      </c>
      <c r="L1" s="14" t="s">
        <v>101</v>
      </c>
      <c r="M1" s="15" t="s">
        <v>102</v>
      </c>
      <c r="P1" s="14" t="s">
        <v>107</v>
      </c>
      <c r="Q1" s="14" t="s">
        <v>101</v>
      </c>
      <c r="R1" s="15" t="s">
        <v>102</v>
      </c>
      <c r="U1" s="14" t="s">
        <v>108</v>
      </c>
      <c r="V1" s="14" t="s">
        <v>101</v>
      </c>
      <c r="W1" s="15" t="s">
        <v>102</v>
      </c>
      <c r="Z1" s="14" t="s">
        <v>109</v>
      </c>
      <c r="AA1" s="14" t="s">
        <v>101</v>
      </c>
      <c r="AB1" s="15" t="s">
        <v>102</v>
      </c>
      <c r="AE1" s="14" t="s">
        <v>110</v>
      </c>
      <c r="AF1" s="14" t="s">
        <v>101</v>
      </c>
      <c r="AG1" s="15" t="s">
        <v>102</v>
      </c>
      <c r="AJ1" s="14" t="s">
        <v>154</v>
      </c>
      <c r="AK1" s="14" t="s">
        <v>101</v>
      </c>
      <c r="AL1" s="15" t="s">
        <v>102</v>
      </c>
    </row>
    <row r="2" spans="1:38" ht="15" thickBot="1" x14ac:dyDescent="0.35">
      <c r="A2" s="14">
        <v>1</v>
      </c>
      <c r="B2" s="23">
        <v>1.01</v>
      </c>
      <c r="C2" s="23">
        <v>0.99</v>
      </c>
      <c r="F2" s="14">
        <v>1</v>
      </c>
      <c r="G2" s="23">
        <v>3.02</v>
      </c>
      <c r="H2" s="23">
        <v>2.98</v>
      </c>
      <c r="K2" s="14">
        <v>1</v>
      </c>
      <c r="L2" s="23">
        <v>4.7699999999999996</v>
      </c>
      <c r="M2" s="23">
        <v>4.76</v>
      </c>
      <c r="P2" s="14">
        <v>1</v>
      </c>
      <c r="Q2" s="23">
        <v>6.05</v>
      </c>
      <c r="R2" s="23">
        <v>5.95</v>
      </c>
      <c r="U2" s="14">
        <v>1</v>
      </c>
      <c r="V2" s="23">
        <v>12.1</v>
      </c>
      <c r="W2" s="23">
        <v>11.9</v>
      </c>
      <c r="Z2" s="14">
        <v>1</v>
      </c>
      <c r="AA2" s="23">
        <v>25.1</v>
      </c>
      <c r="AB2" s="23">
        <v>24.9</v>
      </c>
      <c r="AE2" s="14">
        <v>1</v>
      </c>
      <c r="AF2" s="23">
        <v>50.2</v>
      </c>
      <c r="AG2" s="23">
        <v>49.8</v>
      </c>
      <c r="AJ2" s="14">
        <v>1</v>
      </c>
      <c r="AK2" s="23">
        <v>22</v>
      </c>
      <c r="AL2" s="23">
        <v>22.1</v>
      </c>
    </row>
    <row r="3" spans="1:38" ht="15" thickBot="1" x14ac:dyDescent="0.35">
      <c r="A3" s="14">
        <v>2</v>
      </c>
      <c r="B3" s="23">
        <v>1</v>
      </c>
      <c r="C3" s="23">
        <v>1.02</v>
      </c>
      <c r="F3" s="14">
        <v>2</v>
      </c>
      <c r="G3" s="23">
        <v>2.99</v>
      </c>
      <c r="H3" s="23">
        <v>3.01</v>
      </c>
      <c r="K3" s="14">
        <v>2</v>
      </c>
      <c r="L3" s="23">
        <v>4.75</v>
      </c>
      <c r="M3" s="23">
        <v>4.7300000000000004</v>
      </c>
      <c r="P3" s="14">
        <v>2</v>
      </c>
      <c r="Q3" s="23">
        <v>6</v>
      </c>
      <c r="R3" s="23">
        <v>6.02</v>
      </c>
      <c r="U3" s="14">
        <v>2</v>
      </c>
      <c r="V3" s="23">
        <v>12</v>
      </c>
      <c r="W3" s="23">
        <v>12.05</v>
      </c>
      <c r="Z3" s="14">
        <v>2</v>
      </c>
      <c r="AA3" s="23">
        <v>25.05</v>
      </c>
      <c r="AB3" s="23">
        <v>25</v>
      </c>
      <c r="AE3" s="14">
        <v>2</v>
      </c>
      <c r="AF3" s="23">
        <v>50.1</v>
      </c>
      <c r="AG3" s="23">
        <v>50.05</v>
      </c>
      <c r="AJ3" s="14">
        <v>2</v>
      </c>
      <c r="AK3" s="23">
        <v>22.1</v>
      </c>
      <c r="AL3" s="23">
        <v>22.15</v>
      </c>
    </row>
    <row r="4" spans="1:38" ht="15" thickBot="1" x14ac:dyDescent="0.35">
      <c r="A4" s="14">
        <v>3</v>
      </c>
      <c r="B4" s="23">
        <v>0.98</v>
      </c>
      <c r="C4" s="23">
        <v>1.01</v>
      </c>
      <c r="F4" s="14">
        <v>3</v>
      </c>
      <c r="G4" s="23">
        <v>3.05</v>
      </c>
      <c r="H4" s="23">
        <v>2.95</v>
      </c>
      <c r="K4" s="14">
        <v>3</v>
      </c>
      <c r="L4" s="23">
        <v>4.8</v>
      </c>
      <c r="M4" s="23">
        <v>4.7</v>
      </c>
      <c r="P4" s="14">
        <v>3</v>
      </c>
      <c r="Q4" s="23">
        <v>5.98</v>
      </c>
      <c r="R4" s="23">
        <v>6.01</v>
      </c>
      <c r="U4" s="14">
        <v>3</v>
      </c>
      <c r="V4" s="23">
        <v>11.95</v>
      </c>
      <c r="W4" s="23">
        <v>12.02</v>
      </c>
      <c r="Z4" s="14">
        <v>3</v>
      </c>
      <c r="AA4" s="23">
        <v>24.95</v>
      </c>
      <c r="AB4" s="23">
        <v>25.15</v>
      </c>
      <c r="AE4" s="14">
        <v>3</v>
      </c>
      <c r="AF4" s="23">
        <v>49.9</v>
      </c>
      <c r="AG4" s="23">
        <v>50.15</v>
      </c>
      <c r="AJ4" s="14">
        <v>3</v>
      </c>
      <c r="AK4" s="23">
        <v>22.3</v>
      </c>
      <c r="AL4" s="23">
        <v>22.2</v>
      </c>
    </row>
    <row r="5" spans="1:38" ht="15" thickBot="1" x14ac:dyDescent="0.35">
      <c r="A5" s="14">
        <v>4</v>
      </c>
      <c r="B5" s="23">
        <v>1.03</v>
      </c>
      <c r="C5" s="23">
        <v>1</v>
      </c>
      <c r="F5" s="14">
        <v>4</v>
      </c>
      <c r="G5" s="23">
        <v>3</v>
      </c>
      <c r="H5" s="23">
        <v>3</v>
      </c>
      <c r="K5" s="14">
        <v>4</v>
      </c>
      <c r="L5" s="23">
        <v>4.74</v>
      </c>
      <c r="M5" s="23">
        <v>4.74</v>
      </c>
      <c r="P5" s="14">
        <v>4</v>
      </c>
      <c r="Q5" s="23">
        <v>6.03</v>
      </c>
      <c r="R5" s="23">
        <v>5.99</v>
      </c>
      <c r="U5" s="14">
        <v>4</v>
      </c>
      <c r="V5" s="23">
        <v>12.15</v>
      </c>
      <c r="W5" s="23">
        <v>11.85</v>
      </c>
      <c r="Z5" s="14">
        <v>4</v>
      </c>
      <c r="AA5" s="23">
        <v>25.2</v>
      </c>
      <c r="AB5" s="23">
        <v>24.8</v>
      </c>
      <c r="AE5" s="14">
        <v>4</v>
      </c>
      <c r="AF5" s="23">
        <v>50.3</v>
      </c>
      <c r="AG5" s="23">
        <v>49.7</v>
      </c>
      <c r="AJ5" s="14">
        <v>4</v>
      </c>
      <c r="AK5" s="23">
        <v>22.4</v>
      </c>
      <c r="AL5" s="23">
        <v>22.4</v>
      </c>
    </row>
    <row r="6" spans="1:38" ht="15" thickBot="1" x14ac:dyDescent="0.35">
      <c r="A6" s="14">
        <v>5</v>
      </c>
      <c r="B6" s="23">
        <v>0.99</v>
      </c>
      <c r="C6" s="23">
        <v>1.02</v>
      </c>
      <c r="F6" s="14">
        <v>5</v>
      </c>
      <c r="G6" s="23">
        <v>3.01</v>
      </c>
      <c r="H6" s="23">
        <v>2.99</v>
      </c>
      <c r="K6" s="14">
        <v>5</v>
      </c>
      <c r="L6" s="23">
        <v>4.76</v>
      </c>
      <c r="M6" s="23">
        <v>4.75</v>
      </c>
      <c r="P6" s="14">
        <v>5</v>
      </c>
      <c r="Q6" s="23">
        <v>6.01</v>
      </c>
      <c r="R6" s="23">
        <v>6</v>
      </c>
      <c r="U6" s="14">
        <v>5</v>
      </c>
      <c r="V6" s="23">
        <v>12.05</v>
      </c>
      <c r="W6" s="23">
        <v>11.95</v>
      </c>
      <c r="Z6" s="14">
        <v>5</v>
      </c>
      <c r="AA6" s="23">
        <v>25</v>
      </c>
      <c r="AB6" s="23">
        <v>25.05</v>
      </c>
      <c r="AE6" s="14">
        <v>5</v>
      </c>
      <c r="AF6" s="23">
        <v>50</v>
      </c>
      <c r="AG6" s="23">
        <v>50.1</v>
      </c>
      <c r="AJ6" s="14">
        <v>5</v>
      </c>
      <c r="AK6" s="23">
        <v>22.15</v>
      </c>
      <c r="AL6" s="23">
        <v>22</v>
      </c>
    </row>
    <row r="7" spans="1:38" ht="15" thickBot="1" x14ac:dyDescent="0.35">
      <c r="A7" s="14">
        <v>6</v>
      </c>
      <c r="B7" s="23">
        <v>1.01</v>
      </c>
      <c r="C7" s="23">
        <v>0.98</v>
      </c>
      <c r="F7" s="14">
        <v>6</v>
      </c>
      <c r="G7" s="23">
        <v>2.97</v>
      </c>
      <c r="H7" s="23">
        <v>3.03</v>
      </c>
      <c r="K7" s="14">
        <v>6</v>
      </c>
      <c r="L7" s="23">
        <v>4.72</v>
      </c>
      <c r="M7" s="23">
        <v>4.78</v>
      </c>
      <c r="P7" s="14">
        <v>6</v>
      </c>
      <c r="Q7" s="23">
        <v>5.97</v>
      </c>
      <c r="R7" s="23">
        <v>6.04</v>
      </c>
      <c r="U7" s="14">
        <v>6</v>
      </c>
      <c r="V7" s="23">
        <v>11.9</v>
      </c>
      <c r="W7" s="23">
        <v>12.1</v>
      </c>
      <c r="Z7" s="14">
        <v>6</v>
      </c>
      <c r="AA7" s="23">
        <v>24.9</v>
      </c>
      <c r="AB7" s="23">
        <v>25.1</v>
      </c>
      <c r="AE7" s="14">
        <v>6</v>
      </c>
      <c r="AF7" s="23">
        <v>49.85</v>
      </c>
      <c r="AG7" s="23">
        <v>50.25</v>
      </c>
      <c r="AJ7" s="14">
        <v>6</v>
      </c>
      <c r="AK7" s="23">
        <v>22.05</v>
      </c>
      <c r="AL7" s="23">
        <v>22.5</v>
      </c>
    </row>
    <row r="8" spans="1:38" ht="15" thickBot="1" x14ac:dyDescent="0.35">
      <c r="A8" s="14">
        <v>7</v>
      </c>
      <c r="B8" s="23">
        <v>1.02</v>
      </c>
      <c r="C8" s="23">
        <v>1.01</v>
      </c>
      <c r="F8" s="14">
        <v>7</v>
      </c>
      <c r="G8" s="23">
        <v>3.02</v>
      </c>
      <c r="H8" s="23">
        <v>3.01</v>
      </c>
      <c r="K8" s="14">
        <v>7</v>
      </c>
      <c r="L8" s="23">
        <v>4.79</v>
      </c>
      <c r="M8" s="23">
        <v>4.71</v>
      </c>
      <c r="P8" s="14">
        <v>7</v>
      </c>
      <c r="Q8" s="23">
        <v>6.02</v>
      </c>
      <c r="R8" s="23">
        <v>6.02</v>
      </c>
      <c r="U8" s="14">
        <v>7</v>
      </c>
      <c r="V8" s="23">
        <v>12.12</v>
      </c>
      <c r="W8" s="23">
        <v>11.88</v>
      </c>
      <c r="Z8" s="14">
        <v>7</v>
      </c>
      <c r="AA8" s="23">
        <v>25.15</v>
      </c>
      <c r="AB8" s="23">
        <v>24.95</v>
      </c>
      <c r="AE8" s="14">
        <v>7</v>
      </c>
      <c r="AF8" s="23">
        <v>50.15</v>
      </c>
      <c r="AG8" s="23">
        <v>49.95</v>
      </c>
      <c r="AJ8" s="14">
        <v>7</v>
      </c>
      <c r="AK8" s="23">
        <v>22.17</v>
      </c>
      <c r="AL8" s="23">
        <v>22.4</v>
      </c>
    </row>
    <row r="9" spans="1:38" ht="15" thickBot="1" x14ac:dyDescent="0.35">
      <c r="A9" s="14">
        <v>8</v>
      </c>
      <c r="B9" s="23">
        <v>1</v>
      </c>
      <c r="C9" s="23">
        <v>1</v>
      </c>
      <c r="F9" s="14">
        <v>8</v>
      </c>
      <c r="G9" s="23">
        <v>2.98</v>
      </c>
      <c r="H9" s="23">
        <v>3</v>
      </c>
      <c r="K9" s="14">
        <v>8</v>
      </c>
      <c r="L9" s="23">
        <v>4.75</v>
      </c>
      <c r="M9" s="23">
        <v>4.75</v>
      </c>
      <c r="P9" s="14">
        <v>8</v>
      </c>
      <c r="Q9" s="23">
        <v>6</v>
      </c>
      <c r="R9" s="23">
        <v>6</v>
      </c>
      <c r="U9" s="14">
        <v>8</v>
      </c>
      <c r="V9" s="23">
        <v>12</v>
      </c>
      <c r="W9" s="23">
        <v>12</v>
      </c>
      <c r="Z9" s="14">
        <v>8</v>
      </c>
      <c r="AA9" s="23">
        <v>25</v>
      </c>
      <c r="AB9" s="23">
        <v>25</v>
      </c>
      <c r="AE9" s="14">
        <v>8</v>
      </c>
      <c r="AF9" s="23">
        <v>50</v>
      </c>
      <c r="AG9" s="23">
        <v>50</v>
      </c>
      <c r="AJ9" s="14">
        <v>8</v>
      </c>
      <c r="AK9" s="23">
        <v>22.2</v>
      </c>
      <c r="AL9" s="23">
        <v>22.1</v>
      </c>
    </row>
    <row r="10" spans="1:38" ht="15" thickBot="1" x14ac:dyDescent="0.35">
      <c r="A10" s="14">
        <v>9</v>
      </c>
      <c r="B10" s="23">
        <v>0.97</v>
      </c>
      <c r="C10" s="23">
        <v>1.03</v>
      </c>
      <c r="F10" s="14">
        <v>9</v>
      </c>
      <c r="G10" s="23">
        <v>3.04</v>
      </c>
      <c r="H10" s="23">
        <v>2.96</v>
      </c>
      <c r="K10" s="14">
        <v>9</v>
      </c>
      <c r="L10" s="23">
        <v>4.8099999999999996</v>
      </c>
      <c r="M10" s="23">
        <v>4.6900000000000004</v>
      </c>
      <c r="P10" s="14">
        <v>9</v>
      </c>
      <c r="Q10" s="23">
        <v>6.06</v>
      </c>
      <c r="R10" s="23">
        <v>5.94</v>
      </c>
      <c r="U10" s="14">
        <v>9</v>
      </c>
      <c r="V10" s="23">
        <v>12.2</v>
      </c>
      <c r="W10" s="23">
        <v>11.8</v>
      </c>
      <c r="Z10" s="14">
        <v>9</v>
      </c>
      <c r="AA10" s="23">
        <v>25.3</v>
      </c>
      <c r="AB10" s="23">
        <v>24.7</v>
      </c>
      <c r="AE10" s="14">
        <v>9</v>
      </c>
      <c r="AF10" s="23">
        <v>50.4</v>
      </c>
      <c r="AG10" s="23">
        <v>49.6</v>
      </c>
      <c r="AJ10" s="14">
        <v>9</v>
      </c>
      <c r="AK10" s="23">
        <v>22.4</v>
      </c>
      <c r="AL10" s="23">
        <v>22.4</v>
      </c>
    </row>
    <row r="11" spans="1:38" ht="15" thickBot="1" x14ac:dyDescent="0.35">
      <c r="A11" s="14">
        <v>10</v>
      </c>
      <c r="B11" s="23">
        <v>1.01</v>
      </c>
      <c r="C11" s="23">
        <v>0.99</v>
      </c>
      <c r="F11" s="14">
        <v>10</v>
      </c>
      <c r="G11" s="23">
        <v>3</v>
      </c>
      <c r="H11" s="23">
        <v>3.02</v>
      </c>
      <c r="K11" s="14">
        <v>10</v>
      </c>
      <c r="L11" s="23">
        <v>4.75</v>
      </c>
      <c r="M11" s="23">
        <v>4.7699999999999996</v>
      </c>
      <c r="P11" s="14">
        <v>10</v>
      </c>
      <c r="Q11" s="23">
        <v>6.01</v>
      </c>
      <c r="R11" s="23">
        <v>6</v>
      </c>
      <c r="U11" s="14">
        <v>10</v>
      </c>
      <c r="V11" s="23">
        <v>12.05</v>
      </c>
      <c r="W11" s="23">
        <v>11.95</v>
      </c>
      <c r="Z11" s="14">
        <v>10</v>
      </c>
      <c r="AA11" s="23">
        <v>25.1</v>
      </c>
      <c r="AB11" s="23">
        <v>25</v>
      </c>
      <c r="AE11" s="14">
        <v>10</v>
      </c>
      <c r="AF11" s="23">
        <v>50.2</v>
      </c>
      <c r="AG11" s="23">
        <v>50</v>
      </c>
      <c r="AJ11" s="14">
        <v>10</v>
      </c>
      <c r="AK11" s="23">
        <v>22.3</v>
      </c>
      <c r="AL11" s="23">
        <v>22.15</v>
      </c>
    </row>
    <row r="12" spans="1:38" ht="20.399999999999999" customHeight="1" thickBot="1" x14ac:dyDescent="0.35">
      <c r="A12" s="14" t="s">
        <v>116</v>
      </c>
      <c r="B12" s="24">
        <f>SUM(B2:C11)/20</f>
        <v>1.0035000000000001</v>
      </c>
      <c r="C12" s="24" t="s">
        <v>117</v>
      </c>
      <c r="F12" s="14" t="s">
        <v>116</v>
      </c>
      <c r="G12" s="24">
        <f>SUM(G2:H11)/20</f>
        <v>3.0015000000000001</v>
      </c>
      <c r="H12" s="24" t="s">
        <v>117</v>
      </c>
      <c r="K12" s="14" t="s">
        <v>116</v>
      </c>
      <c r="L12" s="24">
        <f>SUM(L2:M11)/20</f>
        <v>4.7509999999999994</v>
      </c>
      <c r="M12" s="24" t="s">
        <v>117</v>
      </c>
      <c r="P12" s="14" t="s">
        <v>116</v>
      </c>
      <c r="Q12" s="24">
        <f>SUM(Q2:R11)/20</f>
        <v>6.0050000000000008</v>
      </c>
      <c r="R12" s="24" t="s">
        <v>117</v>
      </c>
      <c r="U12" s="14" t="s">
        <v>118</v>
      </c>
      <c r="V12" s="24">
        <f>SUM(V2:W11)/20</f>
        <v>12.000999999999999</v>
      </c>
      <c r="W12" s="24" t="s">
        <v>119</v>
      </c>
      <c r="Z12" s="14" t="s">
        <v>118</v>
      </c>
      <c r="AA12" s="24">
        <f>SUM(AA2:AB11)/20</f>
        <v>25.020000000000003</v>
      </c>
      <c r="AB12" s="24" t="s">
        <v>119</v>
      </c>
      <c r="AE12" s="14" t="s">
        <v>103</v>
      </c>
      <c r="AF12" s="24">
        <f>SUM(AF2:AG11)/20</f>
        <v>50.035000000000004</v>
      </c>
      <c r="AG12" s="24" t="s">
        <v>119</v>
      </c>
      <c r="AJ12" s="14" t="s">
        <v>118</v>
      </c>
      <c r="AK12" s="24">
        <f>SUM(AK2:AL11)/20</f>
        <v>22.223499999999998</v>
      </c>
      <c r="AL12" s="24" t="s">
        <v>119</v>
      </c>
    </row>
    <row r="13" spans="1:38" ht="20.399999999999999" customHeight="1" thickBot="1" x14ac:dyDescent="0.35">
      <c r="A13" s="14" t="s">
        <v>126</v>
      </c>
      <c r="B13" s="29">
        <f>_xlfn.STDEV.S(B2:C11)</f>
        <v>1.6630662866176489E-2</v>
      </c>
      <c r="C13" s="28"/>
      <c r="F13" s="14" t="s">
        <v>126</v>
      </c>
      <c r="G13" s="29">
        <f>_xlfn.STDEV.S(G2:H11)</f>
        <v>2.5603248149199155E-2</v>
      </c>
      <c r="H13" s="28"/>
      <c r="K13" s="14" t="s">
        <v>126</v>
      </c>
      <c r="L13" s="29">
        <f>_xlfn.STDEV.S(L2:M11)</f>
        <v>3.1439164311914694E-2</v>
      </c>
      <c r="M13" s="28"/>
      <c r="P13" s="14" t="s">
        <v>126</v>
      </c>
      <c r="Q13" s="29">
        <f>_xlfn.STDEV.S(Q2:R11)</f>
        <v>2.999999999999985E-2</v>
      </c>
      <c r="R13" s="28"/>
      <c r="U13" s="14" t="s">
        <v>126</v>
      </c>
      <c r="V13" s="29">
        <f>_xlfn.STDEV.S(V2:W11)</f>
        <v>0.10492603911427562</v>
      </c>
      <c r="W13" s="28"/>
      <c r="Z13" s="14" t="s">
        <v>126</v>
      </c>
      <c r="AA13" s="29">
        <f>_xlfn.STDEV.S(AA2:AB11)</f>
        <v>0.13707470110932429</v>
      </c>
      <c r="AB13" s="28"/>
      <c r="AE13" s="14" t="s">
        <v>126</v>
      </c>
      <c r="AF13" s="29">
        <f>_xlfn.STDEV.S(AF2:AG11)</f>
        <v>0.20006577865660458</v>
      </c>
      <c r="AG13" s="28"/>
      <c r="AJ13" s="14" t="s">
        <v>126</v>
      </c>
      <c r="AK13" s="29">
        <f>_xlfn.STDEV.S(AK2:AL11)</f>
        <v>0.15215210533507112</v>
      </c>
      <c r="AL13" s="28"/>
    </row>
    <row r="14" spans="1:38" ht="18.600000000000001" customHeight="1" thickBot="1" x14ac:dyDescent="0.35">
      <c r="A14" s="27" t="s">
        <v>115</v>
      </c>
      <c r="B14" s="24" t="s">
        <v>153</v>
      </c>
      <c r="F14" s="27" t="s">
        <v>115</v>
      </c>
      <c r="G14" s="24" t="s">
        <v>124</v>
      </c>
      <c r="K14" s="27" t="s">
        <v>115</v>
      </c>
      <c r="L14" s="24" t="s">
        <v>125</v>
      </c>
      <c r="P14" s="27" t="s">
        <v>115</v>
      </c>
      <c r="Q14" s="24" t="s">
        <v>113</v>
      </c>
      <c r="U14" s="27" t="s">
        <v>115</v>
      </c>
      <c r="V14" s="24" t="s">
        <v>120</v>
      </c>
      <c r="Z14" s="27" t="s">
        <v>115</v>
      </c>
      <c r="AA14" s="24" t="s">
        <v>122</v>
      </c>
      <c r="AE14" s="27" t="s">
        <v>115</v>
      </c>
      <c r="AF14" s="24" t="s">
        <v>123</v>
      </c>
      <c r="AJ14" s="27" t="s">
        <v>115</v>
      </c>
      <c r="AK14" s="24" t="s">
        <v>145</v>
      </c>
    </row>
    <row r="16" spans="1:38" ht="15" thickBot="1" x14ac:dyDescent="0.35">
      <c r="P16" s="30"/>
      <c r="Q16" s="30"/>
      <c r="R16" s="33"/>
    </row>
    <row r="17" spans="1:18" ht="15" thickBot="1" x14ac:dyDescent="0.35">
      <c r="B17" s="25" t="s">
        <v>36</v>
      </c>
      <c r="C17" s="25" t="s">
        <v>23</v>
      </c>
      <c r="D17" s="25" t="s">
        <v>127</v>
      </c>
      <c r="E17" s="25" t="s">
        <v>128</v>
      </c>
      <c r="F17" s="15" t="s">
        <v>129</v>
      </c>
      <c r="P17" s="30"/>
      <c r="Q17" s="31"/>
      <c r="R17" s="32"/>
    </row>
    <row r="18" spans="1:18" ht="15" thickBot="1" x14ac:dyDescent="0.35">
      <c r="B18" s="24" t="s">
        <v>59</v>
      </c>
      <c r="C18" s="26" t="s">
        <v>130</v>
      </c>
      <c r="D18" s="26" t="s">
        <v>146</v>
      </c>
      <c r="E18" s="26" t="s">
        <v>131</v>
      </c>
      <c r="F18" s="17" t="s">
        <v>60</v>
      </c>
      <c r="P18" s="30"/>
      <c r="Q18" s="31"/>
      <c r="R18" s="32"/>
    </row>
    <row r="19" spans="1:18" ht="15" thickBot="1" x14ac:dyDescent="0.35">
      <c r="B19" s="24" t="s">
        <v>132</v>
      </c>
      <c r="C19" s="26" t="s">
        <v>130</v>
      </c>
      <c r="D19" s="26" t="s">
        <v>147</v>
      </c>
      <c r="E19" s="26" t="s">
        <v>52</v>
      </c>
      <c r="F19" s="17" t="s">
        <v>121</v>
      </c>
      <c r="P19" s="30"/>
      <c r="Q19" s="31"/>
      <c r="R19" s="32"/>
    </row>
    <row r="20" spans="1:18" ht="15" customHeight="1" thickBot="1" x14ac:dyDescent="0.35">
      <c r="A20" s="36"/>
      <c r="B20" s="38" t="s">
        <v>142</v>
      </c>
      <c r="C20" s="26" t="s">
        <v>130</v>
      </c>
      <c r="D20" s="26" t="s">
        <v>143</v>
      </c>
      <c r="E20" s="26" t="s">
        <v>144</v>
      </c>
      <c r="F20" s="37" t="s">
        <v>145</v>
      </c>
      <c r="P20" s="30"/>
      <c r="Q20" s="31"/>
      <c r="R20" s="32"/>
    </row>
    <row r="21" spans="1:18" ht="15" thickBot="1" x14ac:dyDescent="0.35">
      <c r="B21" s="24" t="s">
        <v>133</v>
      </c>
      <c r="C21" s="26" t="s">
        <v>134</v>
      </c>
      <c r="D21" s="26" t="s">
        <v>148</v>
      </c>
      <c r="E21" s="26" t="s">
        <v>90</v>
      </c>
      <c r="F21" s="17" t="s">
        <v>114</v>
      </c>
      <c r="P21" s="30"/>
      <c r="Q21" s="31"/>
      <c r="R21" s="32"/>
    </row>
    <row r="22" spans="1:18" ht="15" thickBot="1" x14ac:dyDescent="0.35">
      <c r="B22" s="24" t="s">
        <v>135</v>
      </c>
      <c r="C22" s="26" t="s">
        <v>28</v>
      </c>
      <c r="D22" s="26" t="s">
        <v>149</v>
      </c>
      <c r="E22" s="26" t="s">
        <v>136</v>
      </c>
      <c r="F22" s="17" t="s">
        <v>113</v>
      </c>
      <c r="P22" s="30"/>
      <c r="Q22" s="31"/>
      <c r="R22" s="32"/>
    </row>
    <row r="23" spans="1:18" ht="15" thickBot="1" x14ac:dyDescent="0.35">
      <c r="B23" s="24" t="s">
        <v>137</v>
      </c>
      <c r="C23" s="26" t="s">
        <v>28</v>
      </c>
      <c r="D23" s="26" t="s">
        <v>150</v>
      </c>
      <c r="E23" s="26" t="s">
        <v>138</v>
      </c>
      <c r="F23" s="17" t="s">
        <v>112</v>
      </c>
      <c r="P23" s="30"/>
      <c r="Q23" s="31"/>
      <c r="R23" s="32"/>
    </row>
    <row r="24" spans="1:18" ht="15" thickBot="1" x14ac:dyDescent="0.35">
      <c r="B24" s="24" t="s">
        <v>61</v>
      </c>
      <c r="C24" s="26" t="s">
        <v>28</v>
      </c>
      <c r="D24" s="26" t="s">
        <v>151</v>
      </c>
      <c r="E24" s="26" t="s">
        <v>139</v>
      </c>
      <c r="F24" s="17" t="s">
        <v>111</v>
      </c>
      <c r="P24" s="30"/>
      <c r="Q24" s="31"/>
      <c r="R24" s="32"/>
    </row>
    <row r="25" spans="1:18" ht="15" thickBot="1" x14ac:dyDescent="0.35">
      <c r="B25" s="39" t="s">
        <v>140</v>
      </c>
      <c r="C25" s="34" t="s">
        <v>28</v>
      </c>
      <c r="D25" s="34" t="s">
        <v>152</v>
      </c>
      <c r="E25" s="26" t="s">
        <v>141</v>
      </c>
      <c r="F25" s="17" t="s">
        <v>53</v>
      </c>
      <c r="P25" s="30"/>
      <c r="Q25" s="31"/>
      <c r="R25" s="32"/>
    </row>
    <row r="26" spans="1:18" ht="15" thickTop="1" x14ac:dyDescent="0.3">
      <c r="B26" s="30"/>
      <c r="C26" s="31"/>
      <c r="D26" s="32"/>
      <c r="P26" s="30"/>
      <c r="Q26" s="31"/>
      <c r="R26" s="32"/>
    </row>
    <row r="27" spans="1:18" x14ac:dyDescent="0.3">
      <c r="B27" s="30"/>
      <c r="C27" s="31"/>
      <c r="D27" s="32"/>
      <c r="P27" s="30"/>
      <c r="Q27" s="31"/>
      <c r="R27" s="32"/>
    </row>
    <row r="28" spans="1:18" x14ac:dyDescent="0.3">
      <c r="B28" s="30"/>
      <c r="C28" s="35"/>
      <c r="D28" s="32"/>
      <c r="P28" s="30"/>
      <c r="Q28" s="30"/>
      <c r="R28" s="33"/>
    </row>
    <row r="29" spans="1:18" x14ac:dyDescent="0.3">
      <c r="B29" s="30"/>
      <c r="C29" s="30"/>
      <c r="D29" s="33"/>
      <c r="P29" s="30"/>
      <c r="Q29" s="30"/>
      <c r="R29" s="33"/>
    </row>
    <row r="30" spans="1:18" x14ac:dyDescent="0.3">
      <c r="B30" s="30"/>
      <c r="C30" s="30"/>
      <c r="D30" s="33"/>
      <c r="P30" s="30"/>
      <c r="Q30" s="30"/>
      <c r="R30" s="33"/>
    </row>
    <row r="31" spans="1:18" x14ac:dyDescent="0.3">
      <c r="B31" s="30"/>
      <c r="C31" s="30"/>
      <c r="D31"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Verification Procedure</vt:lpstr>
      <vt:lpstr>Tolerances</vt:lpstr>
      <vt:lpstr>Summarized Values</vt:lpstr>
      <vt:lpstr>Verification</vt:lpstr>
      <vt:lpstr>'Verification Procedure'!_Toc226382851</vt:lpstr>
      <vt:lpstr>'Verification Procedure'!_Toc226382852</vt:lpstr>
      <vt:lpstr>'Verification Procedure'!_Toc226382853</vt:lpstr>
      <vt:lpstr>'Verification Procedure'!_Toc226382854</vt:lpstr>
      <vt:lpstr>'Verification Procedure'!_Toc226382855</vt:lpstr>
      <vt:lpstr>'Verification Procedure'!_Toc226382856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Tshepo Maponya</dc:creator>
  <cp:lastModifiedBy>Tshepo Maponya</cp:lastModifiedBy>
  <cp:lastPrinted>2026-04-22T11:00:14Z</cp:lastPrinted>
  <dcterms:created xsi:type="dcterms:W3CDTF">2026-04-06T14:15:46Z</dcterms:created>
  <dcterms:modified xsi:type="dcterms:W3CDTF">2026-04-22T12:14:35Z</dcterms:modified>
</cp:coreProperties>
</file>