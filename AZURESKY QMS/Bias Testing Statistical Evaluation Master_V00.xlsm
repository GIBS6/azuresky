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MWARELIMS12\AZURESKY SYSTEM\AZURESKY QMS\"/>
    </mc:Choice>
  </mc:AlternateContent>
  <xr:revisionPtr revIDLastSave="0" documentId="8_{F88B9BCF-3B03-408B-A599-E8AD6D21547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solidated" sheetId="20" r:id="rId1"/>
    <sheet name="P" sheetId="21" r:id="rId2"/>
    <sheet name="RA" sheetId="23" r:id="rId3"/>
    <sheet name="RB" sheetId="24" r:id="rId4"/>
    <sheet name="Data" sheetId="22" state="hidden" r:id="rId5"/>
    <sheet name="Evaluation Preview" sheetId="1" r:id="rId6"/>
    <sheet name="Evaluation Summary" sheetId="16" r:id="rId7"/>
    <sheet name="Raw Data" sheetId="4" r:id="rId8"/>
    <sheet name="Weighted Average" sheetId="10" r:id="rId9"/>
    <sheet name="Outlier Test" sheetId="3" r:id="rId10"/>
    <sheet name="Sample Diff &amp; Covariance" sheetId="11" r:id="rId11"/>
    <sheet name="Matrix Calculations" sheetId="15" state="hidden" r:id="rId12"/>
    <sheet name="Hotelling's T2" sheetId="12" state="hidden" r:id="rId13"/>
    <sheet name="Graphs" sheetId="13" r:id="rId14"/>
    <sheet name="Graphing Calculations" sheetId="18" state="hidden" r:id="rId15"/>
    <sheet name="Mass Variance Vs Qualities" sheetId="19" state="hidden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3" l="1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V96" i="22"/>
  <c r="V97" i="22"/>
  <c r="V98" i="22"/>
  <c r="V99" i="22"/>
  <c r="V100" i="22"/>
  <c r="V101" i="22"/>
  <c r="V102" i="22"/>
  <c r="V103" i="22"/>
  <c r="V104" i="22"/>
  <c r="V105" i="22"/>
  <c r="V106" i="22"/>
  <c r="V107" i="22"/>
  <c r="V108" i="22"/>
  <c r="V109" i="22"/>
  <c r="V110" i="22"/>
  <c r="V111" i="22"/>
  <c r="V112" i="22"/>
  <c r="V113" i="22"/>
  <c r="V114" i="22"/>
  <c r="V11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M96" i="22"/>
  <c r="M97" i="22"/>
  <c r="M98" i="22"/>
  <c r="M99" i="22"/>
  <c r="M100" i="22"/>
  <c r="M101" i="22"/>
  <c r="M102" i="22"/>
  <c r="M103" i="22"/>
  <c r="M104" i="22"/>
  <c r="M105" i="22"/>
  <c r="M106" i="22"/>
  <c r="M107" i="22"/>
  <c r="M108" i="22"/>
  <c r="M109" i="22"/>
  <c r="M110" i="22"/>
  <c r="M111" i="22"/>
  <c r="M112" i="22"/>
  <c r="M113" i="22"/>
  <c r="M114" i="22"/>
  <c r="M11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I96" i="22"/>
  <c r="I97" i="22"/>
  <c r="I98" i="22"/>
  <c r="I99" i="22"/>
  <c r="I100" i="22"/>
  <c r="I101" i="22"/>
  <c r="I102" i="22"/>
  <c r="I103" i="22"/>
  <c r="I104" i="22"/>
  <c r="I105" i="22"/>
  <c r="I106" i="22"/>
  <c r="I107" i="22"/>
  <c r="I108" i="22"/>
  <c r="I109" i="22"/>
  <c r="I110" i="22"/>
  <c r="I111" i="22"/>
  <c r="I112" i="22"/>
  <c r="I113" i="22"/>
  <c r="I114" i="22"/>
  <c r="I11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E30" i="24"/>
  <c r="D27" i="4" s="1"/>
  <c r="C27" i="10" s="1"/>
  <c r="E31" i="24"/>
  <c r="D28" i="4" s="1"/>
  <c r="C28" i="10" s="1"/>
  <c r="E32" i="24"/>
  <c r="D29" i="4" s="1"/>
  <c r="C29" i="10" s="1"/>
  <c r="E33" i="24"/>
  <c r="D30" i="4" s="1"/>
  <c r="C30" i="10" s="1"/>
  <c r="E34" i="24"/>
  <c r="D31" i="4" s="1"/>
  <c r="C31" i="10" s="1"/>
  <c r="E35" i="24"/>
  <c r="D32" i="4" s="1"/>
  <c r="C32" i="10" s="1"/>
  <c r="E36" i="24"/>
  <c r="D33" i="4" s="1"/>
  <c r="C33" i="10" s="1"/>
  <c r="E37" i="24"/>
  <c r="D34" i="4" s="1"/>
  <c r="C34" i="10" s="1"/>
  <c r="E38" i="24"/>
  <c r="D35" i="4" s="1"/>
  <c r="C35" i="10" s="1"/>
  <c r="E39" i="24"/>
  <c r="D36" i="4" s="1"/>
  <c r="C36" i="10" s="1"/>
  <c r="E40" i="24"/>
  <c r="D37" i="4" s="1"/>
  <c r="C37" i="10" s="1"/>
  <c r="E41" i="24"/>
  <c r="D38" i="4" s="1"/>
  <c r="C38" i="10" s="1"/>
  <c r="E42" i="24"/>
  <c r="D39" i="4" s="1"/>
  <c r="C39" i="10" s="1"/>
  <c r="E43" i="24"/>
  <c r="D40" i="4" s="1"/>
  <c r="C40" i="10" s="1"/>
  <c r="E44" i="24"/>
  <c r="D41" i="4" s="1"/>
  <c r="C41" i="10" s="1"/>
  <c r="E45" i="24"/>
  <c r="D42" i="4" s="1"/>
  <c r="C42" i="10" s="1"/>
  <c r="E46" i="24"/>
  <c r="D43" i="4" s="1"/>
  <c r="C43" i="10" s="1"/>
  <c r="E47" i="24"/>
  <c r="D44" i="4" s="1"/>
  <c r="C44" i="10" s="1"/>
  <c r="E48" i="24"/>
  <c r="D45" i="4" s="1"/>
  <c r="C45" i="10" s="1"/>
  <c r="E49" i="24"/>
  <c r="D46" i="4" s="1"/>
  <c r="C46" i="10" s="1"/>
  <c r="E30" i="23"/>
  <c r="C27" i="4" s="1"/>
  <c r="B27" i="10" s="1"/>
  <c r="E31" i="23"/>
  <c r="C28" i="4" s="1"/>
  <c r="B28" i="10" s="1"/>
  <c r="E32" i="23"/>
  <c r="C29" i="4" s="1"/>
  <c r="B29" i="10" s="1"/>
  <c r="E33" i="23"/>
  <c r="C30" i="4" s="1"/>
  <c r="B30" i="10" s="1"/>
  <c r="E34" i="23"/>
  <c r="C31" i="4" s="1"/>
  <c r="B31" i="10" s="1"/>
  <c r="E35" i="23"/>
  <c r="C32" i="4" s="1"/>
  <c r="B32" i="10" s="1"/>
  <c r="E36" i="23"/>
  <c r="C33" i="4" s="1"/>
  <c r="B33" i="10" s="1"/>
  <c r="E37" i="23"/>
  <c r="C34" i="4" s="1"/>
  <c r="B34" i="10" s="1"/>
  <c r="E38" i="23"/>
  <c r="C35" i="4" s="1"/>
  <c r="B35" i="10" s="1"/>
  <c r="E39" i="23"/>
  <c r="C36" i="4" s="1"/>
  <c r="B36" i="10" s="1"/>
  <c r="E40" i="23"/>
  <c r="C37" i="4" s="1"/>
  <c r="B37" i="10" s="1"/>
  <c r="E41" i="23"/>
  <c r="C38" i="4" s="1"/>
  <c r="B38" i="10" s="1"/>
  <c r="E42" i="23"/>
  <c r="C39" i="4" s="1"/>
  <c r="B39" i="10" s="1"/>
  <c r="E43" i="23"/>
  <c r="C40" i="4" s="1"/>
  <c r="B40" i="10" s="1"/>
  <c r="E44" i="23"/>
  <c r="C41" i="4" s="1"/>
  <c r="B41" i="10" s="1"/>
  <c r="E45" i="23"/>
  <c r="C42" i="4" s="1"/>
  <c r="B42" i="10" s="1"/>
  <c r="E46" i="23"/>
  <c r="C43" i="4" s="1"/>
  <c r="B43" i="10" s="1"/>
  <c r="E47" i="23"/>
  <c r="C44" i="4" s="1"/>
  <c r="B44" i="10" s="1"/>
  <c r="E48" i="23"/>
  <c r="C45" i="4" s="1"/>
  <c r="B45" i="10" s="1"/>
  <c r="E49" i="23"/>
  <c r="C46" i="4" s="1"/>
  <c r="B46" i="10" s="1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14" i="20"/>
  <c r="Q114" i="20"/>
  <c r="E30" i="21"/>
  <c r="B27" i="4" s="1"/>
  <c r="E31" i="21"/>
  <c r="B28" i="4" s="1"/>
  <c r="E32" i="21"/>
  <c r="B29" i="4" s="1"/>
  <c r="E33" i="21"/>
  <c r="B30" i="4" s="1"/>
  <c r="E34" i="21"/>
  <c r="B31" i="4" s="1"/>
  <c r="E35" i="21"/>
  <c r="B32" i="4" s="1"/>
  <c r="E36" i="21"/>
  <c r="B33" i="4" s="1"/>
  <c r="E37" i="21"/>
  <c r="B34" i="4" s="1"/>
  <c r="E38" i="21"/>
  <c r="B35" i="4" s="1"/>
  <c r="E39" i="21"/>
  <c r="B36" i="4" s="1"/>
  <c r="E40" i="21"/>
  <c r="B37" i="4" s="1"/>
  <c r="E41" i="21"/>
  <c r="B38" i="4" s="1"/>
  <c r="E42" i="21"/>
  <c r="B39" i="4" s="1"/>
  <c r="E43" i="21"/>
  <c r="B40" i="4" s="1"/>
  <c r="E44" i="21"/>
  <c r="B41" i="4" s="1"/>
  <c r="E45" i="21"/>
  <c r="B42" i="4" s="1"/>
  <c r="E46" i="21"/>
  <c r="B43" i="4" s="1"/>
  <c r="E47" i="21"/>
  <c r="B44" i="4" s="1"/>
  <c r="E48" i="21"/>
  <c r="B45" i="4" s="1"/>
  <c r="E49" i="21"/>
  <c r="B46" i="4" s="1"/>
  <c r="Q95" i="20"/>
  <c r="Q96" i="20"/>
  <c r="Q97" i="20"/>
  <c r="Q98" i="20"/>
  <c r="Q99" i="20"/>
  <c r="Q100" i="20"/>
  <c r="Q101" i="20"/>
  <c r="Q102" i="20"/>
  <c r="Q103" i="20"/>
  <c r="Q104" i="20"/>
  <c r="N95" i="20"/>
  <c r="N96" i="20"/>
  <c r="N97" i="20"/>
  <c r="N98" i="20"/>
  <c r="N99" i="20"/>
  <c r="N100" i="20"/>
  <c r="N101" i="20"/>
  <c r="N102" i="20"/>
  <c r="N103" i="20"/>
  <c r="N104" i="20"/>
  <c r="D44" i="10" l="1"/>
  <c r="D36" i="10"/>
  <c r="D43" i="10"/>
  <c r="D39" i="10"/>
  <c r="D35" i="10"/>
  <c r="D31" i="10"/>
  <c r="D27" i="10"/>
  <c r="D46" i="10"/>
  <c r="D42" i="10"/>
  <c r="D38" i="10"/>
  <c r="D34" i="10"/>
  <c r="D30" i="10"/>
  <c r="D45" i="10"/>
  <c r="D41" i="10"/>
  <c r="D37" i="10"/>
  <c r="D33" i="10"/>
  <c r="D29" i="10"/>
  <c r="D40" i="10"/>
  <c r="D32" i="10"/>
  <c r="D28" i="10"/>
  <c r="E29" i="24"/>
  <c r="D26" i="4" s="1"/>
  <c r="E28" i="24"/>
  <c r="D25" i="4" s="1"/>
  <c r="E27" i="24"/>
  <c r="D24" i="4" s="1"/>
  <c r="E26" i="24"/>
  <c r="D23" i="4" s="1"/>
  <c r="E25" i="24"/>
  <c r="D22" i="4" s="1"/>
  <c r="E24" i="24"/>
  <c r="D21" i="4" s="1"/>
  <c r="E23" i="24"/>
  <c r="D20" i="4" s="1"/>
  <c r="E22" i="24"/>
  <c r="D19" i="4" s="1"/>
  <c r="E21" i="24"/>
  <c r="D18" i="4" s="1"/>
  <c r="E20" i="24"/>
  <c r="D17" i="4" s="1"/>
  <c r="E19" i="24"/>
  <c r="D16" i="4" s="1"/>
  <c r="E18" i="24"/>
  <c r="D15" i="4" s="1"/>
  <c r="E17" i="24"/>
  <c r="D14" i="4" s="1"/>
  <c r="E16" i="24"/>
  <c r="D13" i="4" s="1"/>
  <c r="E15" i="24"/>
  <c r="D12" i="4" s="1"/>
  <c r="E14" i="24"/>
  <c r="D11" i="4" s="1"/>
  <c r="E13" i="24"/>
  <c r="D10" i="4" s="1"/>
  <c r="E12" i="24"/>
  <c r="D9" i="4" s="1"/>
  <c r="E11" i="24"/>
  <c r="D8" i="4" s="1"/>
  <c r="E10" i="24"/>
  <c r="D7" i="4" s="1"/>
  <c r="E29" i="23"/>
  <c r="C26" i="4" s="1"/>
  <c r="E28" i="23"/>
  <c r="C25" i="4" s="1"/>
  <c r="E27" i="23"/>
  <c r="C24" i="4" s="1"/>
  <c r="E26" i="23"/>
  <c r="C23" i="4" s="1"/>
  <c r="E25" i="23"/>
  <c r="C22" i="4" s="1"/>
  <c r="E24" i="23"/>
  <c r="C21" i="4" s="1"/>
  <c r="E23" i="23"/>
  <c r="C20" i="4" s="1"/>
  <c r="E22" i="23"/>
  <c r="C19" i="4" s="1"/>
  <c r="E21" i="23"/>
  <c r="C18" i="4" s="1"/>
  <c r="E20" i="23"/>
  <c r="C17" i="4" s="1"/>
  <c r="E19" i="23"/>
  <c r="C16" i="4" s="1"/>
  <c r="E18" i="23"/>
  <c r="C15" i="4" s="1"/>
  <c r="E17" i="23"/>
  <c r="C14" i="4" s="1"/>
  <c r="E16" i="23"/>
  <c r="C13" i="4" s="1"/>
  <c r="E15" i="23"/>
  <c r="C12" i="4" s="1"/>
  <c r="E14" i="23"/>
  <c r="C11" i="4" s="1"/>
  <c r="E13" i="23"/>
  <c r="C10" i="4" s="1"/>
  <c r="E12" i="23"/>
  <c r="C9" i="4" s="1"/>
  <c r="E11" i="23"/>
  <c r="C8" i="4" s="1"/>
  <c r="E10" i="23"/>
  <c r="C7" i="4" s="1"/>
  <c r="V6" i="22"/>
  <c r="V7" i="22"/>
  <c r="V8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42" i="22"/>
  <c r="V43" i="22"/>
  <c r="V44" i="22"/>
  <c r="V45" i="22"/>
  <c r="V46" i="22"/>
  <c r="V47" i="22"/>
  <c r="V48" i="22"/>
  <c r="V49" i="22"/>
  <c r="V50" i="22"/>
  <c r="V51" i="22"/>
  <c r="V52" i="22"/>
  <c r="V53" i="22"/>
  <c r="V54" i="22"/>
  <c r="V55" i="22"/>
  <c r="V56" i="22"/>
  <c r="V57" i="22"/>
  <c r="V58" i="22"/>
  <c r="V59" i="22"/>
  <c r="V60" i="22"/>
  <c r="V61" i="22"/>
  <c r="V62" i="22"/>
  <c r="V63" i="22"/>
  <c r="V64" i="22"/>
  <c r="V65" i="22"/>
  <c r="V66" i="22"/>
  <c r="V67" i="22"/>
  <c r="V68" i="22"/>
  <c r="V69" i="22"/>
  <c r="V70" i="22"/>
  <c r="V71" i="22"/>
  <c r="V72" i="22"/>
  <c r="V73" i="22"/>
  <c r="V74" i="22"/>
  <c r="V75" i="22"/>
  <c r="V76" i="22"/>
  <c r="V77" i="22"/>
  <c r="V78" i="22"/>
  <c r="V79" i="22"/>
  <c r="V80" i="22"/>
  <c r="V81" i="22"/>
  <c r="V82" i="22"/>
  <c r="V83" i="22"/>
  <c r="V84" i="22"/>
  <c r="V85" i="22"/>
  <c r="V86" i="22"/>
  <c r="V87" i="22"/>
  <c r="V88" i="22"/>
  <c r="V89" i="22"/>
  <c r="V90" i="22"/>
  <c r="V91" i="22"/>
  <c r="V92" i="22"/>
  <c r="V93" i="22"/>
  <c r="V94" i="22"/>
  <c r="V9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M6" i="22"/>
  <c r="M7" i="22"/>
  <c r="M8" i="22"/>
  <c r="M9" i="22"/>
  <c r="M10" i="22"/>
  <c r="M11" i="22"/>
  <c r="M12" i="22"/>
  <c r="M13" i="22"/>
  <c r="M14" i="22"/>
  <c r="M15" i="22"/>
  <c r="M16" i="22"/>
  <c r="M17" i="22"/>
  <c r="M18" i="22"/>
  <c r="M19" i="22"/>
  <c r="M20" i="22"/>
  <c r="M21" i="22"/>
  <c r="M22" i="22"/>
  <c r="M23" i="22"/>
  <c r="M24" i="22"/>
  <c r="M25" i="22"/>
  <c r="M26" i="22"/>
  <c r="M27" i="22"/>
  <c r="M28" i="22"/>
  <c r="M29" i="22"/>
  <c r="M30" i="22"/>
  <c r="M31" i="22"/>
  <c r="M32" i="22"/>
  <c r="M33" i="22"/>
  <c r="M34" i="22"/>
  <c r="M35" i="22"/>
  <c r="M36" i="22"/>
  <c r="M37" i="22"/>
  <c r="M38" i="22"/>
  <c r="M39" i="22"/>
  <c r="M40" i="22"/>
  <c r="M41" i="22"/>
  <c r="M42" i="22"/>
  <c r="M43" i="22"/>
  <c r="M44" i="22"/>
  <c r="M45" i="22"/>
  <c r="M46" i="22"/>
  <c r="M47" i="22"/>
  <c r="M48" i="22"/>
  <c r="M49" i="22"/>
  <c r="M50" i="22"/>
  <c r="M51" i="22"/>
  <c r="M52" i="22"/>
  <c r="M53" i="22"/>
  <c r="M54" i="22"/>
  <c r="M55" i="22"/>
  <c r="M56" i="22"/>
  <c r="M57" i="22"/>
  <c r="M58" i="22"/>
  <c r="M59" i="22"/>
  <c r="M60" i="22"/>
  <c r="M61" i="22"/>
  <c r="M62" i="22"/>
  <c r="M63" i="22"/>
  <c r="M64" i="22"/>
  <c r="M65" i="22"/>
  <c r="M66" i="22"/>
  <c r="M67" i="22"/>
  <c r="M68" i="22"/>
  <c r="M69" i="22"/>
  <c r="M70" i="22"/>
  <c r="M71" i="22"/>
  <c r="M72" i="22"/>
  <c r="M73" i="22"/>
  <c r="M74" i="22"/>
  <c r="M75" i="22"/>
  <c r="M76" i="22"/>
  <c r="M77" i="22"/>
  <c r="M78" i="22"/>
  <c r="M79" i="22"/>
  <c r="M80" i="22"/>
  <c r="M81" i="22"/>
  <c r="M82" i="22"/>
  <c r="M83" i="22"/>
  <c r="M84" i="22"/>
  <c r="M85" i="22"/>
  <c r="M86" i="22"/>
  <c r="M87" i="22"/>
  <c r="M88" i="22"/>
  <c r="M89" i="22"/>
  <c r="M90" i="22"/>
  <c r="M91" i="22"/>
  <c r="M92" i="22"/>
  <c r="M93" i="22"/>
  <c r="M94" i="22"/>
  <c r="M9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65" i="22"/>
  <c r="I66" i="22"/>
  <c r="I67" i="22"/>
  <c r="I68" i="22"/>
  <c r="I69" i="22"/>
  <c r="I70" i="22"/>
  <c r="I71" i="22"/>
  <c r="I72" i="22"/>
  <c r="I73" i="22"/>
  <c r="I74" i="22"/>
  <c r="I75" i="22"/>
  <c r="I76" i="22"/>
  <c r="I77" i="22"/>
  <c r="I78" i="22"/>
  <c r="I79" i="22"/>
  <c r="I80" i="22"/>
  <c r="I81" i="22"/>
  <c r="I82" i="22"/>
  <c r="I83" i="22"/>
  <c r="I84" i="22"/>
  <c r="I85" i="22"/>
  <c r="I86" i="22"/>
  <c r="I87" i="22"/>
  <c r="I88" i="22"/>
  <c r="I89" i="22"/>
  <c r="I90" i="22"/>
  <c r="I91" i="22"/>
  <c r="I92" i="22"/>
  <c r="I93" i="22"/>
  <c r="I94" i="22"/>
  <c r="I9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E29" i="21"/>
  <c r="B26" i="4" s="1"/>
  <c r="E28" i="21"/>
  <c r="B25" i="4" s="1"/>
  <c r="E27" i="21"/>
  <c r="B24" i="4" s="1"/>
  <c r="E26" i="21"/>
  <c r="B23" i="4" s="1"/>
  <c r="E25" i="21"/>
  <c r="B22" i="4" s="1"/>
  <c r="E24" i="21"/>
  <c r="B21" i="4" s="1"/>
  <c r="E23" i="21"/>
  <c r="B20" i="4" s="1"/>
  <c r="E22" i="21"/>
  <c r="B19" i="4" s="1"/>
  <c r="E21" i="21"/>
  <c r="B18" i="4" s="1"/>
  <c r="E20" i="21"/>
  <c r="B17" i="4" s="1"/>
  <c r="E19" i="21"/>
  <c r="B16" i="4" s="1"/>
  <c r="E18" i="21"/>
  <c r="B15" i="4" s="1"/>
  <c r="E17" i="21"/>
  <c r="B14" i="4" s="1"/>
  <c r="E16" i="21"/>
  <c r="B13" i="4" s="1"/>
  <c r="E15" i="21"/>
  <c r="B12" i="4" s="1"/>
  <c r="E14" i="21"/>
  <c r="B11" i="4" s="1"/>
  <c r="E13" i="21"/>
  <c r="B10" i="4" s="1"/>
  <c r="E12" i="21"/>
  <c r="B9" i="4" s="1"/>
  <c r="E11" i="21"/>
  <c r="B8" i="4" s="1"/>
  <c r="E10" i="21"/>
  <c r="B7" i="4" s="1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105" i="20"/>
  <c r="N106" i="20"/>
  <c r="N107" i="20"/>
  <c r="N108" i="20"/>
  <c r="N109" i="20"/>
  <c r="N110" i="20"/>
  <c r="N111" i="20"/>
  <c r="N112" i="20"/>
  <c r="N113" i="20"/>
  <c r="N15" i="20"/>
  <c r="K135" i="20"/>
  <c r="H135" i="20"/>
  <c r="G135" i="20"/>
  <c r="F135" i="20"/>
  <c r="Q113" i="20"/>
  <c r="Q112" i="20"/>
  <c r="Q111" i="20"/>
  <c r="Q110" i="20"/>
  <c r="Q109" i="20"/>
  <c r="Q108" i="20"/>
  <c r="Q107" i="20"/>
  <c r="Q106" i="20"/>
  <c r="Q105" i="20"/>
  <c r="Q94" i="20"/>
  <c r="Q93" i="20"/>
  <c r="Q92" i="20"/>
  <c r="Q91" i="20"/>
  <c r="Q90" i="20"/>
  <c r="Q89" i="20"/>
  <c r="Q88" i="20"/>
  <c r="Q87" i="20"/>
  <c r="Q86" i="20"/>
  <c r="Q85" i="20"/>
  <c r="Q84" i="20"/>
  <c r="Q83" i="20"/>
  <c r="Q82" i="20"/>
  <c r="Q81" i="20"/>
  <c r="Q80" i="20"/>
  <c r="Q79" i="20"/>
  <c r="Q78" i="20"/>
  <c r="Q77" i="20"/>
  <c r="Q76" i="20"/>
  <c r="Q75" i="20"/>
  <c r="Q74" i="20"/>
  <c r="Q73" i="20"/>
  <c r="Q72" i="20"/>
  <c r="Q71" i="20"/>
  <c r="Q70" i="20"/>
  <c r="Q69" i="20"/>
  <c r="Q68" i="20"/>
  <c r="Q67" i="20"/>
  <c r="Q66" i="20"/>
  <c r="Q65" i="20"/>
  <c r="Q64" i="20"/>
  <c r="Q63" i="20"/>
  <c r="Q62" i="20"/>
  <c r="Q61" i="20"/>
  <c r="Q60" i="20"/>
  <c r="Q59" i="20"/>
  <c r="Q58" i="20"/>
  <c r="Q57" i="20"/>
  <c r="Q56" i="20"/>
  <c r="Q55" i="20"/>
  <c r="Q54" i="20"/>
  <c r="Q53" i="20"/>
  <c r="Q52" i="20"/>
  <c r="Q51" i="20"/>
  <c r="Q50" i="20"/>
  <c r="Q49" i="20"/>
  <c r="Q48" i="20"/>
  <c r="Q47" i="20"/>
  <c r="Q46" i="20"/>
  <c r="Q45" i="20"/>
  <c r="Q44" i="20"/>
  <c r="Q43" i="20"/>
  <c r="Q42" i="20"/>
  <c r="Q41" i="20"/>
  <c r="Q40" i="20"/>
  <c r="Q39" i="20"/>
  <c r="Q38" i="20"/>
  <c r="Q37" i="20"/>
  <c r="Q36" i="20"/>
  <c r="Q35" i="20"/>
  <c r="Q34" i="20"/>
  <c r="Q33" i="20"/>
  <c r="Q32" i="20"/>
  <c r="Q31" i="20"/>
  <c r="Q30" i="20"/>
  <c r="Q29" i="20"/>
  <c r="Q28" i="20"/>
  <c r="Q27" i="20"/>
  <c r="Q26" i="20"/>
  <c r="Q25" i="20"/>
  <c r="Q24" i="20"/>
  <c r="Q23" i="20"/>
  <c r="Q22" i="20"/>
  <c r="Q21" i="20"/>
  <c r="Q20" i="20"/>
  <c r="Q19" i="20"/>
  <c r="Q18" i="20"/>
  <c r="Q17" i="20"/>
  <c r="Q16" i="20"/>
  <c r="Q15" i="20"/>
  <c r="B33" i="21" l="1"/>
  <c r="B37" i="21"/>
  <c r="B41" i="21"/>
  <c r="B45" i="21"/>
  <c r="B49" i="21"/>
  <c r="B33" i="23"/>
  <c r="B37" i="23"/>
  <c r="B41" i="23"/>
  <c r="B45" i="23"/>
  <c r="B49" i="23"/>
  <c r="B33" i="24"/>
  <c r="B37" i="24"/>
  <c r="B41" i="24"/>
  <c r="B45" i="24"/>
  <c r="B49" i="24"/>
  <c r="B30" i="21"/>
  <c r="B34" i="21"/>
  <c r="B38" i="21"/>
  <c r="B42" i="21"/>
  <c r="B46" i="21"/>
  <c r="B30" i="23"/>
  <c r="B34" i="23"/>
  <c r="B38" i="23"/>
  <c r="B42" i="23"/>
  <c r="B46" i="23"/>
  <c r="B30" i="24"/>
  <c r="B34" i="24"/>
  <c r="B38" i="24"/>
  <c r="B42" i="24"/>
  <c r="B46" i="24"/>
  <c r="B31" i="21"/>
  <c r="B35" i="21"/>
  <c r="B39" i="21"/>
  <c r="B43" i="21"/>
  <c r="B47" i="21"/>
  <c r="B31" i="23"/>
  <c r="B35" i="23"/>
  <c r="B39" i="23"/>
  <c r="B43" i="23"/>
  <c r="B47" i="23"/>
  <c r="B31" i="24"/>
  <c r="B35" i="24"/>
  <c r="B39" i="24"/>
  <c r="B43" i="24"/>
  <c r="B47" i="24"/>
  <c r="B32" i="21"/>
  <c r="B36" i="21"/>
  <c r="B40" i="21"/>
  <c r="B44" i="21"/>
  <c r="B48" i="21"/>
  <c r="B32" i="23"/>
  <c r="B36" i="23"/>
  <c r="B40" i="23"/>
  <c r="B44" i="23"/>
  <c r="B48" i="23"/>
  <c r="B32" i="24"/>
  <c r="B36" i="24"/>
  <c r="B40" i="24"/>
  <c r="B44" i="24"/>
  <c r="B48" i="24"/>
  <c r="C29" i="21"/>
  <c r="C33" i="21"/>
  <c r="C37" i="21"/>
  <c r="C41" i="21"/>
  <c r="C45" i="21"/>
  <c r="C49" i="21"/>
  <c r="C33" i="23"/>
  <c r="C37" i="23"/>
  <c r="C41" i="23"/>
  <c r="C45" i="23"/>
  <c r="C49" i="23"/>
  <c r="C33" i="24"/>
  <c r="C37" i="24"/>
  <c r="C41" i="24"/>
  <c r="C45" i="24"/>
  <c r="C49" i="24"/>
  <c r="C30" i="21"/>
  <c r="C34" i="21"/>
  <c r="C38" i="21"/>
  <c r="C42" i="21"/>
  <c r="C46" i="21"/>
  <c r="C30" i="23"/>
  <c r="C34" i="23"/>
  <c r="C38" i="23"/>
  <c r="C42" i="23"/>
  <c r="C46" i="23"/>
  <c r="C30" i="24"/>
  <c r="C34" i="24"/>
  <c r="C38" i="24"/>
  <c r="C42" i="24"/>
  <c r="C46" i="24"/>
  <c r="C31" i="21"/>
  <c r="C35" i="21"/>
  <c r="C39" i="21"/>
  <c r="C43" i="21"/>
  <c r="C47" i="21"/>
  <c r="C31" i="23"/>
  <c r="C35" i="23"/>
  <c r="C39" i="23"/>
  <c r="C43" i="23"/>
  <c r="C47" i="23"/>
  <c r="C31" i="24"/>
  <c r="C35" i="24"/>
  <c r="C39" i="24"/>
  <c r="C43" i="24"/>
  <c r="C47" i="24"/>
  <c r="C32" i="21"/>
  <c r="C36" i="21"/>
  <c r="C40" i="21"/>
  <c r="C44" i="21"/>
  <c r="C48" i="21"/>
  <c r="C32" i="23"/>
  <c r="C36" i="23"/>
  <c r="C40" i="23"/>
  <c r="C44" i="23"/>
  <c r="C48" i="23"/>
  <c r="C32" i="24"/>
  <c r="C36" i="24"/>
  <c r="C40" i="24"/>
  <c r="C44" i="24"/>
  <c r="C48" i="24"/>
  <c r="F33" i="23"/>
  <c r="F30" i="4" s="1"/>
  <c r="E30" i="10" s="1"/>
  <c r="F30" i="11" s="1"/>
  <c r="F30" i="24"/>
  <c r="G27" i="4" s="1"/>
  <c r="F35" i="24"/>
  <c r="G32" i="4" s="1"/>
  <c r="F40" i="24"/>
  <c r="G37" i="4" s="1"/>
  <c r="F44" i="24"/>
  <c r="G41" i="4" s="1"/>
  <c r="F48" i="24"/>
  <c r="G45" i="4" s="1"/>
  <c r="F32" i="23"/>
  <c r="F29" i="4" s="1"/>
  <c r="E29" i="10" s="1"/>
  <c r="F29" i="11" s="1"/>
  <c r="F38" i="23"/>
  <c r="F35" i="4" s="1"/>
  <c r="F42" i="23"/>
  <c r="F39" i="4" s="1"/>
  <c r="F46" i="23"/>
  <c r="F43" i="4" s="1"/>
  <c r="F34" i="24"/>
  <c r="G31" i="4" s="1"/>
  <c r="F47" i="24"/>
  <c r="G44" i="4" s="1"/>
  <c r="F31" i="23"/>
  <c r="F28" i="4" s="1"/>
  <c r="F41" i="23"/>
  <c r="F38" i="4" s="1"/>
  <c r="F49" i="23"/>
  <c r="F46" i="4" s="1"/>
  <c r="F31" i="24"/>
  <c r="G28" i="4" s="1"/>
  <c r="F36" i="24"/>
  <c r="G33" i="4" s="1"/>
  <c r="F41" i="24"/>
  <c r="G38" i="4" s="1"/>
  <c r="F45" i="24"/>
  <c r="G42" i="4" s="1"/>
  <c r="F49" i="24"/>
  <c r="G46" i="4" s="1"/>
  <c r="F34" i="23"/>
  <c r="F31" i="4" s="1"/>
  <c r="F39" i="23"/>
  <c r="F36" i="4" s="1"/>
  <c r="E36" i="10" s="1"/>
  <c r="F43" i="23"/>
  <c r="F40" i="4" s="1"/>
  <c r="F47" i="23"/>
  <c r="F44" i="4" s="1"/>
  <c r="F43" i="24"/>
  <c r="G40" i="4" s="1"/>
  <c r="F36" i="23"/>
  <c r="F33" i="4" s="1"/>
  <c r="F45" i="23"/>
  <c r="F42" i="4" s="1"/>
  <c r="F32" i="24"/>
  <c r="G29" i="4" s="1"/>
  <c r="F38" i="24"/>
  <c r="G35" i="4" s="1"/>
  <c r="F42" i="24"/>
  <c r="G39" i="4" s="1"/>
  <c r="F46" i="24"/>
  <c r="G43" i="4" s="1"/>
  <c r="F30" i="23"/>
  <c r="F27" i="4" s="1"/>
  <c r="F35" i="23"/>
  <c r="F32" i="4" s="1"/>
  <c r="F40" i="23"/>
  <c r="F37" i="4" s="1"/>
  <c r="F44" i="23"/>
  <c r="F41" i="4" s="1"/>
  <c r="F48" i="23"/>
  <c r="F45" i="4" s="1"/>
  <c r="F39" i="24"/>
  <c r="G36" i="4" s="1"/>
  <c r="H30" i="24"/>
  <c r="H34" i="24"/>
  <c r="H38" i="24"/>
  <c r="H42" i="24"/>
  <c r="H46" i="24"/>
  <c r="H32" i="23"/>
  <c r="H36" i="23"/>
  <c r="H40" i="23"/>
  <c r="H44" i="23"/>
  <c r="H48" i="23"/>
  <c r="H37" i="24"/>
  <c r="H49" i="24"/>
  <c r="H35" i="23"/>
  <c r="H43" i="23"/>
  <c r="H31" i="24"/>
  <c r="H35" i="24"/>
  <c r="H39" i="24"/>
  <c r="H43" i="24"/>
  <c r="H47" i="24"/>
  <c r="H33" i="23"/>
  <c r="H37" i="23"/>
  <c r="H41" i="23"/>
  <c r="H45" i="23"/>
  <c r="H49" i="23"/>
  <c r="H33" i="24"/>
  <c r="H45" i="24"/>
  <c r="H31" i="23"/>
  <c r="H39" i="23"/>
  <c r="H47" i="23"/>
  <c r="H32" i="24"/>
  <c r="H36" i="24"/>
  <c r="H40" i="24"/>
  <c r="H44" i="24"/>
  <c r="H48" i="24"/>
  <c r="H30" i="23"/>
  <c r="H34" i="23"/>
  <c r="H38" i="23"/>
  <c r="H42" i="23"/>
  <c r="H46" i="23"/>
  <c r="H41" i="24"/>
  <c r="K30" i="24"/>
  <c r="K34" i="24"/>
  <c r="K38" i="24"/>
  <c r="K42" i="24"/>
  <c r="K46" i="24"/>
  <c r="K32" i="23"/>
  <c r="K36" i="23"/>
  <c r="K40" i="23"/>
  <c r="K44" i="23"/>
  <c r="K48" i="23"/>
  <c r="K33" i="24"/>
  <c r="K45" i="24"/>
  <c r="K31" i="23"/>
  <c r="K47" i="23"/>
  <c r="K31" i="24"/>
  <c r="K35" i="24"/>
  <c r="K39" i="24"/>
  <c r="K43" i="24"/>
  <c r="K47" i="24"/>
  <c r="K33" i="23"/>
  <c r="K37" i="23"/>
  <c r="K41" i="23"/>
  <c r="K45" i="23"/>
  <c r="K49" i="23"/>
  <c r="K37" i="24"/>
  <c r="K39" i="23"/>
  <c r="K32" i="24"/>
  <c r="K36" i="24"/>
  <c r="K40" i="24"/>
  <c r="K44" i="24"/>
  <c r="K48" i="24"/>
  <c r="K30" i="23"/>
  <c r="K34" i="23"/>
  <c r="K38" i="23"/>
  <c r="K42" i="23"/>
  <c r="K46" i="23"/>
  <c r="K41" i="24"/>
  <c r="K49" i="24"/>
  <c r="K35" i="23"/>
  <c r="K43" i="23"/>
  <c r="F37" i="23"/>
  <c r="F34" i="4" s="1"/>
  <c r="G30" i="24"/>
  <c r="G34" i="24"/>
  <c r="G38" i="24"/>
  <c r="N38" i="24" s="1"/>
  <c r="J35" i="4" s="1"/>
  <c r="G42" i="24"/>
  <c r="G46" i="24"/>
  <c r="N46" i="24" s="1"/>
  <c r="J43" i="4" s="1"/>
  <c r="G32" i="23"/>
  <c r="G36" i="23"/>
  <c r="G40" i="23"/>
  <c r="G44" i="23"/>
  <c r="G48" i="23"/>
  <c r="G41" i="24"/>
  <c r="G35" i="23"/>
  <c r="G43" i="23"/>
  <c r="G31" i="24"/>
  <c r="G35" i="24"/>
  <c r="G39" i="24"/>
  <c r="G43" i="24"/>
  <c r="G47" i="24"/>
  <c r="G33" i="23"/>
  <c r="G37" i="23"/>
  <c r="G41" i="23"/>
  <c r="G45" i="23"/>
  <c r="G49" i="23"/>
  <c r="G37" i="24"/>
  <c r="G49" i="24"/>
  <c r="G31" i="23"/>
  <c r="G39" i="23"/>
  <c r="G47" i="23"/>
  <c r="G32" i="24"/>
  <c r="G36" i="24"/>
  <c r="G40" i="24"/>
  <c r="G44" i="24"/>
  <c r="G48" i="24"/>
  <c r="G30" i="23"/>
  <c r="G34" i="23"/>
  <c r="G38" i="23"/>
  <c r="G42" i="23"/>
  <c r="G46" i="23"/>
  <c r="G33" i="24"/>
  <c r="G45" i="24"/>
  <c r="F37" i="24"/>
  <c r="G34" i="4" s="1"/>
  <c r="F33" i="24"/>
  <c r="G30" i="4" s="1"/>
  <c r="B11" i="21"/>
  <c r="F13" i="24"/>
  <c r="G10" i="4" s="1"/>
  <c r="F30" i="21"/>
  <c r="E27" i="4" s="1"/>
  <c r="C27" i="11" s="1"/>
  <c r="F34" i="21"/>
  <c r="E31" i="4" s="1"/>
  <c r="C31" i="11" s="1"/>
  <c r="F38" i="21"/>
  <c r="E35" i="4" s="1"/>
  <c r="C35" i="11" s="1"/>
  <c r="F42" i="21"/>
  <c r="F46" i="21"/>
  <c r="F31" i="21"/>
  <c r="E28" i="4" s="1"/>
  <c r="C28" i="11" s="1"/>
  <c r="F35" i="21"/>
  <c r="E32" i="4" s="1"/>
  <c r="C32" i="11" s="1"/>
  <c r="F39" i="21"/>
  <c r="E36" i="4" s="1"/>
  <c r="C36" i="11" s="1"/>
  <c r="F43" i="21"/>
  <c r="F47" i="21"/>
  <c r="F32" i="21"/>
  <c r="E29" i="4" s="1"/>
  <c r="C29" i="11" s="1"/>
  <c r="F36" i="21"/>
  <c r="E33" i="4" s="1"/>
  <c r="C33" i="11" s="1"/>
  <c r="F40" i="21"/>
  <c r="F44" i="21"/>
  <c r="F48" i="21"/>
  <c r="E45" i="4" s="1"/>
  <c r="C45" i="11" s="1"/>
  <c r="F41" i="21"/>
  <c r="E38" i="4" s="1"/>
  <c r="C38" i="11" s="1"/>
  <c r="F45" i="21"/>
  <c r="F37" i="21"/>
  <c r="E34" i="4" s="1"/>
  <c r="C34" i="11" s="1"/>
  <c r="F33" i="21"/>
  <c r="E30" i="4" s="1"/>
  <c r="C30" i="11" s="1"/>
  <c r="F49" i="21"/>
  <c r="E46" i="4" s="1"/>
  <c r="C46" i="11" s="1"/>
  <c r="G30" i="21"/>
  <c r="G34" i="21"/>
  <c r="G38" i="21"/>
  <c r="G42" i="21"/>
  <c r="G46" i="21"/>
  <c r="G31" i="21"/>
  <c r="G35" i="21"/>
  <c r="G39" i="21"/>
  <c r="G43" i="21"/>
  <c r="G47" i="21"/>
  <c r="G32" i="21"/>
  <c r="G36" i="21"/>
  <c r="G40" i="21"/>
  <c r="G44" i="21"/>
  <c r="G48" i="21"/>
  <c r="G45" i="21"/>
  <c r="G33" i="21"/>
  <c r="G49" i="21"/>
  <c r="G37" i="21"/>
  <c r="G41" i="21"/>
  <c r="H11" i="23"/>
  <c r="H30" i="21"/>
  <c r="H34" i="21"/>
  <c r="H38" i="21"/>
  <c r="H42" i="21"/>
  <c r="H46" i="21"/>
  <c r="H31" i="21"/>
  <c r="H35" i="21"/>
  <c r="H39" i="21"/>
  <c r="H43" i="21"/>
  <c r="H47" i="21"/>
  <c r="H32" i="21"/>
  <c r="H36" i="21"/>
  <c r="H40" i="21"/>
  <c r="H44" i="21"/>
  <c r="H48" i="21"/>
  <c r="H33" i="21"/>
  <c r="H49" i="21"/>
  <c r="H45" i="21"/>
  <c r="H37" i="21"/>
  <c r="H41" i="21"/>
  <c r="K30" i="21"/>
  <c r="K34" i="21"/>
  <c r="K38" i="21"/>
  <c r="K42" i="21"/>
  <c r="K46" i="21"/>
  <c r="K31" i="21"/>
  <c r="K35" i="21"/>
  <c r="K39" i="21"/>
  <c r="K43" i="21"/>
  <c r="K47" i="21"/>
  <c r="K32" i="21"/>
  <c r="K36" i="21"/>
  <c r="K40" i="21"/>
  <c r="K44" i="21"/>
  <c r="K48" i="21"/>
  <c r="K33" i="21"/>
  <c r="K37" i="21"/>
  <c r="K41" i="21"/>
  <c r="K45" i="21"/>
  <c r="K49" i="21"/>
  <c r="C28" i="24"/>
  <c r="C27" i="24"/>
  <c r="C20" i="24"/>
  <c r="C19" i="24"/>
  <c r="C12" i="24"/>
  <c r="C29" i="24"/>
  <c r="C22" i="24"/>
  <c r="C21" i="24"/>
  <c r="C14" i="24"/>
  <c r="C13" i="24"/>
  <c r="C25" i="24"/>
  <c r="C24" i="24"/>
  <c r="C23" i="24"/>
  <c r="C17" i="24"/>
  <c r="C15" i="24"/>
  <c r="C10" i="24"/>
  <c r="C16" i="24"/>
  <c r="C11" i="24"/>
  <c r="C26" i="23"/>
  <c r="C22" i="23"/>
  <c r="C18" i="23"/>
  <c r="C13" i="23"/>
  <c r="C12" i="23"/>
  <c r="C26" i="24"/>
  <c r="C27" i="23"/>
  <c r="C23" i="23"/>
  <c r="C19" i="23"/>
  <c r="C14" i="23"/>
  <c r="C18" i="24"/>
  <c r="C28" i="23"/>
  <c r="C24" i="23"/>
  <c r="C20" i="23"/>
  <c r="C16" i="23"/>
  <c r="C15" i="23"/>
  <c r="C10" i="23"/>
  <c r="G21" i="21"/>
  <c r="C19" i="21"/>
  <c r="F21" i="21"/>
  <c r="E18" i="4" s="1"/>
  <c r="G26" i="24"/>
  <c r="G18" i="24"/>
  <c r="G16" i="24"/>
  <c r="G11" i="24"/>
  <c r="G28" i="24"/>
  <c r="G27" i="24"/>
  <c r="G20" i="24"/>
  <c r="G19" i="24"/>
  <c r="G29" i="24"/>
  <c r="G22" i="24"/>
  <c r="G21" i="24"/>
  <c r="G14" i="24"/>
  <c r="G13" i="24"/>
  <c r="G23" i="24"/>
  <c r="G29" i="23"/>
  <c r="G25" i="23"/>
  <c r="G21" i="23"/>
  <c r="G17" i="23"/>
  <c r="G11" i="23"/>
  <c r="G24" i="24"/>
  <c r="G15" i="24"/>
  <c r="G26" i="23"/>
  <c r="G22" i="23"/>
  <c r="G18" i="23"/>
  <c r="G13" i="23"/>
  <c r="G12" i="23"/>
  <c r="G25" i="24"/>
  <c r="G12" i="24"/>
  <c r="G10" i="24"/>
  <c r="G27" i="23"/>
  <c r="G23" i="23"/>
  <c r="G19" i="23"/>
  <c r="G14" i="23"/>
  <c r="G28" i="21"/>
  <c r="G24" i="21"/>
  <c r="G19" i="21"/>
  <c r="G15" i="21"/>
  <c r="G11" i="21"/>
  <c r="K29" i="24"/>
  <c r="K24" i="24"/>
  <c r="K23" i="24"/>
  <c r="K22" i="24"/>
  <c r="K21" i="24"/>
  <c r="K14" i="24"/>
  <c r="K13" i="24"/>
  <c r="K25" i="24"/>
  <c r="K17" i="24"/>
  <c r="K16" i="24"/>
  <c r="K15" i="24"/>
  <c r="K27" i="24"/>
  <c r="K26" i="24"/>
  <c r="K19" i="24"/>
  <c r="K18" i="24"/>
  <c r="K11" i="24"/>
  <c r="K20" i="24"/>
  <c r="K27" i="23"/>
  <c r="K23" i="23"/>
  <c r="K19" i="23"/>
  <c r="K14" i="23"/>
  <c r="K11" i="21"/>
  <c r="K28" i="21"/>
  <c r="K24" i="21"/>
  <c r="K20" i="21"/>
  <c r="K16" i="21"/>
  <c r="K12" i="21"/>
  <c r="K12" i="24"/>
  <c r="K10" i="24"/>
  <c r="K28" i="23"/>
  <c r="K24" i="23"/>
  <c r="K20" i="23"/>
  <c r="K16" i="23"/>
  <c r="K15" i="23"/>
  <c r="K10" i="23"/>
  <c r="K27" i="21"/>
  <c r="K23" i="21"/>
  <c r="K19" i="21"/>
  <c r="K15" i="21"/>
  <c r="K10" i="21"/>
  <c r="K29" i="23"/>
  <c r="K25" i="23"/>
  <c r="K21" i="23"/>
  <c r="K17" i="23"/>
  <c r="K12" i="23"/>
  <c r="K11" i="23"/>
  <c r="K26" i="21"/>
  <c r="K22" i="21"/>
  <c r="K18" i="21"/>
  <c r="K14" i="21"/>
  <c r="K28" i="24"/>
  <c r="B25" i="21"/>
  <c r="B17" i="21"/>
  <c r="C11" i="21"/>
  <c r="C23" i="21"/>
  <c r="F17" i="21"/>
  <c r="E14" i="4" s="1"/>
  <c r="B17" i="18" s="1"/>
  <c r="F26" i="21"/>
  <c r="E23" i="4" s="1"/>
  <c r="B26" i="18" s="1"/>
  <c r="G13" i="21"/>
  <c r="G25" i="21"/>
  <c r="H17" i="21"/>
  <c r="K25" i="21"/>
  <c r="B10" i="23"/>
  <c r="B15" i="23"/>
  <c r="F19" i="23"/>
  <c r="F16" i="4" s="1"/>
  <c r="K22" i="23"/>
  <c r="F27" i="23"/>
  <c r="F24" i="4" s="1"/>
  <c r="B10" i="21"/>
  <c r="B28" i="21"/>
  <c r="B24" i="21"/>
  <c r="B20" i="21"/>
  <c r="B16" i="21"/>
  <c r="B12" i="21"/>
  <c r="C12" i="21"/>
  <c r="C16" i="21"/>
  <c r="C20" i="21"/>
  <c r="C24" i="21"/>
  <c r="C28" i="21"/>
  <c r="F10" i="21"/>
  <c r="E7" i="4" s="1"/>
  <c r="C7" i="11" s="1"/>
  <c r="F14" i="21"/>
  <c r="E11" i="4" s="1"/>
  <c r="B14" i="18" s="1"/>
  <c r="F18" i="21"/>
  <c r="E15" i="4" s="1"/>
  <c r="B18" i="18" s="1"/>
  <c r="F23" i="21"/>
  <c r="E20" i="4" s="1"/>
  <c r="B23" i="18" s="1"/>
  <c r="F27" i="21"/>
  <c r="E24" i="4" s="1"/>
  <c r="B31" i="18"/>
  <c r="B39" i="18"/>
  <c r="G14" i="21"/>
  <c r="G20" i="21"/>
  <c r="G26" i="21"/>
  <c r="Q26" i="21" s="1"/>
  <c r="K23" i="4" s="1"/>
  <c r="D26" i="18" s="1"/>
  <c r="H11" i="21"/>
  <c r="H19" i="21"/>
  <c r="H28" i="21"/>
  <c r="K13" i="21"/>
  <c r="K29" i="21"/>
  <c r="K13" i="23"/>
  <c r="G16" i="23"/>
  <c r="B20" i="23"/>
  <c r="G24" i="23"/>
  <c r="B28" i="23"/>
  <c r="F25" i="24"/>
  <c r="G22" i="4" s="1"/>
  <c r="F24" i="24"/>
  <c r="G21" i="4" s="1"/>
  <c r="F23" i="24"/>
  <c r="G20" i="4" s="1"/>
  <c r="F17" i="24"/>
  <c r="G14" i="4" s="1"/>
  <c r="F15" i="24"/>
  <c r="G12" i="4" s="1"/>
  <c r="F10" i="24"/>
  <c r="G7" i="4" s="1"/>
  <c r="F26" i="24"/>
  <c r="G23" i="4" s="1"/>
  <c r="F18" i="24"/>
  <c r="G15" i="4" s="1"/>
  <c r="F16" i="24"/>
  <c r="G13" i="4" s="1"/>
  <c r="F28" i="24"/>
  <c r="G25" i="4" s="1"/>
  <c r="F27" i="24"/>
  <c r="G24" i="4" s="1"/>
  <c r="F20" i="24"/>
  <c r="G17" i="4" s="1"/>
  <c r="F19" i="24"/>
  <c r="G16" i="4" s="1"/>
  <c r="F12" i="24"/>
  <c r="G9" i="4" s="1"/>
  <c r="F14" i="24"/>
  <c r="G11" i="4" s="1"/>
  <c r="F28" i="23"/>
  <c r="F25" i="4" s="1"/>
  <c r="F24" i="23"/>
  <c r="F21" i="4" s="1"/>
  <c r="F20" i="23"/>
  <c r="F17" i="4" s="1"/>
  <c r="F16" i="23"/>
  <c r="F13" i="4" s="1"/>
  <c r="F15" i="23"/>
  <c r="F12" i="4" s="1"/>
  <c r="F10" i="23"/>
  <c r="F7" i="4" s="1"/>
  <c r="F29" i="24"/>
  <c r="G26" i="4" s="1"/>
  <c r="F29" i="23"/>
  <c r="F26" i="4" s="1"/>
  <c r="F25" i="23"/>
  <c r="F22" i="4" s="1"/>
  <c r="F21" i="23"/>
  <c r="F18" i="4" s="1"/>
  <c r="F17" i="23"/>
  <c r="F14" i="4" s="1"/>
  <c r="F11" i="23"/>
  <c r="F8" i="4" s="1"/>
  <c r="F21" i="24"/>
  <c r="G18" i="4" s="1"/>
  <c r="F11" i="24"/>
  <c r="G8" i="4" s="1"/>
  <c r="F26" i="23"/>
  <c r="F23" i="4" s="1"/>
  <c r="F22" i="23"/>
  <c r="F19" i="4" s="1"/>
  <c r="F18" i="23"/>
  <c r="F15" i="4" s="1"/>
  <c r="F13" i="23"/>
  <c r="F10" i="4" s="1"/>
  <c r="F12" i="23"/>
  <c r="F9" i="4" s="1"/>
  <c r="F22" i="24"/>
  <c r="G19" i="4" s="1"/>
  <c r="H28" i="24"/>
  <c r="H27" i="24"/>
  <c r="H20" i="24"/>
  <c r="H19" i="24"/>
  <c r="H12" i="24"/>
  <c r="H29" i="24"/>
  <c r="H22" i="24"/>
  <c r="H21" i="24"/>
  <c r="H14" i="24"/>
  <c r="H13" i="24"/>
  <c r="H25" i="24"/>
  <c r="H24" i="24"/>
  <c r="H23" i="24"/>
  <c r="H17" i="24"/>
  <c r="H15" i="24"/>
  <c r="H10" i="24"/>
  <c r="H18" i="24"/>
  <c r="H26" i="23"/>
  <c r="H22" i="23"/>
  <c r="H18" i="23"/>
  <c r="H13" i="23"/>
  <c r="H12" i="23"/>
  <c r="H29" i="21"/>
  <c r="H25" i="21"/>
  <c r="N25" i="21" s="1"/>
  <c r="H22" i="4" s="1"/>
  <c r="C25" i="18" s="1"/>
  <c r="H20" i="21"/>
  <c r="H16" i="21"/>
  <c r="H12" i="21"/>
  <c r="H11" i="24"/>
  <c r="H27" i="23"/>
  <c r="H23" i="23"/>
  <c r="H19" i="23"/>
  <c r="H14" i="23"/>
  <c r="H16" i="24"/>
  <c r="H28" i="23"/>
  <c r="H24" i="23"/>
  <c r="H20" i="23"/>
  <c r="H16" i="23"/>
  <c r="H15" i="23"/>
  <c r="H10" i="23"/>
  <c r="H27" i="21"/>
  <c r="H23" i="21"/>
  <c r="H18" i="21"/>
  <c r="H14" i="21"/>
  <c r="H10" i="21"/>
  <c r="H26" i="24"/>
  <c r="H21" i="21"/>
  <c r="B29" i="21"/>
  <c r="B21" i="21"/>
  <c r="B13" i="21"/>
  <c r="C15" i="21"/>
  <c r="C27" i="21"/>
  <c r="F13" i="21"/>
  <c r="E10" i="4" s="1"/>
  <c r="B13" i="18" s="1"/>
  <c r="F22" i="21"/>
  <c r="E19" i="4" s="1"/>
  <c r="B22" i="18" s="1"/>
  <c r="B38" i="18"/>
  <c r="G18" i="21"/>
  <c r="H26" i="21"/>
  <c r="H17" i="23"/>
  <c r="C21" i="23"/>
  <c r="H25" i="23"/>
  <c r="C29" i="23"/>
  <c r="Q135" i="20"/>
  <c r="B27" i="21"/>
  <c r="B23" i="21"/>
  <c r="B19" i="21"/>
  <c r="B15" i="21"/>
  <c r="C13" i="21"/>
  <c r="C17" i="21"/>
  <c r="C21" i="21"/>
  <c r="C25" i="21"/>
  <c r="F11" i="21"/>
  <c r="E8" i="4" s="1"/>
  <c r="B11" i="18" s="1"/>
  <c r="F15" i="21"/>
  <c r="E12" i="4" s="1"/>
  <c r="B15" i="18" s="1"/>
  <c r="F19" i="21"/>
  <c r="E16" i="4" s="1"/>
  <c r="B19" i="18" s="1"/>
  <c r="F24" i="21"/>
  <c r="E21" i="4" s="1"/>
  <c r="B24" i="18" s="1"/>
  <c r="F28" i="21"/>
  <c r="E25" i="4" s="1"/>
  <c r="B28" i="18" s="1"/>
  <c r="G10" i="21"/>
  <c r="G16" i="21"/>
  <c r="G22" i="21"/>
  <c r="G27" i="21"/>
  <c r="H13" i="21"/>
  <c r="H22" i="21"/>
  <c r="K17" i="21"/>
  <c r="G10" i="23"/>
  <c r="G15" i="23"/>
  <c r="Q15" i="23" s="1"/>
  <c r="L12" i="4" s="1"/>
  <c r="C17" i="23"/>
  <c r="K18" i="23"/>
  <c r="H21" i="23"/>
  <c r="F23" i="23"/>
  <c r="F20" i="4" s="1"/>
  <c r="C25" i="23"/>
  <c r="K26" i="23"/>
  <c r="H29" i="23"/>
  <c r="B26" i="24"/>
  <c r="B18" i="24"/>
  <c r="B16" i="24"/>
  <c r="B11" i="24"/>
  <c r="B28" i="24"/>
  <c r="B27" i="24"/>
  <c r="B20" i="24"/>
  <c r="B19" i="24"/>
  <c r="B29" i="24"/>
  <c r="B22" i="24"/>
  <c r="B21" i="24"/>
  <c r="B14" i="24"/>
  <c r="B13" i="24"/>
  <c r="B25" i="24"/>
  <c r="B12" i="24"/>
  <c r="B10" i="24"/>
  <c r="B29" i="23"/>
  <c r="B25" i="23"/>
  <c r="B21" i="23"/>
  <c r="B17" i="23"/>
  <c r="B11" i="23"/>
  <c r="B17" i="24"/>
  <c r="B26" i="23"/>
  <c r="B22" i="23"/>
  <c r="B18" i="23"/>
  <c r="B13" i="23"/>
  <c r="B12" i="23"/>
  <c r="B23" i="24"/>
  <c r="B27" i="23"/>
  <c r="B23" i="23"/>
  <c r="B19" i="23"/>
  <c r="B14" i="23"/>
  <c r="B24" i="24"/>
  <c r="B26" i="21"/>
  <c r="B22" i="21"/>
  <c r="B18" i="21"/>
  <c r="B14" i="21"/>
  <c r="C10" i="21"/>
  <c r="C14" i="21"/>
  <c r="C18" i="21"/>
  <c r="C22" i="21"/>
  <c r="C26" i="21"/>
  <c r="F12" i="21"/>
  <c r="E9" i="4" s="1"/>
  <c r="B12" i="18" s="1"/>
  <c r="F16" i="21"/>
  <c r="E13" i="4" s="1"/>
  <c r="B16" i="18" s="1"/>
  <c r="F20" i="21"/>
  <c r="E17" i="4" s="1"/>
  <c r="B20" i="18" s="1"/>
  <c r="F25" i="21"/>
  <c r="E22" i="4" s="1"/>
  <c r="B25" i="18" s="1"/>
  <c r="F29" i="21"/>
  <c r="E26" i="4" s="1"/>
  <c r="B29" i="18" s="1"/>
  <c r="G12" i="21"/>
  <c r="G17" i="21"/>
  <c r="G23" i="21"/>
  <c r="Q23" i="21" s="1"/>
  <c r="K20" i="4" s="1"/>
  <c r="D23" i="18" s="1"/>
  <c r="G29" i="21"/>
  <c r="H15" i="21"/>
  <c r="H24" i="21"/>
  <c r="K21" i="21"/>
  <c r="C11" i="23"/>
  <c r="F14" i="23"/>
  <c r="F11" i="4" s="1"/>
  <c r="B16" i="23"/>
  <c r="G20" i="23"/>
  <c r="Q20" i="23" s="1"/>
  <c r="L17" i="4" s="1"/>
  <c r="B24" i="23"/>
  <c r="G28" i="23"/>
  <c r="B15" i="24"/>
  <c r="G17" i="24"/>
  <c r="N135" i="20"/>
  <c r="O10" i="13"/>
  <c r="O11" i="13"/>
  <c r="O12" i="13"/>
  <c r="P12" i="13"/>
  <c r="Q12" i="13"/>
  <c r="R12" i="13"/>
  <c r="B21" i="18"/>
  <c r="B27" i="18"/>
  <c r="E46" i="10" l="1"/>
  <c r="E40" i="10"/>
  <c r="E44" i="10"/>
  <c r="E33" i="10"/>
  <c r="E42" i="10"/>
  <c r="E37" i="10"/>
  <c r="E41" i="10"/>
  <c r="N20" i="24"/>
  <c r="J17" i="4" s="1"/>
  <c r="N25" i="23"/>
  <c r="I22" i="4" s="1"/>
  <c r="E34" i="10"/>
  <c r="F34" i="11" s="1"/>
  <c r="F33" i="11"/>
  <c r="F36" i="11"/>
  <c r="E38" i="10"/>
  <c r="C49" i="3" s="1"/>
  <c r="F49" i="3" s="1"/>
  <c r="E43" i="10"/>
  <c r="E37" i="4"/>
  <c r="C37" i="11" s="1"/>
  <c r="C38" i="3" s="1"/>
  <c r="F38" i="3" s="1"/>
  <c r="E32" i="10"/>
  <c r="F32" i="11" s="1"/>
  <c r="E31" i="10"/>
  <c r="F31" i="11" s="1"/>
  <c r="E28" i="10"/>
  <c r="C39" i="3" s="1"/>
  <c r="F39" i="3" s="1"/>
  <c r="E39" i="10"/>
  <c r="E42" i="4"/>
  <c r="E40" i="4"/>
  <c r="C40" i="11" s="1"/>
  <c r="C41" i="3" s="1"/>
  <c r="F41" i="3" s="1"/>
  <c r="E43" i="4"/>
  <c r="E39" i="4"/>
  <c r="C39" i="11" s="1"/>
  <c r="C40" i="3" s="1"/>
  <c r="F40" i="3" s="1"/>
  <c r="Q19" i="23"/>
  <c r="L16" i="4" s="1"/>
  <c r="E41" i="4"/>
  <c r="E44" i="4"/>
  <c r="C44" i="11" s="1"/>
  <c r="E45" i="10"/>
  <c r="F45" i="11" s="1"/>
  <c r="E27" i="10"/>
  <c r="F27" i="11" s="1"/>
  <c r="E35" i="10"/>
  <c r="F28" i="11"/>
  <c r="C53" i="3"/>
  <c r="F53" i="3" s="1"/>
  <c r="F38" i="11"/>
  <c r="F40" i="11"/>
  <c r="C51" i="3"/>
  <c r="F51" i="3" s="1"/>
  <c r="C57" i="3"/>
  <c r="F57" i="3" s="1"/>
  <c r="F46" i="11"/>
  <c r="F39" i="11"/>
  <c r="C50" i="3"/>
  <c r="F50" i="3" s="1"/>
  <c r="C52" i="3"/>
  <c r="F52" i="3" s="1"/>
  <c r="F41" i="11"/>
  <c r="C56" i="3"/>
  <c r="F56" i="3" s="1"/>
  <c r="C48" i="3"/>
  <c r="F48" i="3" s="1"/>
  <c r="F37" i="11"/>
  <c r="F43" i="11"/>
  <c r="C54" i="3"/>
  <c r="F54" i="3" s="1"/>
  <c r="C55" i="3"/>
  <c r="F55" i="3" s="1"/>
  <c r="N33" i="24"/>
  <c r="J30" i="4" s="1"/>
  <c r="Q33" i="24"/>
  <c r="M30" i="4" s="1"/>
  <c r="Q34" i="23"/>
  <c r="L31" i="4" s="1"/>
  <c r="N34" i="23"/>
  <c r="I31" i="4" s="1"/>
  <c r="Q40" i="24"/>
  <c r="M37" i="4" s="1"/>
  <c r="N40" i="24"/>
  <c r="J37" i="4" s="1"/>
  <c r="Q39" i="23"/>
  <c r="L36" i="4" s="1"/>
  <c r="N39" i="23"/>
  <c r="I36" i="4" s="1"/>
  <c r="Q49" i="23"/>
  <c r="L46" i="4" s="1"/>
  <c r="N49" i="23"/>
  <c r="I46" i="4" s="1"/>
  <c r="Q33" i="23"/>
  <c r="L30" i="4" s="1"/>
  <c r="N33" i="23"/>
  <c r="I30" i="4" s="1"/>
  <c r="N35" i="24"/>
  <c r="J32" i="4" s="1"/>
  <c r="Q35" i="24"/>
  <c r="M32" i="4" s="1"/>
  <c r="N41" i="24"/>
  <c r="J38" i="4" s="1"/>
  <c r="Q41" i="24"/>
  <c r="M38" i="4" s="1"/>
  <c r="Q36" i="23"/>
  <c r="L33" i="4" s="1"/>
  <c r="N36" i="23"/>
  <c r="I33" i="4" s="1"/>
  <c r="Q13" i="23"/>
  <c r="L10" i="4" s="1"/>
  <c r="N46" i="23"/>
  <c r="I43" i="4" s="1"/>
  <c r="F43" i="10" s="1"/>
  <c r="Q46" i="23"/>
  <c r="L43" i="4" s="1"/>
  <c r="N30" i="23"/>
  <c r="I27" i="4" s="1"/>
  <c r="Q30" i="23"/>
  <c r="L27" i="4" s="1"/>
  <c r="Q36" i="24"/>
  <c r="M33" i="4" s="1"/>
  <c r="N36" i="24"/>
  <c r="J33" i="4" s="1"/>
  <c r="Q31" i="23"/>
  <c r="L28" i="4" s="1"/>
  <c r="N31" i="23"/>
  <c r="I28" i="4" s="1"/>
  <c r="Q45" i="23"/>
  <c r="L42" i="4" s="1"/>
  <c r="G42" i="10" s="1"/>
  <c r="N45" i="23"/>
  <c r="I42" i="4" s="1"/>
  <c r="Q47" i="24"/>
  <c r="M44" i="4" s="1"/>
  <c r="N47" i="24"/>
  <c r="J44" i="4" s="1"/>
  <c r="Q31" i="24"/>
  <c r="M28" i="4" s="1"/>
  <c r="N31" i="24"/>
  <c r="J28" i="4" s="1"/>
  <c r="Q48" i="23"/>
  <c r="L45" i="4" s="1"/>
  <c r="N48" i="23"/>
  <c r="I45" i="4" s="1"/>
  <c r="Q32" i="23"/>
  <c r="L29" i="4" s="1"/>
  <c r="N32" i="23"/>
  <c r="I29" i="4" s="1"/>
  <c r="N34" i="24"/>
  <c r="J31" i="4" s="1"/>
  <c r="Q34" i="24"/>
  <c r="M31" i="4" s="1"/>
  <c r="Q38" i="24"/>
  <c r="M35" i="4" s="1"/>
  <c r="Q16" i="23"/>
  <c r="L13" i="4" s="1"/>
  <c r="Q42" i="23"/>
  <c r="L39" i="4" s="1"/>
  <c r="N42" i="23"/>
  <c r="I39" i="4" s="1"/>
  <c r="F39" i="10" s="1"/>
  <c r="Q48" i="24"/>
  <c r="M45" i="4" s="1"/>
  <c r="N48" i="24"/>
  <c r="J45" i="4" s="1"/>
  <c r="Q32" i="24"/>
  <c r="M29" i="4" s="1"/>
  <c r="N32" i="24"/>
  <c r="J29" i="4" s="1"/>
  <c r="N49" i="24"/>
  <c r="J46" i="4" s="1"/>
  <c r="Q49" i="24"/>
  <c r="M46" i="4" s="1"/>
  <c r="Q41" i="23"/>
  <c r="L38" i="4" s="1"/>
  <c r="N41" i="23"/>
  <c r="I38" i="4" s="1"/>
  <c r="F38" i="10" s="1"/>
  <c r="Q43" i="24"/>
  <c r="M40" i="4" s="1"/>
  <c r="N43" i="24"/>
  <c r="J40" i="4" s="1"/>
  <c r="Q43" i="23"/>
  <c r="L40" i="4" s="1"/>
  <c r="N43" i="23"/>
  <c r="I40" i="4" s="1"/>
  <c r="Q44" i="23"/>
  <c r="L41" i="4" s="1"/>
  <c r="N44" i="23"/>
  <c r="I41" i="4" s="1"/>
  <c r="Q30" i="24"/>
  <c r="M27" i="4" s="1"/>
  <c r="N30" i="24"/>
  <c r="J27" i="4" s="1"/>
  <c r="N45" i="24"/>
  <c r="J42" i="4" s="1"/>
  <c r="Q45" i="24"/>
  <c r="M42" i="4" s="1"/>
  <c r="N38" i="23"/>
  <c r="I35" i="4" s="1"/>
  <c r="F35" i="10" s="1"/>
  <c r="Q38" i="23"/>
  <c r="L35" i="4" s="1"/>
  <c r="Q44" i="24"/>
  <c r="M41" i="4" s="1"/>
  <c r="N44" i="24"/>
  <c r="J41" i="4" s="1"/>
  <c r="Q47" i="23"/>
  <c r="L44" i="4" s="1"/>
  <c r="N47" i="23"/>
  <c r="I44" i="4" s="1"/>
  <c r="N37" i="24"/>
  <c r="J34" i="4" s="1"/>
  <c r="Q37" i="24"/>
  <c r="M34" i="4" s="1"/>
  <c r="Q37" i="23"/>
  <c r="L34" i="4" s="1"/>
  <c r="G34" i="10" s="1"/>
  <c r="N37" i="23"/>
  <c r="I34" i="4" s="1"/>
  <c r="F34" i="10" s="1"/>
  <c r="Q39" i="24"/>
  <c r="M36" i="4" s="1"/>
  <c r="N39" i="24"/>
  <c r="J36" i="4" s="1"/>
  <c r="Q35" i="23"/>
  <c r="L32" i="4" s="1"/>
  <c r="G32" i="10" s="1"/>
  <c r="N35" i="23"/>
  <c r="I32" i="4" s="1"/>
  <c r="F32" i="10" s="1"/>
  <c r="Q40" i="23"/>
  <c r="L37" i="4" s="1"/>
  <c r="N40" i="23"/>
  <c r="I37" i="4" s="1"/>
  <c r="N42" i="24"/>
  <c r="J39" i="4" s="1"/>
  <c r="Q42" i="24"/>
  <c r="M39" i="4" s="1"/>
  <c r="Q46" i="24"/>
  <c r="M43" i="4" s="1"/>
  <c r="Q21" i="23"/>
  <c r="L18" i="4" s="1"/>
  <c r="Q22" i="24"/>
  <c r="M19" i="4" s="1"/>
  <c r="N28" i="21"/>
  <c r="H25" i="4" s="1"/>
  <c r="N12" i="23"/>
  <c r="I9" i="4" s="1"/>
  <c r="N13" i="23"/>
  <c r="I10" i="4" s="1"/>
  <c r="Q10" i="24"/>
  <c r="M7" i="4" s="1"/>
  <c r="N21" i="24"/>
  <c r="J18" i="4" s="1"/>
  <c r="N23" i="24"/>
  <c r="J20" i="4" s="1"/>
  <c r="N19" i="24"/>
  <c r="J16" i="4" s="1"/>
  <c r="N23" i="23"/>
  <c r="I20" i="4" s="1"/>
  <c r="Q26" i="24"/>
  <c r="M23" i="4" s="1"/>
  <c r="N10" i="23"/>
  <c r="I7" i="4" s="1"/>
  <c r="Q20" i="21"/>
  <c r="K17" i="4" s="1"/>
  <c r="D20" i="18" s="1"/>
  <c r="Q28" i="23"/>
  <c r="L25" i="4" s="1"/>
  <c r="Q23" i="23"/>
  <c r="L20" i="4" s="1"/>
  <c r="Q14" i="24"/>
  <c r="M11" i="4" s="1"/>
  <c r="N27" i="24"/>
  <c r="J24" i="4" s="1"/>
  <c r="Q24" i="24"/>
  <c r="M21" i="4" s="1"/>
  <c r="N22" i="24"/>
  <c r="J19" i="4" s="1"/>
  <c r="Q12" i="21"/>
  <c r="K9" i="4" s="1"/>
  <c r="D12" i="18" s="1"/>
  <c r="Q18" i="24"/>
  <c r="M15" i="4" s="1"/>
  <c r="N16" i="24"/>
  <c r="J13" i="4" s="1"/>
  <c r="Q11" i="23"/>
  <c r="L8" i="4" s="1"/>
  <c r="Q29" i="21"/>
  <c r="K26" i="4" s="1"/>
  <c r="D29" i="18" s="1"/>
  <c r="N17" i="23"/>
  <c r="I14" i="4" s="1"/>
  <c r="N29" i="23"/>
  <c r="I26" i="4" s="1"/>
  <c r="Q16" i="21"/>
  <c r="K13" i="4" s="1"/>
  <c r="D16" i="18" s="1"/>
  <c r="K50" i="23"/>
  <c r="N10" i="24"/>
  <c r="J7" i="4" s="1"/>
  <c r="B10" i="18"/>
  <c r="Q14" i="23"/>
  <c r="L11" i="4" s="1"/>
  <c r="Q17" i="23"/>
  <c r="L14" i="4" s="1"/>
  <c r="N28" i="23"/>
  <c r="I25" i="4" s="1"/>
  <c r="N11" i="23"/>
  <c r="I8" i="4" s="1"/>
  <c r="Q29" i="24"/>
  <c r="M26" i="4" s="1"/>
  <c r="Q24" i="23"/>
  <c r="L21" i="4" s="1"/>
  <c r="G50" i="24"/>
  <c r="N27" i="21"/>
  <c r="H24" i="4" s="1"/>
  <c r="C27" i="18" s="1"/>
  <c r="N12" i="24"/>
  <c r="J9" i="4" s="1"/>
  <c r="F50" i="24"/>
  <c r="Q17" i="24"/>
  <c r="M14" i="4" s="1"/>
  <c r="Q14" i="21"/>
  <c r="K11" i="4" s="1"/>
  <c r="D14" i="18" s="1"/>
  <c r="Q10" i="23"/>
  <c r="L7" i="4" s="1"/>
  <c r="N17" i="24"/>
  <c r="J14" i="4" s="1"/>
  <c r="N18" i="23"/>
  <c r="I15" i="4" s="1"/>
  <c r="N29" i="21"/>
  <c r="H26" i="4" s="1"/>
  <c r="C29" i="18" s="1"/>
  <c r="Q21" i="21"/>
  <c r="K18" i="4" s="1"/>
  <c r="D21" i="18" s="1"/>
  <c r="N20" i="21"/>
  <c r="H17" i="4" s="1"/>
  <c r="C20" i="18" s="1"/>
  <c r="Q22" i="23"/>
  <c r="L19" i="4" s="1"/>
  <c r="Q26" i="23"/>
  <c r="L23" i="4" s="1"/>
  <c r="N13" i="24"/>
  <c r="J10" i="4" s="1"/>
  <c r="N22" i="23"/>
  <c r="I19" i="4" s="1"/>
  <c r="N15" i="24"/>
  <c r="J12" i="4" s="1"/>
  <c r="Q29" i="23"/>
  <c r="L26" i="4" s="1"/>
  <c r="Q17" i="21"/>
  <c r="K14" i="4" s="1"/>
  <c r="D17" i="18" s="1"/>
  <c r="Q11" i="21"/>
  <c r="K8" i="4" s="1"/>
  <c r="D11" i="18" s="1"/>
  <c r="Q18" i="23"/>
  <c r="L15" i="4" s="1"/>
  <c r="N29" i="24"/>
  <c r="J26" i="4" s="1"/>
  <c r="Q12" i="23"/>
  <c r="L9" i="4" s="1"/>
  <c r="K50" i="24"/>
  <c r="N28" i="24"/>
  <c r="J25" i="4" s="1"/>
  <c r="Q27" i="23"/>
  <c r="L24" i="4" s="1"/>
  <c r="N21" i="23"/>
  <c r="I18" i="4" s="1"/>
  <c r="Q18" i="21"/>
  <c r="K15" i="4" s="1"/>
  <c r="D18" i="18" s="1"/>
  <c r="N20" i="23"/>
  <c r="I17" i="4" s="1"/>
  <c r="N12" i="21"/>
  <c r="H9" i="4" s="1"/>
  <c r="C12" i="18" s="1"/>
  <c r="N14" i="23"/>
  <c r="I11" i="4" s="1"/>
  <c r="N21" i="21"/>
  <c r="H18" i="4" s="1"/>
  <c r="C21" i="18" s="1"/>
  <c r="N15" i="23"/>
  <c r="I12" i="4" s="1"/>
  <c r="N19" i="23"/>
  <c r="I16" i="4" s="1"/>
  <c r="N13" i="21"/>
  <c r="H10" i="4" s="1"/>
  <c r="C13" i="18" s="1"/>
  <c r="N14" i="21"/>
  <c r="H11" i="4" s="1"/>
  <c r="N24" i="23"/>
  <c r="I21" i="4" s="1"/>
  <c r="N22" i="21"/>
  <c r="H19" i="4" s="1"/>
  <c r="C22" i="18" s="1"/>
  <c r="G50" i="23"/>
  <c r="Q23" i="24"/>
  <c r="M20" i="4" s="1"/>
  <c r="Q21" i="24"/>
  <c r="M18" i="4" s="1"/>
  <c r="N26" i="21"/>
  <c r="H23" i="4" s="1"/>
  <c r="C26" i="18" s="1"/>
  <c r="Q33" i="21"/>
  <c r="K30" i="4" s="1"/>
  <c r="E30" i="11" s="1"/>
  <c r="N33" i="21"/>
  <c r="H30" i="4" s="1"/>
  <c r="D30" i="11" s="1"/>
  <c r="Q40" i="21"/>
  <c r="N40" i="21"/>
  <c r="Q43" i="21"/>
  <c r="N43" i="21"/>
  <c r="H40" i="4" s="1"/>
  <c r="D40" i="11" s="1"/>
  <c r="Q46" i="21"/>
  <c r="N46" i="21"/>
  <c r="Q30" i="21"/>
  <c r="K27" i="4" s="1"/>
  <c r="E27" i="11" s="1"/>
  <c r="N30" i="21"/>
  <c r="H27" i="4" s="1"/>
  <c r="D27" i="11" s="1"/>
  <c r="N25" i="24"/>
  <c r="J22" i="4" s="1"/>
  <c r="H50" i="24"/>
  <c r="N27" i="23"/>
  <c r="I24" i="4" s="1"/>
  <c r="N11" i="24"/>
  <c r="J8" i="4" s="1"/>
  <c r="Q41" i="21"/>
  <c r="N41" i="21"/>
  <c r="Q45" i="21"/>
  <c r="N45" i="21"/>
  <c r="H42" i="4" s="1"/>
  <c r="D42" i="11" s="1"/>
  <c r="Q36" i="21"/>
  <c r="K33" i="4" s="1"/>
  <c r="E33" i="11" s="1"/>
  <c r="N36" i="21"/>
  <c r="H33" i="4" s="1"/>
  <c r="D33" i="11" s="1"/>
  <c r="Q39" i="21"/>
  <c r="K36" i="4" s="1"/>
  <c r="E36" i="11" s="1"/>
  <c r="N39" i="21"/>
  <c r="H36" i="4" s="1"/>
  <c r="D36" i="11" s="1"/>
  <c r="Q42" i="21"/>
  <c r="N42" i="21"/>
  <c r="H39" i="4" s="1"/>
  <c r="D39" i="11" s="1"/>
  <c r="G50" i="21"/>
  <c r="Q13" i="24"/>
  <c r="M10" i="4" s="1"/>
  <c r="Q37" i="21"/>
  <c r="K34" i="4" s="1"/>
  <c r="E34" i="11" s="1"/>
  <c r="N37" i="21"/>
  <c r="H34" i="4" s="1"/>
  <c r="D34" i="11" s="1"/>
  <c r="Q48" i="21"/>
  <c r="N48" i="21"/>
  <c r="Q32" i="21"/>
  <c r="K29" i="4" s="1"/>
  <c r="E29" i="11" s="1"/>
  <c r="N32" i="21"/>
  <c r="H29" i="4" s="1"/>
  <c r="D29" i="11" s="1"/>
  <c r="Q35" i="21"/>
  <c r="K32" i="4" s="1"/>
  <c r="E32" i="11" s="1"/>
  <c r="N35" i="21"/>
  <c r="H32" i="4" s="1"/>
  <c r="D32" i="11" s="1"/>
  <c r="Q38" i="21"/>
  <c r="K35" i="4" s="1"/>
  <c r="E35" i="11" s="1"/>
  <c r="N38" i="21"/>
  <c r="H35" i="4" s="1"/>
  <c r="D35" i="11" s="1"/>
  <c r="F50" i="23"/>
  <c r="N16" i="23"/>
  <c r="I13" i="4" s="1"/>
  <c r="H50" i="23"/>
  <c r="Q49" i="21"/>
  <c r="N49" i="21"/>
  <c r="H46" i="4" s="1"/>
  <c r="Q44" i="21"/>
  <c r="N44" i="21"/>
  <c r="H41" i="4" s="1"/>
  <c r="D41" i="11" s="1"/>
  <c r="Q47" i="21"/>
  <c r="K44" i="4" s="1"/>
  <c r="E44" i="11" s="1"/>
  <c r="N47" i="21"/>
  <c r="H44" i="4" s="1"/>
  <c r="D44" i="11" s="1"/>
  <c r="Q31" i="21"/>
  <c r="K28" i="4" s="1"/>
  <c r="E28" i="11" s="1"/>
  <c r="N31" i="21"/>
  <c r="H28" i="4" s="1"/>
  <c r="D28" i="11" s="1"/>
  <c r="Q34" i="21"/>
  <c r="K31" i="4" s="1"/>
  <c r="E31" i="11" s="1"/>
  <c r="N34" i="21"/>
  <c r="H31" i="4" s="1"/>
  <c r="D31" i="11" s="1"/>
  <c r="F50" i="21"/>
  <c r="N18" i="21"/>
  <c r="H15" i="4" s="1"/>
  <c r="C18" i="18" s="1"/>
  <c r="N10" i="21"/>
  <c r="H7" i="4" s="1"/>
  <c r="C10" i="18" s="1"/>
  <c r="N24" i="21"/>
  <c r="H21" i="4" s="1"/>
  <c r="C24" i="18" s="1"/>
  <c r="N16" i="21"/>
  <c r="H13" i="4" s="1"/>
  <c r="C16" i="18" s="1"/>
  <c r="Q22" i="21"/>
  <c r="K19" i="4" s="1"/>
  <c r="D22" i="18" s="1"/>
  <c r="H50" i="21"/>
  <c r="N23" i="21"/>
  <c r="H20" i="4" s="1"/>
  <c r="C23" i="18" s="1"/>
  <c r="Q27" i="21"/>
  <c r="K24" i="4" s="1"/>
  <c r="D27" i="18" s="1"/>
  <c r="Q10" i="21"/>
  <c r="K7" i="4" s="1"/>
  <c r="D10" i="18" s="1"/>
  <c r="Q25" i="21"/>
  <c r="K22" i="4" s="1"/>
  <c r="D25" i="18" s="1"/>
  <c r="Q19" i="21"/>
  <c r="K16" i="4" s="1"/>
  <c r="D19" i="18" s="1"/>
  <c r="N19" i="21"/>
  <c r="H16" i="4" s="1"/>
  <c r="C19" i="18" s="1"/>
  <c r="N26" i="23"/>
  <c r="I23" i="4" s="1"/>
  <c r="Q25" i="23"/>
  <c r="L22" i="4" s="1"/>
  <c r="Q19" i="24"/>
  <c r="M16" i="4" s="1"/>
  <c r="N18" i="24"/>
  <c r="J15" i="4" s="1"/>
  <c r="Q13" i="21"/>
  <c r="K10" i="4" s="1"/>
  <c r="D13" i="18" s="1"/>
  <c r="Q24" i="21"/>
  <c r="K21" i="4" s="1"/>
  <c r="D24" i="18" s="1"/>
  <c r="Q12" i="24"/>
  <c r="M9" i="4" s="1"/>
  <c r="Q20" i="24"/>
  <c r="M17" i="4" s="1"/>
  <c r="N26" i="24"/>
  <c r="J23" i="4" s="1"/>
  <c r="N24" i="24"/>
  <c r="J21" i="4" s="1"/>
  <c r="N11" i="21"/>
  <c r="H8" i="4" s="1"/>
  <c r="C11" i="18" s="1"/>
  <c r="Q28" i="21"/>
  <c r="K25" i="4" s="1"/>
  <c r="D28" i="18" s="1"/>
  <c r="Q25" i="24"/>
  <c r="M22" i="4" s="1"/>
  <c r="N14" i="24"/>
  <c r="J11" i="4" s="1"/>
  <c r="Q27" i="24"/>
  <c r="M24" i="4" s="1"/>
  <c r="Q11" i="24"/>
  <c r="M8" i="4" s="1"/>
  <c r="N17" i="21"/>
  <c r="H14" i="4" s="1"/>
  <c r="C17" i="18" s="1"/>
  <c r="K50" i="21"/>
  <c r="N15" i="21"/>
  <c r="H12" i="4" s="1"/>
  <c r="C15" i="18" s="1"/>
  <c r="Q15" i="21"/>
  <c r="K12" i="4" s="1"/>
  <c r="D15" i="18" s="1"/>
  <c r="Q15" i="24"/>
  <c r="M12" i="4" s="1"/>
  <c r="Q28" i="24"/>
  <c r="M25" i="4" s="1"/>
  <c r="Q16" i="24"/>
  <c r="M13" i="4" s="1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37" i="10"/>
  <c r="A38" i="10"/>
  <c r="A39" i="10"/>
  <c r="A40" i="10"/>
  <c r="A41" i="10"/>
  <c r="A42" i="10"/>
  <c r="A43" i="10"/>
  <c r="A44" i="10"/>
  <c r="A45" i="10"/>
  <c r="A46" i="10"/>
  <c r="C4" i="4"/>
  <c r="G4" i="4" s="1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E20" i="11"/>
  <c r="E23" i="11"/>
  <c r="D22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47" i="3"/>
  <c r="F47" i="3" s="1"/>
  <c r="B7" i="10"/>
  <c r="C7" i="10"/>
  <c r="B8" i="10"/>
  <c r="C8" i="10"/>
  <c r="B9" i="10"/>
  <c r="C9" i="10"/>
  <c r="B10" i="10"/>
  <c r="C10" i="10"/>
  <c r="B11" i="10"/>
  <c r="C11" i="10"/>
  <c r="B12" i="10"/>
  <c r="C12" i="10"/>
  <c r="B13" i="10"/>
  <c r="C13" i="10"/>
  <c r="B14" i="10"/>
  <c r="C14" i="10"/>
  <c r="B15" i="10"/>
  <c r="C15" i="10"/>
  <c r="B16" i="10"/>
  <c r="C16" i="10"/>
  <c r="B17" i="10"/>
  <c r="C17" i="10"/>
  <c r="B18" i="10"/>
  <c r="C18" i="10"/>
  <c r="B19" i="10"/>
  <c r="C19" i="10"/>
  <c r="B20" i="10"/>
  <c r="C20" i="10"/>
  <c r="B21" i="10"/>
  <c r="C21" i="10"/>
  <c r="B22" i="10"/>
  <c r="C22" i="10"/>
  <c r="B23" i="10"/>
  <c r="C23" i="10"/>
  <c r="B24" i="10"/>
  <c r="C24" i="10"/>
  <c r="B25" i="10"/>
  <c r="C25" i="10"/>
  <c r="B26" i="10"/>
  <c r="C26" i="10"/>
  <c r="G30" i="10" l="1"/>
  <c r="F30" i="10"/>
  <c r="G29" i="10"/>
  <c r="H29" i="11" s="1"/>
  <c r="F40" i="10"/>
  <c r="G35" i="10"/>
  <c r="H35" i="11" s="1"/>
  <c r="G44" i="10"/>
  <c r="F44" i="10"/>
  <c r="G37" i="10"/>
  <c r="E48" i="3" s="1"/>
  <c r="H48" i="3" s="1"/>
  <c r="F37" i="10"/>
  <c r="D48" i="3" s="1"/>
  <c r="G48" i="3" s="1"/>
  <c r="C42" i="11"/>
  <c r="F42" i="11" s="1"/>
  <c r="B35" i="18"/>
  <c r="C43" i="11"/>
  <c r="C44" i="3" s="1"/>
  <c r="F44" i="3" s="1"/>
  <c r="B36" i="18"/>
  <c r="C41" i="11"/>
  <c r="C42" i="3" s="1"/>
  <c r="F42" i="3" s="1"/>
  <c r="B34" i="18"/>
  <c r="F44" i="11"/>
  <c r="C45" i="3"/>
  <c r="F45" i="3" s="1"/>
  <c r="F35" i="11"/>
  <c r="C46" i="3"/>
  <c r="F46" i="3" s="1"/>
  <c r="C28" i="18"/>
  <c r="D25" i="11"/>
  <c r="C14" i="18"/>
  <c r="D11" i="11"/>
  <c r="C43" i="3"/>
  <c r="F43" i="3" s="1"/>
  <c r="K45" i="4"/>
  <c r="E45" i="11" s="1"/>
  <c r="D35" i="18"/>
  <c r="K42" i="4"/>
  <c r="E42" i="11" s="1"/>
  <c r="H32" i="11"/>
  <c r="H34" i="11"/>
  <c r="G40" i="10"/>
  <c r="G38" i="10"/>
  <c r="E49" i="3" s="1"/>
  <c r="H49" i="3" s="1"/>
  <c r="G39" i="10"/>
  <c r="G27" i="10"/>
  <c r="H27" i="11" s="1"/>
  <c r="H30" i="11"/>
  <c r="G36" i="10"/>
  <c r="H36" i="11" s="1"/>
  <c r="G31" i="10"/>
  <c r="H31" i="11" s="1"/>
  <c r="B37" i="18"/>
  <c r="K37" i="4"/>
  <c r="K46" i="4"/>
  <c r="E46" i="11" s="1"/>
  <c r="E47" i="3" s="1"/>
  <c r="H47" i="3" s="1"/>
  <c r="K40" i="4"/>
  <c r="G45" i="10"/>
  <c r="E56" i="3" s="1"/>
  <c r="H56" i="3" s="1"/>
  <c r="G28" i="10"/>
  <c r="F33" i="10"/>
  <c r="G33" i="11" s="1"/>
  <c r="B32" i="18"/>
  <c r="B33" i="18"/>
  <c r="B30" i="18"/>
  <c r="K41" i="4"/>
  <c r="K43" i="4"/>
  <c r="E43" i="11" s="1"/>
  <c r="E13" i="11"/>
  <c r="D32" i="18"/>
  <c r="K39" i="4"/>
  <c r="E39" i="11" s="1"/>
  <c r="K38" i="4"/>
  <c r="E38" i="11" s="1"/>
  <c r="G41" i="10"/>
  <c r="G43" i="10"/>
  <c r="G33" i="10"/>
  <c r="H33" i="11" s="1"/>
  <c r="G46" i="10"/>
  <c r="G32" i="11"/>
  <c r="C39" i="18"/>
  <c r="D46" i="11"/>
  <c r="G35" i="11"/>
  <c r="F45" i="10"/>
  <c r="F28" i="10"/>
  <c r="G28" i="11" s="1"/>
  <c r="H38" i="4"/>
  <c r="D38" i="11" s="1"/>
  <c r="F41" i="10"/>
  <c r="G41" i="11" s="1"/>
  <c r="F27" i="10"/>
  <c r="G27" i="11" s="1"/>
  <c r="F46" i="10"/>
  <c r="D13" i="11"/>
  <c r="H43" i="4"/>
  <c r="H37" i="4"/>
  <c r="D37" i="11" s="1"/>
  <c r="F29" i="10"/>
  <c r="G29" i="11" s="1"/>
  <c r="F42" i="10"/>
  <c r="H45" i="4"/>
  <c r="D45" i="11" s="1"/>
  <c r="G34" i="11"/>
  <c r="G30" i="11"/>
  <c r="F36" i="10"/>
  <c r="G36" i="11" s="1"/>
  <c r="F31" i="10"/>
  <c r="E54" i="3"/>
  <c r="H54" i="3" s="1"/>
  <c r="E57" i="3"/>
  <c r="H57" i="3" s="1"/>
  <c r="G46" i="11"/>
  <c r="D57" i="3"/>
  <c r="G57" i="3" s="1"/>
  <c r="E52" i="3"/>
  <c r="H52" i="3" s="1"/>
  <c r="G44" i="11"/>
  <c r="D55" i="3"/>
  <c r="G55" i="3" s="1"/>
  <c r="G40" i="11"/>
  <c r="D51" i="3"/>
  <c r="G51" i="3" s="1"/>
  <c r="G38" i="11"/>
  <c r="D49" i="3"/>
  <c r="G49" i="3" s="1"/>
  <c r="G39" i="11"/>
  <c r="D50" i="3"/>
  <c r="G50" i="3" s="1"/>
  <c r="E53" i="3"/>
  <c r="H53" i="3" s="1"/>
  <c r="H42" i="11"/>
  <c r="G43" i="11"/>
  <c r="D54" i="3"/>
  <c r="G54" i="3" s="1"/>
  <c r="H44" i="11"/>
  <c r="E55" i="3"/>
  <c r="H55" i="3" s="1"/>
  <c r="E51" i="3"/>
  <c r="H51" i="3" s="1"/>
  <c r="D56" i="3"/>
  <c r="G56" i="3" s="1"/>
  <c r="E43" i="3"/>
  <c r="H43" i="3" s="1"/>
  <c r="D24" i="11"/>
  <c r="E11" i="11"/>
  <c r="E18" i="11"/>
  <c r="E26" i="11"/>
  <c r="E9" i="11"/>
  <c r="E24" i="11"/>
  <c r="E17" i="11"/>
  <c r="D16" i="11"/>
  <c r="E16" i="11"/>
  <c r="N50" i="21"/>
  <c r="D17" i="11"/>
  <c r="E15" i="11"/>
  <c r="N50" i="24"/>
  <c r="C37" i="18"/>
  <c r="D45" i="3"/>
  <c r="G45" i="3" s="1"/>
  <c r="D37" i="18"/>
  <c r="E45" i="3"/>
  <c r="H45" i="3" s="1"/>
  <c r="C33" i="18"/>
  <c r="D41" i="3"/>
  <c r="G41" i="3" s="1"/>
  <c r="Q50" i="21"/>
  <c r="D19" i="11"/>
  <c r="D15" i="11"/>
  <c r="D7" i="11"/>
  <c r="E19" i="11"/>
  <c r="E10" i="11"/>
  <c r="Q50" i="24"/>
  <c r="Q50" i="23"/>
  <c r="D10" i="11"/>
  <c r="D18" i="11"/>
  <c r="E14" i="11"/>
  <c r="D26" i="11"/>
  <c r="D9" i="11"/>
  <c r="D8" i="11"/>
  <c r="E8" i="11"/>
  <c r="C32" i="18"/>
  <c r="D20" i="11"/>
  <c r="C35" i="18"/>
  <c r="D43" i="3"/>
  <c r="G43" i="3" s="1"/>
  <c r="D39" i="3"/>
  <c r="G39" i="3" s="1"/>
  <c r="E40" i="3"/>
  <c r="H40" i="3" s="1"/>
  <c r="N50" i="23"/>
  <c r="D21" i="11"/>
  <c r="D23" i="11"/>
  <c r="E7" i="11"/>
  <c r="C34" i="18"/>
  <c r="D12" i="11"/>
  <c r="E22" i="11"/>
  <c r="E25" i="11"/>
  <c r="E21" i="11"/>
  <c r="D14" i="11"/>
  <c r="E12" i="11"/>
  <c r="D23" i="10"/>
  <c r="F23" i="10" s="1"/>
  <c r="D19" i="10"/>
  <c r="F19" i="10" s="1"/>
  <c r="D15" i="10"/>
  <c r="D11" i="10"/>
  <c r="G11" i="10" s="1"/>
  <c r="D26" i="10"/>
  <c r="G26" i="10" s="1"/>
  <c r="H26" i="11" s="1"/>
  <c r="D22" i="10"/>
  <c r="E22" i="10" s="1"/>
  <c r="F22" i="11" s="1"/>
  <c r="D18" i="10"/>
  <c r="D14" i="10"/>
  <c r="E14" i="10" s="1"/>
  <c r="F14" i="11" s="1"/>
  <c r="D10" i="10"/>
  <c r="G10" i="10" s="1"/>
  <c r="D7" i="10"/>
  <c r="F7" i="10" s="1"/>
  <c r="D25" i="10"/>
  <c r="E25" i="10" s="1"/>
  <c r="F25" i="11" s="1"/>
  <c r="D21" i="10"/>
  <c r="G21" i="10" s="1"/>
  <c r="D17" i="10"/>
  <c r="E17" i="10" s="1"/>
  <c r="F17" i="11" s="1"/>
  <c r="D13" i="10"/>
  <c r="G13" i="10" s="1"/>
  <c r="D9" i="10"/>
  <c r="E9" i="10" s="1"/>
  <c r="F9" i="11" s="1"/>
  <c r="D24" i="10"/>
  <c r="F24" i="10" s="1"/>
  <c r="D20" i="10"/>
  <c r="G20" i="10" s="1"/>
  <c r="H20" i="11" s="1"/>
  <c r="D16" i="10"/>
  <c r="E16" i="10" s="1"/>
  <c r="F16" i="11" s="1"/>
  <c r="D12" i="10"/>
  <c r="F12" i="10" s="1"/>
  <c r="D8" i="10"/>
  <c r="E8" i="10" s="1"/>
  <c r="F8" i="11" s="1"/>
  <c r="H38" i="11" l="1"/>
  <c r="H46" i="11"/>
  <c r="H13" i="11"/>
  <c r="H45" i="11"/>
  <c r="E46" i="3"/>
  <c r="H46" i="3" s="1"/>
  <c r="H39" i="11"/>
  <c r="E50" i="3"/>
  <c r="H50" i="3" s="1"/>
  <c r="E37" i="11"/>
  <c r="D30" i="18"/>
  <c r="E40" i="11"/>
  <c r="D33" i="18"/>
  <c r="H28" i="11"/>
  <c r="E39" i="3"/>
  <c r="H39" i="3" s="1"/>
  <c r="E41" i="11"/>
  <c r="D34" i="18"/>
  <c r="H43" i="11"/>
  <c r="E44" i="3"/>
  <c r="H44" i="3" s="1"/>
  <c r="D43" i="11"/>
  <c r="C36" i="18"/>
  <c r="G37" i="11"/>
  <c r="D38" i="3"/>
  <c r="G38" i="3" s="1"/>
  <c r="G42" i="11"/>
  <c r="D53" i="3"/>
  <c r="G53" i="3" s="1"/>
  <c r="G45" i="11"/>
  <c r="D46" i="3"/>
  <c r="G46" i="3" s="1"/>
  <c r="G31" i="11"/>
  <c r="D42" i="3"/>
  <c r="G42" i="3" s="1"/>
  <c r="D52" i="3"/>
  <c r="G52" i="3" s="1"/>
  <c r="D31" i="18"/>
  <c r="G24" i="11"/>
  <c r="D44" i="3"/>
  <c r="G44" i="3" s="1"/>
  <c r="D40" i="3"/>
  <c r="G40" i="3" s="1"/>
  <c r="D36" i="18"/>
  <c r="D39" i="18"/>
  <c r="D38" i="18"/>
  <c r="C38" i="18"/>
  <c r="C30" i="18"/>
  <c r="C31" i="18"/>
  <c r="D47" i="3"/>
  <c r="G47" i="3" s="1"/>
  <c r="G7" i="11"/>
  <c r="H11" i="11"/>
  <c r="H10" i="11"/>
  <c r="G19" i="11"/>
  <c r="G23" i="11"/>
  <c r="G12" i="11"/>
  <c r="H21" i="11"/>
  <c r="G8" i="10"/>
  <c r="H8" i="11" s="1"/>
  <c r="G22" i="10"/>
  <c r="F21" i="10"/>
  <c r="G21" i="11" s="1"/>
  <c r="E12" i="10"/>
  <c r="F12" i="11" s="1"/>
  <c r="E24" i="10"/>
  <c r="F24" i="11" s="1"/>
  <c r="E7" i="10"/>
  <c r="F7" i="11" s="1"/>
  <c r="E23" i="10"/>
  <c r="F23" i="11" s="1"/>
  <c r="G14" i="10"/>
  <c r="G9" i="10"/>
  <c r="H9" i="11" s="1"/>
  <c r="G25" i="10"/>
  <c r="E20" i="10"/>
  <c r="F20" i="11" s="1"/>
  <c r="F13" i="10"/>
  <c r="G13" i="11" s="1"/>
  <c r="F10" i="10"/>
  <c r="D21" i="3" s="1"/>
  <c r="G21" i="3" s="1"/>
  <c r="G12" i="10"/>
  <c r="H12" i="11" s="1"/>
  <c r="F14" i="10"/>
  <c r="G14" i="11" s="1"/>
  <c r="F18" i="10"/>
  <c r="G18" i="11" s="1"/>
  <c r="F20" i="10"/>
  <c r="G20" i="11" s="1"/>
  <c r="F22" i="10"/>
  <c r="G22" i="11" s="1"/>
  <c r="F26" i="10"/>
  <c r="G26" i="11" s="1"/>
  <c r="G7" i="10"/>
  <c r="E11" i="10"/>
  <c r="F11" i="11" s="1"/>
  <c r="E13" i="10"/>
  <c r="F13" i="11" s="1"/>
  <c r="F15" i="10"/>
  <c r="G15" i="11" s="1"/>
  <c r="E19" i="10"/>
  <c r="F19" i="11" s="1"/>
  <c r="E21" i="10"/>
  <c r="F21" i="11" s="1"/>
  <c r="G16" i="10"/>
  <c r="H16" i="11" s="1"/>
  <c r="G17" i="10"/>
  <c r="F8" i="10"/>
  <c r="G8" i="11" s="1"/>
  <c r="E10" i="10"/>
  <c r="F10" i="11" s="1"/>
  <c r="F16" i="10"/>
  <c r="G16" i="11" s="1"/>
  <c r="E18" i="10"/>
  <c r="F18" i="11" s="1"/>
  <c r="G24" i="10"/>
  <c r="H24" i="11" s="1"/>
  <c r="E26" i="10"/>
  <c r="F26" i="11" s="1"/>
  <c r="F9" i="10"/>
  <c r="G9" i="11" s="1"/>
  <c r="F17" i="10"/>
  <c r="G17" i="11" s="1"/>
  <c r="G19" i="10"/>
  <c r="H19" i="11" s="1"/>
  <c r="F25" i="10"/>
  <c r="G25" i="11" s="1"/>
  <c r="E15" i="10"/>
  <c r="F15" i="11" s="1"/>
  <c r="G18" i="10"/>
  <c r="H18" i="11" s="1"/>
  <c r="F11" i="10"/>
  <c r="G15" i="10"/>
  <c r="H15" i="11" s="1"/>
  <c r="G23" i="10"/>
  <c r="H23" i="11" s="1"/>
  <c r="B49" i="18"/>
  <c r="D53" i="18"/>
  <c r="D54" i="18"/>
  <c r="D61" i="18"/>
  <c r="D46" i="18"/>
  <c r="D60" i="18"/>
  <c r="D62" i="18"/>
  <c r="D64" i="18"/>
  <c r="C68" i="18"/>
  <c r="B69" i="18"/>
  <c r="C52" i="18"/>
  <c r="D30" i="3"/>
  <c r="G30" i="3" s="1"/>
  <c r="C27" i="3"/>
  <c r="F27" i="3" s="1"/>
  <c r="E32" i="3"/>
  <c r="H32" i="3" s="1"/>
  <c r="E31" i="3"/>
  <c r="H31" i="3" s="1"/>
  <c r="E24" i="3"/>
  <c r="H24" i="3" s="1"/>
  <c r="E38" i="3" l="1"/>
  <c r="H38" i="3" s="1"/>
  <c r="H37" i="11"/>
  <c r="E41" i="3"/>
  <c r="H41" i="3" s="1"/>
  <c r="H40" i="11"/>
  <c r="E42" i="3"/>
  <c r="H42" i="3" s="1"/>
  <c r="H41" i="11"/>
  <c r="E20" i="3"/>
  <c r="H20" i="3" s="1"/>
  <c r="D63" i="18"/>
  <c r="D41" i="18"/>
  <c r="E35" i="3"/>
  <c r="H35" i="3" s="1"/>
  <c r="D42" i="18"/>
  <c r="E19" i="3"/>
  <c r="H19" i="3" s="1"/>
  <c r="B68" i="18"/>
  <c r="D57" i="18"/>
  <c r="D69" i="18"/>
  <c r="B65" i="18"/>
  <c r="F48" i="11"/>
  <c r="C64" i="18"/>
  <c r="D40" i="18"/>
  <c r="H7" i="11"/>
  <c r="D47" i="18"/>
  <c r="H14" i="11"/>
  <c r="D22" i="3"/>
  <c r="G22" i="3" s="1"/>
  <c r="G11" i="11"/>
  <c r="D50" i="18"/>
  <c r="H17" i="11"/>
  <c r="C67" i="18"/>
  <c r="D55" i="18"/>
  <c r="H22" i="11"/>
  <c r="E36" i="3"/>
  <c r="H36" i="3" s="1"/>
  <c r="H25" i="11"/>
  <c r="C44" i="18"/>
  <c r="C43" i="18"/>
  <c r="G10" i="11"/>
  <c r="D52" i="18"/>
  <c r="E30" i="3"/>
  <c r="H30" i="3" s="1"/>
  <c r="D58" i="18"/>
  <c r="E18" i="3"/>
  <c r="H18" i="3" s="1"/>
  <c r="D45" i="18"/>
  <c r="D66" i="18"/>
  <c r="C60" i="18"/>
  <c r="C59" i="18"/>
  <c r="E33" i="3"/>
  <c r="H33" i="3" s="1"/>
  <c r="E28" i="3"/>
  <c r="H28" i="3" s="1"/>
  <c r="D56" i="18"/>
  <c r="E23" i="3"/>
  <c r="H23" i="3" s="1"/>
  <c r="D68" i="18"/>
  <c r="D26" i="3"/>
  <c r="G26" i="3" s="1"/>
  <c r="C48" i="18"/>
  <c r="D37" i="3"/>
  <c r="G37" i="3" s="1"/>
  <c r="E25" i="3"/>
  <c r="H25" i="3" s="1"/>
  <c r="E34" i="3"/>
  <c r="H34" i="3" s="1"/>
  <c r="D29" i="3"/>
  <c r="G29" i="3" s="1"/>
  <c r="B52" i="18"/>
  <c r="C30" i="3"/>
  <c r="F30" i="3" s="1"/>
  <c r="C51" i="18"/>
  <c r="D65" i="18"/>
  <c r="C61" i="18"/>
  <c r="C46" i="18"/>
  <c r="D49" i="18"/>
  <c r="C40" i="18"/>
  <c r="C41" i="18"/>
  <c r="C62" i="18"/>
  <c r="C45" i="18"/>
  <c r="C63" i="18"/>
  <c r="C55" i="18"/>
  <c r="C50" i="18"/>
  <c r="E21" i="3"/>
  <c r="H21" i="3" s="1"/>
  <c r="C47" i="18"/>
  <c r="C42" i="18"/>
  <c r="C66" i="18"/>
  <c r="C54" i="18"/>
  <c r="B46" i="18"/>
  <c r="B61" i="18"/>
  <c r="B40" i="18"/>
  <c r="B50" i="18"/>
  <c r="B45" i="18"/>
  <c r="B59" i="18"/>
  <c r="B62" i="18"/>
  <c r="B53" i="18"/>
  <c r="B43" i="18"/>
  <c r="B55" i="18"/>
  <c r="B58" i="18"/>
  <c r="B42" i="18"/>
  <c r="C69" i="18"/>
  <c r="C65" i="18"/>
  <c r="B57" i="18"/>
  <c r="B66" i="18"/>
  <c r="D34" i="3"/>
  <c r="G34" i="3" s="1"/>
  <c r="C56" i="18"/>
  <c r="B56" i="18"/>
  <c r="B44" i="18"/>
  <c r="C26" i="3"/>
  <c r="F26" i="3" s="1"/>
  <c r="B48" i="18"/>
  <c r="B67" i="18"/>
  <c r="D51" i="18"/>
  <c r="C25" i="3"/>
  <c r="F25" i="3" s="1"/>
  <c r="B47" i="18"/>
  <c r="D59" i="18"/>
  <c r="B54" i="18"/>
  <c r="C53" i="18"/>
  <c r="E37" i="3"/>
  <c r="H37" i="3" s="1"/>
  <c r="C58" i="18"/>
  <c r="B60" i="18"/>
  <c r="E26" i="3"/>
  <c r="H26" i="3" s="1"/>
  <c r="D48" i="18"/>
  <c r="D44" i="18"/>
  <c r="C57" i="18"/>
  <c r="B41" i="18"/>
  <c r="D67" i="18"/>
  <c r="B51" i="18"/>
  <c r="C49" i="18"/>
  <c r="B63" i="18"/>
  <c r="D43" i="18"/>
  <c r="B64" i="18"/>
  <c r="C22" i="3"/>
  <c r="F22" i="3" s="1"/>
  <c r="E22" i="3"/>
  <c r="H22" i="3" s="1"/>
  <c r="C32" i="3"/>
  <c r="F32" i="3" s="1"/>
  <c r="C34" i="3"/>
  <c r="F34" i="3" s="1"/>
  <c r="D35" i="3"/>
  <c r="G35" i="3" s="1"/>
  <c r="C29" i="3"/>
  <c r="F29" i="3" s="1"/>
  <c r="D27" i="3"/>
  <c r="G27" i="3" s="1"/>
  <c r="D36" i="3"/>
  <c r="G36" i="3" s="1"/>
  <c r="C35" i="3"/>
  <c r="F35" i="3" s="1"/>
  <c r="D31" i="3"/>
  <c r="G31" i="3" s="1"/>
  <c r="E29" i="3"/>
  <c r="H29" i="3" s="1"/>
  <c r="D28" i="3"/>
  <c r="G28" i="3" s="1"/>
  <c r="C19" i="3"/>
  <c r="F19" i="3" s="1"/>
  <c r="D19" i="3"/>
  <c r="G19" i="3" s="1"/>
  <c r="D32" i="3"/>
  <c r="G32" i="3" s="1"/>
  <c r="C28" i="3"/>
  <c r="F28" i="3" s="1"/>
  <c r="C37" i="3"/>
  <c r="F37" i="3" s="1"/>
  <c r="D20" i="3"/>
  <c r="G20" i="3" s="1"/>
  <c r="D18" i="3"/>
  <c r="G18" i="3" s="1"/>
  <c r="C18" i="3"/>
  <c r="F18" i="3" s="1"/>
  <c r="D33" i="3"/>
  <c r="G33" i="3" s="1"/>
  <c r="C31" i="3"/>
  <c r="F31" i="3" s="1"/>
  <c r="C21" i="3"/>
  <c r="F21" i="3" s="1"/>
  <c r="C33" i="3"/>
  <c r="F33" i="3" s="1"/>
  <c r="D24" i="3"/>
  <c r="G24" i="3" s="1"/>
  <c r="E27" i="3"/>
  <c r="H27" i="3" s="1"/>
  <c r="C20" i="3"/>
  <c r="F20" i="3" s="1"/>
  <c r="C36" i="3"/>
  <c r="F36" i="3" s="1"/>
  <c r="C24" i="3"/>
  <c r="F24" i="3" s="1"/>
  <c r="D23" i="3"/>
  <c r="G23" i="3" s="1"/>
  <c r="D25" i="3"/>
  <c r="G25" i="3" s="1"/>
  <c r="C23" i="3"/>
  <c r="F23" i="3" s="1"/>
  <c r="F47" i="11" l="1"/>
  <c r="G48" i="11"/>
  <c r="H48" i="11"/>
  <c r="O50" i="11"/>
  <c r="Q50" i="11"/>
  <c r="P50" i="11"/>
  <c r="I8" i="11"/>
  <c r="I15" i="11"/>
  <c r="I13" i="11"/>
  <c r="I24" i="11"/>
  <c r="I11" i="11"/>
  <c r="I25" i="11"/>
  <c r="I12" i="11"/>
  <c r="G47" i="11"/>
  <c r="H47" i="11"/>
  <c r="I22" i="11"/>
  <c r="I26" i="11"/>
  <c r="I23" i="11"/>
  <c r="I7" i="11"/>
  <c r="I14" i="11"/>
  <c r="I16" i="11"/>
  <c r="I18" i="11"/>
  <c r="S19" i="11"/>
  <c r="B17" i="16" s="1"/>
  <c r="F49" i="11"/>
  <c r="D6" i="18"/>
  <c r="Q11" i="13" s="1"/>
  <c r="C5" i="18"/>
  <c r="P10" i="13" s="1"/>
  <c r="C6" i="18"/>
  <c r="P11" i="13" s="1"/>
  <c r="E5" i="18"/>
  <c r="R10" i="13" s="1"/>
  <c r="E6" i="18"/>
  <c r="R11" i="13" s="1"/>
  <c r="D5" i="18"/>
  <c r="Q10" i="13" s="1"/>
  <c r="E58" i="3"/>
  <c r="H59" i="3"/>
  <c r="D58" i="3"/>
  <c r="F60" i="3"/>
  <c r="F59" i="3"/>
  <c r="G59" i="3"/>
  <c r="G60" i="3"/>
  <c r="C58" i="3"/>
  <c r="H60" i="3"/>
  <c r="I17" i="11" l="1"/>
  <c r="I9" i="11"/>
  <c r="I10" i="11"/>
  <c r="I20" i="11"/>
  <c r="I21" i="11"/>
  <c r="K7" i="11"/>
  <c r="N7" i="11" s="1"/>
  <c r="K27" i="11"/>
  <c r="N27" i="11" s="1"/>
  <c r="K31" i="11"/>
  <c r="N31" i="11" s="1"/>
  <c r="K35" i="11"/>
  <c r="N35" i="11" s="1"/>
  <c r="K39" i="11"/>
  <c r="N39" i="11" s="1"/>
  <c r="K43" i="11"/>
  <c r="N43" i="11" s="1"/>
  <c r="K28" i="11"/>
  <c r="N28" i="11" s="1"/>
  <c r="K32" i="11"/>
  <c r="N32" i="11" s="1"/>
  <c r="K36" i="11"/>
  <c r="N36" i="11" s="1"/>
  <c r="K40" i="11"/>
  <c r="N40" i="11" s="1"/>
  <c r="K44" i="11"/>
  <c r="N44" i="11" s="1"/>
  <c r="K29" i="11"/>
  <c r="N29" i="11" s="1"/>
  <c r="K37" i="11"/>
  <c r="N37" i="11" s="1"/>
  <c r="K45" i="11"/>
  <c r="N45" i="11" s="1"/>
  <c r="K30" i="11"/>
  <c r="N30" i="11" s="1"/>
  <c r="K38" i="11"/>
  <c r="N38" i="11" s="1"/>
  <c r="K46" i="11"/>
  <c r="N46" i="11" s="1"/>
  <c r="K34" i="11"/>
  <c r="N34" i="11" s="1"/>
  <c r="K33" i="11"/>
  <c r="N33" i="11" s="1"/>
  <c r="K41" i="11"/>
  <c r="N41" i="11" s="1"/>
  <c r="K42" i="11"/>
  <c r="N42" i="11" s="1"/>
  <c r="J9" i="11"/>
  <c r="M9" i="11" s="1"/>
  <c r="J27" i="11"/>
  <c r="M27" i="11" s="1"/>
  <c r="J31" i="11"/>
  <c r="M31" i="11" s="1"/>
  <c r="Q31" i="11" s="1"/>
  <c r="J35" i="11"/>
  <c r="M35" i="11" s="1"/>
  <c r="J39" i="11"/>
  <c r="M39" i="11" s="1"/>
  <c r="J43" i="11"/>
  <c r="M43" i="11" s="1"/>
  <c r="J28" i="11"/>
  <c r="M28" i="11" s="1"/>
  <c r="Q28" i="11" s="1"/>
  <c r="J32" i="11"/>
  <c r="M32" i="11" s="1"/>
  <c r="J36" i="11"/>
  <c r="M36" i="11" s="1"/>
  <c r="J40" i="11"/>
  <c r="M40" i="11" s="1"/>
  <c r="J44" i="11"/>
  <c r="M44" i="11" s="1"/>
  <c r="Q44" i="11" s="1"/>
  <c r="J33" i="11"/>
  <c r="M33" i="11" s="1"/>
  <c r="J41" i="11"/>
  <c r="M41" i="11" s="1"/>
  <c r="J30" i="11"/>
  <c r="M30" i="11" s="1"/>
  <c r="Q30" i="11" s="1"/>
  <c r="J46" i="11"/>
  <c r="M46" i="11" s="1"/>
  <c r="Q46" i="11" s="1"/>
  <c r="J34" i="11"/>
  <c r="M34" i="11" s="1"/>
  <c r="J42" i="11"/>
  <c r="M42" i="11" s="1"/>
  <c r="J38" i="11"/>
  <c r="M38" i="11" s="1"/>
  <c r="J29" i="11"/>
  <c r="M29" i="11" s="1"/>
  <c r="Q29" i="11" s="1"/>
  <c r="J37" i="11"/>
  <c r="M37" i="11" s="1"/>
  <c r="Q37" i="11" s="1"/>
  <c r="J45" i="11"/>
  <c r="M45" i="11" s="1"/>
  <c r="Q45" i="11" s="1"/>
  <c r="I19" i="11"/>
  <c r="I27" i="11"/>
  <c r="L27" i="11" s="1"/>
  <c r="I31" i="11"/>
  <c r="L31" i="11" s="1"/>
  <c r="I35" i="11"/>
  <c r="L35" i="11" s="1"/>
  <c r="I39" i="11"/>
  <c r="L39" i="11" s="1"/>
  <c r="I43" i="11"/>
  <c r="L43" i="11" s="1"/>
  <c r="I28" i="11"/>
  <c r="L28" i="11" s="1"/>
  <c r="I32" i="11"/>
  <c r="L32" i="11" s="1"/>
  <c r="I36" i="11"/>
  <c r="L36" i="11" s="1"/>
  <c r="I40" i="11"/>
  <c r="L40" i="11" s="1"/>
  <c r="I44" i="11"/>
  <c r="L44" i="11" s="1"/>
  <c r="I29" i="11"/>
  <c r="L29" i="11" s="1"/>
  <c r="I37" i="11"/>
  <c r="L37" i="11" s="1"/>
  <c r="I45" i="11"/>
  <c r="L45" i="11" s="1"/>
  <c r="I30" i="11"/>
  <c r="L30" i="11" s="1"/>
  <c r="I38" i="11"/>
  <c r="L38" i="11" s="1"/>
  <c r="I46" i="11"/>
  <c r="L46" i="11" s="1"/>
  <c r="I34" i="11"/>
  <c r="L34" i="11" s="1"/>
  <c r="I33" i="11"/>
  <c r="L33" i="11" s="1"/>
  <c r="I41" i="11"/>
  <c r="L41" i="11" s="1"/>
  <c r="I42" i="11"/>
  <c r="L42" i="11" s="1"/>
  <c r="K15" i="11"/>
  <c r="N15" i="11" s="1"/>
  <c r="K11" i="11"/>
  <c r="N11" i="11" s="1"/>
  <c r="K17" i="11"/>
  <c r="N17" i="11" s="1"/>
  <c r="K22" i="11"/>
  <c r="N22" i="11" s="1"/>
  <c r="K18" i="11"/>
  <c r="N18" i="11" s="1"/>
  <c r="K10" i="11"/>
  <c r="N10" i="11" s="1"/>
  <c r="K8" i="11"/>
  <c r="N8" i="11" s="1"/>
  <c r="U23" i="11"/>
  <c r="D21" i="16" s="1"/>
  <c r="K21" i="11"/>
  <c r="N21" i="11" s="1"/>
  <c r="K16" i="11"/>
  <c r="N16" i="11" s="1"/>
  <c r="T21" i="11"/>
  <c r="C19" i="16" s="1"/>
  <c r="K13" i="11"/>
  <c r="N13" i="11" s="1"/>
  <c r="K26" i="11"/>
  <c r="N26" i="11" s="1"/>
  <c r="K25" i="11"/>
  <c r="N25" i="11" s="1"/>
  <c r="K24" i="11"/>
  <c r="N24" i="11" s="1"/>
  <c r="K9" i="11"/>
  <c r="N9" i="11" s="1"/>
  <c r="K12" i="11"/>
  <c r="N12" i="11" s="1"/>
  <c r="K19" i="11"/>
  <c r="N19" i="11" s="1"/>
  <c r="J15" i="11"/>
  <c r="M15" i="11" s="1"/>
  <c r="J8" i="11"/>
  <c r="M8" i="11" s="1"/>
  <c r="J14" i="11"/>
  <c r="M14" i="11" s="1"/>
  <c r="J20" i="11"/>
  <c r="M20" i="11" s="1"/>
  <c r="J21" i="11"/>
  <c r="M21" i="11" s="1"/>
  <c r="T13" i="11"/>
  <c r="C31" i="12" s="1"/>
  <c r="H48" i="12" s="1"/>
  <c r="J11" i="11"/>
  <c r="M11" i="11" s="1"/>
  <c r="J12" i="11"/>
  <c r="M12" i="11" s="1"/>
  <c r="J26" i="11"/>
  <c r="M26" i="11" s="1"/>
  <c r="J10" i="11"/>
  <c r="M10" i="11" s="1"/>
  <c r="J17" i="11"/>
  <c r="M17" i="11" s="1"/>
  <c r="J23" i="11"/>
  <c r="M23" i="11" s="1"/>
  <c r="J7" i="11"/>
  <c r="J22" i="11"/>
  <c r="M22" i="11" s="1"/>
  <c r="J13" i="11"/>
  <c r="M13" i="11" s="1"/>
  <c r="J16" i="11"/>
  <c r="M16" i="11" s="1"/>
  <c r="J19" i="11"/>
  <c r="M19" i="11" s="1"/>
  <c r="J18" i="11"/>
  <c r="M18" i="11" s="1"/>
  <c r="J24" i="11"/>
  <c r="M24" i="11" s="1"/>
  <c r="J25" i="11"/>
  <c r="M25" i="11" s="1"/>
  <c r="K20" i="11"/>
  <c r="N20" i="11" s="1"/>
  <c r="K14" i="11"/>
  <c r="N14" i="11" s="1"/>
  <c r="K23" i="11"/>
  <c r="N23" i="11" s="1"/>
  <c r="H49" i="11"/>
  <c r="B8" i="15"/>
  <c r="O8" i="15" s="1"/>
  <c r="O15" i="15" s="1"/>
  <c r="O22" i="15" s="1"/>
  <c r="O28" i="15" s="1"/>
  <c r="C15" i="15"/>
  <c r="C22" i="15"/>
  <c r="U13" i="11"/>
  <c r="H61" i="3"/>
  <c r="H63" i="3" s="1"/>
  <c r="F61" i="3"/>
  <c r="F63" i="3" s="1"/>
  <c r="S13" i="11"/>
  <c r="L9" i="11"/>
  <c r="L17" i="11"/>
  <c r="L25" i="11"/>
  <c r="L12" i="11"/>
  <c r="L20" i="11"/>
  <c r="L15" i="11"/>
  <c r="L10" i="11"/>
  <c r="L11" i="11"/>
  <c r="L19" i="11"/>
  <c r="L14" i="11"/>
  <c r="L22" i="11"/>
  <c r="L26" i="11"/>
  <c r="L13" i="11"/>
  <c r="L21" i="11"/>
  <c r="L8" i="11"/>
  <c r="L16" i="11"/>
  <c r="L24" i="11"/>
  <c r="L23" i="11"/>
  <c r="L18" i="11"/>
  <c r="G61" i="3"/>
  <c r="G63" i="3" s="1"/>
  <c r="Q34" i="11" l="1"/>
  <c r="Q33" i="11"/>
  <c r="Q42" i="11"/>
  <c r="Q36" i="11"/>
  <c r="Q39" i="11"/>
  <c r="O34" i="11"/>
  <c r="P34" i="11"/>
  <c r="O45" i="11"/>
  <c r="P45" i="11"/>
  <c r="P40" i="11"/>
  <c r="O40" i="11"/>
  <c r="P43" i="11"/>
  <c r="O43" i="11"/>
  <c r="P27" i="11"/>
  <c r="O27" i="11"/>
  <c r="O42" i="11"/>
  <c r="P42" i="11"/>
  <c r="P46" i="11"/>
  <c r="O46" i="11"/>
  <c r="O37" i="11"/>
  <c r="P37" i="11"/>
  <c r="P36" i="11"/>
  <c r="O36" i="11"/>
  <c r="P39" i="11"/>
  <c r="O39" i="11"/>
  <c r="Q38" i="11"/>
  <c r="Q40" i="11"/>
  <c r="Q43" i="11"/>
  <c r="Q27" i="11"/>
  <c r="P41" i="11"/>
  <c r="O41" i="11"/>
  <c r="P38" i="11"/>
  <c r="O38" i="11"/>
  <c r="O29" i="11"/>
  <c r="P29" i="11"/>
  <c r="P32" i="11"/>
  <c r="O32" i="11"/>
  <c r="P35" i="11"/>
  <c r="O35" i="11"/>
  <c r="Q41" i="11"/>
  <c r="P33" i="11"/>
  <c r="O33" i="11"/>
  <c r="O30" i="11"/>
  <c r="P30" i="11"/>
  <c r="P44" i="11"/>
  <c r="O44" i="11"/>
  <c r="P28" i="11"/>
  <c r="O28" i="11"/>
  <c r="P31" i="11"/>
  <c r="O31" i="11"/>
  <c r="Q32" i="11"/>
  <c r="Q35" i="11"/>
  <c r="E19" i="15"/>
  <c r="D12" i="15"/>
  <c r="Q12" i="15" s="1"/>
  <c r="C10" i="15"/>
  <c r="P10" i="15" s="1"/>
  <c r="G49" i="11"/>
  <c r="D17" i="15"/>
  <c r="Q25" i="11"/>
  <c r="Q24" i="11"/>
  <c r="Q21" i="11"/>
  <c r="C12" i="16"/>
  <c r="J47" i="11"/>
  <c r="E31" i="12"/>
  <c r="H50" i="12" s="1"/>
  <c r="D12" i="16"/>
  <c r="B31" i="12"/>
  <c r="H46" i="12" s="1"/>
  <c r="B12" i="16"/>
  <c r="Q15" i="11"/>
  <c r="Q20" i="11"/>
  <c r="Q17" i="11"/>
  <c r="Q13" i="11"/>
  <c r="Q19" i="11"/>
  <c r="Q22" i="11"/>
  <c r="Q23" i="11"/>
  <c r="Q10" i="11"/>
  <c r="Q12" i="11"/>
  <c r="Q8" i="11"/>
  <c r="Q14" i="11"/>
  <c r="Q11" i="11"/>
  <c r="Q26" i="11"/>
  <c r="Q9" i="11"/>
  <c r="Q16" i="11"/>
  <c r="M7" i="11"/>
  <c r="M48" i="11" s="1"/>
  <c r="K48" i="11"/>
  <c r="K47" i="11"/>
  <c r="Q18" i="11"/>
  <c r="J48" i="11"/>
  <c r="P8" i="11"/>
  <c r="O8" i="11"/>
  <c r="P22" i="11"/>
  <c r="O22" i="11"/>
  <c r="P15" i="11"/>
  <c r="O15" i="11"/>
  <c r="O9" i="11"/>
  <c r="P9" i="11"/>
  <c r="O14" i="11"/>
  <c r="P14" i="11"/>
  <c r="O24" i="11"/>
  <c r="P24" i="11"/>
  <c r="P21" i="11"/>
  <c r="O21" i="11"/>
  <c r="I47" i="11"/>
  <c r="I48" i="11"/>
  <c r="L7" i="11"/>
  <c r="P25" i="11"/>
  <c r="O25" i="11"/>
  <c r="O23" i="11"/>
  <c r="P23" i="11"/>
  <c r="P26" i="11"/>
  <c r="O26" i="11"/>
  <c r="P19" i="11"/>
  <c r="O19" i="11"/>
  <c r="O12" i="11"/>
  <c r="P12" i="11"/>
  <c r="P11" i="11"/>
  <c r="O11" i="11"/>
  <c r="O18" i="11"/>
  <c r="P18" i="11"/>
  <c r="P16" i="11"/>
  <c r="O16" i="11"/>
  <c r="P13" i="11"/>
  <c r="O13" i="11"/>
  <c r="P10" i="11"/>
  <c r="O10" i="11"/>
  <c r="P20" i="11"/>
  <c r="O20" i="11"/>
  <c r="P17" i="11"/>
  <c r="O17" i="11"/>
  <c r="Q19" i="15" l="1"/>
  <c r="Q7" i="11"/>
  <c r="Q48" i="11" s="1"/>
  <c r="Q49" i="11" s="1"/>
  <c r="M47" i="11"/>
  <c r="P7" i="11"/>
  <c r="L47" i="11"/>
  <c r="O7" i="11"/>
  <c r="L48" i="11"/>
  <c r="Q47" i="11" l="1"/>
  <c r="P47" i="11"/>
  <c r="P48" i="11"/>
  <c r="P49" i="11" s="1"/>
  <c r="O48" i="11"/>
  <c r="O49" i="11" s="1"/>
  <c r="O47" i="11"/>
  <c r="U21" i="11"/>
  <c r="D19" i="16" s="1"/>
  <c r="T23" i="11"/>
  <c r="C21" i="16" s="1"/>
  <c r="D19" i="15" l="1"/>
  <c r="C12" i="15"/>
  <c r="P12" i="15" s="1"/>
  <c r="P19" i="15" s="1"/>
  <c r="D10" i="15"/>
  <c r="Q10" i="15" s="1"/>
  <c r="E17" i="15"/>
  <c r="T19" i="11"/>
  <c r="C17" i="16" s="1"/>
  <c r="S21" i="11"/>
  <c r="B19" i="16" s="1"/>
  <c r="S23" i="11"/>
  <c r="B21" i="16" s="1"/>
  <c r="U19" i="11"/>
  <c r="D17" i="16" s="1"/>
  <c r="C17" i="15" l="1"/>
  <c r="B10" i="15"/>
  <c r="O10" i="15" s="1"/>
  <c r="E22" i="15"/>
  <c r="D8" i="15"/>
  <c r="E15" i="15"/>
  <c r="C19" i="15"/>
  <c r="B12" i="15"/>
  <c r="O12" i="15" s="1"/>
  <c r="C8" i="15"/>
  <c r="P8" i="15" s="1"/>
  <c r="P15" i="15" s="1"/>
  <c r="D22" i="15"/>
  <c r="D15" i="15"/>
  <c r="H24" i="15" s="1"/>
  <c r="H31" i="15" s="1"/>
  <c r="C24" i="15" l="1"/>
  <c r="C31" i="15" s="1"/>
  <c r="D26" i="15"/>
  <c r="P26" i="15"/>
  <c r="Q8" i="15"/>
  <c r="O26" i="15" s="1"/>
  <c r="K30" i="15"/>
  <c r="G24" i="15"/>
  <c r="G31" i="15" s="1"/>
  <c r="I24" i="15"/>
  <c r="I31" i="15" s="1"/>
  <c r="D24" i="15"/>
  <c r="O17" i="15"/>
  <c r="O24" i="15" s="1"/>
  <c r="O30" i="15" s="1"/>
  <c r="P22" i="15"/>
  <c r="P28" i="15" s="1"/>
  <c r="P17" i="15"/>
  <c r="P24" i="15" s="1"/>
  <c r="P30" i="15" s="1"/>
  <c r="I26" i="15"/>
  <c r="E26" i="15"/>
  <c r="C26" i="15"/>
  <c r="G26" i="15"/>
  <c r="H26" i="15"/>
  <c r="E24" i="15"/>
  <c r="E31" i="15" s="1"/>
  <c r="O32" i="15" l="1"/>
  <c r="D31" i="15"/>
  <c r="H33" i="15"/>
  <c r="E33" i="15"/>
  <c r="D29" i="15"/>
  <c r="I33" i="15"/>
  <c r="I40" i="15" s="1"/>
  <c r="F47" i="15" s="1"/>
  <c r="F54" i="15" s="1"/>
  <c r="G29" i="15"/>
  <c r="G33" i="15"/>
  <c r="G40" i="15" s="1"/>
  <c r="D47" i="15" s="1"/>
  <c r="D54" i="15" s="1"/>
  <c r="I29" i="15"/>
  <c r="D33" i="15"/>
  <c r="D40" i="15" s="1"/>
  <c r="H29" i="15"/>
  <c r="E29" i="15"/>
  <c r="C29" i="15"/>
  <c r="C33" i="15"/>
  <c r="C40" i="15" s="1"/>
  <c r="Q15" i="15"/>
  <c r="Q26" i="15"/>
  <c r="P32" i="15"/>
  <c r="I36" i="15" l="1"/>
  <c r="F43" i="15" s="1"/>
  <c r="F50" i="15" s="1"/>
  <c r="G38" i="15"/>
  <c r="D45" i="15" s="1"/>
  <c r="D52" i="15" s="1"/>
  <c r="H36" i="15"/>
  <c r="E43" i="15" s="1"/>
  <c r="E50" i="15" s="1"/>
  <c r="C36" i="15"/>
  <c r="Q22" i="15"/>
  <c r="Q28" i="15" s="1"/>
  <c r="Q17" i="15"/>
  <c r="Q24" i="15" s="1"/>
  <c r="Q30" i="15" s="1"/>
  <c r="H40" i="15"/>
  <c r="E47" i="15" s="1"/>
  <c r="E54" i="15" s="1"/>
  <c r="D36" i="15"/>
  <c r="C38" i="15"/>
  <c r="G36" i="15"/>
  <c r="D43" i="15" s="1"/>
  <c r="D50" i="15" s="1"/>
  <c r="H38" i="15"/>
  <c r="E45" i="15" s="1"/>
  <c r="E52" i="15" s="1"/>
  <c r="D38" i="15"/>
  <c r="E36" i="15"/>
  <c r="E40" i="15"/>
  <c r="I38" i="15"/>
  <c r="F45" i="15" s="1"/>
  <c r="F52" i="15" s="1"/>
  <c r="E38" i="15"/>
  <c r="Q32" i="15" l="1"/>
  <c r="O36" i="15" s="1"/>
  <c r="Q38" i="15" s="1"/>
  <c r="K47" i="15" s="1"/>
  <c r="I51" i="15" s="1"/>
  <c r="F60" i="15" s="1"/>
  <c r="I33" i="12" s="1"/>
  <c r="D58" i="15" l="1"/>
  <c r="G31" i="12" s="1"/>
  <c r="E60" i="15"/>
  <c r="H33" i="12" s="1"/>
  <c r="D60" i="15"/>
  <c r="G33" i="12" s="1"/>
  <c r="D62" i="15"/>
  <c r="G35" i="12" s="1"/>
  <c r="F62" i="15"/>
  <c r="I35" i="12" s="1"/>
  <c r="F58" i="15"/>
  <c r="I31" i="12" s="1"/>
  <c r="E62" i="15"/>
  <c r="H35" i="12" s="1"/>
  <c r="E58" i="15"/>
  <c r="H31" i="12" s="1"/>
  <c r="C45" i="12" l="1"/>
  <c r="F48" i="12" s="1"/>
  <c r="C42" i="12"/>
  <c r="E48" i="12" s="1"/>
  <c r="C39" i="12"/>
  <c r="C48" i="12" s="1"/>
  <c r="C55" i="12" l="1"/>
  <c r="C59" i="12" s="1"/>
  <c r="B65" i="12" s="1"/>
  <c r="B31" i="16" s="1"/>
  <c r="C26" i="16" l="1"/>
</calcChain>
</file>

<file path=xl/sharedStrings.xml><?xml version="1.0" encoding="utf-8"?>
<sst xmlns="http://schemas.openxmlformats.org/spreadsheetml/2006/main" count="1884" uniqueCount="158">
  <si>
    <t>RA</t>
  </si>
  <si>
    <t>RB</t>
  </si>
  <si>
    <t>System</t>
  </si>
  <si>
    <t>Outliers are detected by the Cochran's Outlier Test</t>
  </si>
  <si>
    <t>Set no</t>
  </si>
  <si>
    <t xml:space="preserve"> System</t>
  </si>
  <si>
    <t>% Total Moisture</t>
  </si>
  <si>
    <t xml:space="preserve">% ASH </t>
  </si>
  <si>
    <t>CV Mj/Kg</t>
  </si>
  <si>
    <t>Set No</t>
  </si>
  <si>
    <t>System- RA</t>
  </si>
  <si>
    <t>System-RB</t>
  </si>
  <si>
    <t>% Moisture</t>
  </si>
  <si>
    <r>
      <t>Cochran's criterion C =  d</t>
    </r>
    <r>
      <rPr>
        <vertAlign val="superscript"/>
        <sz val="11"/>
        <color theme="1"/>
        <rFont val="Calibri"/>
        <family val="2"/>
        <scheme val="minor"/>
      </rPr>
      <t>2</t>
    </r>
    <r>
      <rPr>
        <vertAlign val="subscript"/>
        <sz val="11"/>
        <color theme="1"/>
        <rFont val="Calibri"/>
        <family val="2"/>
        <scheme val="minor"/>
      </rPr>
      <t>max</t>
    </r>
  </si>
  <si>
    <r>
      <rPr>
        <sz val="11"/>
        <color theme="1"/>
        <rFont val="Calibri"/>
        <family val="2"/>
      </rPr>
      <t>∑ d</t>
    </r>
    <r>
      <rPr>
        <vertAlign val="superscript"/>
        <sz val="11"/>
        <color theme="1"/>
        <rFont val="Calibri"/>
        <family val="2"/>
      </rPr>
      <t>2</t>
    </r>
  </si>
  <si>
    <r>
      <t>Where d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 xml:space="preserve"> is the highest absolute value in the set of differences;</t>
    </r>
  </si>
  <si>
    <t>is the sum of the difference between sets squared</t>
  </si>
  <si>
    <t>ABSOLUTE DIFFERENCES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</si>
  <si>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max</t>
    </r>
  </si>
  <si>
    <r>
      <t xml:space="preserve">  d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max</t>
    </r>
  </si>
  <si>
    <r>
      <t>Ratio d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</t>
    </r>
    <r>
      <rPr>
        <b/>
        <vertAlign val="subscript"/>
        <sz val="11"/>
        <color theme="1"/>
        <rFont val="Calibri"/>
        <family val="2"/>
      </rPr>
      <t>max</t>
    </r>
    <r>
      <rPr>
        <b/>
        <sz val="11"/>
        <color theme="1"/>
        <rFont val="Calibri"/>
        <family val="2"/>
      </rPr>
      <t xml:space="preserve"> / ∑ d</t>
    </r>
    <r>
      <rPr>
        <b/>
        <vertAlign val="superscript"/>
        <sz val="11"/>
        <color theme="1"/>
        <rFont val="Calibri"/>
        <family val="2"/>
      </rPr>
      <t>2</t>
    </r>
  </si>
  <si>
    <t>C (Tables at n=30)</t>
  </si>
  <si>
    <t>Status</t>
  </si>
  <si>
    <t>***</t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</si>
  <si>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ma    </t>
    </r>
    <r>
      <rPr>
        <sz val="11"/>
        <color theme="1"/>
        <rFont val="Calibri"/>
        <family val="2"/>
        <scheme val="minor"/>
      </rPr>
      <t xml:space="preserve">= </t>
    </r>
  </si>
  <si>
    <t>n-1</t>
  </si>
  <si>
    <r>
      <t>∑(d</t>
    </r>
    <r>
      <rPr>
        <vertAlign val="subscript"/>
        <sz val="18"/>
        <color theme="1"/>
        <rFont val="Calibri"/>
        <family val="2"/>
      </rPr>
      <t>mi</t>
    </r>
    <r>
      <rPr>
        <sz val="18"/>
        <color theme="1"/>
        <rFont val="Calibri"/>
        <family val="2"/>
      </rPr>
      <t>-d̄</t>
    </r>
    <r>
      <rPr>
        <vertAlign val="subscript"/>
        <sz val="18"/>
        <color theme="1"/>
        <rFont val="Calibri"/>
        <family val="2"/>
      </rPr>
      <t>m</t>
    </r>
    <r>
      <rPr>
        <sz val="18"/>
        <color theme="1"/>
        <rFont val="Calibri"/>
        <family val="2"/>
      </rPr>
      <t>)(d</t>
    </r>
    <r>
      <rPr>
        <vertAlign val="subscript"/>
        <sz val="18"/>
        <color theme="1"/>
        <rFont val="Calibri"/>
        <family val="2"/>
      </rPr>
      <t>ai</t>
    </r>
    <r>
      <rPr>
        <sz val="18"/>
        <color theme="1"/>
        <rFont val="Calibri"/>
        <family val="2"/>
      </rPr>
      <t>-d̄</t>
    </r>
    <r>
      <rPr>
        <vertAlign val="subscript"/>
        <sz val="18"/>
        <color theme="1"/>
        <rFont val="Calibri"/>
        <family val="2"/>
      </rPr>
      <t xml:space="preserve">a </t>
    </r>
    <r>
      <rPr>
        <sz val="18"/>
        <color theme="1"/>
        <rFont val="Calibri"/>
        <family val="2"/>
      </rPr>
      <t>)</t>
    </r>
  </si>
  <si>
    <t>i=1</t>
  </si>
  <si>
    <t>ASH</t>
  </si>
  <si>
    <t>Total Mass</t>
  </si>
  <si>
    <t>RA Mass</t>
  </si>
  <si>
    <t>RB Mass</t>
  </si>
  <si>
    <t>TM Wt Ave</t>
  </si>
  <si>
    <t>ASH Wt Ave</t>
  </si>
  <si>
    <t>CV Wt Ave</t>
  </si>
  <si>
    <t>PARAMETERS</t>
  </si>
  <si>
    <t>MASSES</t>
  </si>
  <si>
    <t>Mass(Kg)</t>
  </si>
  <si>
    <t>SYSTEM</t>
  </si>
  <si>
    <t>REFERENCES</t>
  </si>
  <si>
    <t>TM</t>
  </si>
  <si>
    <t>CV</t>
  </si>
  <si>
    <t>Variance(V)</t>
  </si>
  <si>
    <r>
      <t>d</t>
    </r>
    <r>
      <rPr>
        <b/>
        <sz val="11"/>
        <color theme="1"/>
        <rFont val="Calibri"/>
        <family val="2"/>
      </rPr>
      <t>̄</t>
    </r>
  </si>
  <si>
    <t>% DB Ash</t>
  </si>
  <si>
    <t>DB- CV Mj/Kg</t>
  </si>
  <si>
    <r>
      <t>d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</si>
  <si>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****</t>
  </si>
  <si>
    <t>COVARIANCES</t>
  </si>
  <si>
    <t xml:space="preserve"> = Moisture and Ash Covariance</t>
  </si>
  <si>
    <r>
      <t>Where V</t>
    </r>
    <r>
      <rPr>
        <b/>
        <vertAlign val="subscript"/>
        <sz val="11"/>
        <color theme="1"/>
        <rFont val="Calibri"/>
        <family val="2"/>
        <scheme val="minor"/>
      </rPr>
      <t>ma</t>
    </r>
  </si>
  <si>
    <t>Moisture- Cv Vmcv</t>
  </si>
  <si>
    <r>
      <t>Moisture-Ash V</t>
    </r>
    <r>
      <rPr>
        <b/>
        <vertAlign val="subscript"/>
        <sz val="11"/>
        <color theme="1"/>
        <rFont val="Calibri"/>
        <family val="2"/>
        <scheme val="minor"/>
      </rPr>
      <t>ma</t>
    </r>
  </si>
  <si>
    <r>
      <t>Cv- Ash( V</t>
    </r>
    <r>
      <rPr>
        <b/>
        <vertAlign val="subscript"/>
        <sz val="11"/>
        <color theme="1"/>
        <rFont val="Calibri"/>
        <family val="2"/>
        <scheme val="minor"/>
      </rPr>
      <t>acv</t>
    </r>
    <r>
      <rPr>
        <b/>
        <sz val="11"/>
        <color theme="1"/>
        <rFont val="Calibri"/>
        <family val="2"/>
        <scheme val="minor"/>
      </rPr>
      <t>)</t>
    </r>
  </si>
  <si>
    <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a</t>
    </r>
  </si>
  <si>
    <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cv</t>
    </r>
  </si>
  <si>
    <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m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</si>
  <si>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m-</t>
    </r>
    <r>
      <rPr>
        <b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m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</si>
  <si>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a-</t>
    </r>
    <r>
      <rPr>
        <b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a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</si>
  <si>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cv-</t>
    </r>
    <r>
      <rPr>
        <b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</rPr>
      <t>̄</t>
    </r>
    <r>
      <rPr>
        <b/>
        <vertAlign val="subscript"/>
        <sz val="11"/>
        <color theme="1"/>
        <rFont val="Calibri"/>
        <family val="2"/>
      </rPr>
      <t>cv</t>
    </r>
  </si>
  <si>
    <r>
      <t xml:space="preserve"> (d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)(d</t>
    </r>
    <r>
      <rPr>
        <b/>
        <vertAlign val="subscript"/>
        <sz val="11"/>
        <color theme="1"/>
        <rFont val="Calibri"/>
        <family val="2"/>
        <scheme val="minor"/>
      </rPr>
      <t>ai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)</t>
    </r>
  </si>
  <si>
    <r>
      <t xml:space="preserve"> (d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)(d</t>
    </r>
    <r>
      <rPr>
        <b/>
        <vertAlign val="subscript"/>
        <sz val="11"/>
        <color theme="1"/>
        <rFont val="Calibri"/>
        <family val="2"/>
        <scheme val="minor"/>
      </rPr>
      <t>cv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cv</t>
    </r>
    <r>
      <rPr>
        <b/>
        <sz val="11"/>
        <color theme="1"/>
        <rFont val="Calibri"/>
        <family val="2"/>
        <scheme val="minor"/>
      </rPr>
      <t>)</t>
    </r>
  </si>
  <si>
    <r>
      <t xml:space="preserve"> (d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)(d</t>
    </r>
    <r>
      <rPr>
        <b/>
        <vertAlign val="subscript"/>
        <sz val="11"/>
        <color theme="1"/>
        <rFont val="Calibri"/>
        <family val="2"/>
        <scheme val="minor"/>
      </rPr>
      <t>cv</t>
    </r>
    <r>
      <rPr>
        <b/>
        <sz val="11"/>
        <color theme="1"/>
        <rFont val="Calibri"/>
        <family val="2"/>
        <scheme val="minor"/>
      </rPr>
      <t xml:space="preserve"> -d̄</t>
    </r>
    <r>
      <rPr>
        <b/>
        <vertAlign val="subscript"/>
        <sz val="11"/>
        <color theme="1"/>
        <rFont val="Calibri"/>
        <family val="2"/>
        <scheme val="minor"/>
      </rPr>
      <t>cv</t>
    </r>
    <r>
      <rPr>
        <b/>
        <sz val="11"/>
        <color theme="1"/>
        <rFont val="Calibri"/>
        <family val="2"/>
        <scheme val="minor"/>
      </rPr>
      <t>)</t>
    </r>
  </si>
  <si>
    <t>Covariances</t>
  </si>
  <si>
    <t xml:space="preserve">n= </t>
  </si>
  <si>
    <t>n-1 =</t>
  </si>
  <si>
    <t>Sum</t>
  </si>
  <si>
    <t>Average</t>
  </si>
  <si>
    <t>REPRESENTATION IN MATRIX FORM</t>
  </si>
  <si>
    <t>SAMPLE DIFFERENCES</t>
  </si>
  <si>
    <t xml:space="preserve">S= </t>
  </si>
  <si>
    <t>FORMULAE</t>
  </si>
  <si>
    <r>
      <t xml:space="preserve">HOTELLING'S T 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</si>
  <si>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 xml:space="preserve"> =</t>
    </r>
  </si>
  <si>
    <t>TOTAL MOISTURE</t>
  </si>
  <si>
    <t>CALORIFIC VALUE</t>
  </si>
  <si>
    <t>BIAS TESTING EVALUATION GUIDELINES &amp; PREVIEW</t>
  </si>
  <si>
    <t>ENTER data in the Raw Data Sheet/Tab</t>
  </si>
  <si>
    <t>C Criterion for the Cochran will be calculated</t>
  </si>
  <si>
    <t>The weighted average for the references will be calculated</t>
  </si>
  <si>
    <t>Go to the sample Difference and Covariance sheet. The Sample differences, variance and covariance will be represented in both Algebric and Matrix Form</t>
  </si>
  <si>
    <r>
      <t>Go to the Hotelling's T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, the Tcal will be calculated</t>
    </r>
  </si>
  <si>
    <t>Use Statistical Tables to get the Tcritical at p=i. Where i is the number of parameters compare. If analysis is done on CV, TM and Ash, p=3</t>
  </si>
  <si>
    <t>If Tcal &gt; Tcrit the System has failed and if Tcal&lt; Tcrit; the Systemhas passed.</t>
  </si>
  <si>
    <t>RAW DATA</t>
  </si>
  <si>
    <r>
      <t>nd</t>
    </r>
    <r>
      <rPr>
        <sz val="11"/>
        <color theme="1"/>
        <rFont val="Calibri"/>
        <family val="2"/>
      </rPr>
      <t>̄'S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d̄</t>
    </r>
  </si>
  <si>
    <t>where</t>
  </si>
  <si>
    <t>n= Number of sets</t>
  </si>
  <si>
    <r>
      <t>S</t>
    </r>
    <r>
      <rPr>
        <vertAlign val="superscript"/>
        <sz val="11"/>
        <color theme="1"/>
        <rFont val="Calibri"/>
        <family val="2"/>
        <scheme val="minor"/>
      </rPr>
      <t xml:space="preserve">-1 </t>
    </r>
    <r>
      <rPr>
        <sz val="11"/>
        <color theme="1"/>
        <rFont val="Calibri"/>
        <family val="2"/>
        <scheme val="minor"/>
      </rPr>
      <t>=is the inverse of the covariance matix</t>
    </r>
  </si>
  <si>
    <r>
      <t>d</t>
    </r>
    <r>
      <rPr>
        <sz val="11"/>
        <color theme="1"/>
        <rFont val="Calibri"/>
        <family val="2"/>
      </rPr>
      <t xml:space="preserve">̄ </t>
    </r>
    <r>
      <rPr>
        <sz val="10.55"/>
        <color theme="1"/>
        <rFont val="Calibri"/>
        <family val="2"/>
      </rPr>
      <t>=mean diffferences</t>
    </r>
  </si>
  <si>
    <r>
      <t>d</t>
    </r>
    <r>
      <rPr>
        <sz val="11"/>
        <color theme="1"/>
        <rFont val="Calibri"/>
        <family val="2"/>
      </rPr>
      <t>̄'</t>
    </r>
    <r>
      <rPr>
        <sz val="10.55"/>
        <color theme="1"/>
        <rFont val="Calibri"/>
        <family val="2"/>
      </rPr>
      <t xml:space="preserve"> = Transpose of the mean difference</t>
    </r>
  </si>
  <si>
    <r>
      <t>Calculation of the transpose of the mean difference d</t>
    </r>
    <r>
      <rPr>
        <b/>
        <sz val="11"/>
        <color theme="1"/>
        <rFont val="Calibri"/>
        <family val="2"/>
      </rPr>
      <t>̄</t>
    </r>
    <r>
      <rPr>
        <b/>
        <vertAlign val="superscript"/>
        <sz val="10.55"/>
        <color theme="1"/>
        <rFont val="Calibri"/>
        <family val="2"/>
      </rPr>
      <t>'</t>
    </r>
  </si>
  <si>
    <r>
      <t>d</t>
    </r>
    <r>
      <rPr>
        <sz val="11"/>
        <color theme="1"/>
        <rFont val="Calibri"/>
        <family val="2"/>
      </rPr>
      <t>̄ =</t>
    </r>
  </si>
  <si>
    <r>
      <t>d̄</t>
    </r>
    <r>
      <rPr>
        <vertAlign val="subscript"/>
        <sz val="11"/>
        <color theme="1"/>
        <rFont val="Calibri"/>
        <family val="2"/>
        <scheme val="minor"/>
      </rPr>
      <t>m</t>
    </r>
  </si>
  <si>
    <r>
      <t>d</t>
    </r>
    <r>
      <rPr>
        <sz val="11"/>
        <color theme="1"/>
        <rFont val="Calibri"/>
        <family val="2"/>
      </rPr>
      <t>̄</t>
    </r>
    <r>
      <rPr>
        <vertAlign val="subscript"/>
        <sz val="11"/>
        <color theme="1"/>
        <rFont val="Calibri"/>
        <family val="2"/>
        <scheme val="minor"/>
      </rPr>
      <t>a</t>
    </r>
  </si>
  <si>
    <t xml:space="preserve"> d̄' =</t>
  </si>
  <si>
    <t>d̄cv</t>
  </si>
  <si>
    <r>
      <t>d̄</t>
    </r>
    <r>
      <rPr>
        <vertAlign val="subscript"/>
        <sz val="11"/>
        <color theme="1"/>
        <rFont val="Calibri"/>
        <family val="2"/>
        <scheme val="minor"/>
      </rPr>
      <t xml:space="preserve">m  </t>
    </r>
    <r>
      <rPr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</rPr>
      <t>̄</t>
    </r>
    <r>
      <rPr>
        <vertAlign val="subscript"/>
        <sz val="10.55"/>
        <color theme="1"/>
        <rFont val="Calibri"/>
        <family val="2"/>
      </rPr>
      <t xml:space="preserve">a  </t>
    </r>
    <r>
      <rPr>
        <sz val="10.55"/>
        <color theme="1"/>
        <rFont val="Calibri"/>
        <family val="2"/>
      </rPr>
      <t xml:space="preserve"> d̄cv</t>
    </r>
  </si>
  <si>
    <t>Determinant =</t>
  </si>
  <si>
    <t>Sample Covariance Matrix Inverse Calculation-Montante Method</t>
  </si>
  <si>
    <t>S=</t>
  </si>
  <si>
    <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</si>
  <si>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t>x</t>
  </si>
  <si>
    <t>1/Determinant</t>
  </si>
  <si>
    <t>=</t>
  </si>
  <si>
    <t>X</t>
  </si>
  <si>
    <t>Determinant Calculation</t>
  </si>
  <si>
    <t>Elimination of Elements in the First Column</t>
  </si>
  <si>
    <t>Eliminations of the 2nd Column under the 2nd Element</t>
  </si>
  <si>
    <t>Multiplication of Main Diagonal Elements</t>
  </si>
  <si>
    <t xml:space="preserve">Determinant </t>
  </si>
  <si>
    <t>d̄'S-1</t>
  </si>
  <si>
    <t>C11 =</t>
  </si>
  <si>
    <t>C12=</t>
  </si>
  <si>
    <t>C13</t>
  </si>
  <si>
    <r>
      <t>T</t>
    </r>
    <r>
      <rPr>
        <b/>
        <vertAlign val="super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=</t>
    </r>
  </si>
  <si>
    <r>
      <t>T</t>
    </r>
    <r>
      <rPr>
        <b/>
        <vertAlign val="superscript"/>
        <sz val="11"/>
        <color theme="1"/>
        <rFont val="Calibri"/>
        <family val="2"/>
        <scheme val="minor"/>
      </rPr>
      <t>2  cal</t>
    </r>
    <r>
      <rPr>
        <b/>
        <sz val="11"/>
        <color theme="1"/>
        <rFont val="Calibri"/>
        <family val="2"/>
        <scheme val="minor"/>
      </rPr>
      <t>=</t>
    </r>
  </si>
  <si>
    <t>CONCLUSION</t>
  </si>
  <si>
    <t>BIAS TESTING STATISTICAL EVALUATION SUMMARY</t>
  </si>
  <si>
    <t>Mean Difference Vector</t>
  </si>
  <si>
    <t>Sample Co-Variance Matrix</t>
  </si>
  <si>
    <r>
      <t>Hotelling's T</t>
    </r>
    <r>
      <rPr>
        <b/>
        <vertAlign val="super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Test</t>
    </r>
  </si>
  <si>
    <r>
      <t xml:space="preserve"> T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</t>
    </r>
  </si>
  <si>
    <t>MIN</t>
  </si>
  <si>
    <t>MAX</t>
  </si>
  <si>
    <t>RANGE</t>
  </si>
  <si>
    <t xml:space="preserve"> AXIS RANGES</t>
  </si>
  <si>
    <t>Test Report No: 2014001</t>
  </si>
  <si>
    <t>As Received</t>
  </si>
  <si>
    <t>Air-Dry Basis</t>
  </si>
  <si>
    <t>Dry Basis Results</t>
  </si>
  <si>
    <t>comments</t>
  </si>
  <si>
    <t>LIMS NO.</t>
  </si>
  <si>
    <t>Sample Mass</t>
  </si>
  <si>
    <t>Total</t>
  </si>
  <si>
    <t>Moisture in analysis sample %</t>
  </si>
  <si>
    <t>Ash</t>
  </si>
  <si>
    <t>Volatile</t>
  </si>
  <si>
    <t>Fixed</t>
  </si>
  <si>
    <t>Calorific</t>
  </si>
  <si>
    <t>Phos</t>
  </si>
  <si>
    <t>H2O</t>
  </si>
  <si>
    <t>Matter</t>
  </si>
  <si>
    <t>carbon</t>
  </si>
  <si>
    <t>Value</t>
  </si>
  <si>
    <t>sulphur</t>
  </si>
  <si>
    <t>in Coal</t>
  </si>
  <si>
    <t>Date of Testing</t>
  </si>
  <si>
    <t>Client's Ref</t>
  </si>
  <si>
    <t>%</t>
  </si>
  <si>
    <t>MJ/kg</t>
  </si>
  <si>
    <t>By</t>
  </si>
  <si>
    <t>Kg</t>
  </si>
  <si>
    <t>Difference</t>
  </si>
  <si>
    <t>09/12/2021</t>
  </si>
  <si>
    <t>AVERAGE</t>
  </si>
  <si>
    <t>CONTRACT NO</t>
  </si>
  <si>
    <t>27/24-1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</si>
</sst>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0.000"/>
    <numFmt numFmtId="166" formatCode="0.00000"/>
    <numFmt numFmtId="167" formatCode="0.00000000000"/>
    <numFmt numFmtId="168" formatCode="0.000000000"/>
    <numFmt numFmtId="169" formatCode="0.000000000000000000"/>
    <numFmt numFmtId="170" formatCode="0.00000000"/>
    <numFmt numFmtId="171" formatCode="0.0000000000"/>
    <numFmt numFmtId="172" formatCode="0.0000"/>
    <numFmt numFmtId="173" formatCode="0.000000"/>
    <numFmt numFmtId="174" formatCode="dd/mm/yyyy\ h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sz val="10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Calibri"/>
      <family val="2"/>
    </font>
    <font>
      <sz val="18"/>
      <color theme="1"/>
      <name val="Calibri"/>
      <family val="2"/>
      <scheme val="minor"/>
    </font>
    <font>
      <vertAlign val="subscript"/>
      <sz val="18"/>
      <color theme="1"/>
      <name val="Calibri"/>
      <family val="2"/>
    </font>
    <font>
      <sz val="10.55"/>
      <color theme="1"/>
      <name val="Calibri"/>
      <family val="2"/>
    </font>
    <font>
      <b/>
      <vertAlign val="superscript"/>
      <sz val="10.55"/>
      <color theme="1"/>
      <name val="Calibri"/>
      <family val="2"/>
    </font>
    <font>
      <vertAlign val="subscript"/>
      <sz val="10.55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B5B5B5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00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49">
    <xf numFmtId="0" fontId="0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0" borderId="0"/>
    <xf numFmtId="0" fontId="21" fillId="0" borderId="0"/>
    <xf numFmtId="0" fontId="6" fillId="0" borderId="0"/>
    <xf numFmtId="0" fontId="6" fillId="0" borderId="0"/>
    <xf numFmtId="0" fontId="24" fillId="0" borderId="0"/>
    <xf numFmtId="0" fontId="25" fillId="0" borderId="0"/>
    <xf numFmtId="0" fontId="6" fillId="0" borderId="0"/>
  </cellStyleXfs>
  <cellXfs count="377">
    <xf numFmtId="0" fontId="0" fillId="0" borderId="0" xfId="0"/>
    <xf numFmtId="0" fontId="2" fillId="0" borderId="0" xfId="0" applyFont="1"/>
    <xf numFmtId="2" fontId="6" fillId="0" borderId="1" xfId="0" applyNumberFormat="1" applyFon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3" xfId="0" applyBorder="1"/>
    <xf numFmtId="2" fontId="6" fillId="0" borderId="15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/>
    </xf>
    <xf numFmtId="0" fontId="0" fillId="0" borderId="14" xfId="0" applyBorder="1"/>
    <xf numFmtId="0" fontId="0" fillId="0" borderId="4" xfId="0" applyBorder="1"/>
    <xf numFmtId="0" fontId="1" fillId="0" borderId="0" xfId="0" applyFont="1"/>
    <xf numFmtId="0" fontId="1" fillId="0" borderId="4" xfId="0" applyFont="1" applyBorder="1"/>
    <xf numFmtId="0" fontId="1" fillId="0" borderId="18" xfId="0" applyFont="1" applyBorder="1"/>
    <xf numFmtId="0" fontId="1" fillId="0" borderId="14" xfId="0" applyFont="1" applyBorder="1"/>
    <xf numFmtId="0" fontId="0" fillId="0" borderId="22" xfId="0" applyBorder="1"/>
    <xf numFmtId="2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1" fillId="0" borderId="14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2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14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18" xfId="0" applyBorder="1"/>
    <xf numFmtId="165" fontId="0" fillId="0" borderId="0" xfId="0" applyNumberFormat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0" borderId="17" xfId="0" applyFont="1" applyBorder="1"/>
    <xf numFmtId="2" fontId="0" fillId="0" borderId="5" xfId="0" applyNumberForma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2" fontId="1" fillId="3" borderId="14" xfId="0" applyNumberFormat="1" applyFont="1" applyFill="1" applyBorder="1" applyAlignment="1">
      <alignment horizontal="center"/>
    </xf>
    <xf numFmtId="2" fontId="1" fillId="3" borderId="4" xfId="0" applyNumberFormat="1" applyFont="1" applyFill="1" applyBorder="1" applyAlignment="1">
      <alignment horizontal="center"/>
    </xf>
    <xf numFmtId="2" fontId="1" fillId="3" borderId="9" xfId="0" applyNumberFormat="1" applyFont="1" applyFill="1" applyBorder="1" applyAlignment="1">
      <alignment horizontal="center"/>
    </xf>
    <xf numFmtId="2" fontId="1" fillId="3" borderId="11" xfId="0" applyNumberFormat="1" applyFont="1" applyFill="1" applyBorder="1" applyAlignment="1">
      <alignment horizontal="center"/>
    </xf>
    <xf numFmtId="165" fontId="1" fillId="3" borderId="5" xfId="0" applyNumberFormat="1" applyFont="1" applyFill="1" applyBorder="1" applyAlignment="1">
      <alignment horizontal="center"/>
    </xf>
    <xf numFmtId="165" fontId="1" fillId="3" borderId="10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4" borderId="0" xfId="0" applyFill="1" applyAlignment="1">
      <alignment horizontal="center"/>
    </xf>
    <xf numFmtId="165" fontId="1" fillId="2" borderId="14" xfId="0" applyNumberFormat="1" applyFont="1" applyFill="1" applyBorder="1" applyAlignment="1">
      <alignment horizontal="center"/>
    </xf>
    <xf numFmtId="165" fontId="1" fillId="2" borderId="4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5" fontId="0" fillId="0" borderId="6" xfId="0" applyNumberFormat="1" applyBorder="1"/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165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left"/>
    </xf>
    <xf numFmtId="165" fontId="0" fillId="2" borderId="7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0" xfId="0" applyFont="1" applyFill="1"/>
    <xf numFmtId="0" fontId="1" fillId="2" borderId="0" xfId="0" applyFont="1" applyFill="1"/>
    <xf numFmtId="0" fontId="0" fillId="2" borderId="8" xfId="0" applyFill="1" applyBorder="1"/>
    <xf numFmtId="0" fontId="0" fillId="2" borderId="13" xfId="0" applyFill="1" applyBorder="1"/>
    <xf numFmtId="0" fontId="0" fillId="2" borderId="9" xfId="0" applyFill="1" applyBorder="1"/>
    <xf numFmtId="0" fontId="0" fillId="0" borderId="12" xfId="0" applyBorder="1"/>
    <xf numFmtId="0" fontId="0" fillId="0" borderId="0" xfId="0" applyProtection="1">
      <protection locked="0"/>
    </xf>
    <xf numFmtId="0" fontId="0" fillId="0" borderId="13" xfId="0" applyBorder="1" applyProtection="1">
      <protection locked="0"/>
    </xf>
    <xf numFmtId="0" fontId="1" fillId="0" borderId="14" xfId="0" applyFont="1" applyBorder="1" applyAlignment="1" applyProtection="1">
      <alignment horizontal="center"/>
      <protection locked="0"/>
    </xf>
    <xf numFmtId="165" fontId="0" fillId="0" borderId="0" xfId="0" applyNumberFormat="1"/>
    <xf numFmtId="2" fontId="6" fillId="0" borderId="1" xfId="1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166" fontId="0" fillId="0" borderId="0" xfId="0" applyNumberFormat="1"/>
    <xf numFmtId="166" fontId="1" fillId="0" borderId="14" xfId="0" applyNumberFormat="1" applyFon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21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1" fillId="2" borderId="4" xfId="0" applyNumberFormat="1" applyFont="1" applyFill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7" fontId="0" fillId="0" borderId="0" xfId="0" applyNumberFormat="1"/>
    <xf numFmtId="0" fontId="22" fillId="0" borderId="0" xfId="0" applyFont="1"/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1" fillId="0" borderId="0" xfId="0" applyNumberFormat="1" applyFont="1"/>
    <xf numFmtId="170" fontId="0" fillId="0" borderId="0" xfId="0" applyNumberFormat="1"/>
    <xf numFmtId="0" fontId="0" fillId="0" borderId="0" xfId="0" applyAlignment="1">
      <alignment horizontal="left"/>
    </xf>
    <xf numFmtId="171" fontId="0" fillId="0" borderId="0" xfId="0" applyNumberFormat="1"/>
    <xf numFmtId="2" fontId="6" fillId="0" borderId="2" xfId="1" applyNumberFormat="1" applyFont="1" applyBorder="1" applyAlignment="1">
      <alignment horizontal="center" wrapText="1"/>
    </xf>
    <xf numFmtId="2" fontId="0" fillId="0" borderId="7" xfId="0" applyNumberFormat="1" applyBorder="1" applyAlignment="1" applyProtection="1">
      <alignment horizontal="center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center"/>
      <protection locked="0"/>
    </xf>
    <xf numFmtId="2" fontId="0" fillId="0" borderId="3" xfId="0" applyNumberFormat="1" applyBorder="1" applyAlignment="1" applyProtection="1">
      <alignment horizontal="center"/>
      <protection locked="0"/>
    </xf>
    <xf numFmtId="2" fontId="6" fillId="3" borderId="1" xfId="0" applyNumberFormat="1" applyFont="1" applyFill="1" applyBorder="1" applyAlignment="1">
      <alignment horizontal="center" wrapText="1"/>
    </xf>
    <xf numFmtId="2" fontId="6" fillId="3" borderId="24" xfId="0" applyNumberFormat="1" applyFont="1" applyFill="1" applyBorder="1" applyAlignment="1">
      <alignment horizontal="center" wrapText="1"/>
    </xf>
    <xf numFmtId="2" fontId="6" fillId="3" borderId="1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2" fontId="6" fillId="3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0" fillId="0" borderId="7" xfId="0" applyBorder="1"/>
    <xf numFmtId="166" fontId="0" fillId="0" borderId="7" xfId="0" applyNumberFormat="1" applyBorder="1"/>
    <xf numFmtId="0" fontId="0" fillId="5" borderId="0" xfId="0" applyFill="1"/>
    <xf numFmtId="166" fontId="0" fillId="5" borderId="0" xfId="0" applyNumberFormat="1" applyFill="1"/>
    <xf numFmtId="166" fontId="23" fillId="5" borderId="0" xfId="0" applyNumberFormat="1" applyFont="1" applyFill="1"/>
    <xf numFmtId="164" fontId="0" fillId="0" borderId="0" xfId="0" applyNumberFormat="1" applyAlignment="1">
      <alignment horizontal="center"/>
    </xf>
    <xf numFmtId="2" fontId="0" fillId="0" borderId="0" xfId="0" applyNumberFormat="1" applyProtection="1">
      <protection locked="0"/>
    </xf>
    <xf numFmtId="2" fontId="0" fillId="0" borderId="13" xfId="0" applyNumberFormat="1" applyBorder="1" applyProtection="1">
      <protection locked="0"/>
    </xf>
    <xf numFmtId="2" fontId="6" fillId="3" borderId="25" xfId="0" applyNumberFormat="1" applyFont="1" applyFill="1" applyBorder="1" applyAlignment="1">
      <alignment horizontal="center" wrapText="1"/>
    </xf>
    <xf numFmtId="2" fontId="6" fillId="0" borderId="15" xfId="1" applyNumberFormat="1" applyFont="1" applyBorder="1" applyAlignment="1">
      <alignment horizontal="center" wrapText="1"/>
    </xf>
    <xf numFmtId="2" fontId="6" fillId="3" borderId="15" xfId="0" applyNumberFormat="1" applyFont="1" applyFill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72" fontId="1" fillId="0" borderId="4" xfId="0" applyNumberFormat="1" applyFont="1" applyBorder="1" applyAlignment="1">
      <alignment horizontal="center"/>
    </xf>
    <xf numFmtId="2" fontId="0" fillId="0" borderId="6" xfId="0" applyNumberForma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center"/>
      <protection locked="0"/>
    </xf>
    <xf numFmtId="2" fontId="0" fillId="0" borderId="19" xfId="0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0" borderId="8" xfId="0" applyNumberFormat="1" applyBorder="1" applyAlignment="1" applyProtection="1">
      <alignment horizontal="center"/>
      <protection locked="0"/>
    </xf>
    <xf numFmtId="172" fontId="0" fillId="0" borderId="0" xfId="0" applyNumberFormat="1"/>
    <xf numFmtId="173" fontId="0" fillId="0" borderId="0" xfId="0" applyNumberFormat="1"/>
    <xf numFmtId="2" fontId="6" fillId="0" borderId="28" xfId="0" applyNumberFormat="1" applyFont="1" applyBorder="1" applyAlignment="1">
      <alignment horizontal="center"/>
    </xf>
    <xf numFmtId="2" fontId="6" fillId="0" borderId="25" xfId="0" applyNumberFormat="1" applyFon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6" fillId="0" borderId="1" xfId="47" applyNumberFormat="1" applyFont="1" applyBorder="1" applyAlignment="1">
      <alignment horizontal="center" wrapText="1"/>
    </xf>
    <xf numFmtId="2" fontId="6" fillId="0" borderId="24" xfId="47" applyNumberFormat="1" applyFont="1" applyBorder="1" applyAlignment="1">
      <alignment horizontal="center" wrapText="1"/>
    </xf>
    <xf numFmtId="2" fontId="6" fillId="0" borderId="1" xfId="0" applyNumberFormat="1" applyFont="1" applyBorder="1" applyAlignment="1">
      <alignment horizontal="center" wrapText="1"/>
    </xf>
    <xf numFmtId="2" fontId="6" fillId="0" borderId="24" xfId="0" applyNumberFormat="1" applyFont="1" applyBorder="1" applyAlignment="1">
      <alignment horizontal="center" wrapText="1"/>
    </xf>
    <xf numFmtId="2" fontId="6" fillId="0" borderId="29" xfId="0" applyNumberFormat="1" applyFont="1" applyBorder="1" applyAlignment="1">
      <alignment horizontal="center"/>
    </xf>
    <xf numFmtId="2" fontId="6" fillId="0" borderId="30" xfId="0" applyNumberFormat="1" applyFont="1" applyBorder="1" applyAlignment="1">
      <alignment horizontal="center"/>
    </xf>
    <xf numFmtId="166" fontId="1" fillId="0" borderId="4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0" xfId="0" applyFont="1" applyBorder="1" applyAlignment="1">
      <alignment horizontal="center"/>
    </xf>
    <xf numFmtId="49" fontId="6" fillId="0" borderId="0" xfId="0" applyNumberFormat="1" applyFont="1" applyAlignment="1">
      <alignment horizontal="left"/>
    </xf>
    <xf numFmtId="0" fontId="6" fillId="0" borderId="0" xfId="0" applyFont="1"/>
    <xf numFmtId="165" fontId="6" fillId="0" borderId="0" xfId="0" applyNumberFormat="1" applyFont="1"/>
    <xf numFmtId="164" fontId="6" fillId="0" borderId="0" xfId="0" applyNumberFormat="1" applyFont="1"/>
    <xf numFmtId="164" fontId="6" fillId="0" borderId="0" xfId="0" applyNumberFormat="1" applyFont="1" applyAlignment="1">
      <alignment horizontal="right"/>
    </xf>
    <xf numFmtId="2" fontId="6" fillId="0" borderId="0" xfId="0" applyNumberFormat="1" applyFont="1" applyAlignment="1">
      <alignment horizontal="right"/>
    </xf>
    <xf numFmtId="164" fontId="6" fillId="0" borderId="13" xfId="0" applyNumberFormat="1" applyFont="1" applyBorder="1" applyAlignment="1">
      <alignment horizontal="left"/>
    </xf>
    <xf numFmtId="49" fontId="6" fillId="0" borderId="0" xfId="0" applyNumberFormat="1" applyFont="1"/>
    <xf numFmtId="49" fontId="6" fillId="0" borderId="9" xfId="0" applyNumberFormat="1" applyFont="1" applyBorder="1"/>
    <xf numFmtId="164" fontId="6" fillId="0" borderId="14" xfId="0" applyNumberFormat="1" applyFont="1" applyBorder="1" applyAlignment="1">
      <alignment horizontal="center"/>
    </xf>
    <xf numFmtId="0" fontId="26" fillId="0" borderId="10" xfId="48" applyFont="1" applyBorder="1" applyAlignment="1">
      <alignment horizontal="center"/>
    </xf>
    <xf numFmtId="0" fontId="6" fillId="0" borderId="10" xfId="0" applyFont="1" applyBorder="1"/>
    <xf numFmtId="0" fontId="6" fillId="0" borderId="10" xfId="0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/>
    </xf>
    <xf numFmtId="164" fontId="6" fillId="0" borderId="32" xfId="0" applyNumberFormat="1" applyFont="1" applyBorder="1" applyAlignment="1">
      <alignment horizontal="center"/>
    </xf>
    <xf numFmtId="2" fontId="6" fillId="0" borderId="32" xfId="0" applyNumberFormat="1" applyFont="1" applyBorder="1" applyAlignment="1">
      <alignment horizontal="center"/>
    </xf>
    <xf numFmtId="2" fontId="6" fillId="0" borderId="33" xfId="0" applyNumberFormat="1" applyFont="1" applyBorder="1" applyAlignment="1">
      <alignment horizontal="center"/>
    </xf>
    <xf numFmtId="165" fontId="6" fillId="0" borderId="32" xfId="0" applyNumberFormat="1" applyFont="1" applyBorder="1" applyAlignment="1">
      <alignment horizontal="center"/>
    </xf>
    <xf numFmtId="164" fontId="6" fillId="0" borderId="31" xfId="0" applyNumberFormat="1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6" fillId="0" borderId="10" xfId="48" applyBorder="1"/>
    <xf numFmtId="0" fontId="6" fillId="0" borderId="3" xfId="0" applyFont="1" applyBorder="1"/>
    <xf numFmtId="0" fontId="6" fillId="0" borderId="3" xfId="0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0" fontId="6" fillId="0" borderId="3" xfId="48" applyBorder="1"/>
    <xf numFmtId="164" fontId="6" fillId="0" borderId="9" xfId="0" applyNumberFormat="1" applyFont="1" applyBorder="1" applyAlignment="1">
      <alignment horizontal="center"/>
    </xf>
    <xf numFmtId="164" fontId="6" fillId="0" borderId="36" xfId="0" applyNumberFormat="1" applyFont="1" applyBorder="1" applyAlignment="1">
      <alignment horizontal="center"/>
    </xf>
    <xf numFmtId="2" fontId="6" fillId="0" borderId="36" xfId="0" applyNumberFormat="1" applyFont="1" applyBorder="1" applyAlignment="1">
      <alignment horizontal="center"/>
    </xf>
    <xf numFmtId="2" fontId="6" fillId="0" borderId="37" xfId="0" applyNumberFormat="1" applyFont="1" applyBorder="1" applyAlignment="1">
      <alignment horizontal="center"/>
    </xf>
    <xf numFmtId="165" fontId="6" fillId="0" borderId="36" xfId="0" applyNumberFormat="1" applyFont="1" applyBorder="1" applyAlignment="1">
      <alignment horizontal="center"/>
    </xf>
    <xf numFmtId="164" fontId="6" fillId="0" borderId="35" xfId="0" applyNumberFormat="1" applyFont="1" applyBorder="1" applyAlignment="1">
      <alignment horizontal="center"/>
    </xf>
    <xf numFmtId="165" fontId="6" fillId="0" borderId="38" xfId="0" applyNumberFormat="1" applyFont="1" applyBorder="1" applyAlignment="1">
      <alignment horizontal="center"/>
    </xf>
    <xf numFmtId="0" fontId="6" fillId="0" borderId="11" xfId="0" applyFont="1" applyBorder="1"/>
    <xf numFmtId="164" fontId="27" fillId="0" borderId="5" xfId="0" applyNumberFormat="1" applyFont="1" applyBorder="1" applyAlignment="1">
      <alignment horizontal="center"/>
    </xf>
    <xf numFmtId="164" fontId="27" fillId="0" borderId="31" xfId="0" applyNumberFormat="1" applyFont="1" applyBorder="1" applyAlignment="1">
      <alignment horizontal="center"/>
    </xf>
    <xf numFmtId="164" fontId="27" fillId="0" borderId="39" xfId="0" applyNumberFormat="1" applyFont="1" applyBorder="1" applyAlignment="1">
      <alignment horizontal="center"/>
    </xf>
    <xf numFmtId="2" fontId="27" fillId="0" borderId="39" xfId="0" applyNumberFormat="1" applyFont="1" applyBorder="1" applyAlignment="1">
      <alignment horizontal="center"/>
    </xf>
    <xf numFmtId="2" fontId="27" fillId="0" borderId="40" xfId="0" applyNumberFormat="1" applyFont="1" applyBorder="1" applyAlignment="1">
      <alignment horizontal="center"/>
    </xf>
    <xf numFmtId="165" fontId="27" fillId="0" borderId="39" xfId="0" applyNumberFormat="1" applyFont="1" applyBorder="1" applyAlignment="1">
      <alignment horizontal="center"/>
    </xf>
    <xf numFmtId="164" fontId="27" fillId="0" borderId="41" xfId="0" applyNumberFormat="1" applyFont="1" applyBorder="1" applyAlignment="1">
      <alignment horizontal="center"/>
    </xf>
    <xf numFmtId="165" fontId="27" fillId="0" borderId="42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164" fontId="27" fillId="0" borderId="11" xfId="0" applyNumberFormat="1" applyFont="1" applyBorder="1" applyAlignment="1">
      <alignment horizontal="center"/>
    </xf>
    <xf numFmtId="164" fontId="27" fillId="0" borderId="43" xfId="0" applyNumberFormat="1" applyFont="1" applyBorder="1" applyAlignment="1">
      <alignment horizontal="center"/>
    </xf>
    <xf numFmtId="164" fontId="27" fillId="0" borderId="36" xfId="0" applyNumberFormat="1" applyFont="1" applyBorder="1" applyAlignment="1">
      <alignment horizontal="center"/>
    </xf>
    <xf numFmtId="2" fontId="27" fillId="0" borderId="36" xfId="0" applyNumberFormat="1" applyFont="1" applyBorder="1" applyAlignment="1">
      <alignment horizontal="center"/>
    </xf>
    <xf numFmtId="2" fontId="27" fillId="0" borderId="37" xfId="0" applyNumberFormat="1" applyFont="1" applyBorder="1" applyAlignment="1">
      <alignment horizontal="center"/>
    </xf>
    <xf numFmtId="165" fontId="27" fillId="0" borderId="36" xfId="0" applyNumberFormat="1" applyFont="1" applyBorder="1" applyAlignment="1">
      <alignment horizontal="center"/>
    </xf>
    <xf numFmtId="164" fontId="27" fillId="0" borderId="35" xfId="0" applyNumberFormat="1" applyFont="1" applyBorder="1" applyAlignment="1">
      <alignment horizontal="center"/>
    </xf>
    <xf numFmtId="165" fontId="27" fillId="0" borderId="38" xfId="0" applyNumberFormat="1" applyFont="1" applyBorder="1" applyAlignment="1">
      <alignment horizontal="center"/>
    </xf>
    <xf numFmtId="174" fontId="6" fillId="0" borderId="10" xfId="48" applyNumberFormat="1" applyBorder="1" applyAlignment="1">
      <alignment horizontal="center" vertical="center"/>
    </xf>
    <xf numFmtId="0" fontId="6" fillId="0" borderId="26" xfId="3" applyBorder="1" applyAlignment="1">
      <alignment horizontal="center"/>
    </xf>
    <xf numFmtId="0" fontId="6" fillId="0" borderId="26" xfId="0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165" fontId="6" fillId="3" borderId="45" xfId="0" applyNumberFormat="1" applyFont="1" applyFill="1" applyBorder="1" applyAlignment="1">
      <alignment horizontal="center"/>
    </xf>
    <xf numFmtId="165" fontId="6" fillId="3" borderId="46" xfId="0" applyNumberFormat="1" applyFont="1" applyFill="1" applyBorder="1" applyAlignment="1">
      <alignment horizontal="center"/>
    </xf>
    <xf numFmtId="2" fontId="6" fillId="0" borderId="29" xfId="3" applyNumberFormat="1" applyBorder="1" applyAlignment="1">
      <alignment horizontal="center"/>
    </xf>
    <xf numFmtId="165" fontId="6" fillId="0" borderId="45" xfId="0" applyNumberFormat="1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164" fontId="6" fillId="0" borderId="47" xfId="0" applyNumberFormat="1" applyFont="1" applyBorder="1" applyAlignment="1">
      <alignment horizontal="center"/>
    </xf>
    <xf numFmtId="0" fontId="6" fillId="0" borderId="1" xfId="0" applyFont="1" applyBorder="1"/>
    <xf numFmtId="174" fontId="6" fillId="0" borderId="1" xfId="48" applyNumberFormat="1" applyBorder="1" applyAlignment="1">
      <alignment horizontal="center" vertical="center"/>
    </xf>
    <xf numFmtId="0" fontId="6" fillId="0" borderId="7" xfId="3" applyBorder="1" applyAlignment="1">
      <alignment horizontal="center"/>
    </xf>
    <xf numFmtId="0" fontId="6" fillId="0" borderId="48" xfId="0" applyFon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6" fillId="0" borderId="2" xfId="3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5" fontId="6" fillId="3" borderId="29" xfId="0" applyNumberFormat="1" applyFont="1" applyFill="1" applyBorder="1" applyAlignment="1">
      <alignment horizontal="center"/>
    </xf>
    <xf numFmtId="2" fontId="6" fillId="0" borderId="49" xfId="15" applyNumberFormat="1" applyBorder="1" applyAlignment="1">
      <alignment horizontal="center" vertical="center"/>
    </xf>
    <xf numFmtId="164" fontId="6" fillId="0" borderId="50" xfId="0" applyNumberFormat="1" applyFont="1" applyBorder="1" applyAlignment="1">
      <alignment horizontal="center"/>
    </xf>
    <xf numFmtId="0" fontId="6" fillId="0" borderId="2" xfId="0" applyFont="1" applyBorder="1"/>
    <xf numFmtId="0" fontId="6" fillId="0" borderId="1" xfId="3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4" fontId="6" fillId="0" borderId="29" xfId="0" applyNumberFormat="1" applyFont="1" applyBorder="1" applyAlignment="1">
      <alignment horizontal="center"/>
    </xf>
    <xf numFmtId="164" fontId="6" fillId="0" borderId="16" xfId="0" applyNumberFormat="1" applyFont="1" applyBorder="1" applyAlignment="1">
      <alignment horizontal="center"/>
    </xf>
    <xf numFmtId="164" fontId="6" fillId="0" borderId="30" xfId="0" applyNumberFormat="1" applyFont="1" applyBorder="1" applyAlignment="1">
      <alignment horizontal="center"/>
    </xf>
    <xf numFmtId="2" fontId="6" fillId="0" borderId="19" xfId="0" applyNumberFormat="1" applyFont="1" applyBorder="1" applyAlignment="1">
      <alignment horizontal="center" wrapText="1"/>
    </xf>
    <xf numFmtId="0" fontId="6" fillId="0" borderId="51" xfId="3" applyBorder="1" applyAlignment="1">
      <alignment horizontal="center"/>
    </xf>
    <xf numFmtId="164" fontId="6" fillId="0" borderId="52" xfId="0" applyNumberFormat="1" applyFont="1" applyBorder="1" applyAlignment="1">
      <alignment horizontal="center"/>
    </xf>
    <xf numFmtId="2" fontId="6" fillId="0" borderId="29" xfId="15" applyNumberFormat="1" applyBorder="1" applyAlignment="1">
      <alignment horizontal="center" vertical="center"/>
    </xf>
    <xf numFmtId="0" fontId="6" fillId="0" borderId="16" xfId="3" applyBorder="1" applyAlignment="1">
      <alignment horizontal="center"/>
    </xf>
    <xf numFmtId="2" fontId="6" fillId="0" borderId="53" xfId="0" applyNumberFormat="1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2" fontId="6" fillId="0" borderId="21" xfId="0" applyNumberFormat="1" applyFont="1" applyBorder="1" applyAlignment="1">
      <alignment horizontal="center" wrapText="1"/>
    </xf>
    <xf numFmtId="2" fontId="6" fillId="0" borderId="0" xfId="0" applyNumberFormat="1" applyFont="1" applyAlignment="1">
      <alignment horizontal="center" wrapText="1"/>
    </xf>
    <xf numFmtId="0" fontId="6" fillId="0" borderId="51" xfId="0" applyFont="1" applyBorder="1" applyAlignment="1">
      <alignment horizontal="center"/>
    </xf>
    <xf numFmtId="164" fontId="6" fillId="0" borderId="54" xfId="0" applyNumberFormat="1" applyFont="1" applyBorder="1" applyAlignment="1">
      <alignment horizontal="center"/>
    </xf>
    <xf numFmtId="174" fontId="6" fillId="0" borderId="2" xfId="48" applyNumberFormat="1" applyBorder="1" applyAlignment="1">
      <alignment horizontal="center" vertical="center"/>
    </xf>
    <xf numFmtId="164" fontId="6" fillId="0" borderId="56" xfId="0" applyNumberFormat="1" applyFont="1" applyBorder="1" applyAlignment="1">
      <alignment horizontal="center"/>
    </xf>
    <xf numFmtId="165" fontId="6" fillId="0" borderId="55" xfId="0" applyNumberFormat="1" applyFont="1" applyBorder="1" applyAlignment="1">
      <alignment horizontal="center"/>
    </xf>
    <xf numFmtId="2" fontId="6" fillId="0" borderId="55" xfId="0" applyNumberFormat="1" applyFont="1" applyBorder="1" applyAlignment="1">
      <alignment horizontal="center"/>
    </xf>
    <xf numFmtId="165" fontId="6" fillId="0" borderId="57" xfId="0" applyNumberFormat="1" applyFont="1" applyBorder="1" applyAlignment="1">
      <alignment horizontal="center"/>
    </xf>
    <xf numFmtId="174" fontId="6" fillId="0" borderId="4" xfId="48" applyNumberFormat="1" applyBorder="1" applyAlignment="1">
      <alignment horizontal="center" vertical="center"/>
    </xf>
    <xf numFmtId="0" fontId="6" fillId="0" borderId="4" xfId="3" applyBorder="1" applyAlignment="1">
      <alignment horizontal="center"/>
    </xf>
    <xf numFmtId="2" fontId="6" fillId="0" borderId="14" xfId="4" applyNumberForma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/>
    </xf>
    <xf numFmtId="164" fontId="6" fillId="0" borderId="58" xfId="0" applyNumberFormat="1" applyFont="1" applyBorder="1" applyAlignment="1">
      <alignment horizontal="center"/>
    </xf>
    <xf numFmtId="164" fontId="6" fillId="0" borderId="59" xfId="0" applyNumberFormat="1" applyFont="1" applyBorder="1" applyAlignment="1">
      <alignment horizontal="center"/>
    </xf>
    <xf numFmtId="2" fontId="6" fillId="0" borderId="59" xfId="0" applyNumberFormat="1" applyFont="1" applyBorder="1" applyAlignment="1">
      <alignment horizontal="center"/>
    </xf>
    <xf numFmtId="164" fontId="6" fillId="0" borderId="60" xfId="0" applyNumberFormat="1" applyFont="1" applyBorder="1" applyAlignment="1">
      <alignment horizontal="center"/>
    </xf>
    <xf numFmtId="164" fontId="6" fillId="0" borderId="61" xfId="0" applyNumberFormat="1" applyFont="1" applyBorder="1" applyAlignment="1">
      <alignment horizontal="center"/>
    </xf>
    <xf numFmtId="2" fontId="6" fillId="0" borderId="61" xfId="0" applyNumberFormat="1" applyFont="1" applyBorder="1" applyAlignment="1">
      <alignment horizontal="center"/>
    </xf>
    <xf numFmtId="2" fontId="6" fillId="0" borderId="62" xfId="0" applyNumberFormat="1" applyFont="1" applyBorder="1" applyAlignment="1">
      <alignment horizontal="center"/>
    </xf>
    <xf numFmtId="165" fontId="6" fillId="0" borderId="63" xfId="0" applyNumberFormat="1" applyFont="1" applyBorder="1" applyAlignment="1">
      <alignment horizontal="center"/>
    </xf>
    <xf numFmtId="0" fontId="6" fillId="0" borderId="4" xfId="0" applyFont="1" applyBorder="1"/>
    <xf numFmtId="0" fontId="26" fillId="0" borderId="4" xfId="4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4" xfId="0" applyBorder="1" applyAlignment="1">
      <alignment horizontal="center"/>
    </xf>
    <xf numFmtId="164" fontId="6" fillId="0" borderId="1" xfId="0" applyNumberFormat="1" applyFont="1" applyBorder="1" applyAlignment="1">
      <alignment horizontal="center" wrapText="1"/>
    </xf>
    <xf numFmtId="174" fontId="6" fillId="0" borderId="3" xfId="48" applyNumberForma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4" xfId="0" applyBorder="1" applyAlignment="1">
      <alignment horizontal="center"/>
    </xf>
    <xf numFmtId="174" fontId="6" fillId="0" borderId="19" xfId="48" applyNumberForma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6" fillId="0" borderId="20" xfId="3" applyBorder="1" applyAlignment="1">
      <alignment horizontal="center"/>
    </xf>
    <xf numFmtId="165" fontId="6" fillId="0" borderId="30" xfId="0" applyNumberFormat="1" applyFont="1" applyBorder="1" applyAlignment="1">
      <alignment horizontal="center"/>
    </xf>
    <xf numFmtId="165" fontId="6" fillId="0" borderId="59" xfId="0" applyNumberFormat="1" applyFont="1" applyBorder="1" applyAlignment="1">
      <alignment horizontal="center"/>
    </xf>
    <xf numFmtId="2" fontId="6" fillId="0" borderId="67" xfId="0" applyNumberFormat="1" applyFont="1" applyBorder="1" applyAlignment="1">
      <alignment horizontal="center"/>
    </xf>
    <xf numFmtId="165" fontId="6" fillId="0" borderId="68" xfId="0" applyNumberFormat="1" applyFont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6" fillId="0" borderId="0" xfId="42" applyNumberFormat="1" applyFont="1" applyAlignment="1">
      <alignment horizontal="center"/>
    </xf>
    <xf numFmtId="2" fontId="6" fillId="0" borderId="25" xfId="47" applyNumberFormat="1" applyFont="1" applyBorder="1" applyAlignment="1">
      <alignment horizontal="center" wrapText="1"/>
    </xf>
    <xf numFmtId="2" fontId="6" fillId="0" borderId="25" xfId="0" applyNumberFormat="1" applyFont="1" applyBorder="1" applyAlignment="1">
      <alignment horizontal="center" wrapText="1"/>
    </xf>
    <xf numFmtId="2" fontId="6" fillId="3" borderId="11" xfId="0" applyNumberFormat="1" applyFont="1" applyFill="1" applyBorder="1" applyAlignment="1">
      <alignment horizontal="center"/>
    </xf>
    <xf numFmtId="2" fontId="0" fillId="0" borderId="25" xfId="0" applyNumberFormat="1" applyBorder="1" applyAlignment="1" applyProtection="1">
      <alignment horizontal="center"/>
      <protection locked="0"/>
    </xf>
    <xf numFmtId="2" fontId="0" fillId="0" borderId="15" xfId="0" applyNumberFormat="1" applyBorder="1" applyAlignment="1" applyProtection="1">
      <alignment horizontal="center"/>
      <protection locked="0"/>
    </xf>
    <xf numFmtId="2" fontId="0" fillId="0" borderId="69" xfId="0" applyNumberFormat="1" applyBorder="1" applyAlignment="1" applyProtection="1">
      <alignment horizontal="center"/>
      <protection locked="0"/>
    </xf>
    <xf numFmtId="2" fontId="0" fillId="0" borderId="25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6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6" fillId="0" borderId="0" xfId="0" applyNumberFormat="1" applyFont="1" applyAlignment="1">
      <alignment horizontal="right"/>
    </xf>
    <xf numFmtId="164" fontId="6" fillId="0" borderId="17" xfId="0" applyNumberFormat="1" applyFont="1" applyBorder="1" applyAlignment="1">
      <alignment horizontal="center"/>
    </xf>
    <xf numFmtId="164" fontId="6" fillId="0" borderId="18" xfId="0" applyNumberFormat="1" applyFont="1" applyBorder="1" applyAlignment="1">
      <alignment horizontal="center"/>
    </xf>
    <xf numFmtId="164" fontId="6" fillId="0" borderId="14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4" fontId="6" fillId="0" borderId="31" xfId="0" applyNumberFormat="1" applyFont="1" applyBorder="1" applyAlignment="1">
      <alignment horizontal="center" wrapText="1"/>
    </xf>
    <xf numFmtId="0" fontId="6" fillId="0" borderId="31" xfId="0" applyFont="1" applyBorder="1" applyAlignment="1">
      <alignment horizontal="center" wrapText="1"/>
    </xf>
    <xf numFmtId="0" fontId="6" fillId="0" borderId="35" xfId="0" applyFont="1" applyBorder="1" applyAlignment="1">
      <alignment horizontal="center" wrapText="1"/>
    </xf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0" fontId="6" fillId="0" borderId="10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6" borderId="23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69" fontId="0" fillId="0" borderId="0" xfId="0" applyNumberFormat="1" applyAlignment="1">
      <alignment horizontal="center"/>
    </xf>
    <xf numFmtId="0" fontId="1" fillId="0" borderId="9" xfId="0" applyFont="1" applyBorder="1" applyAlignment="1">
      <alignment horizontal="center"/>
    </xf>
    <xf numFmtId="165" fontId="1" fillId="0" borderId="17" xfId="0" applyNumberFormat="1" applyFont="1" applyBorder="1" applyAlignment="1">
      <alignment horizontal="center"/>
    </xf>
    <xf numFmtId="165" fontId="1" fillId="0" borderId="18" xfId="0" applyNumberFormat="1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3" fillId="2" borderId="0" xfId="0" applyFont="1" applyFill="1" applyAlignment="1">
      <alignment horizontal="left" vertical="center" wrapText="1"/>
    </xf>
    <xf numFmtId="0" fontId="14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23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left"/>
    </xf>
    <xf numFmtId="168" fontId="0" fillId="0" borderId="0" xfId="0" applyNumberFormat="1" applyAlignment="1">
      <alignment horizontal="center" vertical="center" wrapText="1"/>
    </xf>
    <xf numFmtId="2" fontId="1" fillId="0" borderId="17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locked="0"/>
    </xf>
    <xf numFmtId="2" fontId="1" fillId="0" borderId="14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49">
    <cellStyle name="Normal" xfId="0" builtinId="0"/>
    <cellStyle name="Normal 17" xfId="2" xr:uid="{00000000-0005-0000-0000-000001000000}"/>
    <cellStyle name="Normal 17 2" xfId="3" xr:uid="{00000000-0005-0000-0000-000002000000}"/>
    <cellStyle name="Normal 2" xfId="4" xr:uid="{00000000-0005-0000-0000-000003000000}"/>
    <cellStyle name="Normal 2 10" xfId="5" xr:uid="{00000000-0005-0000-0000-000004000000}"/>
    <cellStyle name="Normal 2 11" xfId="6" xr:uid="{00000000-0005-0000-0000-000005000000}"/>
    <cellStyle name="Normal 2 12" xfId="7" xr:uid="{00000000-0005-0000-0000-000006000000}"/>
    <cellStyle name="Normal 2 13" xfId="8" xr:uid="{00000000-0005-0000-0000-000007000000}"/>
    <cellStyle name="Normal 2 14" xfId="9" xr:uid="{00000000-0005-0000-0000-000008000000}"/>
    <cellStyle name="Normal 2 15" xfId="10" xr:uid="{00000000-0005-0000-0000-000009000000}"/>
    <cellStyle name="Normal 2 16" xfId="11" xr:uid="{00000000-0005-0000-0000-00000A000000}"/>
    <cellStyle name="Normal 2 17" xfId="12" xr:uid="{00000000-0005-0000-0000-00000B000000}"/>
    <cellStyle name="Normal 2 18" xfId="13" xr:uid="{00000000-0005-0000-0000-00000C000000}"/>
    <cellStyle name="Normal 2 19" xfId="14" xr:uid="{00000000-0005-0000-0000-00000D000000}"/>
    <cellStyle name="Normal 2 2" xfId="15" xr:uid="{00000000-0005-0000-0000-00000E000000}"/>
    <cellStyle name="Normal 2 20" xfId="16" xr:uid="{00000000-0005-0000-0000-00000F000000}"/>
    <cellStyle name="Normal 2 21" xfId="17" xr:uid="{00000000-0005-0000-0000-000010000000}"/>
    <cellStyle name="Normal 2 22" xfId="18" xr:uid="{00000000-0005-0000-0000-000011000000}"/>
    <cellStyle name="Normal 2 23" xfId="19" xr:uid="{00000000-0005-0000-0000-000012000000}"/>
    <cellStyle name="Normal 2 24" xfId="20" xr:uid="{00000000-0005-0000-0000-000013000000}"/>
    <cellStyle name="Normal 2 25" xfId="21" xr:uid="{00000000-0005-0000-0000-000014000000}"/>
    <cellStyle name="Normal 2 26" xfId="22" xr:uid="{00000000-0005-0000-0000-000015000000}"/>
    <cellStyle name="Normal 2 27" xfId="23" xr:uid="{00000000-0005-0000-0000-000016000000}"/>
    <cellStyle name="Normal 2 28" xfId="24" xr:uid="{00000000-0005-0000-0000-000017000000}"/>
    <cellStyle name="Normal 2 29" xfId="25" xr:uid="{00000000-0005-0000-0000-000018000000}"/>
    <cellStyle name="Normal 2 3" xfId="26" xr:uid="{00000000-0005-0000-0000-000019000000}"/>
    <cellStyle name="Normal 2 30" xfId="27" xr:uid="{00000000-0005-0000-0000-00001A000000}"/>
    <cellStyle name="Normal 2 31" xfId="28" xr:uid="{00000000-0005-0000-0000-00001B000000}"/>
    <cellStyle name="Normal 2 32" xfId="29" xr:uid="{00000000-0005-0000-0000-00001C000000}"/>
    <cellStyle name="Normal 2 33" xfId="30" xr:uid="{00000000-0005-0000-0000-00001D000000}"/>
    <cellStyle name="Normal 2 34" xfId="31" xr:uid="{00000000-0005-0000-0000-00001E000000}"/>
    <cellStyle name="Normal 2 35" xfId="32" xr:uid="{00000000-0005-0000-0000-00001F000000}"/>
    <cellStyle name="Normal 2 36" xfId="33" xr:uid="{00000000-0005-0000-0000-000020000000}"/>
    <cellStyle name="Normal 2 37" xfId="34" xr:uid="{00000000-0005-0000-0000-000021000000}"/>
    <cellStyle name="Normal 2 4" xfId="35" xr:uid="{00000000-0005-0000-0000-000022000000}"/>
    <cellStyle name="Normal 2 5" xfId="36" xr:uid="{00000000-0005-0000-0000-000023000000}"/>
    <cellStyle name="Normal 2 6" xfId="37" xr:uid="{00000000-0005-0000-0000-000024000000}"/>
    <cellStyle name="Normal 2 7" xfId="38" xr:uid="{00000000-0005-0000-0000-000025000000}"/>
    <cellStyle name="Normal 2 8" xfId="39" xr:uid="{00000000-0005-0000-0000-000026000000}"/>
    <cellStyle name="Normal 2 9" xfId="40" xr:uid="{00000000-0005-0000-0000-000027000000}"/>
    <cellStyle name="Normal 26" xfId="41" xr:uid="{00000000-0005-0000-0000-000028000000}"/>
    <cellStyle name="Normal 3" xfId="1" xr:uid="{00000000-0005-0000-0000-000029000000}"/>
    <cellStyle name="Normal 3 2" xfId="44" xr:uid="{00000000-0005-0000-0000-00002A000000}"/>
    <cellStyle name="Normal 4" xfId="42" xr:uid="{00000000-0005-0000-0000-00002B000000}"/>
    <cellStyle name="Normal 4 2" xfId="45" xr:uid="{00000000-0005-0000-0000-00002C000000}"/>
    <cellStyle name="Normal 5" xfId="43" xr:uid="{00000000-0005-0000-0000-00002D000000}"/>
    <cellStyle name="Normal 5 2" xfId="46" xr:uid="{00000000-0005-0000-0000-00002E000000}"/>
    <cellStyle name="Normal 6" xfId="47" xr:uid="{00000000-0005-0000-0000-00002F000000}"/>
    <cellStyle name="Normal_MajData" xfId="48" xr:uid="{AF5D23DB-7139-4F4B-B223-4803CC5F5B45}"/>
  </cellStyles>
  <dxfs count="2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% Total Moisture- System(P) Vs Reference(R)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System</c:v>
          </c:tx>
          <c:val>
            <c:numRef>
              <c:f>'Raw Data'!$E$7:$E$46</c:f>
              <c:numCache>
                <c:formatCode>0.00</c:formatCode>
                <c:ptCount val="40"/>
                <c:pt idx="0">
                  <c:v>9.6999999999999993</c:v>
                </c:pt>
                <c:pt idx="1">
                  <c:v>8.9</c:v>
                </c:pt>
                <c:pt idx="2">
                  <c:v>9.1999999999999993</c:v>
                </c:pt>
                <c:pt idx="3">
                  <c:v>8.6</c:v>
                </c:pt>
                <c:pt idx="4">
                  <c:v>8.5</c:v>
                </c:pt>
                <c:pt idx="5">
                  <c:v>8.5</c:v>
                </c:pt>
                <c:pt idx="6">
                  <c:v>8.3000000000000007</c:v>
                </c:pt>
                <c:pt idx="7">
                  <c:v>8.5</c:v>
                </c:pt>
                <c:pt idx="8">
                  <c:v>8.8000000000000007</c:v>
                </c:pt>
                <c:pt idx="9">
                  <c:v>8.6</c:v>
                </c:pt>
                <c:pt idx="10">
                  <c:v>8.6999999999999993</c:v>
                </c:pt>
                <c:pt idx="11">
                  <c:v>9.3000000000000007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9</c:v>
                </c:pt>
                <c:pt idx="15">
                  <c:v>9.8000000000000007</c:v>
                </c:pt>
                <c:pt idx="16">
                  <c:v>8.8000000000000007</c:v>
                </c:pt>
                <c:pt idx="17">
                  <c:v>8.6999999999999993</c:v>
                </c:pt>
                <c:pt idx="18">
                  <c:v>8.5</c:v>
                </c:pt>
                <c:pt idx="19">
                  <c:v>9.5</c:v>
                </c:pt>
                <c:pt idx="20">
                  <c:v>#N/A</c:v>
                </c:pt>
                <c:pt idx="21">
                  <c:v>9.3000000000000007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9.6999999999999993</c:v>
                </c:pt>
                <c:pt idx="31">
                  <c:v>9.6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8.4</c:v>
                </c:pt>
                <c:pt idx="35">
                  <c:v>8.8000000000000007</c:v>
                </c:pt>
                <c:pt idx="36">
                  <c:v>9</c:v>
                </c:pt>
                <c:pt idx="37">
                  <c:v>8.9</c:v>
                </c:pt>
                <c:pt idx="38">
                  <c:v>8.6</c:v>
                </c:pt>
                <c:pt idx="39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5E-4139-9165-24ECE1ED0D9F}"/>
            </c:ext>
          </c:extLst>
        </c:ser>
        <c:ser>
          <c:idx val="1"/>
          <c:order val="1"/>
          <c:tx>
            <c:v>Reference</c:v>
          </c:tx>
          <c:val>
            <c:numRef>
              <c:f>'Weighted Average'!$E$7:$E$46</c:f>
              <c:numCache>
                <c:formatCode>0.00</c:formatCode>
                <c:ptCount val="40"/>
                <c:pt idx="0">
                  <c:v>9.0399999999999991</c:v>
                </c:pt>
                <c:pt idx="1">
                  <c:v>8.81</c:v>
                </c:pt>
                <c:pt idx="2">
                  <c:v>8.77</c:v>
                </c:pt>
                <c:pt idx="3">
                  <c:v>8.73</c:v>
                </c:pt>
                <c:pt idx="4">
                  <c:v>8.7100000000000009</c:v>
                </c:pt>
                <c:pt idx="5">
                  <c:v>8.4499999999999993</c:v>
                </c:pt>
                <c:pt idx="6">
                  <c:v>8.74</c:v>
                </c:pt>
                <c:pt idx="7">
                  <c:v>8.6</c:v>
                </c:pt>
                <c:pt idx="8">
                  <c:v>8.65</c:v>
                </c:pt>
                <c:pt idx="9">
                  <c:v>8.6999999999999993</c:v>
                </c:pt>
                <c:pt idx="10">
                  <c:v>8.85</c:v>
                </c:pt>
                <c:pt idx="11">
                  <c:v>8.8000000000000007</c:v>
                </c:pt>
                <c:pt idx="12">
                  <c:v>8.4</c:v>
                </c:pt>
                <c:pt idx="13">
                  <c:v>8.9499999999999993</c:v>
                </c:pt>
                <c:pt idx="14">
                  <c:v>9.49</c:v>
                </c:pt>
                <c:pt idx="15">
                  <c:v>8.9499999999999993</c:v>
                </c:pt>
                <c:pt idx="16">
                  <c:v>9.06</c:v>
                </c:pt>
                <c:pt idx="17">
                  <c:v>8.59</c:v>
                </c:pt>
                <c:pt idx="18">
                  <c:v>9.27</c:v>
                </c:pt>
                <c:pt idx="19">
                  <c:v>9.5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8.6999999999999993</c:v>
                </c:pt>
                <c:pt idx="31">
                  <c:v>9.4</c:v>
                </c:pt>
                <c:pt idx="32">
                  <c:v>9.5</c:v>
                </c:pt>
                <c:pt idx="33">
                  <c:v>9.2100000000000009</c:v>
                </c:pt>
                <c:pt idx="34">
                  <c:v>8.9499999999999993</c:v>
                </c:pt>
                <c:pt idx="35">
                  <c:v>8.75</c:v>
                </c:pt>
                <c:pt idx="36">
                  <c:v>9.6</c:v>
                </c:pt>
                <c:pt idx="37">
                  <c:v>8.66</c:v>
                </c:pt>
                <c:pt idx="38">
                  <c:v>8.9499999999999993</c:v>
                </c:pt>
                <c:pt idx="39">
                  <c:v>9.06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E-4139-9165-24ECE1ED0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4208"/>
        <c:axId val="432284600"/>
      </c:lineChart>
      <c:catAx>
        <c:axId val="43228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Set</a:t>
                </a:r>
                <a:r>
                  <a:rPr lang="en-ZA" baseline="0"/>
                  <a:t> No</a:t>
                </a:r>
                <a:endParaRPr lang="en-ZA"/>
              </a:p>
            </c:rich>
          </c:tx>
          <c:overlay val="0"/>
        </c:title>
        <c:majorTickMark val="none"/>
        <c:minorTickMark val="none"/>
        <c:tickLblPos val="nextTo"/>
        <c:crossAx val="432284600"/>
        <c:crosses val="autoZero"/>
        <c:auto val="1"/>
        <c:lblAlgn val="ctr"/>
        <c:lblOffset val="100"/>
        <c:noMultiLvlLbl val="0"/>
      </c:catAx>
      <c:valAx>
        <c:axId val="432284600"/>
        <c:scaling>
          <c:orientation val="minMax"/>
          <c:max val="10"/>
          <c:min val="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%Total Moisture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432284208"/>
        <c:crosses val="autoZero"/>
        <c:crossBetween val="between"/>
        <c:majorUnit val="0.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%</a:t>
            </a:r>
            <a:r>
              <a:rPr lang="en-ZA" baseline="0"/>
              <a:t> Ash- System(P) Vs Reference(R)</a:t>
            </a:r>
            <a:endParaRPr lang="en-ZA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System</c:v>
          </c:tx>
          <c:val>
            <c:numRef>
              <c:f>'Raw Data'!$H$7:$H$46</c:f>
              <c:numCache>
                <c:formatCode>0.00</c:formatCode>
                <c:ptCount val="40"/>
                <c:pt idx="0">
                  <c:v>17.78242677824268</c:v>
                </c:pt>
                <c:pt idx="1">
                  <c:v>17.560462670872766</c:v>
                </c:pt>
                <c:pt idx="2">
                  <c:v>16.062176165803109</c:v>
                </c:pt>
                <c:pt idx="3">
                  <c:v>19.832985386221296</c:v>
                </c:pt>
                <c:pt idx="4">
                  <c:v>17.793964620187307</c:v>
                </c:pt>
                <c:pt idx="5">
                  <c:v>18.743455497382197</c:v>
                </c:pt>
                <c:pt idx="6">
                  <c:v>18.382352941176471</c:v>
                </c:pt>
                <c:pt idx="7">
                  <c:v>19.456066945606697</c:v>
                </c:pt>
                <c:pt idx="8">
                  <c:v>18.46473029045643</c:v>
                </c:pt>
                <c:pt idx="9">
                  <c:v>18.704284221525597</c:v>
                </c:pt>
                <c:pt idx="10">
                  <c:v>22.708333333333332</c:v>
                </c:pt>
                <c:pt idx="11">
                  <c:v>16.666666666666671</c:v>
                </c:pt>
                <c:pt idx="12">
                  <c:v>19.182389937106919</c:v>
                </c:pt>
                <c:pt idx="13">
                  <c:v>19.7286012526096</c:v>
                </c:pt>
                <c:pt idx="14">
                  <c:v>19.182389937106919</c:v>
                </c:pt>
                <c:pt idx="15">
                  <c:v>20.867768595041323</c:v>
                </c:pt>
                <c:pt idx="16">
                  <c:v>19.01776384535005</c:v>
                </c:pt>
                <c:pt idx="17">
                  <c:v>20.986358866736623</c:v>
                </c:pt>
                <c:pt idx="18">
                  <c:v>19.47643979057592</c:v>
                </c:pt>
                <c:pt idx="19">
                  <c:v>21.615949632738719</c:v>
                </c:pt>
                <c:pt idx="20">
                  <c:v>#N/A</c:v>
                </c:pt>
                <c:pt idx="21">
                  <c:v>16.666666666666671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20.649895178197063</c:v>
                </c:pt>
                <c:pt idx="31">
                  <c:v>19.032597266035754</c:v>
                </c:pt>
                <c:pt idx="32">
                  <c:v>20.707596253902185</c:v>
                </c:pt>
                <c:pt idx="33">
                  <c:v>18.448637316561847</c:v>
                </c:pt>
                <c:pt idx="34">
                  <c:v>20.146904512067156</c:v>
                </c:pt>
                <c:pt idx="35">
                  <c:v>20.083682008368203</c:v>
                </c:pt>
                <c:pt idx="36">
                  <c:v>22.014537902388369</c:v>
                </c:pt>
                <c:pt idx="37">
                  <c:v>21.540062434963581</c:v>
                </c:pt>
                <c:pt idx="38">
                  <c:v>20.732984293193716</c:v>
                </c:pt>
                <c:pt idx="39">
                  <c:v>19.95841995841996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7-4697-A3ED-06BC9AA5E61E}"/>
            </c:ext>
          </c:extLst>
        </c:ser>
        <c:ser>
          <c:idx val="1"/>
          <c:order val="1"/>
          <c:tx>
            <c:v>Reference</c:v>
          </c:tx>
          <c:val>
            <c:numRef>
              <c:f>'Weighted Average'!$F$7:$F$46</c:f>
              <c:numCache>
                <c:formatCode>0.00</c:formatCode>
                <c:ptCount val="40"/>
                <c:pt idx="0">
                  <c:v>18.89</c:v>
                </c:pt>
                <c:pt idx="1">
                  <c:v>18.45</c:v>
                </c:pt>
                <c:pt idx="2">
                  <c:v>16.39</c:v>
                </c:pt>
                <c:pt idx="3">
                  <c:v>19.149999999999999</c:v>
                </c:pt>
                <c:pt idx="4">
                  <c:v>18.399999999999999</c:v>
                </c:pt>
                <c:pt idx="5">
                  <c:v>17.989999999999998</c:v>
                </c:pt>
                <c:pt idx="6">
                  <c:v>20.010000000000002</c:v>
                </c:pt>
                <c:pt idx="7">
                  <c:v>19.32</c:v>
                </c:pt>
                <c:pt idx="8">
                  <c:v>18.48</c:v>
                </c:pt>
                <c:pt idx="9">
                  <c:v>19.48</c:v>
                </c:pt>
                <c:pt idx="10">
                  <c:v>19.920000000000002</c:v>
                </c:pt>
                <c:pt idx="11">
                  <c:v>18.39</c:v>
                </c:pt>
                <c:pt idx="12">
                  <c:v>19.59</c:v>
                </c:pt>
                <c:pt idx="13">
                  <c:v>19.53</c:v>
                </c:pt>
                <c:pt idx="14">
                  <c:v>21.08</c:v>
                </c:pt>
                <c:pt idx="15">
                  <c:v>19.190000000000001</c:v>
                </c:pt>
                <c:pt idx="16">
                  <c:v>20.51</c:v>
                </c:pt>
                <c:pt idx="17">
                  <c:v>20.010000000000002</c:v>
                </c:pt>
                <c:pt idx="18">
                  <c:v>19.41</c:v>
                </c:pt>
                <c:pt idx="19">
                  <c:v>20.69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20.25</c:v>
                </c:pt>
                <c:pt idx="31">
                  <c:v>19.62</c:v>
                </c:pt>
                <c:pt idx="32">
                  <c:v>21.12</c:v>
                </c:pt>
                <c:pt idx="33">
                  <c:v>19.25</c:v>
                </c:pt>
                <c:pt idx="34">
                  <c:v>19.850000000000001</c:v>
                </c:pt>
                <c:pt idx="35">
                  <c:v>19.53</c:v>
                </c:pt>
                <c:pt idx="36">
                  <c:v>20.02</c:v>
                </c:pt>
                <c:pt idx="37">
                  <c:v>21.02</c:v>
                </c:pt>
                <c:pt idx="38">
                  <c:v>20.29</c:v>
                </c:pt>
                <c:pt idx="39">
                  <c:v>20.93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7-4697-A3ED-06BC9AA5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2640"/>
        <c:axId val="432283032"/>
      </c:lineChart>
      <c:catAx>
        <c:axId val="43228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Set</a:t>
                </a:r>
                <a:r>
                  <a:rPr lang="en-ZA" baseline="0"/>
                  <a:t> No</a:t>
                </a:r>
                <a:endParaRPr lang="en-ZA"/>
              </a:p>
            </c:rich>
          </c:tx>
          <c:overlay val="0"/>
        </c:title>
        <c:majorTickMark val="none"/>
        <c:minorTickMark val="none"/>
        <c:tickLblPos val="nextTo"/>
        <c:crossAx val="432283032"/>
        <c:crosses val="autoZero"/>
        <c:auto val="1"/>
        <c:lblAlgn val="ctr"/>
        <c:lblOffset val="100"/>
        <c:noMultiLvlLbl val="0"/>
      </c:catAx>
      <c:valAx>
        <c:axId val="432283032"/>
        <c:scaling>
          <c:orientation val="minMax"/>
          <c:max val="23"/>
          <c:min val="1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ZA"/>
                  <a:t>% Ash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432282640"/>
        <c:crosses val="autoZero"/>
        <c:crossBetween val="between"/>
        <c:majorUnit val="0.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Calorifc</a:t>
            </a:r>
            <a:r>
              <a:rPr lang="en-ZA" baseline="0"/>
              <a:t> Value( Mj/Kg)- System(P) Vs References(R)</a:t>
            </a:r>
            <a:endParaRPr lang="en-ZA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System</c:v>
          </c:tx>
          <c:val>
            <c:numRef>
              <c:f>'Raw Data'!$K$7:$K$46</c:f>
              <c:numCache>
                <c:formatCode>0.00</c:formatCode>
                <c:ptCount val="40"/>
                <c:pt idx="0">
                  <c:v>25.638075313807533</c:v>
                </c:pt>
                <c:pt idx="1">
                  <c:v>25.036803364879077</c:v>
                </c:pt>
                <c:pt idx="2">
                  <c:v>26.569948186528496</c:v>
                </c:pt>
                <c:pt idx="3">
                  <c:v>25.093945720250524</c:v>
                </c:pt>
                <c:pt idx="4">
                  <c:v>25.858480749219563</c:v>
                </c:pt>
                <c:pt idx="5">
                  <c:v>25.267015706806284</c:v>
                </c:pt>
                <c:pt idx="6">
                  <c:v>25.997899159663866</c:v>
                </c:pt>
                <c:pt idx="7">
                  <c:v>24.414225941422597</c:v>
                </c:pt>
                <c:pt idx="8">
                  <c:v>25.456431535269708</c:v>
                </c:pt>
                <c:pt idx="9">
                  <c:v>24.973876698014628</c:v>
                </c:pt>
                <c:pt idx="10">
                  <c:v>23.65625</c:v>
                </c:pt>
                <c:pt idx="11">
                  <c:v>26.138716356107661</c:v>
                </c:pt>
                <c:pt idx="12">
                  <c:v>24.884696016771485</c:v>
                </c:pt>
                <c:pt idx="13">
                  <c:v>25.1356993736952</c:v>
                </c:pt>
                <c:pt idx="14">
                  <c:v>25.419287211740041</c:v>
                </c:pt>
                <c:pt idx="15">
                  <c:v>24.586776859504134</c:v>
                </c:pt>
                <c:pt idx="16">
                  <c:v>25.360501567398117</c:v>
                </c:pt>
                <c:pt idx="17">
                  <c:v>24.365162644281217</c:v>
                </c:pt>
                <c:pt idx="18">
                  <c:v>24.544502617801047</c:v>
                </c:pt>
                <c:pt idx="19">
                  <c:v>24.784889821615952</c:v>
                </c:pt>
                <c:pt idx="20">
                  <c:v>#N/A</c:v>
                </c:pt>
                <c:pt idx="21">
                  <c:v>26.138716356107661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24.821802935010481</c:v>
                </c:pt>
                <c:pt idx="31">
                  <c:v>25.667718191377499</c:v>
                </c:pt>
                <c:pt idx="32">
                  <c:v>24.880332986472425</c:v>
                </c:pt>
                <c:pt idx="33">
                  <c:v>25.628930817610062</c:v>
                </c:pt>
                <c:pt idx="34">
                  <c:v>25.27806925498426</c:v>
                </c:pt>
                <c:pt idx="35">
                  <c:v>24.822175732217573</c:v>
                </c:pt>
                <c:pt idx="36">
                  <c:v>24.485981308411215</c:v>
                </c:pt>
                <c:pt idx="37">
                  <c:v>24.5369406867846</c:v>
                </c:pt>
                <c:pt idx="38">
                  <c:v>25.026178010471206</c:v>
                </c:pt>
                <c:pt idx="39">
                  <c:v>24.563409563409564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3-401A-824C-01D177674DFE}"/>
            </c:ext>
          </c:extLst>
        </c:ser>
        <c:ser>
          <c:idx val="1"/>
          <c:order val="1"/>
          <c:tx>
            <c:v>Reference</c:v>
          </c:tx>
          <c:val>
            <c:numRef>
              <c:f>'Weighted Average'!$G$7:$G$46</c:f>
              <c:numCache>
                <c:formatCode>0.00</c:formatCode>
                <c:ptCount val="40"/>
                <c:pt idx="0">
                  <c:v>25.45</c:v>
                </c:pt>
                <c:pt idx="1">
                  <c:v>25.24</c:v>
                </c:pt>
                <c:pt idx="2">
                  <c:v>26.51</c:v>
                </c:pt>
                <c:pt idx="3">
                  <c:v>25.62</c:v>
                </c:pt>
                <c:pt idx="4">
                  <c:v>25.6</c:v>
                </c:pt>
                <c:pt idx="5">
                  <c:v>25.57</c:v>
                </c:pt>
                <c:pt idx="6">
                  <c:v>25.08</c:v>
                </c:pt>
                <c:pt idx="7">
                  <c:v>24.7</c:v>
                </c:pt>
                <c:pt idx="8">
                  <c:v>25.6</c:v>
                </c:pt>
                <c:pt idx="9">
                  <c:v>25.08</c:v>
                </c:pt>
                <c:pt idx="10">
                  <c:v>24.89</c:v>
                </c:pt>
                <c:pt idx="11">
                  <c:v>25.73</c:v>
                </c:pt>
                <c:pt idx="12">
                  <c:v>25.56</c:v>
                </c:pt>
                <c:pt idx="13">
                  <c:v>25.28</c:v>
                </c:pt>
                <c:pt idx="14">
                  <c:v>24.75</c:v>
                </c:pt>
                <c:pt idx="15">
                  <c:v>25.33</c:v>
                </c:pt>
                <c:pt idx="16">
                  <c:v>24.6</c:v>
                </c:pt>
                <c:pt idx="17">
                  <c:v>25.06</c:v>
                </c:pt>
                <c:pt idx="18">
                  <c:v>24.81</c:v>
                </c:pt>
                <c:pt idx="19">
                  <c:v>24.92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24.95</c:v>
                </c:pt>
                <c:pt idx="31">
                  <c:v>25.28</c:v>
                </c:pt>
                <c:pt idx="32">
                  <c:v>24.58</c:v>
                </c:pt>
                <c:pt idx="33">
                  <c:v>25.33</c:v>
                </c:pt>
                <c:pt idx="34">
                  <c:v>24.98</c:v>
                </c:pt>
                <c:pt idx="35">
                  <c:v>25.1</c:v>
                </c:pt>
                <c:pt idx="36">
                  <c:v>25.19</c:v>
                </c:pt>
                <c:pt idx="37">
                  <c:v>25.17</c:v>
                </c:pt>
                <c:pt idx="38">
                  <c:v>24.68</c:v>
                </c:pt>
                <c:pt idx="39">
                  <c:v>24.85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23-401A-824C-01D17767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286168"/>
        <c:axId val="432287344"/>
      </c:lineChart>
      <c:catAx>
        <c:axId val="432286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Set</a:t>
                </a:r>
                <a:r>
                  <a:rPr lang="en-US" baseline="0"/>
                  <a:t> No</a:t>
                </a:r>
                <a:r>
                  <a:rPr lang="en-US"/>
                  <a:t> </a:t>
                </a:r>
              </a:p>
            </c:rich>
          </c:tx>
          <c:overlay val="0"/>
        </c:title>
        <c:majorTickMark val="none"/>
        <c:minorTickMark val="none"/>
        <c:tickLblPos val="nextTo"/>
        <c:crossAx val="432287344"/>
        <c:crosses val="autoZero"/>
        <c:auto val="1"/>
        <c:lblAlgn val="ctr"/>
        <c:lblOffset val="100"/>
        <c:noMultiLvlLbl val="0"/>
      </c:catAx>
      <c:valAx>
        <c:axId val="432287344"/>
        <c:scaling>
          <c:orientation val="minMax"/>
          <c:max val="27"/>
          <c:min val="23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ZA"/>
                  <a:t>CV</a:t>
                </a:r>
                <a:r>
                  <a:rPr lang="en-ZA" baseline="0"/>
                  <a:t> Mj/kg</a:t>
                </a:r>
                <a:endParaRPr lang="en-ZA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 w="9525">
            <a:noFill/>
          </a:ln>
        </c:spPr>
        <c:crossAx val="432286168"/>
        <c:crosses val="autoZero"/>
        <c:crossBetween val="between"/>
        <c:majorUnit val="0.30000000000000004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 Masses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'Raw Data'!$B$7:$B$46</c:f>
              <c:numCache>
                <c:formatCode>0.00</c:formatCode>
                <c:ptCount val="40"/>
                <c:pt idx="0">
                  <c:v>3.06</c:v>
                </c:pt>
                <c:pt idx="1">
                  <c:v>3.26</c:v>
                </c:pt>
                <c:pt idx="2">
                  <c:v>2.74</c:v>
                </c:pt>
                <c:pt idx="3">
                  <c:v>2.48</c:v>
                </c:pt>
                <c:pt idx="4">
                  <c:v>2.38</c:v>
                </c:pt>
                <c:pt idx="5">
                  <c:v>2.1800000000000002</c:v>
                </c:pt>
                <c:pt idx="6">
                  <c:v>3.14</c:v>
                </c:pt>
                <c:pt idx="7">
                  <c:v>2.56</c:v>
                </c:pt>
                <c:pt idx="8">
                  <c:v>3.16</c:v>
                </c:pt>
                <c:pt idx="9">
                  <c:v>3.36</c:v>
                </c:pt>
                <c:pt idx="10">
                  <c:v>3.24</c:v>
                </c:pt>
                <c:pt idx="11">
                  <c:v>2.2999999999999998</c:v>
                </c:pt>
                <c:pt idx="12">
                  <c:v>2.42</c:v>
                </c:pt>
                <c:pt idx="13">
                  <c:v>2.74</c:v>
                </c:pt>
                <c:pt idx="14">
                  <c:v>2.4</c:v>
                </c:pt>
                <c:pt idx="15">
                  <c:v>2.56</c:v>
                </c:pt>
                <c:pt idx="16">
                  <c:v>2.66</c:v>
                </c:pt>
                <c:pt idx="17">
                  <c:v>2.2400000000000002</c:v>
                </c:pt>
                <c:pt idx="18">
                  <c:v>2.52</c:v>
                </c:pt>
                <c:pt idx="19">
                  <c:v>5</c:v>
                </c:pt>
                <c:pt idx="20">
                  <c:v>#N/A</c:v>
                </c:pt>
                <c:pt idx="21">
                  <c:v>2.2999999999999998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2.44</c:v>
                </c:pt>
                <c:pt idx="31">
                  <c:v>2.52</c:v>
                </c:pt>
                <c:pt idx="32">
                  <c:v>2.98</c:v>
                </c:pt>
                <c:pt idx="33">
                  <c:v>2.56</c:v>
                </c:pt>
                <c:pt idx="34">
                  <c:v>2.12</c:v>
                </c:pt>
                <c:pt idx="35">
                  <c:v>4.4800000000000004</c:v>
                </c:pt>
                <c:pt idx="36">
                  <c:v>2.06</c:v>
                </c:pt>
                <c:pt idx="37">
                  <c:v>2.72</c:v>
                </c:pt>
                <c:pt idx="38">
                  <c:v>3.26</c:v>
                </c:pt>
                <c:pt idx="39">
                  <c:v>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22-49D3-ADA9-B2F61C5029C4}"/>
            </c:ext>
          </c:extLst>
        </c:ser>
        <c:ser>
          <c:idx val="1"/>
          <c:order val="1"/>
          <c:tx>
            <c:v>RA Masses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'Raw Data'!$C$7:$C$46</c:f>
              <c:numCache>
                <c:formatCode>0.00</c:formatCode>
                <c:ptCount val="40"/>
                <c:pt idx="0">
                  <c:v>6.82</c:v>
                </c:pt>
                <c:pt idx="1">
                  <c:v>5.74</c:v>
                </c:pt>
                <c:pt idx="2">
                  <c:v>7.14</c:v>
                </c:pt>
                <c:pt idx="3">
                  <c:v>4.74</c:v>
                </c:pt>
                <c:pt idx="4">
                  <c:v>6.48</c:v>
                </c:pt>
                <c:pt idx="5">
                  <c:v>6.52</c:v>
                </c:pt>
                <c:pt idx="6">
                  <c:v>5.42</c:v>
                </c:pt>
                <c:pt idx="7">
                  <c:v>7</c:v>
                </c:pt>
                <c:pt idx="8">
                  <c:v>4.82</c:v>
                </c:pt>
                <c:pt idx="9">
                  <c:v>6.98</c:v>
                </c:pt>
                <c:pt idx="10">
                  <c:v>4.24</c:v>
                </c:pt>
                <c:pt idx="11">
                  <c:v>5.74</c:v>
                </c:pt>
                <c:pt idx="12">
                  <c:v>5.04</c:v>
                </c:pt>
                <c:pt idx="13">
                  <c:v>5.5</c:v>
                </c:pt>
                <c:pt idx="14">
                  <c:v>4.26</c:v>
                </c:pt>
                <c:pt idx="15">
                  <c:v>5.98</c:v>
                </c:pt>
                <c:pt idx="16">
                  <c:v>5.7</c:v>
                </c:pt>
                <c:pt idx="17">
                  <c:v>5.0999999999999996</c:v>
                </c:pt>
                <c:pt idx="18">
                  <c:v>4.62</c:v>
                </c:pt>
                <c:pt idx="19">
                  <c:v>6.24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4.04</c:v>
                </c:pt>
                <c:pt idx="31">
                  <c:v>4.96</c:v>
                </c:pt>
                <c:pt idx="32">
                  <c:v>3.98</c:v>
                </c:pt>
                <c:pt idx="33">
                  <c:v>5.32</c:v>
                </c:pt>
                <c:pt idx="34">
                  <c:v>4.22</c:v>
                </c:pt>
                <c:pt idx="35">
                  <c:v>6.08</c:v>
                </c:pt>
                <c:pt idx="36">
                  <c:v>3.12</c:v>
                </c:pt>
                <c:pt idx="37">
                  <c:v>5.7</c:v>
                </c:pt>
                <c:pt idx="38">
                  <c:v>4.42</c:v>
                </c:pt>
                <c:pt idx="39">
                  <c:v>5.66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22-49D3-ADA9-B2F61C5029C4}"/>
            </c:ext>
          </c:extLst>
        </c:ser>
        <c:ser>
          <c:idx val="2"/>
          <c:order val="2"/>
          <c:tx>
            <c:v>RA Masses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'Raw Data'!$D$7:$D$46</c:f>
              <c:numCache>
                <c:formatCode>0.00</c:formatCode>
                <c:ptCount val="40"/>
                <c:pt idx="0">
                  <c:v>7</c:v>
                </c:pt>
                <c:pt idx="1">
                  <c:v>5.36</c:v>
                </c:pt>
                <c:pt idx="2">
                  <c:v>5.36</c:v>
                </c:pt>
                <c:pt idx="3">
                  <c:v>3.9</c:v>
                </c:pt>
                <c:pt idx="4">
                  <c:v>4.92</c:v>
                </c:pt>
                <c:pt idx="5">
                  <c:v>6.08</c:v>
                </c:pt>
                <c:pt idx="6">
                  <c:v>4.6399999999999997</c:v>
                </c:pt>
                <c:pt idx="7">
                  <c:v>6.78</c:v>
                </c:pt>
                <c:pt idx="8">
                  <c:v>4.54</c:v>
                </c:pt>
                <c:pt idx="9">
                  <c:v>6.72</c:v>
                </c:pt>
                <c:pt idx="10">
                  <c:v>3.82</c:v>
                </c:pt>
                <c:pt idx="11">
                  <c:v>5</c:v>
                </c:pt>
                <c:pt idx="12">
                  <c:v>3.92</c:v>
                </c:pt>
                <c:pt idx="13">
                  <c:v>5.42</c:v>
                </c:pt>
                <c:pt idx="14">
                  <c:v>4.5199999999999996</c:v>
                </c:pt>
                <c:pt idx="15">
                  <c:v>5.92</c:v>
                </c:pt>
                <c:pt idx="16">
                  <c:v>4.3600000000000003</c:v>
                </c:pt>
                <c:pt idx="17">
                  <c:v>4.8</c:v>
                </c:pt>
                <c:pt idx="18">
                  <c:v>4.1399999999999997</c:v>
                </c:pt>
                <c:pt idx="19">
                  <c:v>6.28</c:v>
                </c:pt>
                <c:pt idx="20">
                  <c:v>6.28</c:v>
                </c:pt>
                <c:pt idx="21">
                  <c:v>5.92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4.26</c:v>
                </c:pt>
                <c:pt idx="31">
                  <c:v>5.28</c:v>
                </c:pt>
                <c:pt idx="32">
                  <c:v>3.46</c:v>
                </c:pt>
                <c:pt idx="33">
                  <c:v>4.8600000000000003</c:v>
                </c:pt>
                <c:pt idx="34">
                  <c:v>3.76</c:v>
                </c:pt>
                <c:pt idx="35">
                  <c:v>5.22</c:v>
                </c:pt>
                <c:pt idx="36">
                  <c:v>4.0999999999999996</c:v>
                </c:pt>
                <c:pt idx="37">
                  <c:v>5.24</c:v>
                </c:pt>
                <c:pt idx="38">
                  <c:v>4.0999999999999996</c:v>
                </c:pt>
                <c:pt idx="39">
                  <c:v>5.0199999999999996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22-49D3-ADA9-B2F61C502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280288"/>
        <c:axId val="432280680"/>
      </c:lineChart>
      <c:catAx>
        <c:axId val="43228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0680"/>
        <c:crosses val="autoZero"/>
        <c:auto val="1"/>
        <c:lblAlgn val="ctr"/>
        <c:lblOffset val="100"/>
        <c:noMultiLvlLbl val="0"/>
      </c:catAx>
      <c:valAx>
        <c:axId val="43228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2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11431</xdr:colOff>
      <xdr:row>10</xdr:row>
      <xdr:rowOff>161925</xdr:rowOff>
    </xdr:from>
    <xdr:to>
      <xdr:col>1</xdr:col>
      <xdr:colOff>57150</xdr:colOff>
      <xdr:row>12</xdr:row>
      <xdr:rowOff>28575</xdr:rowOff>
    </xdr:to>
    <xdr:sp macro="" textlink="">
      <xdr:nvSpPr>
        <xdr:cNvPr id="2" name="Left Bracke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1031" y="2085975"/>
          <a:ext cx="45719" cy="24765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20956</xdr:colOff>
      <xdr:row>10</xdr:row>
      <xdr:rowOff>161925</xdr:rowOff>
    </xdr:from>
    <xdr:to>
      <xdr:col>4</xdr:col>
      <xdr:colOff>66675</xdr:colOff>
      <xdr:row>12</xdr:row>
      <xdr:rowOff>38101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59356" y="2085975"/>
          <a:ext cx="45719" cy="257176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</xdr:col>
      <xdr:colOff>0</xdr:colOff>
      <xdr:row>15</xdr:row>
      <xdr:rowOff>180975</xdr:rowOff>
    </xdr:from>
    <xdr:to>
      <xdr:col>1</xdr:col>
      <xdr:colOff>104775</xdr:colOff>
      <xdr:row>21</xdr:row>
      <xdr:rowOff>28575</xdr:rowOff>
    </xdr:to>
    <xdr:sp macro="" textlink="">
      <xdr:nvSpPr>
        <xdr:cNvPr id="4" name="Left Bracke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3057525"/>
          <a:ext cx="104775" cy="9906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28575</xdr:colOff>
      <xdr:row>15</xdr:row>
      <xdr:rowOff>180975</xdr:rowOff>
    </xdr:from>
    <xdr:to>
      <xdr:col>4</xdr:col>
      <xdr:colOff>142875</xdr:colOff>
      <xdr:row>21</xdr:row>
      <xdr:rowOff>28575</xdr:rowOff>
    </xdr:to>
    <xdr:sp macro="" textlink="">
      <xdr:nvSpPr>
        <xdr:cNvPr id="5" name="Right Bracke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66975" y="3057525"/>
          <a:ext cx="114300" cy="9906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0</xdr:rowOff>
    </xdr:from>
    <xdr:to>
      <xdr:col>3</xdr:col>
      <xdr:colOff>714375</xdr:colOff>
      <xdr:row>13</xdr:row>
      <xdr:rowOff>104775</xdr:rowOff>
    </xdr:to>
    <xdr:sp macro="" textlink="">
      <xdr:nvSpPr>
        <xdr:cNvPr id="2049" name="AutoShape 1" descr="C_{j}={\frac  {S_{j}^{2}}{\displaystyle \sum _{{i=1}}^{N}S_{i}^{2}}}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1581150" cy="1581150"/>
        </a:xfrm>
        <a:prstGeom prst="rect">
          <a:avLst/>
        </a:prstGeom>
        <a:noFill/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10</xdr:row>
      <xdr:rowOff>152400</xdr:rowOff>
    </xdr:from>
    <xdr:to>
      <xdr:col>18</xdr:col>
      <xdr:colOff>142875</xdr:colOff>
      <xdr:row>13</xdr:row>
      <xdr:rowOff>85725</xdr:rowOff>
    </xdr:to>
    <xdr:sp macro="" textlink="">
      <xdr:nvSpPr>
        <xdr:cNvPr id="2" name="Left Bracke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258925" y="2143125"/>
          <a:ext cx="133350" cy="50482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  <xdr:twoCellAnchor>
    <xdr:from>
      <xdr:col>21</xdr:col>
      <xdr:colOff>0</xdr:colOff>
      <xdr:row>10</xdr:row>
      <xdr:rowOff>161925</xdr:rowOff>
    </xdr:from>
    <xdr:to>
      <xdr:col>21</xdr:col>
      <xdr:colOff>104775</xdr:colOff>
      <xdr:row>13</xdr:row>
      <xdr:rowOff>104775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6344900" y="2152650"/>
          <a:ext cx="104775" cy="51435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  <xdr:twoCellAnchor>
    <xdr:from>
      <xdr:col>18</xdr:col>
      <xdr:colOff>9524</xdr:colOff>
      <xdr:row>17</xdr:row>
      <xdr:rowOff>47625</xdr:rowOff>
    </xdr:from>
    <xdr:to>
      <xdr:col>18</xdr:col>
      <xdr:colOff>342899</xdr:colOff>
      <xdr:row>23</xdr:row>
      <xdr:rowOff>104775</xdr:rowOff>
    </xdr:to>
    <xdr:sp macro="" textlink="">
      <xdr:nvSpPr>
        <xdr:cNvPr id="4" name="Left Bracke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258924" y="3419475"/>
          <a:ext cx="333375" cy="127635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  <xdr:twoCellAnchor>
    <xdr:from>
      <xdr:col>20</xdr:col>
      <xdr:colOff>295276</xdr:colOff>
      <xdr:row>17</xdr:row>
      <xdr:rowOff>47625</xdr:rowOff>
    </xdr:from>
    <xdr:to>
      <xdr:col>21</xdr:col>
      <xdr:colOff>9526</xdr:colOff>
      <xdr:row>23</xdr:row>
      <xdr:rowOff>85725</xdr:rowOff>
    </xdr:to>
    <xdr:sp macro="" textlink="">
      <xdr:nvSpPr>
        <xdr:cNvPr id="5" name="Right Bracke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6030576" y="3419475"/>
          <a:ext cx="323850" cy="12573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13</xdr:row>
      <xdr:rowOff>180975</xdr:rowOff>
    </xdr:from>
    <xdr:to>
      <xdr:col>1</xdr:col>
      <xdr:colOff>600075</xdr:colOff>
      <xdr:row>19</xdr:row>
      <xdr:rowOff>28575</xdr:rowOff>
    </xdr:to>
    <xdr:sp macro="" textlink="">
      <xdr:nvSpPr>
        <xdr:cNvPr id="2" name="Left Bracke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62050" y="2657475"/>
          <a:ext cx="47625" cy="101917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9525</xdr:colOff>
      <xdr:row>13</xdr:row>
      <xdr:rowOff>171450</xdr:rowOff>
    </xdr:from>
    <xdr:to>
      <xdr:col>5</xdr:col>
      <xdr:colOff>55244</xdr:colOff>
      <xdr:row>19</xdr:row>
      <xdr:rowOff>38100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057525" y="2647950"/>
          <a:ext cx="45719" cy="1038225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114300</xdr:colOff>
      <xdr:row>41</xdr:row>
      <xdr:rowOff>171450</xdr:rowOff>
    </xdr:from>
    <xdr:to>
      <xdr:col>6</xdr:col>
      <xdr:colOff>238125</xdr:colOff>
      <xdr:row>47</xdr:row>
      <xdr:rowOff>9525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33850" y="8010525"/>
          <a:ext cx="123825" cy="981075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66675</xdr:colOff>
      <xdr:row>42</xdr:row>
      <xdr:rowOff>9524</xdr:rowOff>
    </xdr:from>
    <xdr:to>
      <xdr:col>3</xdr:col>
      <xdr:colOff>266700</xdr:colOff>
      <xdr:row>46</xdr:row>
      <xdr:rowOff>152399</xdr:rowOff>
    </xdr:to>
    <xdr:sp macro="" textlink="">
      <xdr:nvSpPr>
        <xdr:cNvPr id="5" name="Left Bracke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095500" y="8039099"/>
          <a:ext cx="200025" cy="90487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0</xdr:colOff>
      <xdr:row>49</xdr:row>
      <xdr:rowOff>0</xdr:rowOff>
    </xdr:from>
    <xdr:to>
      <xdr:col>3</xdr:col>
      <xdr:colOff>200025</xdr:colOff>
      <xdr:row>53</xdr:row>
      <xdr:rowOff>142875</xdr:rowOff>
    </xdr:to>
    <xdr:sp macro="" textlink="">
      <xdr:nvSpPr>
        <xdr:cNvPr id="7" name="Left Bracke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028825" y="9363075"/>
          <a:ext cx="200025" cy="90487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0</xdr:colOff>
      <xdr:row>49</xdr:row>
      <xdr:rowOff>0</xdr:rowOff>
    </xdr:from>
    <xdr:to>
      <xdr:col>6</xdr:col>
      <xdr:colOff>123825</xdr:colOff>
      <xdr:row>54</xdr:row>
      <xdr:rowOff>28575</xdr:rowOff>
    </xdr:to>
    <xdr:sp macro="" textlink="">
      <xdr:nvSpPr>
        <xdr:cNvPr id="10" name="Right Bracke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019550" y="9363075"/>
          <a:ext cx="123825" cy="981075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0</xdr:colOff>
      <xdr:row>57</xdr:row>
      <xdr:rowOff>19050</xdr:rowOff>
    </xdr:from>
    <xdr:to>
      <xdr:col>3</xdr:col>
      <xdr:colOff>209550</xdr:colOff>
      <xdr:row>61</xdr:row>
      <xdr:rowOff>152400</xdr:rowOff>
    </xdr:to>
    <xdr:sp macro="" textlink="">
      <xdr:nvSpPr>
        <xdr:cNvPr id="6" name="Left Bracke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028825" y="10925175"/>
          <a:ext cx="209550" cy="89535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704850</xdr:colOff>
      <xdr:row>57</xdr:row>
      <xdr:rowOff>0</xdr:rowOff>
    </xdr:from>
    <xdr:to>
      <xdr:col>6</xdr:col>
      <xdr:colOff>133350</xdr:colOff>
      <xdr:row>62</xdr:row>
      <xdr:rowOff>19050</xdr:rowOff>
    </xdr:to>
    <xdr:sp macro="" textlink="">
      <xdr:nvSpPr>
        <xdr:cNvPr id="8" name="Right Bracke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133850" y="10906125"/>
          <a:ext cx="200025" cy="97155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</xdr:col>
      <xdr:colOff>542925</xdr:colOff>
      <xdr:row>21</xdr:row>
      <xdr:rowOff>19050</xdr:rowOff>
    </xdr:from>
    <xdr:to>
      <xdr:col>2</xdr:col>
      <xdr:colOff>28575</xdr:colOff>
      <xdr:row>26</xdr:row>
      <xdr:rowOff>19050</xdr:rowOff>
    </xdr:to>
    <xdr:sp macro="" textlink="">
      <xdr:nvSpPr>
        <xdr:cNvPr id="9" name="Left Bracke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152525" y="4067175"/>
          <a:ext cx="95250" cy="952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571500</xdr:colOff>
      <xdr:row>21</xdr:row>
      <xdr:rowOff>19050</xdr:rowOff>
    </xdr:from>
    <xdr:to>
      <xdr:col>5</xdr:col>
      <xdr:colOff>85725</xdr:colOff>
      <xdr:row>25</xdr:row>
      <xdr:rowOff>152400</xdr:rowOff>
    </xdr:to>
    <xdr:sp macro="" textlink="">
      <xdr:nvSpPr>
        <xdr:cNvPr id="11" name="Right Bracke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390900" y="4067175"/>
          <a:ext cx="123825" cy="89535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561975</xdr:colOff>
      <xdr:row>28</xdr:row>
      <xdr:rowOff>19050</xdr:rowOff>
    </xdr:from>
    <xdr:to>
      <xdr:col>5</xdr:col>
      <xdr:colOff>47625</xdr:colOff>
      <xdr:row>32</xdr:row>
      <xdr:rowOff>142875</xdr:rowOff>
    </xdr:to>
    <xdr:sp macro="" textlink="">
      <xdr:nvSpPr>
        <xdr:cNvPr id="12" name="Right Bracke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3381375" y="5400675"/>
          <a:ext cx="95250" cy="885825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95250</xdr:colOff>
      <xdr:row>33</xdr:row>
      <xdr:rowOff>0</xdr:rowOff>
    </xdr:to>
    <xdr:sp macro="" textlink="">
      <xdr:nvSpPr>
        <xdr:cNvPr id="14" name="Left Bracke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219200" y="5381625"/>
          <a:ext cx="95250" cy="952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9525</xdr:colOff>
      <xdr:row>35</xdr:row>
      <xdr:rowOff>19050</xdr:rowOff>
    </xdr:from>
    <xdr:to>
      <xdr:col>2</xdr:col>
      <xdr:colOff>104775</xdr:colOff>
      <xdr:row>40</xdr:row>
      <xdr:rowOff>19050</xdr:rowOff>
    </xdr:to>
    <xdr:sp macro="" textlink="">
      <xdr:nvSpPr>
        <xdr:cNvPr id="16" name="Left Bracke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228725" y="6734175"/>
          <a:ext cx="95250" cy="952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0</xdr:colOff>
      <xdr:row>35</xdr:row>
      <xdr:rowOff>47625</xdr:rowOff>
    </xdr:from>
    <xdr:to>
      <xdr:col>5</xdr:col>
      <xdr:colOff>95250</xdr:colOff>
      <xdr:row>39</xdr:row>
      <xdr:rowOff>171450</xdr:rowOff>
    </xdr:to>
    <xdr:sp macro="" textlink="">
      <xdr:nvSpPr>
        <xdr:cNvPr id="18" name="Right Bracke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29000" y="6762750"/>
          <a:ext cx="95250" cy="885825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1081486</xdr:colOff>
      <xdr:row>19</xdr:row>
      <xdr:rowOff>89296</xdr:rowOff>
    </xdr:from>
    <xdr:to>
      <xdr:col>2</xdr:col>
      <xdr:colOff>208360</xdr:colOff>
      <xdr:row>23</xdr:row>
      <xdr:rowOff>109141</xdr:rowOff>
    </xdr:to>
    <xdr:sp macro="" textlink="">
      <xdr:nvSpPr>
        <xdr:cNvPr id="2" name="Double Bracke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86720" y="3829843"/>
          <a:ext cx="248046" cy="853282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  <xdr:twoCellAnchor>
    <xdr:from>
      <xdr:col>1</xdr:col>
      <xdr:colOff>1044575</xdr:colOff>
      <xdr:row>24</xdr:row>
      <xdr:rowOff>148830</xdr:rowOff>
    </xdr:from>
    <xdr:to>
      <xdr:col>2</xdr:col>
      <xdr:colOff>684609</xdr:colOff>
      <xdr:row>26</xdr:row>
      <xdr:rowOff>128985</xdr:rowOff>
    </xdr:to>
    <xdr:sp macro="" textlink="">
      <xdr:nvSpPr>
        <xdr:cNvPr id="3" name="Double Bracke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49809" y="4911330"/>
          <a:ext cx="761206" cy="396874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ZA" sz="1100"/>
        </a:p>
      </xdr:txBody>
    </xdr:sp>
    <xdr:clientData/>
  </xdr:twoCellAnchor>
  <xdr:twoCellAnchor editAs="oneCell">
    <xdr:from>
      <xdr:col>12</xdr:col>
      <xdr:colOff>9525</xdr:colOff>
      <xdr:row>38</xdr:row>
      <xdr:rowOff>180975</xdr:rowOff>
    </xdr:from>
    <xdr:to>
      <xdr:col>15</xdr:col>
      <xdr:colOff>409574</xdr:colOff>
      <xdr:row>43</xdr:row>
      <xdr:rowOff>180975</xdr:rowOff>
    </xdr:to>
    <xdr:sp macro="" textlink="">
      <xdr:nvSpPr>
        <xdr:cNvPr id="4099" name="AutoShape 3">
          <a:extLst>
            <a:ext uri="{FF2B5EF4-FFF2-40B4-BE49-F238E27FC236}">
              <a16:creationId xmlns:a16="http://schemas.microsoft.com/office/drawing/2014/main" id="{00000000-0008-0000-07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9429750" y="7686675"/>
          <a:ext cx="2695575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823516</xdr:colOff>
      <xdr:row>29</xdr:row>
      <xdr:rowOff>158750</xdr:rowOff>
    </xdr:from>
    <xdr:to>
      <xdr:col>9</xdr:col>
      <xdr:colOff>69453</xdr:colOff>
      <xdr:row>35</xdr:row>
      <xdr:rowOff>0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153672" y="5903516"/>
          <a:ext cx="119062" cy="972343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257968</xdr:colOff>
      <xdr:row>30</xdr:row>
      <xdr:rowOff>1</xdr:rowOff>
    </xdr:from>
    <xdr:to>
      <xdr:col>6</xdr:col>
      <xdr:colOff>377031</xdr:colOff>
      <xdr:row>34</xdr:row>
      <xdr:rowOff>178594</xdr:rowOff>
    </xdr:to>
    <xdr:sp macro="" textlink="">
      <xdr:nvSpPr>
        <xdr:cNvPr id="5" name="Left Bracke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573984" y="5933282"/>
          <a:ext cx="119063" cy="932656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</xdr:col>
      <xdr:colOff>238125</xdr:colOff>
      <xdr:row>30</xdr:row>
      <xdr:rowOff>29766</xdr:rowOff>
    </xdr:from>
    <xdr:to>
      <xdr:col>1</xdr:col>
      <xdr:colOff>297657</xdr:colOff>
      <xdr:row>31</xdr:row>
      <xdr:rowOff>9922</xdr:rowOff>
    </xdr:to>
    <xdr:sp macro="" textlink="">
      <xdr:nvSpPr>
        <xdr:cNvPr id="6" name="Left Bracke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43359" y="5963047"/>
          <a:ext cx="59532" cy="168672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823516</xdr:colOff>
      <xdr:row>30</xdr:row>
      <xdr:rowOff>19845</xdr:rowOff>
    </xdr:from>
    <xdr:to>
      <xdr:col>5</xdr:col>
      <xdr:colOff>69454</xdr:colOff>
      <xdr:row>31</xdr:row>
      <xdr:rowOff>9923</xdr:rowOff>
    </xdr:to>
    <xdr:sp macro="" textlink="">
      <xdr:nvSpPr>
        <xdr:cNvPr id="7" name="Right Bracke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442891" y="5953126"/>
          <a:ext cx="89297" cy="178594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1091406</xdr:colOff>
      <xdr:row>45</xdr:row>
      <xdr:rowOff>9922</xdr:rowOff>
    </xdr:from>
    <xdr:to>
      <xdr:col>7</xdr:col>
      <xdr:colOff>9922</xdr:colOff>
      <xdr:row>50</xdr:row>
      <xdr:rowOff>49609</xdr:rowOff>
    </xdr:to>
    <xdr:sp macro="" textlink="">
      <xdr:nvSpPr>
        <xdr:cNvPr id="8" name="Left Bracke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5407422" y="8770938"/>
          <a:ext cx="99219" cy="98226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</xdr:col>
      <xdr:colOff>793750</xdr:colOff>
      <xdr:row>44</xdr:row>
      <xdr:rowOff>168672</xdr:rowOff>
    </xdr:from>
    <xdr:to>
      <xdr:col>8</xdr:col>
      <xdr:colOff>69453</xdr:colOff>
      <xdr:row>50</xdr:row>
      <xdr:rowOff>39687</xdr:rowOff>
    </xdr:to>
    <xdr:sp macro="" textlink="">
      <xdr:nvSpPr>
        <xdr:cNvPr id="9" name="Right Bracke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290469" y="8741172"/>
          <a:ext cx="109140" cy="1002109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49610</xdr:colOff>
      <xdr:row>47</xdr:row>
      <xdr:rowOff>0</xdr:rowOff>
    </xdr:from>
    <xdr:to>
      <xdr:col>2</xdr:col>
      <xdr:colOff>95329</xdr:colOff>
      <xdr:row>47</xdr:row>
      <xdr:rowOff>168672</xdr:rowOff>
    </xdr:to>
    <xdr:sp macro="" textlink="">
      <xdr:nvSpPr>
        <xdr:cNvPr id="10" name="Left Bracke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776016" y="9138047"/>
          <a:ext cx="45719" cy="168672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</xdr:col>
      <xdr:colOff>793751</xdr:colOff>
      <xdr:row>46</xdr:row>
      <xdr:rowOff>178593</xdr:rowOff>
    </xdr:from>
    <xdr:to>
      <xdr:col>6</xdr:col>
      <xdr:colOff>39689</xdr:colOff>
      <xdr:row>48</xdr:row>
      <xdr:rowOff>9920</xdr:rowOff>
    </xdr:to>
    <xdr:sp macro="" textlink="">
      <xdr:nvSpPr>
        <xdr:cNvPr id="11" name="Right Bracke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4256485" y="9128124"/>
          <a:ext cx="99220" cy="208359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28574</xdr:rowOff>
    </xdr:from>
    <xdr:to>
      <xdr:col>12</xdr:col>
      <xdr:colOff>428626</xdr:colOff>
      <xdr:row>33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38</xdr:row>
      <xdr:rowOff>171449</xdr:rowOff>
    </xdr:from>
    <xdr:to>
      <xdr:col>12</xdr:col>
      <xdr:colOff>485775</xdr:colOff>
      <xdr:row>62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276224</xdr:colOff>
      <xdr:row>67</xdr:row>
      <xdr:rowOff>9524</xdr:rowOff>
    </xdr:from>
    <xdr:to>
      <xdr:col>12</xdr:col>
      <xdr:colOff>476249</xdr:colOff>
      <xdr:row>88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3</xdr:row>
      <xdr:rowOff>76200</xdr:rowOff>
    </xdr:from>
    <xdr:to>
      <xdr:col>16</xdr:col>
      <xdr:colOff>361950</xdr:colOff>
      <xdr:row>21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6790-DFC2-458D-A587-6AD838DF2375}">
  <sheetPr codeName="Sheet1"/>
  <dimension ref="B3:T135"/>
  <sheetViews>
    <sheetView showGridLines="0" tabSelected="1" workbookViewId="0">
      <selection activeCell="C6" sqref="C6"/>
    </sheetView>
  </sheetViews>
  <sheetFormatPr defaultRowHeight="14.4" x14ac:dyDescent="0.3"/>
  <cols>
    <col min="2" max="2" width="21.6640625" customWidth="1"/>
    <col min="3" max="3" width="15.88671875" customWidth="1"/>
    <col min="4" max="4" width="16.5546875" customWidth="1"/>
    <col min="5" max="5" width="20.33203125" customWidth="1"/>
    <col min="6" max="6" width="16.33203125" customWidth="1"/>
    <col min="20" max="20" width="23.33203125" customWidth="1"/>
  </cols>
  <sheetData>
    <row r="3" spans="2:20" ht="15" thickBot="1" x14ac:dyDescent="0.35"/>
    <row r="4" spans="2:20" ht="15" thickBot="1" x14ac:dyDescent="0.35">
      <c r="B4" t="s">
        <v>156</v>
      </c>
      <c r="C4" s="35" t="s">
        <v>157</v>
      </c>
      <c r="D4" s="7"/>
    </row>
    <row r="7" spans="2:20" s="165" customFormat="1" ht="13.2" hidden="1" x14ac:dyDescent="0.25">
      <c r="C7" s="316"/>
      <c r="D7" s="316"/>
      <c r="E7" s="316"/>
      <c r="F7" s="316"/>
      <c r="G7" s="167"/>
      <c r="H7" s="168"/>
      <c r="I7" s="168"/>
      <c r="J7" s="169"/>
      <c r="K7" s="169"/>
      <c r="L7" s="166"/>
      <c r="M7" s="167"/>
      <c r="Q7" s="165" t="s">
        <v>127</v>
      </c>
    </row>
    <row r="8" spans="2:20" s="165" customFormat="1" ht="13.8" thickBot="1" x14ac:dyDescent="0.3">
      <c r="C8" s="164"/>
      <c r="D8" s="164"/>
      <c r="E8" s="164"/>
      <c r="F8" s="170"/>
      <c r="G8" s="167"/>
      <c r="H8" s="317"/>
      <c r="I8" s="317"/>
      <c r="J8" s="303"/>
      <c r="K8" s="303"/>
      <c r="L8" s="166"/>
      <c r="M8" s="167"/>
    </row>
    <row r="9" spans="2:20" s="165" customFormat="1" ht="12.75" customHeight="1" thickBot="1" x14ac:dyDescent="0.3">
      <c r="C9" s="171"/>
      <c r="D9" s="171"/>
      <c r="E9" s="172"/>
      <c r="F9" s="173" t="s">
        <v>128</v>
      </c>
      <c r="G9" s="304" t="s">
        <v>129</v>
      </c>
      <c r="H9" s="305"/>
      <c r="I9" s="305"/>
      <c r="J9" s="305"/>
      <c r="K9" s="305"/>
      <c r="L9" s="305"/>
      <c r="M9" s="306"/>
      <c r="N9" s="307" t="s">
        <v>130</v>
      </c>
      <c r="O9" s="308"/>
      <c r="P9" s="308"/>
      <c r="Q9" s="308"/>
      <c r="R9" s="308"/>
      <c r="S9" s="309"/>
      <c r="T9" s="174" t="s">
        <v>131</v>
      </c>
    </row>
    <row r="10" spans="2:20" s="165" customFormat="1" ht="12.75" customHeight="1" x14ac:dyDescent="0.25">
      <c r="B10" s="175"/>
      <c r="C10" s="310" t="s">
        <v>132</v>
      </c>
      <c r="D10" s="176"/>
      <c r="E10" s="310" t="s">
        <v>133</v>
      </c>
      <c r="F10" s="177" t="s">
        <v>134</v>
      </c>
      <c r="G10" s="313" t="s">
        <v>135</v>
      </c>
      <c r="H10" s="178" t="s">
        <v>136</v>
      </c>
      <c r="I10" s="178" t="s">
        <v>137</v>
      </c>
      <c r="J10" s="178" t="s">
        <v>138</v>
      </c>
      <c r="K10" s="179" t="s">
        <v>139</v>
      </c>
      <c r="L10" s="180" t="s">
        <v>134</v>
      </c>
      <c r="M10" s="181" t="s">
        <v>140</v>
      </c>
      <c r="N10" s="182" t="s">
        <v>136</v>
      </c>
      <c r="O10" s="178" t="s">
        <v>137</v>
      </c>
      <c r="P10" s="178" t="s">
        <v>138</v>
      </c>
      <c r="Q10" s="179" t="s">
        <v>139</v>
      </c>
      <c r="R10" s="180" t="s">
        <v>134</v>
      </c>
      <c r="S10" s="183" t="s">
        <v>140</v>
      </c>
      <c r="T10" s="184"/>
    </row>
    <row r="11" spans="2:20" s="165" customFormat="1" ht="12.75" customHeight="1" x14ac:dyDescent="0.25">
      <c r="B11" s="185"/>
      <c r="C11" s="311"/>
      <c r="D11" s="186"/>
      <c r="E11" s="311"/>
      <c r="F11" s="187" t="s">
        <v>141</v>
      </c>
      <c r="G11" s="314"/>
      <c r="H11" s="178"/>
      <c r="I11" s="178" t="s">
        <v>142</v>
      </c>
      <c r="J11" s="178" t="s">
        <v>143</v>
      </c>
      <c r="K11" s="179" t="s">
        <v>144</v>
      </c>
      <c r="L11" s="180" t="s">
        <v>145</v>
      </c>
      <c r="M11" s="181" t="s">
        <v>146</v>
      </c>
      <c r="N11" s="182"/>
      <c r="O11" s="178" t="s">
        <v>142</v>
      </c>
      <c r="P11" s="178" t="s">
        <v>143</v>
      </c>
      <c r="Q11" s="179" t="s">
        <v>144</v>
      </c>
      <c r="R11" s="180" t="s">
        <v>145</v>
      </c>
      <c r="S11" s="183" t="s">
        <v>146</v>
      </c>
      <c r="T11" s="188"/>
    </row>
    <row r="12" spans="2:20" s="165" customFormat="1" ht="13.8" thickBot="1" x14ac:dyDescent="0.3">
      <c r="B12" s="185" t="s">
        <v>147</v>
      </c>
      <c r="C12" s="311"/>
      <c r="D12" s="186" t="s">
        <v>148</v>
      </c>
      <c r="E12" s="311"/>
      <c r="F12" s="189" t="s">
        <v>149</v>
      </c>
      <c r="G12" s="315"/>
      <c r="H12" s="190" t="s">
        <v>149</v>
      </c>
      <c r="I12" s="190" t="s">
        <v>149</v>
      </c>
      <c r="J12" s="190" t="s">
        <v>149</v>
      </c>
      <c r="K12" s="191" t="s">
        <v>150</v>
      </c>
      <c r="L12" s="192" t="s">
        <v>149</v>
      </c>
      <c r="M12" s="193" t="s">
        <v>149</v>
      </c>
      <c r="N12" s="194" t="s">
        <v>149</v>
      </c>
      <c r="O12" s="190" t="s">
        <v>149</v>
      </c>
      <c r="P12" s="190" t="s">
        <v>149</v>
      </c>
      <c r="Q12" s="191" t="s">
        <v>150</v>
      </c>
      <c r="R12" s="192" t="s">
        <v>149</v>
      </c>
      <c r="S12" s="195" t="s">
        <v>149</v>
      </c>
      <c r="T12" s="196"/>
    </row>
    <row r="13" spans="2:20" s="165" customFormat="1" ht="13.2" x14ac:dyDescent="0.25">
      <c r="B13" s="185"/>
      <c r="C13" s="311"/>
      <c r="D13" s="186"/>
      <c r="E13" s="311"/>
      <c r="F13" s="197"/>
      <c r="G13" s="198"/>
      <c r="H13" s="199"/>
      <c r="I13" s="199"/>
      <c r="J13" s="199" t="s">
        <v>151</v>
      </c>
      <c r="K13" s="200"/>
      <c r="L13" s="201"/>
      <c r="M13" s="202"/>
      <c r="N13" s="203"/>
      <c r="O13" s="199"/>
      <c r="P13" s="199" t="s">
        <v>151</v>
      </c>
      <c r="Q13" s="200"/>
      <c r="R13" s="201"/>
      <c r="S13" s="204"/>
      <c r="T13" s="185"/>
    </row>
    <row r="14" spans="2:20" s="165" customFormat="1" ht="13.8" thickBot="1" x14ac:dyDescent="0.3">
      <c r="B14" s="196"/>
      <c r="C14" s="312"/>
      <c r="D14" s="205"/>
      <c r="E14" s="205" t="s">
        <v>152</v>
      </c>
      <c r="F14" s="206"/>
      <c r="G14" s="207"/>
      <c r="H14" s="208"/>
      <c r="I14" s="208"/>
      <c r="J14" s="208" t="s">
        <v>153</v>
      </c>
      <c r="K14" s="209"/>
      <c r="L14" s="210"/>
      <c r="M14" s="211"/>
      <c r="N14" s="212"/>
      <c r="O14" s="208"/>
      <c r="P14" s="208" t="s">
        <v>153</v>
      </c>
      <c r="Q14" s="209"/>
      <c r="R14" s="210"/>
      <c r="S14" s="213"/>
      <c r="T14" s="196"/>
    </row>
    <row r="15" spans="2:20" s="165" customFormat="1" ht="12.75" customHeight="1" x14ac:dyDescent="0.3">
      <c r="B15" s="214" t="s">
        <v>154</v>
      </c>
      <c r="C15" s="215">
        <v>1144370</v>
      </c>
      <c r="D15" s="216">
        <v>103</v>
      </c>
      <c r="E15" s="153">
        <v>2.2999999999999998</v>
      </c>
      <c r="F15" s="217">
        <v>9.3000000000000007</v>
      </c>
      <c r="G15" s="218">
        <v>3.4</v>
      </c>
      <c r="H15" s="218">
        <v>16.100000000000001</v>
      </c>
      <c r="I15" s="219" t="s">
        <v>23</v>
      </c>
      <c r="J15" s="220" t="s">
        <v>23</v>
      </c>
      <c r="K15" s="221">
        <v>25.25</v>
      </c>
      <c r="L15" s="222" t="s">
        <v>23</v>
      </c>
      <c r="M15" s="223" t="s">
        <v>23</v>
      </c>
      <c r="N15" s="224">
        <f>IF(AND($H15&gt;0,H15&gt;0),(H15*100)/(100-$G15),"")</f>
        <v>16.666666666666671</v>
      </c>
      <c r="O15" s="223" t="s">
        <v>23</v>
      </c>
      <c r="P15" s="223" t="s">
        <v>23</v>
      </c>
      <c r="Q15" s="155">
        <f t="shared" ref="Q15:Q19" si="0">IF(AND($H15&gt;0,K15&gt;0),(K15*100)/(100-$H15),"")</f>
        <v>30.095351609058401</v>
      </c>
      <c r="R15" s="223" t="s">
        <v>23</v>
      </c>
      <c r="S15" s="223" t="s">
        <v>23</v>
      </c>
      <c r="T15" s="225"/>
    </row>
    <row r="16" spans="2:20" s="165" customFormat="1" ht="12.75" customHeight="1" x14ac:dyDescent="0.3">
      <c r="B16" s="226" t="s">
        <v>154</v>
      </c>
      <c r="C16" s="227">
        <v>1144371</v>
      </c>
      <c r="D16" s="228">
        <v>115</v>
      </c>
      <c r="E16" s="153">
        <v>4.0999999999999996</v>
      </c>
      <c r="F16" s="217">
        <v>9.6</v>
      </c>
      <c r="G16" s="229">
        <v>3.7</v>
      </c>
      <c r="H16" s="229">
        <v>19.2</v>
      </c>
      <c r="I16" s="219" t="s">
        <v>23</v>
      </c>
      <c r="J16" s="220" t="s">
        <v>23</v>
      </c>
      <c r="K16" s="221">
        <v>24.25</v>
      </c>
      <c r="L16" s="222" t="s">
        <v>23</v>
      </c>
      <c r="M16" s="223" t="s">
        <v>23</v>
      </c>
      <c r="N16" s="224">
        <f t="shared" ref="N16:N79" si="1">IF(AND($H16&gt;0,H16&gt;0),(H16*100)/(100-$G16),"")</f>
        <v>19.937694704049846</v>
      </c>
      <c r="O16" s="223" t="s">
        <v>23</v>
      </c>
      <c r="P16" s="223" t="s">
        <v>23</v>
      </c>
      <c r="Q16" s="155">
        <f t="shared" si="0"/>
        <v>30.012376237623762</v>
      </c>
      <c r="R16" s="223" t="s">
        <v>23</v>
      </c>
      <c r="S16" s="223" t="s">
        <v>23</v>
      </c>
      <c r="T16" s="225"/>
    </row>
    <row r="17" spans="2:20" s="165" customFormat="1" ht="12.75" customHeight="1" x14ac:dyDescent="0.3">
      <c r="B17" s="226" t="s">
        <v>154</v>
      </c>
      <c r="C17" s="230">
        <v>1144372</v>
      </c>
      <c r="D17" s="231">
        <v>135</v>
      </c>
      <c r="E17" s="154">
        <v>5.98</v>
      </c>
      <c r="F17" s="232">
        <v>9.1</v>
      </c>
      <c r="G17" s="229">
        <v>3.6</v>
      </c>
      <c r="H17" s="229">
        <v>19.3</v>
      </c>
      <c r="I17" s="219" t="s">
        <v>23</v>
      </c>
      <c r="J17" s="233" t="s">
        <v>23</v>
      </c>
      <c r="K17" s="234">
        <v>24.24</v>
      </c>
      <c r="L17" s="222" t="s">
        <v>23</v>
      </c>
      <c r="M17" s="223" t="s">
        <v>23</v>
      </c>
      <c r="N17" s="224">
        <f t="shared" si="1"/>
        <v>20.020746887966805</v>
      </c>
      <c r="O17" s="223" t="s">
        <v>23</v>
      </c>
      <c r="P17" s="223" t="s">
        <v>23</v>
      </c>
      <c r="Q17" s="156">
        <f t="shared" si="0"/>
        <v>30.03717472118959</v>
      </c>
      <c r="R17" s="223" t="s">
        <v>23</v>
      </c>
      <c r="S17" s="223" t="s">
        <v>23</v>
      </c>
      <c r="T17" s="236"/>
    </row>
    <row r="18" spans="2:20" s="165" customFormat="1" ht="12.75" customHeight="1" x14ac:dyDescent="0.3">
      <c r="B18" s="226" t="s">
        <v>154</v>
      </c>
      <c r="C18" s="237">
        <v>1144373</v>
      </c>
      <c r="D18" s="231">
        <v>144</v>
      </c>
      <c r="E18" s="154">
        <v>7.14</v>
      </c>
      <c r="F18" s="238">
        <v>8.9</v>
      </c>
      <c r="G18" s="229">
        <v>3.4</v>
      </c>
      <c r="H18" s="229">
        <v>15.4</v>
      </c>
      <c r="I18" s="219" t="s">
        <v>23</v>
      </c>
      <c r="J18" s="233" t="s">
        <v>23</v>
      </c>
      <c r="K18" s="234">
        <v>25.82</v>
      </c>
      <c r="L18" s="222" t="s">
        <v>23</v>
      </c>
      <c r="M18" s="223" t="s">
        <v>23</v>
      </c>
      <c r="N18" s="224">
        <f t="shared" si="1"/>
        <v>15.942028985507248</v>
      </c>
      <c r="O18" s="223" t="s">
        <v>23</v>
      </c>
      <c r="P18" s="223" t="s">
        <v>23</v>
      </c>
      <c r="Q18" s="156">
        <f t="shared" si="0"/>
        <v>30.520094562647756</v>
      </c>
      <c r="R18" s="223" t="s">
        <v>23</v>
      </c>
      <c r="S18" s="223" t="s">
        <v>23</v>
      </c>
      <c r="T18" s="236"/>
    </row>
    <row r="19" spans="2:20" s="165" customFormat="1" ht="12.75" customHeight="1" x14ac:dyDescent="0.3">
      <c r="B19" s="226" t="s">
        <v>154</v>
      </c>
      <c r="C19" s="227">
        <v>1144374</v>
      </c>
      <c r="D19" s="228">
        <v>155</v>
      </c>
      <c r="E19" s="153">
        <v>2.56</v>
      </c>
      <c r="F19" s="217">
        <v>9.8000000000000007</v>
      </c>
      <c r="G19" s="229">
        <v>3.2</v>
      </c>
      <c r="H19" s="229">
        <v>20.2</v>
      </c>
      <c r="I19" s="219" t="s">
        <v>23</v>
      </c>
      <c r="J19" s="220" t="s">
        <v>23</v>
      </c>
      <c r="K19" s="221">
        <v>23.8</v>
      </c>
      <c r="L19" s="222" t="s">
        <v>23</v>
      </c>
      <c r="M19" s="223" t="s">
        <v>23</v>
      </c>
      <c r="N19" s="224">
        <f t="shared" si="1"/>
        <v>20.867768595041323</v>
      </c>
      <c r="O19" s="223" t="s">
        <v>23</v>
      </c>
      <c r="P19" s="223" t="s">
        <v>23</v>
      </c>
      <c r="Q19" s="155">
        <f t="shared" si="0"/>
        <v>29.824561403508774</v>
      </c>
      <c r="R19" s="223" t="s">
        <v>23</v>
      </c>
      <c r="S19" s="223" t="s">
        <v>23</v>
      </c>
      <c r="T19" s="225"/>
    </row>
    <row r="20" spans="2:20" s="165" customFormat="1" ht="12.75" customHeight="1" x14ac:dyDescent="0.3">
      <c r="B20" s="226" t="s">
        <v>154</v>
      </c>
      <c r="C20" s="230">
        <v>1144375</v>
      </c>
      <c r="D20" s="231">
        <v>156</v>
      </c>
      <c r="E20" s="153">
        <v>5</v>
      </c>
      <c r="F20" s="238">
        <v>8.8000000000000007</v>
      </c>
      <c r="G20" s="229">
        <v>3.5</v>
      </c>
      <c r="H20" s="229">
        <v>18.399999999999999</v>
      </c>
      <c r="I20" s="219" t="s">
        <v>23</v>
      </c>
      <c r="J20" s="220" t="s">
        <v>23</v>
      </c>
      <c r="K20" s="221">
        <v>24.65</v>
      </c>
      <c r="L20" s="222" t="s">
        <v>23</v>
      </c>
      <c r="M20" s="223" t="s">
        <v>23</v>
      </c>
      <c r="N20" s="224">
        <f t="shared" si="1"/>
        <v>19.067357512953365</v>
      </c>
      <c r="O20" s="223" t="s">
        <v>23</v>
      </c>
      <c r="P20" s="223" t="s">
        <v>23</v>
      </c>
      <c r="Q20" s="155">
        <f>IF(AND($H20&gt;0,K20&gt;0),(K20*100)/(100-$H20),"")</f>
        <v>30.208333333333336</v>
      </c>
      <c r="R20" s="223" t="s">
        <v>23</v>
      </c>
      <c r="S20" s="223" t="s">
        <v>23</v>
      </c>
      <c r="T20" s="225"/>
    </row>
    <row r="21" spans="2:20" s="165" customFormat="1" ht="12.75" customHeight="1" x14ac:dyDescent="0.3">
      <c r="B21" s="226" t="s">
        <v>154</v>
      </c>
      <c r="C21" s="230">
        <v>1144376</v>
      </c>
      <c r="D21" s="228">
        <v>159</v>
      </c>
      <c r="E21" s="154">
        <v>5.92</v>
      </c>
      <c r="F21" s="217">
        <v>8.8000000000000007</v>
      </c>
      <c r="G21" s="229">
        <v>3.5</v>
      </c>
      <c r="H21" s="229">
        <v>17.7</v>
      </c>
      <c r="I21" s="219" t="s">
        <v>23</v>
      </c>
      <c r="J21" s="233" t="s">
        <v>23</v>
      </c>
      <c r="K21" s="234">
        <v>24.62</v>
      </c>
      <c r="L21" s="222" t="s">
        <v>23</v>
      </c>
      <c r="M21" s="223" t="s">
        <v>23</v>
      </c>
      <c r="N21" s="224">
        <f t="shared" si="1"/>
        <v>18.3419689119171</v>
      </c>
      <c r="O21" s="223" t="s">
        <v>23</v>
      </c>
      <c r="P21" s="223" t="s">
        <v>23</v>
      </c>
      <c r="Q21" s="156">
        <f t="shared" ref="Q21:Q84" si="2">IF(AND($H21&gt;0,K21&gt;0),(K21*100)/(100-$H21),"")</f>
        <v>29.914945321992711</v>
      </c>
      <c r="R21" s="223" t="s">
        <v>23</v>
      </c>
      <c r="S21" s="223" t="s">
        <v>23</v>
      </c>
      <c r="T21" s="236"/>
    </row>
    <row r="22" spans="2:20" s="165" customFormat="1" ht="12.75" customHeight="1" x14ac:dyDescent="0.3">
      <c r="B22" s="226" t="s">
        <v>154</v>
      </c>
      <c r="C22" s="237">
        <v>1144377</v>
      </c>
      <c r="D22" s="239">
        <v>162</v>
      </c>
      <c r="E22" s="153">
        <v>5.36</v>
      </c>
      <c r="F22" s="217">
        <v>8.6</v>
      </c>
      <c r="G22" s="229">
        <v>3.4</v>
      </c>
      <c r="H22" s="229">
        <v>16.399999999999999</v>
      </c>
      <c r="I22" s="219" t="s">
        <v>23</v>
      </c>
      <c r="J22" s="220" t="s">
        <v>23</v>
      </c>
      <c r="K22" s="221">
        <v>25.33</v>
      </c>
      <c r="L22" s="222" t="s">
        <v>23</v>
      </c>
      <c r="M22" s="223" t="s">
        <v>23</v>
      </c>
      <c r="N22" s="224">
        <f t="shared" si="1"/>
        <v>16.977225672877847</v>
      </c>
      <c r="O22" s="223" t="s">
        <v>23</v>
      </c>
      <c r="P22" s="223" t="s">
        <v>23</v>
      </c>
      <c r="Q22" s="155">
        <f t="shared" si="2"/>
        <v>30.299043062200958</v>
      </c>
      <c r="R22" s="223" t="s">
        <v>23</v>
      </c>
      <c r="S22" s="223" t="s">
        <v>23</v>
      </c>
      <c r="T22" s="225"/>
    </row>
    <row r="23" spans="2:20" s="165" customFormat="1" ht="12.75" customHeight="1" x14ac:dyDescent="0.3">
      <c r="B23" s="226" t="s">
        <v>154</v>
      </c>
      <c r="C23" s="237">
        <v>1144378</v>
      </c>
      <c r="D23" s="231">
        <v>165</v>
      </c>
      <c r="E23" s="153">
        <v>2.74</v>
      </c>
      <c r="F23" s="217">
        <v>9.1999999999999993</v>
      </c>
      <c r="G23" s="229">
        <v>3.5</v>
      </c>
      <c r="H23" s="229">
        <v>15.5</v>
      </c>
      <c r="I23" s="219" t="s">
        <v>23</v>
      </c>
      <c r="J23" s="220" t="s">
        <v>23</v>
      </c>
      <c r="K23" s="221">
        <v>25.64</v>
      </c>
      <c r="L23" s="222" t="s">
        <v>23</v>
      </c>
      <c r="M23" s="223" t="s">
        <v>23</v>
      </c>
      <c r="N23" s="224">
        <f t="shared" si="1"/>
        <v>16.062176165803109</v>
      </c>
      <c r="O23" s="223" t="s">
        <v>23</v>
      </c>
      <c r="P23" s="223" t="s">
        <v>23</v>
      </c>
      <c r="Q23" s="155">
        <f t="shared" si="2"/>
        <v>30.34319526627219</v>
      </c>
      <c r="R23" s="223" t="s">
        <v>23</v>
      </c>
      <c r="S23" s="223" t="s">
        <v>23</v>
      </c>
      <c r="T23" s="225"/>
    </row>
    <row r="24" spans="2:20" s="165" customFormat="1" ht="12.75" customHeight="1" x14ac:dyDescent="0.3">
      <c r="B24" s="226" t="s">
        <v>154</v>
      </c>
      <c r="C24" s="227">
        <v>1144379</v>
      </c>
      <c r="D24" s="228">
        <v>183</v>
      </c>
      <c r="E24" s="153">
        <v>5.74</v>
      </c>
      <c r="F24" s="217">
        <v>8.8000000000000007</v>
      </c>
      <c r="G24" s="229">
        <v>3.4</v>
      </c>
      <c r="H24" s="229">
        <v>17.2</v>
      </c>
      <c r="I24" s="219" t="s">
        <v>23</v>
      </c>
      <c r="J24" s="220" t="s">
        <v>23</v>
      </c>
      <c r="K24" s="221">
        <v>25.01</v>
      </c>
      <c r="L24" s="222" t="s">
        <v>23</v>
      </c>
      <c r="M24" s="223" t="s">
        <v>23</v>
      </c>
      <c r="N24" s="224">
        <f t="shared" si="1"/>
        <v>17.805383022774329</v>
      </c>
      <c r="O24" s="223" t="s">
        <v>23</v>
      </c>
      <c r="P24" s="223" t="s">
        <v>23</v>
      </c>
      <c r="Q24" s="155">
        <f t="shared" si="2"/>
        <v>30.205314009661837</v>
      </c>
      <c r="R24" s="223" t="s">
        <v>23</v>
      </c>
      <c r="S24" s="223" t="s">
        <v>23</v>
      </c>
      <c r="T24" s="225"/>
    </row>
    <row r="25" spans="2:20" s="165" customFormat="1" ht="12.75" customHeight="1" x14ac:dyDescent="0.3">
      <c r="B25" s="226" t="s">
        <v>154</v>
      </c>
      <c r="C25" s="230">
        <v>1144380</v>
      </c>
      <c r="D25" s="239">
        <v>187</v>
      </c>
      <c r="E25" s="153">
        <v>3.12</v>
      </c>
      <c r="F25" s="217">
        <v>9.6</v>
      </c>
      <c r="G25" s="229">
        <v>3.6</v>
      </c>
      <c r="H25" s="229">
        <v>19.399999999999999</v>
      </c>
      <c r="I25" s="219" t="s">
        <v>23</v>
      </c>
      <c r="J25" s="220" t="s">
        <v>23</v>
      </c>
      <c r="K25" s="221">
        <v>24.3</v>
      </c>
      <c r="L25" s="222" t="s">
        <v>23</v>
      </c>
      <c r="M25" s="223" t="s">
        <v>23</v>
      </c>
      <c r="N25" s="224">
        <f t="shared" si="1"/>
        <v>20.124481327800826</v>
      </c>
      <c r="O25" s="223" t="s">
        <v>23</v>
      </c>
      <c r="P25" s="223" t="s">
        <v>23</v>
      </c>
      <c r="Q25" s="155">
        <f t="shared" si="2"/>
        <v>30.148883374689827</v>
      </c>
      <c r="R25" s="223" t="s">
        <v>23</v>
      </c>
      <c r="S25" s="223" t="s">
        <v>23</v>
      </c>
      <c r="T25" s="225"/>
    </row>
    <row r="26" spans="2:20" s="165" customFormat="1" ht="12.75" customHeight="1" x14ac:dyDescent="0.3">
      <c r="B26" s="226" t="s">
        <v>154</v>
      </c>
      <c r="C26" s="230">
        <v>1144381</v>
      </c>
      <c r="D26" s="239">
        <v>190</v>
      </c>
      <c r="E26" s="153">
        <v>2.06</v>
      </c>
      <c r="F26" s="217">
        <v>9</v>
      </c>
      <c r="G26" s="229">
        <v>3.7</v>
      </c>
      <c r="H26" s="229">
        <v>21.2</v>
      </c>
      <c r="I26" s="219" t="s">
        <v>23</v>
      </c>
      <c r="J26" s="220" t="s">
        <v>23</v>
      </c>
      <c r="K26" s="221">
        <v>23.58</v>
      </c>
      <c r="L26" s="222" t="s">
        <v>23</v>
      </c>
      <c r="M26" s="223" t="s">
        <v>23</v>
      </c>
      <c r="N26" s="224">
        <f t="shared" si="1"/>
        <v>22.014537902388369</v>
      </c>
      <c r="O26" s="223" t="s">
        <v>23</v>
      </c>
      <c r="P26" s="223" t="s">
        <v>23</v>
      </c>
      <c r="Q26" s="155">
        <f t="shared" si="2"/>
        <v>29.923857868020306</v>
      </c>
      <c r="R26" s="223" t="s">
        <v>23</v>
      </c>
      <c r="S26" s="223" t="s">
        <v>23</v>
      </c>
      <c r="T26" s="225"/>
    </row>
    <row r="27" spans="2:20" s="165" customFormat="1" ht="12.75" customHeight="1" x14ac:dyDescent="0.25">
      <c r="B27" s="226" t="s">
        <v>154</v>
      </c>
      <c r="C27" s="237">
        <v>1144382</v>
      </c>
      <c r="D27" s="239">
        <v>113</v>
      </c>
      <c r="E27" s="153">
        <v>5.0199999999999996</v>
      </c>
      <c r="F27" s="217">
        <v>9.6999999999999993</v>
      </c>
      <c r="G27" s="240">
        <v>4</v>
      </c>
      <c r="H27" s="240">
        <v>20.100000000000001</v>
      </c>
      <c r="I27" s="219" t="s">
        <v>23</v>
      </c>
      <c r="J27" s="220" t="s">
        <v>23</v>
      </c>
      <c r="K27" s="221">
        <v>23.76</v>
      </c>
      <c r="L27" s="222" t="s">
        <v>23</v>
      </c>
      <c r="M27" s="223" t="s">
        <v>23</v>
      </c>
      <c r="N27" s="224">
        <f t="shared" si="1"/>
        <v>20.937500000000004</v>
      </c>
      <c r="O27" s="223" t="s">
        <v>23</v>
      </c>
      <c r="P27" s="223" t="s">
        <v>23</v>
      </c>
      <c r="Q27" s="155">
        <f t="shared" si="2"/>
        <v>29.737171464330412</v>
      </c>
      <c r="R27" s="223" t="s">
        <v>23</v>
      </c>
      <c r="S27" s="223" t="s">
        <v>23</v>
      </c>
      <c r="T27" s="225"/>
    </row>
    <row r="28" spans="2:20" s="165" customFormat="1" ht="12.75" customHeight="1" x14ac:dyDescent="0.25">
      <c r="B28" s="226" t="s">
        <v>154</v>
      </c>
      <c r="C28" s="227">
        <v>1144383</v>
      </c>
      <c r="D28" s="239">
        <v>114</v>
      </c>
      <c r="E28" s="153">
        <v>3.36</v>
      </c>
      <c r="F28" s="238">
        <v>9.6</v>
      </c>
      <c r="G28" s="240">
        <v>3.8</v>
      </c>
      <c r="H28" s="240">
        <v>19.2</v>
      </c>
      <c r="I28" s="219" t="s">
        <v>23</v>
      </c>
      <c r="J28" s="220" t="s">
        <v>23</v>
      </c>
      <c r="K28" s="221">
        <v>23.63</v>
      </c>
      <c r="L28" s="222" t="s">
        <v>23</v>
      </c>
      <c r="M28" s="223" t="s">
        <v>23</v>
      </c>
      <c r="N28" s="224">
        <f t="shared" si="1"/>
        <v>19.95841995841996</v>
      </c>
      <c r="O28" s="223" t="s">
        <v>23</v>
      </c>
      <c r="P28" s="223" t="s">
        <v>23</v>
      </c>
      <c r="Q28" s="155">
        <f t="shared" si="2"/>
        <v>29.245049504950497</v>
      </c>
      <c r="R28" s="223" t="s">
        <v>23</v>
      </c>
      <c r="S28" s="223" t="s">
        <v>23</v>
      </c>
      <c r="T28" s="225"/>
    </row>
    <row r="29" spans="2:20" s="165" customFormat="1" ht="12.75" customHeight="1" x14ac:dyDescent="0.25">
      <c r="B29" s="226" t="s">
        <v>154</v>
      </c>
      <c r="C29" s="237">
        <v>1144384</v>
      </c>
      <c r="D29" s="239">
        <v>116</v>
      </c>
      <c r="E29" s="154">
        <v>4.54</v>
      </c>
      <c r="F29" s="217">
        <v>8.6999999999999993</v>
      </c>
      <c r="G29" s="240">
        <v>3.6</v>
      </c>
      <c r="H29" s="240">
        <v>17.899999999999999</v>
      </c>
      <c r="I29" s="219" t="s">
        <v>23</v>
      </c>
      <c r="J29" s="233" t="s">
        <v>23</v>
      </c>
      <c r="K29" s="234">
        <v>24.55</v>
      </c>
      <c r="L29" s="222" t="s">
        <v>23</v>
      </c>
      <c r="M29" s="223" t="s">
        <v>23</v>
      </c>
      <c r="N29" s="224">
        <f t="shared" si="1"/>
        <v>18.568464730290454</v>
      </c>
      <c r="O29" s="223" t="s">
        <v>23</v>
      </c>
      <c r="P29" s="223" t="s">
        <v>23</v>
      </c>
      <c r="Q29" s="156">
        <f t="shared" si="2"/>
        <v>29.902557856272839</v>
      </c>
      <c r="R29" s="223" t="s">
        <v>23</v>
      </c>
      <c r="S29" s="223" t="s">
        <v>23</v>
      </c>
      <c r="T29" s="236"/>
    </row>
    <row r="30" spans="2:20" s="165" customFormat="1" ht="12.75" customHeight="1" x14ac:dyDescent="0.25">
      <c r="B30" s="226" t="s">
        <v>154</v>
      </c>
      <c r="C30" s="227">
        <v>1144385</v>
      </c>
      <c r="D30" s="231">
        <v>126</v>
      </c>
      <c r="E30" s="154">
        <v>3.46</v>
      </c>
      <c r="F30" s="241">
        <v>9.5</v>
      </c>
      <c r="G30" s="240">
        <v>3.5</v>
      </c>
      <c r="H30" s="240">
        <v>21</v>
      </c>
      <c r="I30" s="219" t="s">
        <v>23</v>
      </c>
      <c r="J30" s="233" t="s">
        <v>23</v>
      </c>
      <c r="K30" s="234">
        <v>23.42</v>
      </c>
      <c r="L30" s="222" t="s">
        <v>23</v>
      </c>
      <c r="M30" s="223" t="s">
        <v>23</v>
      </c>
      <c r="N30" s="224">
        <f t="shared" si="1"/>
        <v>21.761658031088082</v>
      </c>
      <c r="O30" s="223" t="s">
        <v>23</v>
      </c>
      <c r="P30" s="223" t="s">
        <v>23</v>
      </c>
      <c r="Q30" s="156">
        <f t="shared" si="2"/>
        <v>29.645569620253166</v>
      </c>
      <c r="R30" s="223" t="s">
        <v>23</v>
      </c>
      <c r="S30" s="223" t="s">
        <v>23</v>
      </c>
      <c r="T30" s="236"/>
    </row>
    <row r="31" spans="2:20" s="165" customFormat="1" ht="12" customHeight="1" x14ac:dyDescent="0.25">
      <c r="B31" s="226" t="s">
        <v>154</v>
      </c>
      <c r="C31" s="230">
        <v>1144386</v>
      </c>
      <c r="D31" s="231">
        <v>138</v>
      </c>
      <c r="E31" s="154">
        <v>2.98</v>
      </c>
      <c r="F31" s="217">
        <v>9.3000000000000007</v>
      </c>
      <c r="G31" s="240">
        <v>3.9</v>
      </c>
      <c r="H31" s="240">
        <v>19.899999999999999</v>
      </c>
      <c r="I31" s="219" t="s">
        <v>23</v>
      </c>
      <c r="J31" s="233" t="s">
        <v>23</v>
      </c>
      <c r="K31" s="234">
        <v>23.91</v>
      </c>
      <c r="L31" s="222" t="s">
        <v>23</v>
      </c>
      <c r="M31" s="223" t="s">
        <v>23</v>
      </c>
      <c r="N31" s="224">
        <f t="shared" si="1"/>
        <v>20.707596253902185</v>
      </c>
      <c r="O31" s="223" t="s">
        <v>23</v>
      </c>
      <c r="P31" s="223" t="s">
        <v>23</v>
      </c>
      <c r="Q31" s="156">
        <f t="shared" si="2"/>
        <v>29.850187265917604</v>
      </c>
      <c r="R31" s="223" t="s">
        <v>23</v>
      </c>
      <c r="S31" s="223" t="s">
        <v>23</v>
      </c>
      <c r="T31" s="236"/>
    </row>
    <row r="32" spans="2:20" s="165" customFormat="1" ht="12.75" customHeight="1" x14ac:dyDescent="0.25">
      <c r="B32" s="226" t="s">
        <v>154</v>
      </c>
      <c r="C32" s="230">
        <v>1144387</v>
      </c>
      <c r="D32" s="231">
        <v>140</v>
      </c>
      <c r="E32" s="154">
        <v>3.98</v>
      </c>
      <c r="F32" s="238">
        <v>9.5</v>
      </c>
      <c r="G32" s="240">
        <v>3.7</v>
      </c>
      <c r="H32" s="240">
        <v>19.8</v>
      </c>
      <c r="I32" s="219" t="s">
        <v>23</v>
      </c>
      <c r="J32" s="233" t="s">
        <v>23</v>
      </c>
      <c r="K32" s="234">
        <v>23.93</v>
      </c>
      <c r="L32" s="222" t="s">
        <v>23</v>
      </c>
      <c r="M32" s="223" t="s">
        <v>23</v>
      </c>
      <c r="N32" s="224">
        <f t="shared" si="1"/>
        <v>20.560747663551403</v>
      </c>
      <c r="O32" s="223" t="s">
        <v>23</v>
      </c>
      <c r="P32" s="223" t="s">
        <v>23</v>
      </c>
      <c r="Q32" s="156">
        <f t="shared" si="2"/>
        <v>29.83790523690773</v>
      </c>
      <c r="R32" s="223" t="s">
        <v>23</v>
      </c>
      <c r="S32" s="223" t="s">
        <v>23</v>
      </c>
      <c r="T32" s="236"/>
    </row>
    <row r="33" spans="2:20" s="165" customFormat="1" ht="12.75" customHeight="1" x14ac:dyDescent="0.25">
      <c r="B33" s="226" t="s">
        <v>154</v>
      </c>
      <c r="C33" s="230">
        <v>1144388</v>
      </c>
      <c r="D33" s="231">
        <v>147</v>
      </c>
      <c r="E33" s="154">
        <v>4.82</v>
      </c>
      <c r="F33" s="217">
        <v>8.6</v>
      </c>
      <c r="G33" s="240">
        <v>3.8</v>
      </c>
      <c r="H33" s="240">
        <v>17.7</v>
      </c>
      <c r="I33" s="219" t="s">
        <v>23</v>
      </c>
      <c r="J33" s="233" t="s">
        <v>23</v>
      </c>
      <c r="K33" s="234">
        <v>24.75</v>
      </c>
      <c r="L33" s="222" t="s">
        <v>23</v>
      </c>
      <c r="M33" s="223" t="s">
        <v>23</v>
      </c>
      <c r="N33" s="224">
        <f t="shared" si="1"/>
        <v>18.399168399168399</v>
      </c>
      <c r="O33" s="223" t="s">
        <v>23</v>
      </c>
      <c r="P33" s="223" t="s">
        <v>23</v>
      </c>
      <c r="Q33" s="156">
        <f t="shared" si="2"/>
        <v>30.072904009720535</v>
      </c>
      <c r="R33" s="223" t="s">
        <v>23</v>
      </c>
      <c r="S33" s="223" t="s">
        <v>23</v>
      </c>
      <c r="T33" s="236"/>
    </row>
    <row r="34" spans="2:20" s="165" customFormat="1" ht="12.75" customHeight="1" x14ac:dyDescent="0.25">
      <c r="B34" s="226" t="s">
        <v>154</v>
      </c>
      <c r="C34" s="230">
        <v>1144389</v>
      </c>
      <c r="D34" s="231">
        <v>151</v>
      </c>
      <c r="E34" s="154">
        <v>5.7</v>
      </c>
      <c r="F34" s="232">
        <v>8.8000000000000007</v>
      </c>
      <c r="G34" s="240">
        <v>3.7</v>
      </c>
      <c r="H34" s="240">
        <v>19.5</v>
      </c>
      <c r="I34" s="219" t="s">
        <v>23</v>
      </c>
      <c r="J34" s="233" t="s">
        <v>23</v>
      </c>
      <c r="K34" s="234">
        <v>24</v>
      </c>
      <c r="L34" s="222" t="s">
        <v>23</v>
      </c>
      <c r="M34" s="223" t="s">
        <v>23</v>
      </c>
      <c r="N34" s="224">
        <f t="shared" si="1"/>
        <v>20.249221183800625</v>
      </c>
      <c r="O34" s="223" t="s">
        <v>23</v>
      </c>
      <c r="P34" s="223" t="s">
        <v>23</v>
      </c>
      <c r="Q34" s="156">
        <f t="shared" si="2"/>
        <v>29.813664596273291</v>
      </c>
      <c r="R34" s="223" t="s">
        <v>23</v>
      </c>
      <c r="S34" s="223" t="s">
        <v>23</v>
      </c>
      <c r="T34" s="236"/>
    </row>
    <row r="35" spans="2:20" s="165" customFormat="1" ht="12.75" customHeight="1" x14ac:dyDescent="0.25">
      <c r="B35" s="226" t="s">
        <v>154</v>
      </c>
      <c r="C35" s="230">
        <v>1144390</v>
      </c>
      <c r="D35" s="228">
        <v>167</v>
      </c>
      <c r="E35" s="154">
        <v>5.24</v>
      </c>
      <c r="F35" s="217">
        <v>8.5</v>
      </c>
      <c r="G35" s="240">
        <v>3.9</v>
      </c>
      <c r="H35" s="240">
        <v>21</v>
      </c>
      <c r="I35" s="219" t="s">
        <v>23</v>
      </c>
      <c r="J35" s="233" t="s">
        <v>23</v>
      </c>
      <c r="K35" s="234">
        <v>24.44</v>
      </c>
      <c r="L35" s="222" t="s">
        <v>23</v>
      </c>
      <c r="M35" s="223" t="s">
        <v>23</v>
      </c>
      <c r="N35" s="224">
        <f t="shared" si="1"/>
        <v>21.852237252861602</v>
      </c>
      <c r="O35" s="223" t="s">
        <v>23</v>
      </c>
      <c r="P35" s="223" t="s">
        <v>23</v>
      </c>
      <c r="Q35" s="156">
        <f t="shared" si="2"/>
        <v>30.936708860759495</v>
      </c>
      <c r="R35" s="223" t="s">
        <v>23</v>
      </c>
      <c r="S35" s="223" t="s">
        <v>23</v>
      </c>
      <c r="T35" s="236"/>
    </row>
    <row r="36" spans="2:20" s="165" customFormat="1" ht="12.75" customHeight="1" x14ac:dyDescent="0.25">
      <c r="B36" s="226" t="s">
        <v>154</v>
      </c>
      <c r="C36" s="237">
        <v>1144391</v>
      </c>
      <c r="D36" s="231">
        <v>175</v>
      </c>
      <c r="E36" s="154">
        <v>3.16</v>
      </c>
      <c r="F36" s="217">
        <v>8.8000000000000007</v>
      </c>
      <c r="G36" s="240">
        <v>3.6</v>
      </c>
      <c r="H36" s="240">
        <v>17.8</v>
      </c>
      <c r="I36" s="219" t="s">
        <v>23</v>
      </c>
      <c r="J36" s="233" t="s">
        <v>23</v>
      </c>
      <c r="K36" s="234">
        <v>24.54</v>
      </c>
      <c r="L36" s="222" t="s">
        <v>23</v>
      </c>
      <c r="M36" s="223" t="s">
        <v>23</v>
      </c>
      <c r="N36" s="224">
        <f t="shared" si="1"/>
        <v>18.46473029045643</v>
      </c>
      <c r="O36" s="223" t="s">
        <v>23</v>
      </c>
      <c r="P36" s="223" t="s">
        <v>23</v>
      </c>
      <c r="Q36" s="156">
        <f t="shared" si="2"/>
        <v>29.854014598540147</v>
      </c>
      <c r="R36" s="223" t="s">
        <v>23</v>
      </c>
      <c r="S36" s="223" t="s">
        <v>23</v>
      </c>
      <c r="T36" s="236"/>
    </row>
    <row r="37" spans="2:20" s="165" customFormat="1" ht="12.75" customHeight="1" x14ac:dyDescent="0.25">
      <c r="B37" s="226" t="s">
        <v>154</v>
      </c>
      <c r="C37" s="227">
        <v>1144392</v>
      </c>
      <c r="D37" s="228">
        <v>179</v>
      </c>
      <c r="E37" s="154">
        <v>5.66</v>
      </c>
      <c r="F37" s="238">
        <v>8.5</v>
      </c>
      <c r="G37" s="240">
        <v>3.9</v>
      </c>
      <c r="H37" s="240">
        <v>20.100000000000001</v>
      </c>
      <c r="I37" s="219" t="s">
        <v>23</v>
      </c>
      <c r="J37" s="233" t="s">
        <v>23</v>
      </c>
      <c r="K37" s="234">
        <v>23.96</v>
      </c>
      <c r="L37" s="222" t="s">
        <v>23</v>
      </c>
      <c r="M37" s="223" t="s">
        <v>23</v>
      </c>
      <c r="N37" s="224">
        <f t="shared" si="1"/>
        <v>20.915712799167537</v>
      </c>
      <c r="O37" s="223" t="s">
        <v>23</v>
      </c>
      <c r="P37" s="223" t="s">
        <v>23</v>
      </c>
      <c r="Q37" s="156">
        <f t="shared" si="2"/>
        <v>29.987484355444302</v>
      </c>
      <c r="R37" s="223" t="s">
        <v>23</v>
      </c>
      <c r="S37" s="223" t="s">
        <v>23</v>
      </c>
      <c r="T37" s="236"/>
    </row>
    <row r="38" spans="2:20" s="165" customFormat="1" ht="12.75" customHeight="1" x14ac:dyDescent="0.25">
      <c r="B38" s="226" t="s">
        <v>154</v>
      </c>
      <c r="C38" s="230">
        <v>1144393</v>
      </c>
      <c r="D38" s="239">
        <v>180</v>
      </c>
      <c r="E38" s="154">
        <v>2.72</v>
      </c>
      <c r="F38" s="217">
        <v>8.9</v>
      </c>
      <c r="G38" s="240">
        <v>3.9</v>
      </c>
      <c r="H38" s="240">
        <v>20.7</v>
      </c>
      <c r="I38" s="219" t="s">
        <v>23</v>
      </c>
      <c r="J38" s="233" t="s">
        <v>23</v>
      </c>
      <c r="K38" s="234">
        <v>23.58</v>
      </c>
      <c r="L38" s="222" t="s">
        <v>23</v>
      </c>
      <c r="M38" s="223" t="s">
        <v>23</v>
      </c>
      <c r="N38" s="224">
        <f t="shared" si="1"/>
        <v>21.540062434963581</v>
      </c>
      <c r="O38" s="223" t="s">
        <v>23</v>
      </c>
      <c r="P38" s="223" t="s">
        <v>23</v>
      </c>
      <c r="Q38" s="156">
        <f t="shared" si="2"/>
        <v>29.735182849936951</v>
      </c>
      <c r="R38" s="223" t="s">
        <v>23</v>
      </c>
      <c r="S38" s="223" t="s">
        <v>23</v>
      </c>
      <c r="T38" s="236"/>
    </row>
    <row r="39" spans="2:20" s="165" customFormat="1" ht="12.75" customHeight="1" x14ac:dyDescent="0.25">
      <c r="B39" s="226" t="s">
        <v>154</v>
      </c>
      <c r="C39" s="230">
        <v>1144394</v>
      </c>
      <c r="D39" s="239">
        <v>109</v>
      </c>
      <c r="E39" s="154">
        <v>4.3600000000000003</v>
      </c>
      <c r="F39" s="232">
        <v>9</v>
      </c>
      <c r="G39" s="240">
        <v>3.7</v>
      </c>
      <c r="H39" s="240">
        <v>19.100000000000001</v>
      </c>
      <c r="I39" s="219" t="s">
        <v>23</v>
      </c>
      <c r="J39" s="233" t="s">
        <v>23</v>
      </c>
      <c r="K39" s="234">
        <v>23.63</v>
      </c>
      <c r="L39" s="222" t="s">
        <v>23</v>
      </c>
      <c r="M39" s="223" t="s">
        <v>23</v>
      </c>
      <c r="N39" s="224">
        <f t="shared" si="1"/>
        <v>19.83385254413292</v>
      </c>
      <c r="O39" s="223" t="s">
        <v>23</v>
      </c>
      <c r="P39" s="223" t="s">
        <v>23</v>
      </c>
      <c r="Q39" s="156">
        <f t="shared" si="2"/>
        <v>29.208899876390603</v>
      </c>
      <c r="R39" s="223" t="s">
        <v>23</v>
      </c>
      <c r="S39" s="223" t="s">
        <v>23</v>
      </c>
      <c r="T39" s="236"/>
    </row>
    <row r="40" spans="2:20" s="165" customFormat="1" ht="12.75" customHeight="1" x14ac:dyDescent="0.25">
      <c r="B40" s="226" t="s">
        <v>154</v>
      </c>
      <c r="C40" s="230">
        <v>1144395</v>
      </c>
      <c r="D40" s="239">
        <v>110</v>
      </c>
      <c r="E40" s="154">
        <v>3.24</v>
      </c>
      <c r="F40" s="238">
        <v>8.6999999999999993</v>
      </c>
      <c r="G40" s="240">
        <v>4</v>
      </c>
      <c r="H40" s="240">
        <v>21.8</v>
      </c>
      <c r="I40" s="219" t="s">
        <v>23</v>
      </c>
      <c r="J40" s="233" t="s">
        <v>23</v>
      </c>
      <c r="K40" s="234">
        <v>22.71</v>
      </c>
      <c r="L40" s="222" t="s">
        <v>23</v>
      </c>
      <c r="M40" s="223" t="s">
        <v>23</v>
      </c>
      <c r="N40" s="224">
        <f t="shared" si="1"/>
        <v>22.708333333333332</v>
      </c>
      <c r="O40" s="223" t="s">
        <v>23</v>
      </c>
      <c r="P40" s="223" t="s">
        <v>23</v>
      </c>
      <c r="Q40" s="156">
        <f t="shared" si="2"/>
        <v>29.040920716112531</v>
      </c>
      <c r="R40" s="223" t="s">
        <v>23</v>
      </c>
      <c r="S40" s="223" t="s">
        <v>23</v>
      </c>
      <c r="T40" s="236"/>
    </row>
    <row r="41" spans="2:20" s="165" customFormat="1" ht="12.75" customHeight="1" x14ac:dyDescent="0.25">
      <c r="B41" s="226" t="s">
        <v>154</v>
      </c>
      <c r="C41" s="230">
        <v>1144396</v>
      </c>
      <c r="D41" s="239">
        <v>112</v>
      </c>
      <c r="E41" s="154">
        <v>2.66</v>
      </c>
      <c r="F41" s="217">
        <v>8.8000000000000007</v>
      </c>
      <c r="G41" s="240">
        <v>4.3</v>
      </c>
      <c r="H41" s="240">
        <v>18.2</v>
      </c>
      <c r="I41" s="219" t="s">
        <v>23</v>
      </c>
      <c r="J41" s="233" t="s">
        <v>23</v>
      </c>
      <c r="K41" s="234">
        <v>24.27</v>
      </c>
      <c r="L41" s="222" t="s">
        <v>23</v>
      </c>
      <c r="M41" s="223" t="s">
        <v>23</v>
      </c>
      <c r="N41" s="224">
        <f t="shared" si="1"/>
        <v>19.01776384535005</v>
      </c>
      <c r="O41" s="223" t="s">
        <v>23</v>
      </c>
      <c r="P41" s="223" t="s">
        <v>23</v>
      </c>
      <c r="Q41" s="156">
        <f t="shared" si="2"/>
        <v>29.669926650366751</v>
      </c>
      <c r="R41" s="223" t="s">
        <v>23</v>
      </c>
      <c r="S41" s="223" t="s">
        <v>23</v>
      </c>
      <c r="T41" s="236"/>
    </row>
    <row r="42" spans="2:20" s="165" customFormat="1" ht="12.75" customHeight="1" x14ac:dyDescent="0.25">
      <c r="B42" s="226" t="s">
        <v>154</v>
      </c>
      <c r="C42" s="237">
        <v>1144397</v>
      </c>
      <c r="D42" s="231">
        <v>117</v>
      </c>
      <c r="E42" s="154">
        <v>3.82</v>
      </c>
      <c r="F42" s="217">
        <v>8.8000000000000007</v>
      </c>
      <c r="G42" s="240">
        <v>4.0999999999999996</v>
      </c>
      <c r="H42" s="240">
        <v>17.7</v>
      </c>
      <c r="I42" s="219" t="s">
        <v>23</v>
      </c>
      <c r="J42" s="233" t="s">
        <v>23</v>
      </c>
      <c r="K42" s="234">
        <v>24.25</v>
      </c>
      <c r="L42" s="222" t="s">
        <v>23</v>
      </c>
      <c r="M42" s="223" t="s">
        <v>23</v>
      </c>
      <c r="N42" s="224">
        <f t="shared" si="1"/>
        <v>18.456725755995826</v>
      </c>
      <c r="O42" s="223" t="s">
        <v>23</v>
      </c>
      <c r="P42" s="223" t="s">
        <v>23</v>
      </c>
      <c r="Q42" s="156">
        <f t="shared" si="2"/>
        <v>29.465370595382748</v>
      </c>
      <c r="R42" s="223" t="s">
        <v>23</v>
      </c>
      <c r="S42" s="223" t="s">
        <v>23</v>
      </c>
      <c r="T42" s="236"/>
    </row>
    <row r="43" spans="2:20" s="165" customFormat="1" ht="12.75" customHeight="1" x14ac:dyDescent="0.25">
      <c r="B43" s="226" t="s">
        <v>154</v>
      </c>
      <c r="C43" s="237">
        <v>1144398</v>
      </c>
      <c r="D43" s="228">
        <v>133</v>
      </c>
      <c r="E43" s="154">
        <v>4.24</v>
      </c>
      <c r="F43" s="217">
        <v>8.9</v>
      </c>
      <c r="G43" s="242">
        <v>4.4000000000000004</v>
      </c>
      <c r="H43" s="242">
        <v>20.3</v>
      </c>
      <c r="I43" s="219" t="s">
        <v>23</v>
      </c>
      <c r="J43" s="233" t="s">
        <v>23</v>
      </c>
      <c r="K43" s="234">
        <v>23.46</v>
      </c>
      <c r="L43" s="222" t="s">
        <v>23</v>
      </c>
      <c r="M43" s="223" t="s">
        <v>23</v>
      </c>
      <c r="N43" s="224">
        <f t="shared" si="1"/>
        <v>21.234309623430963</v>
      </c>
      <c r="O43" s="223" t="s">
        <v>23</v>
      </c>
      <c r="P43" s="223" t="s">
        <v>23</v>
      </c>
      <c r="Q43" s="156">
        <f t="shared" si="2"/>
        <v>29.435382685069008</v>
      </c>
      <c r="R43" s="223" t="s">
        <v>23</v>
      </c>
      <c r="S43" s="223" t="s">
        <v>23</v>
      </c>
      <c r="T43" s="236"/>
    </row>
    <row r="44" spans="2:20" s="165" customFormat="1" ht="12.75" customHeight="1" x14ac:dyDescent="0.25">
      <c r="B44" s="226" t="s">
        <v>154</v>
      </c>
      <c r="C44" s="237">
        <v>1144399</v>
      </c>
      <c r="D44" s="231">
        <v>137</v>
      </c>
      <c r="E44" s="243">
        <v>4.92</v>
      </c>
      <c r="F44" s="217">
        <v>8.6</v>
      </c>
      <c r="G44" s="224">
        <v>4.5</v>
      </c>
      <c r="H44" s="240">
        <v>17.7</v>
      </c>
      <c r="I44" s="219" t="s">
        <v>23</v>
      </c>
      <c r="J44" s="233" t="s">
        <v>23</v>
      </c>
      <c r="K44" s="234">
        <v>24.44</v>
      </c>
      <c r="L44" s="222" t="s">
        <v>23</v>
      </c>
      <c r="M44" s="223" t="s">
        <v>23</v>
      </c>
      <c r="N44" s="224">
        <f t="shared" si="1"/>
        <v>18.534031413612567</v>
      </c>
      <c r="O44" s="223" t="s">
        <v>23</v>
      </c>
      <c r="P44" s="223" t="s">
        <v>23</v>
      </c>
      <c r="Q44" s="156">
        <f t="shared" si="2"/>
        <v>29.696233292831106</v>
      </c>
      <c r="R44" s="223" t="s">
        <v>23</v>
      </c>
      <c r="S44" s="223" t="s">
        <v>23</v>
      </c>
      <c r="T44" s="236"/>
    </row>
    <row r="45" spans="2:20" s="165" customFormat="1" ht="12.75" customHeight="1" x14ac:dyDescent="0.25">
      <c r="B45" s="226" t="s">
        <v>154</v>
      </c>
      <c r="C45" s="227">
        <v>1144400</v>
      </c>
      <c r="D45" s="231">
        <v>146</v>
      </c>
      <c r="E45" s="154">
        <v>5.7</v>
      </c>
      <c r="F45" s="217">
        <v>9.1</v>
      </c>
      <c r="G45" s="240">
        <v>4.4000000000000004</v>
      </c>
      <c r="H45" s="240">
        <v>20.100000000000001</v>
      </c>
      <c r="I45" s="219" t="s">
        <v>23</v>
      </c>
      <c r="J45" s="233" t="s">
        <v>23</v>
      </c>
      <c r="K45" s="234">
        <v>23.57</v>
      </c>
      <c r="L45" s="222" t="s">
        <v>23</v>
      </c>
      <c r="M45" s="223" t="s">
        <v>23</v>
      </c>
      <c r="N45" s="224">
        <f t="shared" si="1"/>
        <v>21.025104602510464</v>
      </c>
      <c r="O45" s="223" t="s">
        <v>23</v>
      </c>
      <c r="P45" s="223" t="s">
        <v>23</v>
      </c>
      <c r="Q45" s="156">
        <f t="shared" si="2"/>
        <v>29.499374217772214</v>
      </c>
      <c r="R45" s="223" t="s">
        <v>23</v>
      </c>
      <c r="S45" s="223" t="s">
        <v>23</v>
      </c>
      <c r="T45" s="236"/>
    </row>
    <row r="46" spans="2:20" s="165" customFormat="1" ht="12.75" customHeight="1" x14ac:dyDescent="0.25">
      <c r="B46" s="226" t="s">
        <v>154</v>
      </c>
      <c r="C46" s="237">
        <v>1144401</v>
      </c>
      <c r="D46" s="231">
        <v>152</v>
      </c>
      <c r="E46" s="154">
        <v>4.42</v>
      </c>
      <c r="F46" s="217">
        <v>8.9</v>
      </c>
      <c r="G46" s="240">
        <v>3.5</v>
      </c>
      <c r="H46" s="240">
        <v>19.600000000000001</v>
      </c>
      <c r="I46" s="219" t="s">
        <v>23</v>
      </c>
      <c r="J46" s="233" t="s">
        <v>23</v>
      </c>
      <c r="K46" s="234">
        <v>23.71</v>
      </c>
      <c r="L46" s="222" t="s">
        <v>23</v>
      </c>
      <c r="M46" s="223" t="s">
        <v>23</v>
      </c>
      <c r="N46" s="224">
        <f t="shared" si="1"/>
        <v>20.310880829015545</v>
      </c>
      <c r="O46" s="223" t="s">
        <v>23</v>
      </c>
      <c r="P46" s="223" t="s">
        <v>23</v>
      </c>
      <c r="Q46" s="156">
        <f t="shared" si="2"/>
        <v>29.490049751243777</v>
      </c>
      <c r="R46" s="223" t="s">
        <v>23</v>
      </c>
      <c r="S46" s="223" t="s">
        <v>23</v>
      </c>
      <c r="T46" s="236"/>
    </row>
    <row r="47" spans="2:20" s="165" customFormat="1" ht="12.75" customHeight="1" x14ac:dyDescent="0.25">
      <c r="B47" s="226" t="s">
        <v>154</v>
      </c>
      <c r="C47" s="237">
        <v>1144402</v>
      </c>
      <c r="D47" s="231">
        <v>153</v>
      </c>
      <c r="E47" s="154">
        <v>6.48</v>
      </c>
      <c r="F47" s="217">
        <v>8.8000000000000007</v>
      </c>
      <c r="G47" s="240">
        <v>3.8</v>
      </c>
      <c r="H47" s="240">
        <v>17.600000000000001</v>
      </c>
      <c r="I47" s="219" t="s">
        <v>23</v>
      </c>
      <c r="J47" s="233" t="s">
        <v>23</v>
      </c>
      <c r="K47" s="234">
        <v>24.64</v>
      </c>
      <c r="L47" s="222" t="s">
        <v>23</v>
      </c>
      <c r="M47" s="223" t="s">
        <v>23</v>
      </c>
      <c r="N47" s="224">
        <f t="shared" si="1"/>
        <v>18.295218295218298</v>
      </c>
      <c r="O47" s="223" t="s">
        <v>23</v>
      </c>
      <c r="P47" s="223" t="s">
        <v>23</v>
      </c>
      <c r="Q47" s="156">
        <f t="shared" si="2"/>
        <v>29.902912621359221</v>
      </c>
      <c r="R47" s="223" t="s">
        <v>23</v>
      </c>
      <c r="S47" s="223" t="s">
        <v>23</v>
      </c>
      <c r="T47" s="236"/>
    </row>
    <row r="48" spans="2:20" s="165" customFormat="1" ht="12.75" customHeight="1" x14ac:dyDescent="0.25">
      <c r="B48" s="226" t="s">
        <v>154</v>
      </c>
      <c r="C48" s="237">
        <v>1144403</v>
      </c>
      <c r="D48" s="228">
        <v>166</v>
      </c>
      <c r="E48" s="154">
        <v>4.0999999999999996</v>
      </c>
      <c r="F48" s="217">
        <v>9</v>
      </c>
      <c r="G48" s="240">
        <v>3.8</v>
      </c>
      <c r="H48" s="240">
        <v>19.5</v>
      </c>
      <c r="I48" s="219" t="s">
        <v>23</v>
      </c>
      <c r="J48" s="233" t="s">
        <v>23</v>
      </c>
      <c r="K48" s="234">
        <v>23.85</v>
      </c>
      <c r="L48" s="222" t="s">
        <v>23</v>
      </c>
      <c r="M48" s="223" t="s">
        <v>23</v>
      </c>
      <c r="N48" s="224">
        <f t="shared" si="1"/>
        <v>20.27027027027027</v>
      </c>
      <c r="O48" s="223" t="s">
        <v>23</v>
      </c>
      <c r="P48" s="223" t="s">
        <v>23</v>
      </c>
      <c r="Q48" s="156">
        <f t="shared" si="2"/>
        <v>29.627329192546583</v>
      </c>
      <c r="R48" s="223" t="s">
        <v>23</v>
      </c>
      <c r="S48" s="223" t="s">
        <v>23</v>
      </c>
      <c r="T48" s="236"/>
    </row>
    <row r="49" spans="2:20" s="165" customFormat="1" ht="12.75" customHeight="1" x14ac:dyDescent="0.25">
      <c r="B49" s="226" t="s">
        <v>154</v>
      </c>
      <c r="C49" s="227">
        <v>1144404</v>
      </c>
      <c r="D49" s="239">
        <v>168</v>
      </c>
      <c r="E49" s="154">
        <v>3.26</v>
      </c>
      <c r="F49" s="217">
        <v>8.6</v>
      </c>
      <c r="G49" s="240">
        <v>4.5</v>
      </c>
      <c r="H49" s="240">
        <v>19.8</v>
      </c>
      <c r="I49" s="219" t="s">
        <v>23</v>
      </c>
      <c r="J49" s="233" t="s">
        <v>23</v>
      </c>
      <c r="K49" s="234">
        <v>23.9</v>
      </c>
      <c r="L49" s="222" t="s">
        <v>23</v>
      </c>
      <c r="M49" s="223" t="s">
        <v>23</v>
      </c>
      <c r="N49" s="224">
        <f t="shared" si="1"/>
        <v>20.732984293193716</v>
      </c>
      <c r="O49" s="223" t="s">
        <v>23</v>
      </c>
      <c r="P49" s="223" t="s">
        <v>23</v>
      </c>
      <c r="Q49" s="156">
        <f t="shared" si="2"/>
        <v>29.800498753117207</v>
      </c>
      <c r="R49" s="223" t="s">
        <v>23</v>
      </c>
      <c r="S49" s="223" t="s">
        <v>23</v>
      </c>
      <c r="T49" s="236"/>
    </row>
    <row r="50" spans="2:20" s="165" customFormat="1" ht="12.75" customHeight="1" x14ac:dyDescent="0.25">
      <c r="B50" s="226" t="s">
        <v>154</v>
      </c>
      <c r="C50" s="237">
        <v>1144405</v>
      </c>
      <c r="D50" s="239">
        <v>176</v>
      </c>
      <c r="E50" s="154">
        <v>2.38</v>
      </c>
      <c r="F50" s="217">
        <v>8.5</v>
      </c>
      <c r="G50" s="240">
        <v>3.9</v>
      </c>
      <c r="H50" s="240">
        <v>17.100000000000001</v>
      </c>
      <c r="I50" s="219" t="s">
        <v>23</v>
      </c>
      <c r="J50" s="233" t="s">
        <v>23</v>
      </c>
      <c r="K50" s="234">
        <v>24.85</v>
      </c>
      <c r="L50" s="222" t="s">
        <v>23</v>
      </c>
      <c r="M50" s="223" t="s">
        <v>23</v>
      </c>
      <c r="N50" s="224">
        <f t="shared" si="1"/>
        <v>17.793964620187307</v>
      </c>
      <c r="O50" s="223" t="s">
        <v>23</v>
      </c>
      <c r="P50" s="223" t="s">
        <v>23</v>
      </c>
      <c r="Q50" s="156">
        <f t="shared" si="2"/>
        <v>29.975874547647766</v>
      </c>
      <c r="R50" s="223" t="s">
        <v>23</v>
      </c>
      <c r="S50" s="223" t="s">
        <v>23</v>
      </c>
      <c r="T50" s="236"/>
    </row>
    <row r="51" spans="2:20" s="165" customFormat="1" ht="12.75" customHeight="1" x14ac:dyDescent="0.25">
      <c r="B51" s="226" t="s">
        <v>154</v>
      </c>
      <c r="C51" s="227">
        <v>1144406</v>
      </c>
      <c r="D51" s="231">
        <v>102</v>
      </c>
      <c r="E51" s="154">
        <v>3.36</v>
      </c>
      <c r="F51" s="217">
        <v>8.6</v>
      </c>
      <c r="G51" s="240">
        <v>4.3</v>
      </c>
      <c r="H51" s="240">
        <v>17.899999999999999</v>
      </c>
      <c r="I51" s="219" t="s">
        <v>23</v>
      </c>
      <c r="J51" s="233" t="s">
        <v>23</v>
      </c>
      <c r="K51" s="234">
        <v>23.9</v>
      </c>
      <c r="L51" s="222" t="s">
        <v>23</v>
      </c>
      <c r="M51" s="223" t="s">
        <v>23</v>
      </c>
      <c r="N51" s="224">
        <f t="shared" si="1"/>
        <v>18.704284221525597</v>
      </c>
      <c r="O51" s="223" t="s">
        <v>23</v>
      </c>
      <c r="P51" s="223" t="s">
        <v>23</v>
      </c>
      <c r="Q51" s="156">
        <f t="shared" si="2"/>
        <v>29.11084043848965</v>
      </c>
      <c r="R51" s="223" t="s">
        <v>23</v>
      </c>
      <c r="S51" s="223" t="s">
        <v>23</v>
      </c>
      <c r="T51" s="236"/>
    </row>
    <row r="52" spans="2:20" s="165" customFormat="1" ht="12.75" customHeight="1" x14ac:dyDescent="0.25">
      <c r="B52" s="226" t="s">
        <v>154</v>
      </c>
      <c r="C52" s="244">
        <v>1144407</v>
      </c>
      <c r="D52" s="231">
        <v>106</v>
      </c>
      <c r="E52" s="154">
        <v>4.74</v>
      </c>
      <c r="F52" s="217">
        <v>8.5</v>
      </c>
      <c r="G52" s="240">
        <v>4.3</v>
      </c>
      <c r="H52" s="240">
        <v>18.600000000000001</v>
      </c>
      <c r="I52" s="219" t="s">
        <v>23</v>
      </c>
      <c r="J52" s="233" t="s">
        <v>23</v>
      </c>
      <c r="K52" s="234">
        <v>24.85</v>
      </c>
      <c r="L52" s="222" t="s">
        <v>23</v>
      </c>
      <c r="M52" s="223" t="s">
        <v>23</v>
      </c>
      <c r="N52" s="224">
        <f t="shared" si="1"/>
        <v>19.43573667711599</v>
      </c>
      <c r="O52" s="223" t="s">
        <v>23</v>
      </c>
      <c r="P52" s="223" t="s">
        <v>23</v>
      </c>
      <c r="Q52" s="156">
        <f t="shared" si="2"/>
        <v>30.528255528255524</v>
      </c>
      <c r="R52" s="223" t="s">
        <v>23</v>
      </c>
      <c r="S52" s="223" t="s">
        <v>23</v>
      </c>
      <c r="T52" s="236"/>
    </row>
    <row r="53" spans="2:20" s="165" customFormat="1" ht="12.75" customHeight="1" x14ac:dyDescent="0.25">
      <c r="B53" s="226" t="s">
        <v>154</v>
      </c>
      <c r="C53" s="230">
        <v>1144408</v>
      </c>
      <c r="D53" s="231">
        <v>111</v>
      </c>
      <c r="E53" s="154">
        <v>6.72</v>
      </c>
      <c r="F53" s="217">
        <v>8.5</v>
      </c>
      <c r="G53" s="240">
        <v>4.5</v>
      </c>
      <c r="H53" s="240">
        <v>18.600000000000001</v>
      </c>
      <c r="I53" s="219" t="s">
        <v>23</v>
      </c>
      <c r="J53" s="233" t="s">
        <v>23</v>
      </c>
      <c r="K53" s="234">
        <v>23.16</v>
      </c>
      <c r="L53" s="222" t="s">
        <v>23</v>
      </c>
      <c r="M53" s="223" t="s">
        <v>23</v>
      </c>
      <c r="N53" s="224">
        <f t="shared" si="1"/>
        <v>19.47643979057592</v>
      </c>
      <c r="O53" s="223" t="s">
        <v>23</v>
      </c>
      <c r="P53" s="223" t="s">
        <v>23</v>
      </c>
      <c r="Q53" s="156">
        <f t="shared" si="2"/>
        <v>28.45208845208845</v>
      </c>
      <c r="R53" s="223" t="s">
        <v>23</v>
      </c>
      <c r="S53" s="223" t="s">
        <v>23</v>
      </c>
      <c r="T53" s="236"/>
    </row>
    <row r="54" spans="2:20" s="165" customFormat="1" ht="12.75" customHeight="1" x14ac:dyDescent="0.25">
      <c r="B54" s="226" t="s">
        <v>154</v>
      </c>
      <c r="C54" s="230">
        <v>1144409</v>
      </c>
      <c r="D54" s="228">
        <v>132</v>
      </c>
      <c r="E54" s="154">
        <v>5.22</v>
      </c>
      <c r="F54" s="217">
        <v>8.8000000000000007</v>
      </c>
      <c r="G54" s="240">
        <v>4.3</v>
      </c>
      <c r="H54" s="240">
        <v>18.399999999999999</v>
      </c>
      <c r="I54" s="219" t="s">
        <v>23</v>
      </c>
      <c r="J54" s="233" t="s">
        <v>23</v>
      </c>
      <c r="K54" s="234">
        <v>24.31</v>
      </c>
      <c r="L54" s="222" t="s">
        <v>23</v>
      </c>
      <c r="M54" s="223" t="s">
        <v>23</v>
      </c>
      <c r="N54" s="224">
        <f t="shared" si="1"/>
        <v>19.226750261233018</v>
      </c>
      <c r="O54" s="223" t="s">
        <v>23</v>
      </c>
      <c r="P54" s="223" t="s">
        <v>23</v>
      </c>
      <c r="Q54" s="156">
        <f t="shared" si="2"/>
        <v>29.791666666666668</v>
      </c>
      <c r="R54" s="223" t="s">
        <v>23</v>
      </c>
      <c r="S54" s="223" t="s">
        <v>23</v>
      </c>
      <c r="T54" s="236"/>
    </row>
    <row r="55" spans="2:20" s="165" customFormat="1" ht="12.75" customHeight="1" x14ac:dyDescent="0.25">
      <c r="B55" s="226" t="s">
        <v>154</v>
      </c>
      <c r="C55" s="230">
        <v>1144410</v>
      </c>
      <c r="D55" s="239">
        <v>143</v>
      </c>
      <c r="E55" s="154">
        <v>6.98</v>
      </c>
      <c r="F55" s="217">
        <v>8.9</v>
      </c>
      <c r="G55" s="240">
        <v>4.5</v>
      </c>
      <c r="H55" s="240">
        <v>18.600000000000001</v>
      </c>
      <c r="I55" s="219" t="s">
        <v>23</v>
      </c>
      <c r="J55" s="233" t="s">
        <v>23</v>
      </c>
      <c r="K55" s="234">
        <v>24.71</v>
      </c>
      <c r="L55" s="222" t="s">
        <v>23</v>
      </c>
      <c r="M55" s="223" t="s">
        <v>23</v>
      </c>
      <c r="N55" s="224">
        <f t="shared" si="1"/>
        <v>19.47643979057592</v>
      </c>
      <c r="O55" s="223" t="s">
        <v>23</v>
      </c>
      <c r="P55" s="223" t="s">
        <v>23</v>
      </c>
      <c r="Q55" s="156">
        <f t="shared" si="2"/>
        <v>30.356265356265354</v>
      </c>
      <c r="R55" s="223" t="s">
        <v>23</v>
      </c>
      <c r="S55" s="223" t="s">
        <v>23</v>
      </c>
      <c r="T55" s="236"/>
    </row>
    <row r="56" spans="2:20" s="165" customFormat="1" ht="12.75" customHeight="1" x14ac:dyDescent="0.25">
      <c r="B56" s="226" t="s">
        <v>154</v>
      </c>
      <c r="C56" s="237">
        <v>1144411</v>
      </c>
      <c r="D56" s="239">
        <v>149</v>
      </c>
      <c r="E56" s="154">
        <v>3.9</v>
      </c>
      <c r="F56" s="217">
        <v>9</v>
      </c>
      <c r="G56" s="240">
        <v>4.3</v>
      </c>
      <c r="H56" s="240">
        <v>18</v>
      </c>
      <c r="I56" s="219" t="s">
        <v>23</v>
      </c>
      <c r="J56" s="233" t="s">
        <v>23</v>
      </c>
      <c r="K56" s="234">
        <v>24.11</v>
      </c>
      <c r="L56" s="222" t="s">
        <v>23</v>
      </c>
      <c r="M56" s="223" t="s">
        <v>23</v>
      </c>
      <c r="N56" s="224">
        <f t="shared" si="1"/>
        <v>18.808777429467085</v>
      </c>
      <c r="O56" s="223" t="s">
        <v>23</v>
      </c>
      <c r="P56" s="223" t="s">
        <v>23</v>
      </c>
      <c r="Q56" s="156">
        <f t="shared" si="2"/>
        <v>29.402439024390244</v>
      </c>
      <c r="R56" s="223" t="s">
        <v>23</v>
      </c>
      <c r="S56" s="223" t="s">
        <v>23</v>
      </c>
      <c r="T56" s="236"/>
    </row>
    <row r="57" spans="2:20" s="165" customFormat="1" ht="12.75" customHeight="1" x14ac:dyDescent="0.25">
      <c r="B57" s="226" t="s">
        <v>154</v>
      </c>
      <c r="C57" s="237">
        <v>1144412</v>
      </c>
      <c r="D57" s="239">
        <v>164</v>
      </c>
      <c r="E57" s="154">
        <v>5.5</v>
      </c>
      <c r="F57" s="217">
        <v>9.1999999999999993</v>
      </c>
      <c r="G57" s="240">
        <v>2.9</v>
      </c>
      <c r="H57" s="240">
        <v>18.7</v>
      </c>
      <c r="I57" s="219" t="s">
        <v>23</v>
      </c>
      <c r="J57" s="233" t="s">
        <v>23</v>
      </c>
      <c r="K57" s="234">
        <v>24.57</v>
      </c>
      <c r="L57" s="222" t="s">
        <v>23</v>
      </c>
      <c r="M57" s="223" t="s">
        <v>23</v>
      </c>
      <c r="N57" s="224">
        <f t="shared" si="1"/>
        <v>19.25849639546859</v>
      </c>
      <c r="O57" s="223" t="s">
        <v>23</v>
      </c>
      <c r="P57" s="223" t="s">
        <v>23</v>
      </c>
      <c r="Q57" s="156">
        <f t="shared" si="2"/>
        <v>30.221402214022142</v>
      </c>
      <c r="R57" s="223" t="s">
        <v>23</v>
      </c>
      <c r="S57" s="223" t="s">
        <v>23</v>
      </c>
      <c r="T57" s="236"/>
    </row>
    <row r="58" spans="2:20" s="165" customFormat="1" ht="12.75" customHeight="1" x14ac:dyDescent="0.25">
      <c r="B58" s="226" t="s">
        <v>154</v>
      </c>
      <c r="C58" s="227">
        <v>1144413</v>
      </c>
      <c r="D58" s="239">
        <v>169</v>
      </c>
      <c r="E58" s="154">
        <v>5.42</v>
      </c>
      <c r="F58" s="217">
        <v>8.6999999999999993</v>
      </c>
      <c r="G58" s="240">
        <v>4.0999999999999996</v>
      </c>
      <c r="H58" s="240">
        <v>19</v>
      </c>
      <c r="I58" s="219" t="s">
        <v>23</v>
      </c>
      <c r="J58" s="233" t="s">
        <v>23</v>
      </c>
      <c r="K58" s="234">
        <v>24.22</v>
      </c>
      <c r="L58" s="222" t="s">
        <v>23</v>
      </c>
      <c r="M58" s="223" t="s">
        <v>23</v>
      </c>
      <c r="N58" s="224">
        <f t="shared" si="1"/>
        <v>19.81230448383733</v>
      </c>
      <c r="O58" s="223" t="s">
        <v>23</v>
      </c>
      <c r="P58" s="223" t="s">
        <v>23</v>
      </c>
      <c r="Q58" s="156">
        <f t="shared" si="2"/>
        <v>29.901234567901234</v>
      </c>
      <c r="R58" s="223" t="s">
        <v>23</v>
      </c>
      <c r="S58" s="223" t="s">
        <v>23</v>
      </c>
      <c r="T58" s="236"/>
    </row>
    <row r="59" spans="2:20" s="165" customFormat="1" ht="12.75" customHeight="1" x14ac:dyDescent="0.25">
      <c r="B59" s="226" t="s">
        <v>154</v>
      </c>
      <c r="C59" s="230">
        <v>1144414</v>
      </c>
      <c r="D59" s="239">
        <v>177</v>
      </c>
      <c r="E59" s="154">
        <v>2.74</v>
      </c>
      <c r="F59" s="217">
        <v>8.8000000000000007</v>
      </c>
      <c r="G59" s="240">
        <v>4.2</v>
      </c>
      <c r="H59" s="240">
        <v>18.899999999999999</v>
      </c>
      <c r="I59" s="219" t="s">
        <v>23</v>
      </c>
      <c r="J59" s="233" t="s">
        <v>23</v>
      </c>
      <c r="K59" s="234">
        <v>24.08</v>
      </c>
      <c r="L59" s="222" t="s">
        <v>23</v>
      </c>
      <c r="M59" s="223" t="s">
        <v>23</v>
      </c>
      <c r="N59" s="224">
        <f t="shared" si="1"/>
        <v>19.7286012526096</v>
      </c>
      <c r="O59" s="223" t="s">
        <v>23</v>
      </c>
      <c r="P59" s="223" t="s">
        <v>23</v>
      </c>
      <c r="Q59" s="156">
        <f t="shared" si="2"/>
        <v>29.691738594327994</v>
      </c>
      <c r="R59" s="223" t="s">
        <v>23</v>
      </c>
      <c r="S59" s="223" t="s">
        <v>23</v>
      </c>
      <c r="T59" s="236"/>
    </row>
    <row r="60" spans="2:20" s="165" customFormat="1" ht="12.75" customHeight="1" x14ac:dyDescent="0.25">
      <c r="B60" s="226" t="s">
        <v>154</v>
      </c>
      <c r="C60" s="230">
        <v>1144415</v>
      </c>
      <c r="D60" s="239">
        <v>181</v>
      </c>
      <c r="E60" s="154">
        <v>6.08</v>
      </c>
      <c r="F60" s="217">
        <v>8.6999999999999993</v>
      </c>
      <c r="G60" s="240">
        <v>4</v>
      </c>
      <c r="H60" s="240">
        <v>19</v>
      </c>
      <c r="I60" s="219" t="s">
        <v>23</v>
      </c>
      <c r="J60" s="233" t="s">
        <v>23</v>
      </c>
      <c r="K60" s="234">
        <v>23.85</v>
      </c>
      <c r="L60" s="222" t="s">
        <v>23</v>
      </c>
      <c r="M60" s="223" t="s">
        <v>23</v>
      </c>
      <c r="N60" s="224">
        <f t="shared" si="1"/>
        <v>19.791666666666668</v>
      </c>
      <c r="O60" s="223" t="s">
        <v>23</v>
      </c>
      <c r="P60" s="223" t="s">
        <v>23</v>
      </c>
      <c r="Q60" s="156">
        <f t="shared" si="2"/>
        <v>29.444444444444443</v>
      </c>
      <c r="R60" s="223" t="s">
        <v>23</v>
      </c>
      <c r="S60" s="223" t="s">
        <v>23</v>
      </c>
      <c r="T60" s="236"/>
    </row>
    <row r="61" spans="2:20" s="165" customFormat="1" ht="12.75" customHeight="1" x14ac:dyDescent="0.25">
      <c r="B61" s="226" t="s">
        <v>154</v>
      </c>
      <c r="C61" s="230">
        <v>1144416</v>
      </c>
      <c r="D61" s="239">
        <v>185</v>
      </c>
      <c r="E61" s="154">
        <v>2.48</v>
      </c>
      <c r="F61" s="217">
        <v>8.6</v>
      </c>
      <c r="G61" s="240">
        <v>4.2</v>
      </c>
      <c r="H61" s="240">
        <v>19</v>
      </c>
      <c r="I61" s="219" t="s">
        <v>23</v>
      </c>
      <c r="J61" s="233" t="s">
        <v>23</v>
      </c>
      <c r="K61" s="234">
        <v>24.04</v>
      </c>
      <c r="L61" s="222" t="s">
        <v>23</v>
      </c>
      <c r="M61" s="223" t="s">
        <v>23</v>
      </c>
      <c r="N61" s="224">
        <f t="shared" si="1"/>
        <v>19.832985386221296</v>
      </c>
      <c r="O61" s="223" t="s">
        <v>23</v>
      </c>
      <c r="P61" s="223" t="s">
        <v>23</v>
      </c>
      <c r="Q61" s="156">
        <f t="shared" si="2"/>
        <v>29.679012345679013</v>
      </c>
      <c r="R61" s="223" t="s">
        <v>23</v>
      </c>
      <c r="S61" s="223" t="s">
        <v>23</v>
      </c>
      <c r="T61" s="236"/>
    </row>
    <row r="62" spans="2:20" s="165" customFormat="1" ht="12.75" customHeight="1" x14ac:dyDescent="0.25">
      <c r="B62" s="226" t="s">
        <v>154</v>
      </c>
      <c r="C62" s="230">
        <v>1144417</v>
      </c>
      <c r="D62" s="239">
        <v>186</v>
      </c>
      <c r="E62" s="154">
        <v>4.4800000000000004</v>
      </c>
      <c r="F62" s="217">
        <v>8.8000000000000007</v>
      </c>
      <c r="G62" s="240">
        <v>4.4000000000000004</v>
      </c>
      <c r="H62" s="240">
        <v>19.2</v>
      </c>
      <c r="I62" s="219" t="s">
        <v>23</v>
      </c>
      <c r="J62" s="233" t="s">
        <v>23</v>
      </c>
      <c r="K62" s="234">
        <v>23.73</v>
      </c>
      <c r="L62" s="222" t="s">
        <v>23</v>
      </c>
      <c r="M62" s="223" t="s">
        <v>23</v>
      </c>
      <c r="N62" s="224">
        <f t="shared" si="1"/>
        <v>20.083682008368203</v>
      </c>
      <c r="O62" s="223" t="s">
        <v>23</v>
      </c>
      <c r="P62" s="223" t="s">
        <v>23</v>
      </c>
      <c r="Q62" s="156">
        <f t="shared" si="2"/>
        <v>29.368811881188119</v>
      </c>
      <c r="R62" s="223" t="s">
        <v>23</v>
      </c>
      <c r="S62" s="223" t="s">
        <v>23</v>
      </c>
      <c r="T62" s="236"/>
    </row>
    <row r="63" spans="2:20" s="165" customFormat="1" ht="12.75" customHeight="1" x14ac:dyDescent="0.25">
      <c r="B63" s="226" t="s">
        <v>154</v>
      </c>
      <c r="C63" s="237">
        <v>1144418</v>
      </c>
      <c r="D63" s="239">
        <v>100</v>
      </c>
      <c r="E63" s="154">
        <v>7</v>
      </c>
      <c r="F63" s="217">
        <v>8.4</v>
      </c>
      <c r="G63" s="240">
        <v>4.7</v>
      </c>
      <c r="H63" s="240">
        <v>18</v>
      </c>
      <c r="I63" s="219" t="s">
        <v>23</v>
      </c>
      <c r="J63" s="233" t="s">
        <v>23</v>
      </c>
      <c r="K63" s="234">
        <v>23.62</v>
      </c>
      <c r="L63" s="222" t="s">
        <v>23</v>
      </c>
      <c r="M63" s="223" t="s">
        <v>23</v>
      </c>
      <c r="N63" s="224">
        <f t="shared" si="1"/>
        <v>18.887722980062961</v>
      </c>
      <c r="O63" s="223" t="s">
        <v>23</v>
      </c>
      <c r="P63" s="223" t="s">
        <v>23</v>
      </c>
      <c r="Q63" s="156">
        <f t="shared" si="2"/>
        <v>28.804878048780488</v>
      </c>
      <c r="R63" s="223" t="s">
        <v>23</v>
      </c>
      <c r="S63" s="223" t="s">
        <v>23</v>
      </c>
      <c r="T63" s="236"/>
    </row>
    <row r="64" spans="2:20" s="165" customFormat="1" ht="12.75" customHeight="1" x14ac:dyDescent="0.25">
      <c r="B64" s="226" t="s">
        <v>154</v>
      </c>
      <c r="C64" s="237">
        <v>1144419</v>
      </c>
      <c r="D64" s="239">
        <v>108</v>
      </c>
      <c r="E64" s="154">
        <v>4.1399999999999997</v>
      </c>
      <c r="F64" s="217">
        <v>8.8000000000000007</v>
      </c>
      <c r="G64" s="240">
        <v>4.7</v>
      </c>
      <c r="H64" s="240">
        <v>18.100000000000001</v>
      </c>
      <c r="I64" s="219" t="s">
        <v>23</v>
      </c>
      <c r="J64" s="233" t="s">
        <v>23</v>
      </c>
      <c r="K64" s="234">
        <v>23.31</v>
      </c>
      <c r="L64" s="222" t="s">
        <v>23</v>
      </c>
      <c r="M64" s="223" t="s">
        <v>23</v>
      </c>
      <c r="N64" s="224">
        <f t="shared" si="1"/>
        <v>18.992654774396645</v>
      </c>
      <c r="O64" s="223" t="s">
        <v>23</v>
      </c>
      <c r="P64" s="223" t="s">
        <v>23</v>
      </c>
      <c r="Q64" s="156">
        <f t="shared" si="2"/>
        <v>28.46153846153846</v>
      </c>
      <c r="R64" s="223" t="s">
        <v>23</v>
      </c>
      <c r="S64" s="223" t="s">
        <v>23</v>
      </c>
      <c r="T64" s="236"/>
    </row>
    <row r="65" spans="2:20" s="165" customFormat="1" ht="12.75" customHeight="1" x14ac:dyDescent="0.25">
      <c r="B65" s="226" t="s">
        <v>154</v>
      </c>
      <c r="C65" s="227">
        <v>1144420</v>
      </c>
      <c r="D65" s="239">
        <v>121</v>
      </c>
      <c r="E65" s="154">
        <v>2.12</v>
      </c>
      <c r="F65" s="217">
        <v>8.4</v>
      </c>
      <c r="G65" s="240">
        <v>4.7</v>
      </c>
      <c r="H65" s="240">
        <v>19.2</v>
      </c>
      <c r="I65" s="219" t="s">
        <v>23</v>
      </c>
      <c r="J65" s="233" t="s">
        <v>23</v>
      </c>
      <c r="K65" s="234">
        <v>24.09</v>
      </c>
      <c r="L65" s="222" t="s">
        <v>23</v>
      </c>
      <c r="M65" s="223" t="s">
        <v>23</v>
      </c>
      <c r="N65" s="224">
        <f t="shared" si="1"/>
        <v>20.146904512067156</v>
      </c>
      <c r="O65" s="223" t="s">
        <v>23</v>
      </c>
      <c r="P65" s="223" t="s">
        <v>23</v>
      </c>
      <c r="Q65" s="156">
        <f t="shared" si="2"/>
        <v>29.814356435643564</v>
      </c>
      <c r="R65" s="223" t="s">
        <v>23</v>
      </c>
      <c r="S65" s="223" t="s">
        <v>23</v>
      </c>
      <c r="T65" s="236"/>
    </row>
    <row r="66" spans="2:20" s="165" customFormat="1" ht="12.75" customHeight="1" x14ac:dyDescent="0.25">
      <c r="B66" s="226" t="s">
        <v>154</v>
      </c>
      <c r="C66" s="230">
        <v>1144421</v>
      </c>
      <c r="D66" s="239">
        <v>122</v>
      </c>
      <c r="E66" s="154">
        <v>2.42</v>
      </c>
      <c r="F66" s="217">
        <v>8.8000000000000007</v>
      </c>
      <c r="G66" s="240">
        <v>4.5999999999999996</v>
      </c>
      <c r="H66" s="240">
        <v>18.3</v>
      </c>
      <c r="I66" s="219" t="s">
        <v>23</v>
      </c>
      <c r="J66" s="233" t="s">
        <v>23</v>
      </c>
      <c r="K66" s="234">
        <v>23.74</v>
      </c>
      <c r="L66" s="222" t="s">
        <v>23</v>
      </c>
      <c r="M66" s="223" t="s">
        <v>23</v>
      </c>
      <c r="N66" s="224">
        <f t="shared" si="1"/>
        <v>19.182389937106919</v>
      </c>
      <c r="O66" s="223" t="s">
        <v>23</v>
      </c>
      <c r="P66" s="223" t="s">
        <v>23</v>
      </c>
      <c r="Q66" s="156">
        <f t="shared" si="2"/>
        <v>29.057527539779681</v>
      </c>
      <c r="R66" s="223" t="s">
        <v>23</v>
      </c>
      <c r="S66" s="223" t="s">
        <v>23</v>
      </c>
      <c r="T66" s="236"/>
    </row>
    <row r="67" spans="2:20" s="165" customFormat="1" ht="12.75" customHeight="1" x14ac:dyDescent="0.25">
      <c r="B67" s="226" t="s">
        <v>154</v>
      </c>
      <c r="C67" s="237">
        <v>1144422</v>
      </c>
      <c r="D67" s="231">
        <v>123</v>
      </c>
      <c r="E67" s="154">
        <v>2.56</v>
      </c>
      <c r="F67" s="217">
        <v>8.5</v>
      </c>
      <c r="G67" s="240">
        <v>4.4000000000000004</v>
      </c>
      <c r="H67" s="240">
        <v>18.600000000000001</v>
      </c>
      <c r="I67" s="219" t="s">
        <v>23</v>
      </c>
      <c r="J67" s="233" t="s">
        <v>23</v>
      </c>
      <c r="K67" s="234">
        <v>23.34</v>
      </c>
      <c r="L67" s="222" t="s">
        <v>23</v>
      </c>
      <c r="M67" s="223" t="s">
        <v>23</v>
      </c>
      <c r="N67" s="224">
        <f t="shared" si="1"/>
        <v>19.456066945606697</v>
      </c>
      <c r="O67" s="223" t="s">
        <v>23</v>
      </c>
      <c r="P67" s="223" t="s">
        <v>23</v>
      </c>
      <c r="Q67" s="156">
        <f t="shared" si="2"/>
        <v>28.67321867321867</v>
      </c>
      <c r="R67" s="223" t="s">
        <v>23</v>
      </c>
      <c r="S67" s="223" t="s">
        <v>23</v>
      </c>
      <c r="T67" s="236"/>
    </row>
    <row r="68" spans="2:20" s="165" customFormat="1" ht="12.75" customHeight="1" x14ac:dyDescent="0.25">
      <c r="B68" s="226" t="s">
        <v>154</v>
      </c>
      <c r="C68" s="227">
        <v>1144423</v>
      </c>
      <c r="D68" s="228">
        <v>148</v>
      </c>
      <c r="E68" s="154">
        <v>6.78</v>
      </c>
      <c r="F68" s="238">
        <v>8.8000000000000007</v>
      </c>
      <c r="G68" s="240">
        <v>4.4000000000000004</v>
      </c>
      <c r="H68" s="240">
        <v>18.899999999999999</v>
      </c>
      <c r="I68" s="219" t="s">
        <v>23</v>
      </c>
      <c r="J68" s="233" t="s">
        <v>23</v>
      </c>
      <c r="K68" s="234">
        <v>23.53</v>
      </c>
      <c r="L68" s="222" t="s">
        <v>23</v>
      </c>
      <c r="M68" s="223" t="s">
        <v>23</v>
      </c>
      <c r="N68" s="224">
        <f t="shared" si="1"/>
        <v>19.769874476987447</v>
      </c>
      <c r="O68" s="223" t="s">
        <v>23</v>
      </c>
      <c r="P68" s="223" t="s">
        <v>23</v>
      </c>
      <c r="Q68" s="156">
        <f t="shared" si="2"/>
        <v>29.013563501849571</v>
      </c>
      <c r="R68" s="223" t="s">
        <v>23</v>
      </c>
      <c r="S68" s="223" t="s">
        <v>23</v>
      </c>
      <c r="T68" s="236"/>
    </row>
    <row r="69" spans="2:20" s="165" customFormat="1" ht="14.25" customHeight="1" x14ac:dyDescent="0.25">
      <c r="B69" s="226" t="s">
        <v>154</v>
      </c>
      <c r="C69" s="230">
        <v>1144424</v>
      </c>
      <c r="D69" s="231">
        <v>150</v>
      </c>
      <c r="E69" s="154">
        <v>5.04</v>
      </c>
      <c r="F69" s="238">
        <v>8.4</v>
      </c>
      <c r="G69" s="224">
        <v>4.5</v>
      </c>
      <c r="H69" s="240">
        <v>18.7</v>
      </c>
      <c r="I69" s="219" t="s">
        <v>23</v>
      </c>
      <c r="J69" s="233" t="s">
        <v>23</v>
      </c>
      <c r="K69" s="234">
        <v>24.44</v>
      </c>
      <c r="L69" s="222" t="s">
        <v>23</v>
      </c>
      <c r="M69" s="223" t="s">
        <v>23</v>
      </c>
      <c r="N69" s="224">
        <f t="shared" si="1"/>
        <v>19.581151832460733</v>
      </c>
      <c r="O69" s="223" t="s">
        <v>23</v>
      </c>
      <c r="P69" s="223" t="s">
        <v>23</v>
      </c>
      <c r="Q69" s="156">
        <f t="shared" si="2"/>
        <v>30.06150061500615</v>
      </c>
      <c r="R69" s="223" t="s">
        <v>23</v>
      </c>
      <c r="S69" s="223" t="s">
        <v>23</v>
      </c>
      <c r="T69" s="236"/>
    </row>
    <row r="70" spans="2:20" s="165" customFormat="1" ht="14.25" customHeight="1" x14ac:dyDescent="0.25">
      <c r="B70" s="226" t="s">
        <v>154</v>
      </c>
      <c r="C70" s="230">
        <v>1144425</v>
      </c>
      <c r="D70" s="228">
        <v>158</v>
      </c>
      <c r="E70" s="154">
        <v>3.76</v>
      </c>
      <c r="F70" s="238">
        <v>8.9</v>
      </c>
      <c r="G70" s="245">
        <v>4.3</v>
      </c>
      <c r="H70" s="245">
        <v>19</v>
      </c>
      <c r="I70" s="219" t="s">
        <v>23</v>
      </c>
      <c r="J70" s="233" t="s">
        <v>23</v>
      </c>
      <c r="K70" s="234">
        <v>24.04</v>
      </c>
      <c r="L70" s="222" t="s">
        <v>23</v>
      </c>
      <c r="M70" s="223" t="s">
        <v>23</v>
      </c>
      <c r="N70" s="224">
        <f t="shared" si="1"/>
        <v>19.853709508881924</v>
      </c>
      <c r="O70" s="223" t="s">
        <v>23</v>
      </c>
      <c r="P70" s="223" t="s">
        <v>23</v>
      </c>
      <c r="Q70" s="156">
        <f t="shared" si="2"/>
        <v>29.679012345679013</v>
      </c>
      <c r="R70" s="223" t="s">
        <v>23</v>
      </c>
      <c r="S70" s="223" t="s">
        <v>23</v>
      </c>
      <c r="T70" s="236"/>
    </row>
    <row r="71" spans="2:20" s="165" customFormat="1" ht="14.25" customHeight="1" x14ac:dyDescent="0.25">
      <c r="B71" s="226" t="s">
        <v>154</v>
      </c>
      <c r="C71" s="230">
        <v>1144426</v>
      </c>
      <c r="D71" s="239">
        <v>160</v>
      </c>
      <c r="E71" s="154">
        <v>3.92</v>
      </c>
      <c r="F71" s="238">
        <v>8.4</v>
      </c>
      <c r="G71" s="240">
        <v>4.5999999999999996</v>
      </c>
      <c r="H71" s="240">
        <v>18.7</v>
      </c>
      <c r="I71" s="219" t="s">
        <v>23</v>
      </c>
      <c r="J71" s="233" t="s">
        <v>23</v>
      </c>
      <c r="K71" s="246">
        <v>24.34</v>
      </c>
      <c r="L71" s="222" t="s">
        <v>23</v>
      </c>
      <c r="M71" s="223" t="s">
        <v>23</v>
      </c>
      <c r="N71" s="224">
        <f t="shared" si="1"/>
        <v>19.60167714884696</v>
      </c>
      <c r="O71" s="223" t="s">
        <v>23</v>
      </c>
      <c r="P71" s="223" t="s">
        <v>23</v>
      </c>
      <c r="Q71" s="156">
        <f t="shared" si="2"/>
        <v>29.93849938499385</v>
      </c>
      <c r="R71" s="223" t="s">
        <v>23</v>
      </c>
      <c r="S71" s="223" t="s">
        <v>23</v>
      </c>
      <c r="T71" s="236"/>
    </row>
    <row r="72" spans="2:20" s="165" customFormat="1" ht="12.75" customHeight="1" x14ac:dyDescent="0.25">
      <c r="B72" s="226" t="s">
        <v>154</v>
      </c>
      <c r="C72" s="237">
        <v>1144427</v>
      </c>
      <c r="D72" s="231">
        <v>172</v>
      </c>
      <c r="E72" s="154">
        <v>4.62</v>
      </c>
      <c r="F72" s="238">
        <v>9.6999999999999993</v>
      </c>
      <c r="G72" s="240">
        <v>4.5</v>
      </c>
      <c r="H72" s="240">
        <v>18.899999999999999</v>
      </c>
      <c r="I72" s="219" t="s">
        <v>23</v>
      </c>
      <c r="J72" s="233" t="s">
        <v>23</v>
      </c>
      <c r="K72" s="155">
        <v>24</v>
      </c>
      <c r="L72" s="222" t="s">
        <v>23</v>
      </c>
      <c r="M72" s="223" t="s">
        <v>23</v>
      </c>
      <c r="N72" s="224">
        <f t="shared" si="1"/>
        <v>19.790575916230363</v>
      </c>
      <c r="O72" s="223" t="s">
        <v>23</v>
      </c>
      <c r="P72" s="223" t="s">
        <v>23</v>
      </c>
      <c r="Q72" s="156">
        <f t="shared" si="2"/>
        <v>29.593094944512949</v>
      </c>
      <c r="R72" s="223" t="s">
        <v>23</v>
      </c>
      <c r="S72" s="223" t="s">
        <v>23</v>
      </c>
      <c r="T72" s="236"/>
    </row>
    <row r="73" spans="2:20" s="165" customFormat="1" ht="12.75" customHeight="1" x14ac:dyDescent="0.25">
      <c r="B73" s="226" t="s">
        <v>154</v>
      </c>
      <c r="C73" s="237">
        <v>1144428</v>
      </c>
      <c r="D73" s="231">
        <v>174</v>
      </c>
      <c r="E73" s="154">
        <v>2.52</v>
      </c>
      <c r="F73" s="238">
        <v>8.5</v>
      </c>
      <c r="G73" s="240">
        <v>4.5</v>
      </c>
      <c r="H73" s="240">
        <v>18.600000000000001</v>
      </c>
      <c r="I73" s="219" t="s">
        <v>23</v>
      </c>
      <c r="J73" s="233" t="s">
        <v>23</v>
      </c>
      <c r="K73" s="155">
        <v>23.44</v>
      </c>
      <c r="L73" s="222" t="s">
        <v>23</v>
      </c>
      <c r="M73" s="223" t="s">
        <v>23</v>
      </c>
      <c r="N73" s="224">
        <f t="shared" si="1"/>
        <v>19.47643979057592</v>
      </c>
      <c r="O73" s="223" t="s">
        <v>23</v>
      </c>
      <c r="P73" s="223" t="s">
        <v>23</v>
      </c>
      <c r="Q73" s="156">
        <f t="shared" si="2"/>
        <v>28.796068796068795</v>
      </c>
      <c r="R73" s="223" t="s">
        <v>23</v>
      </c>
      <c r="S73" s="223" t="s">
        <v>23</v>
      </c>
      <c r="T73" s="236"/>
    </row>
    <row r="74" spans="2:20" s="165" customFormat="1" ht="12.75" customHeight="1" x14ac:dyDescent="0.25">
      <c r="B74" s="226" t="s">
        <v>154</v>
      </c>
      <c r="C74" s="227">
        <v>1144429</v>
      </c>
      <c r="D74" s="228">
        <v>188</v>
      </c>
      <c r="E74" s="154">
        <v>4.22</v>
      </c>
      <c r="F74" s="238">
        <v>9</v>
      </c>
      <c r="G74" s="240">
        <v>4.3</v>
      </c>
      <c r="H74" s="240">
        <v>19</v>
      </c>
      <c r="I74" s="219" t="s">
        <v>23</v>
      </c>
      <c r="J74" s="233" t="s">
        <v>23</v>
      </c>
      <c r="K74" s="155">
        <v>23.79</v>
      </c>
      <c r="L74" s="222" t="s">
        <v>23</v>
      </c>
      <c r="M74" s="223" t="s">
        <v>23</v>
      </c>
      <c r="N74" s="224">
        <f t="shared" si="1"/>
        <v>19.853709508881924</v>
      </c>
      <c r="O74" s="223" t="s">
        <v>23</v>
      </c>
      <c r="P74" s="223" t="s">
        <v>23</v>
      </c>
      <c r="Q74" s="156">
        <f t="shared" si="2"/>
        <v>29.37037037037037</v>
      </c>
      <c r="R74" s="223" t="s">
        <v>23</v>
      </c>
      <c r="S74" s="223" t="s">
        <v>23</v>
      </c>
      <c r="T74" s="236"/>
    </row>
    <row r="75" spans="2:20" s="165" customFormat="1" ht="12.75" customHeight="1" x14ac:dyDescent="0.25">
      <c r="B75" s="226" t="s">
        <v>154</v>
      </c>
      <c r="C75" s="230">
        <v>1144430</v>
      </c>
      <c r="D75" s="239">
        <v>104</v>
      </c>
      <c r="E75" s="154">
        <v>6.24</v>
      </c>
      <c r="F75" s="217">
        <v>9.5</v>
      </c>
      <c r="G75" s="240">
        <v>4.9000000000000004</v>
      </c>
      <c r="H75" s="240">
        <v>20.2</v>
      </c>
      <c r="I75" s="219" t="s">
        <v>23</v>
      </c>
      <c r="J75" s="233" t="s">
        <v>23</v>
      </c>
      <c r="K75" s="155">
        <v>23.41</v>
      </c>
      <c r="L75" s="222" t="s">
        <v>23</v>
      </c>
      <c r="M75" s="223" t="s">
        <v>23</v>
      </c>
      <c r="N75" s="224">
        <f t="shared" si="1"/>
        <v>21.240799158780234</v>
      </c>
      <c r="O75" s="223" t="s">
        <v>23</v>
      </c>
      <c r="P75" s="223" t="s">
        <v>23</v>
      </c>
      <c r="Q75" s="156">
        <f t="shared" si="2"/>
        <v>29.335839598997495</v>
      </c>
      <c r="R75" s="223" t="s">
        <v>23</v>
      </c>
      <c r="S75" s="223" t="s">
        <v>23</v>
      </c>
      <c r="T75" s="236"/>
    </row>
    <row r="76" spans="2:20" s="165" customFormat="1" ht="12.75" customHeight="1" x14ac:dyDescent="0.25">
      <c r="B76" s="226" t="s">
        <v>154</v>
      </c>
      <c r="C76" s="237">
        <v>1144431</v>
      </c>
      <c r="D76" s="239">
        <v>119</v>
      </c>
      <c r="E76" s="154">
        <v>4.96</v>
      </c>
      <c r="F76" s="238">
        <v>9.4</v>
      </c>
      <c r="G76" s="240">
        <v>4.9000000000000004</v>
      </c>
      <c r="H76" s="240">
        <v>19.2</v>
      </c>
      <c r="I76" s="219" t="s">
        <v>23</v>
      </c>
      <c r="J76" s="233" t="s">
        <v>23</v>
      </c>
      <c r="K76" s="155">
        <v>23.68</v>
      </c>
      <c r="L76" s="222" t="s">
        <v>23</v>
      </c>
      <c r="M76" s="223" t="s">
        <v>23</v>
      </c>
      <c r="N76" s="224">
        <f t="shared" si="1"/>
        <v>20.189274447949529</v>
      </c>
      <c r="O76" s="223" t="s">
        <v>23</v>
      </c>
      <c r="P76" s="223" t="s">
        <v>23</v>
      </c>
      <c r="Q76" s="156">
        <f t="shared" si="2"/>
        <v>29.306930693069308</v>
      </c>
      <c r="R76" s="223" t="s">
        <v>23</v>
      </c>
      <c r="S76" s="223" t="s">
        <v>23</v>
      </c>
      <c r="T76" s="236"/>
    </row>
    <row r="77" spans="2:20" s="165" customFormat="1" ht="12.75" customHeight="1" x14ac:dyDescent="0.25">
      <c r="B77" s="226" t="s">
        <v>154</v>
      </c>
      <c r="C77" s="227">
        <v>1144432</v>
      </c>
      <c r="D77" s="231">
        <v>129</v>
      </c>
      <c r="E77" s="154">
        <v>2.52</v>
      </c>
      <c r="F77" s="238">
        <v>9.6</v>
      </c>
      <c r="G77" s="240">
        <v>4.9000000000000004</v>
      </c>
      <c r="H77" s="240">
        <v>18.100000000000001</v>
      </c>
      <c r="I77" s="219" t="s">
        <v>23</v>
      </c>
      <c r="J77" s="233" t="s">
        <v>23</v>
      </c>
      <c r="K77" s="155">
        <v>24.41</v>
      </c>
      <c r="L77" s="222" t="s">
        <v>23</v>
      </c>
      <c r="M77" s="223" t="s">
        <v>23</v>
      </c>
      <c r="N77" s="224">
        <f t="shared" si="1"/>
        <v>19.032597266035754</v>
      </c>
      <c r="O77" s="223" t="s">
        <v>23</v>
      </c>
      <c r="P77" s="223" t="s">
        <v>23</v>
      </c>
      <c r="Q77" s="156">
        <f t="shared" si="2"/>
        <v>29.804639804639802</v>
      </c>
      <c r="R77" s="223" t="s">
        <v>23</v>
      </c>
      <c r="S77" s="223" t="s">
        <v>23</v>
      </c>
      <c r="T77" s="236"/>
    </row>
    <row r="78" spans="2:20" s="165" customFormat="1" ht="12.75" customHeight="1" x14ac:dyDescent="0.25">
      <c r="B78" s="226" t="s">
        <v>154</v>
      </c>
      <c r="C78" s="237">
        <v>1144433</v>
      </c>
      <c r="D78" s="231">
        <v>130</v>
      </c>
      <c r="E78" s="154">
        <v>6.28</v>
      </c>
      <c r="F78" s="238">
        <v>9.5</v>
      </c>
      <c r="G78" s="240">
        <v>4.7</v>
      </c>
      <c r="H78" s="240">
        <v>19.2</v>
      </c>
      <c r="I78" s="219" t="s">
        <v>23</v>
      </c>
      <c r="J78" s="233" t="s">
        <v>23</v>
      </c>
      <c r="K78" s="155">
        <v>24.04</v>
      </c>
      <c r="L78" s="222" t="s">
        <v>23</v>
      </c>
      <c r="M78" s="223" t="s">
        <v>23</v>
      </c>
      <c r="N78" s="224">
        <f t="shared" si="1"/>
        <v>20.146904512067156</v>
      </c>
      <c r="O78" s="223" t="s">
        <v>23</v>
      </c>
      <c r="P78" s="223" t="s">
        <v>23</v>
      </c>
      <c r="Q78" s="156">
        <f t="shared" si="2"/>
        <v>29.752475247524753</v>
      </c>
      <c r="R78" s="223" t="s">
        <v>23</v>
      </c>
      <c r="S78" s="223" t="s">
        <v>23</v>
      </c>
      <c r="T78" s="236"/>
    </row>
    <row r="79" spans="2:20" s="165" customFormat="1" ht="12.75" customHeight="1" x14ac:dyDescent="0.25">
      <c r="B79" s="226" t="s">
        <v>154</v>
      </c>
      <c r="C79" s="227">
        <v>1144434</v>
      </c>
      <c r="D79" s="231">
        <v>139</v>
      </c>
      <c r="E79" s="154">
        <v>2.56</v>
      </c>
      <c r="F79" s="238">
        <v>9.3000000000000007</v>
      </c>
      <c r="G79" s="240">
        <v>4.5999999999999996</v>
      </c>
      <c r="H79" s="240">
        <v>17.600000000000001</v>
      </c>
      <c r="I79" s="219" t="s">
        <v>23</v>
      </c>
      <c r="J79" s="233" t="s">
        <v>23</v>
      </c>
      <c r="K79" s="155">
        <v>24.45</v>
      </c>
      <c r="L79" s="222" t="s">
        <v>23</v>
      </c>
      <c r="M79" s="223" t="s">
        <v>23</v>
      </c>
      <c r="N79" s="224">
        <f t="shared" si="1"/>
        <v>18.448637316561847</v>
      </c>
      <c r="O79" s="223" t="s">
        <v>23</v>
      </c>
      <c r="P79" s="223" t="s">
        <v>23</v>
      </c>
      <c r="Q79" s="156">
        <f t="shared" si="2"/>
        <v>29.672330097087375</v>
      </c>
      <c r="R79" s="223" t="s">
        <v>23</v>
      </c>
      <c r="S79" s="223" t="s">
        <v>23</v>
      </c>
      <c r="T79" s="236"/>
    </row>
    <row r="80" spans="2:20" s="165" customFormat="1" ht="12.75" customHeight="1" x14ac:dyDescent="0.25">
      <c r="B80" s="226" t="s">
        <v>154</v>
      </c>
      <c r="C80" s="244">
        <v>1144435</v>
      </c>
      <c r="D80" s="228">
        <v>141</v>
      </c>
      <c r="E80" s="154">
        <v>5.32</v>
      </c>
      <c r="F80" s="238">
        <v>9.4</v>
      </c>
      <c r="G80" s="240">
        <v>4.5999999999999996</v>
      </c>
      <c r="H80" s="240">
        <v>18.399999999999999</v>
      </c>
      <c r="I80" s="219" t="s">
        <v>23</v>
      </c>
      <c r="J80" s="233" t="s">
        <v>23</v>
      </c>
      <c r="K80" s="155">
        <v>23.98</v>
      </c>
      <c r="L80" s="222" t="s">
        <v>23</v>
      </c>
      <c r="M80" s="223" t="s">
        <v>23</v>
      </c>
      <c r="N80" s="224">
        <f t="shared" ref="N80:N134" si="3">IF(AND($H80&gt;0,H80&gt;0),(H80*100)/(100-$G80),"")</f>
        <v>19.287211740041926</v>
      </c>
      <c r="O80" s="223" t="s">
        <v>23</v>
      </c>
      <c r="P80" s="223" t="s">
        <v>23</v>
      </c>
      <c r="Q80" s="156">
        <f t="shared" si="2"/>
        <v>29.387254901960787</v>
      </c>
      <c r="R80" s="223" t="s">
        <v>23</v>
      </c>
      <c r="S80" s="223" t="s">
        <v>23</v>
      </c>
      <c r="T80" s="236"/>
    </row>
    <row r="81" spans="2:20" s="165" customFormat="1" ht="12.75" customHeight="1" x14ac:dyDescent="0.25">
      <c r="B81" s="226" t="s">
        <v>154</v>
      </c>
      <c r="C81" s="230">
        <v>1144436</v>
      </c>
      <c r="D81" s="239">
        <v>154</v>
      </c>
      <c r="E81" s="154">
        <v>2.4</v>
      </c>
      <c r="F81" s="238">
        <v>9</v>
      </c>
      <c r="G81" s="240">
        <v>4.5999999999999996</v>
      </c>
      <c r="H81" s="240">
        <v>18.3</v>
      </c>
      <c r="I81" s="219" t="s">
        <v>23</v>
      </c>
      <c r="J81" s="233" t="s">
        <v>23</v>
      </c>
      <c r="K81" s="155">
        <v>24.25</v>
      </c>
      <c r="L81" s="222" t="s">
        <v>23</v>
      </c>
      <c r="M81" s="223" t="s">
        <v>23</v>
      </c>
      <c r="N81" s="224">
        <f t="shared" si="3"/>
        <v>19.182389937106919</v>
      </c>
      <c r="O81" s="223" t="s">
        <v>23</v>
      </c>
      <c r="P81" s="223" t="s">
        <v>23</v>
      </c>
      <c r="Q81" s="156">
        <f t="shared" si="2"/>
        <v>29.68176254589963</v>
      </c>
      <c r="R81" s="223" t="s">
        <v>23</v>
      </c>
      <c r="S81" s="223" t="s">
        <v>23</v>
      </c>
      <c r="T81" s="236"/>
    </row>
    <row r="82" spans="2:20" s="165" customFormat="1" ht="12.75" customHeight="1" x14ac:dyDescent="0.25">
      <c r="B82" s="226" t="s">
        <v>154</v>
      </c>
      <c r="C82" s="237">
        <v>1144437</v>
      </c>
      <c r="D82" s="239">
        <v>161</v>
      </c>
      <c r="E82" s="154">
        <v>4.5199999999999996</v>
      </c>
      <c r="F82" s="238">
        <v>9.3000000000000007</v>
      </c>
      <c r="G82" s="240">
        <v>4.3</v>
      </c>
      <c r="H82" s="240">
        <v>19.600000000000001</v>
      </c>
      <c r="I82" s="219" t="s">
        <v>23</v>
      </c>
      <c r="J82" s="233" t="s">
        <v>23</v>
      </c>
      <c r="K82" s="155">
        <v>23.89</v>
      </c>
      <c r="L82" s="222" t="s">
        <v>23</v>
      </c>
      <c r="M82" s="223" t="s">
        <v>23</v>
      </c>
      <c r="N82" s="224">
        <f t="shared" si="3"/>
        <v>20.480668756530829</v>
      </c>
      <c r="O82" s="223" t="s">
        <v>23</v>
      </c>
      <c r="P82" s="223" t="s">
        <v>23</v>
      </c>
      <c r="Q82" s="156">
        <f t="shared" si="2"/>
        <v>29.713930348258703</v>
      </c>
      <c r="R82" s="223" t="s">
        <v>23</v>
      </c>
      <c r="S82" s="223" t="s">
        <v>23</v>
      </c>
      <c r="T82" s="236"/>
    </row>
    <row r="83" spans="2:20" s="165" customFormat="1" ht="12.75" customHeight="1" x14ac:dyDescent="0.25">
      <c r="B83" s="226" t="s">
        <v>154</v>
      </c>
      <c r="C83" s="227">
        <v>1144438</v>
      </c>
      <c r="D83" s="231">
        <v>163</v>
      </c>
      <c r="E83" s="154">
        <v>5.28</v>
      </c>
      <c r="F83" s="238">
        <v>9.4</v>
      </c>
      <c r="G83" s="240">
        <v>4.5999999999999996</v>
      </c>
      <c r="H83" s="240">
        <v>18.2</v>
      </c>
      <c r="I83" s="219" t="s">
        <v>23</v>
      </c>
      <c r="J83" s="233" t="s">
        <v>23</v>
      </c>
      <c r="K83" s="155">
        <v>24.46</v>
      </c>
      <c r="L83" s="222" t="s">
        <v>23</v>
      </c>
      <c r="M83" s="223" t="s">
        <v>23</v>
      </c>
      <c r="N83" s="224">
        <f t="shared" si="3"/>
        <v>19.077568134171905</v>
      </c>
      <c r="O83" s="223" t="s">
        <v>23</v>
      </c>
      <c r="P83" s="223" t="s">
        <v>23</v>
      </c>
      <c r="Q83" s="156">
        <f t="shared" si="2"/>
        <v>29.902200488997558</v>
      </c>
      <c r="R83" s="223" t="s">
        <v>23</v>
      </c>
      <c r="S83" s="223" t="s">
        <v>23</v>
      </c>
      <c r="T83" s="236"/>
    </row>
    <row r="84" spans="2:20" s="165" customFormat="1" ht="12.75" customHeight="1" x14ac:dyDescent="0.25">
      <c r="B84" s="226" t="s">
        <v>154</v>
      </c>
      <c r="C84" s="237">
        <v>1144439</v>
      </c>
      <c r="D84" s="228">
        <v>173</v>
      </c>
      <c r="E84" s="154">
        <v>4.26</v>
      </c>
      <c r="F84" s="238">
        <v>9.6999999999999993</v>
      </c>
      <c r="G84" s="240">
        <v>4.7</v>
      </c>
      <c r="H84" s="240">
        <v>20.7</v>
      </c>
      <c r="I84" s="219" t="s">
        <v>23</v>
      </c>
      <c r="J84" s="233" t="s">
        <v>23</v>
      </c>
      <c r="K84" s="155">
        <v>23.37</v>
      </c>
      <c r="L84" s="222" t="s">
        <v>23</v>
      </c>
      <c r="M84" s="223" t="s">
        <v>23</v>
      </c>
      <c r="N84" s="224">
        <f t="shared" si="3"/>
        <v>21.720881427072403</v>
      </c>
      <c r="O84" s="223" t="s">
        <v>23</v>
      </c>
      <c r="P84" s="223" t="s">
        <v>23</v>
      </c>
      <c r="Q84" s="156">
        <f t="shared" si="2"/>
        <v>29.470365699873899</v>
      </c>
      <c r="R84" s="223" t="s">
        <v>23</v>
      </c>
      <c r="S84" s="223" t="s">
        <v>23</v>
      </c>
      <c r="T84" s="236"/>
    </row>
    <row r="85" spans="2:20" s="165" customFormat="1" ht="12.75" customHeight="1" x14ac:dyDescent="0.25">
      <c r="B85" s="226" t="s">
        <v>154</v>
      </c>
      <c r="C85" s="237">
        <v>1144440</v>
      </c>
      <c r="D85" s="239">
        <v>184</v>
      </c>
      <c r="E85" s="154">
        <v>5</v>
      </c>
      <c r="F85" s="238">
        <v>9.5</v>
      </c>
      <c r="G85" s="240">
        <v>4.7</v>
      </c>
      <c r="H85" s="240">
        <v>20.6</v>
      </c>
      <c r="I85" s="219" t="s">
        <v>23</v>
      </c>
      <c r="J85" s="233" t="s">
        <v>23</v>
      </c>
      <c r="K85" s="155">
        <v>23.62</v>
      </c>
      <c r="L85" s="222" t="s">
        <v>23</v>
      </c>
      <c r="M85" s="223" t="s">
        <v>23</v>
      </c>
      <c r="N85" s="224">
        <f t="shared" si="3"/>
        <v>21.615949632738719</v>
      </c>
      <c r="O85" s="223" t="s">
        <v>23</v>
      </c>
      <c r="P85" s="223" t="s">
        <v>23</v>
      </c>
      <c r="Q85" s="156">
        <f t="shared" ref="Q85:Q134" si="4">IF(AND($H85&gt;0,K85&gt;0),(K85*100)/(100-$H85),"")</f>
        <v>29.748110831234253</v>
      </c>
      <c r="R85" s="223" t="s">
        <v>23</v>
      </c>
      <c r="S85" s="223" t="s">
        <v>23</v>
      </c>
      <c r="T85" s="236"/>
    </row>
    <row r="86" spans="2:20" s="165" customFormat="1" ht="12.75" customHeight="1" x14ac:dyDescent="0.25">
      <c r="B86" s="226" t="s">
        <v>154</v>
      </c>
      <c r="C86" s="227">
        <v>1144441</v>
      </c>
      <c r="D86" s="231">
        <v>189</v>
      </c>
      <c r="E86" s="154">
        <v>4.8600000000000003</v>
      </c>
      <c r="F86" s="238">
        <v>9</v>
      </c>
      <c r="G86" s="240">
        <v>4.7</v>
      </c>
      <c r="H86" s="240">
        <v>18.3</v>
      </c>
      <c r="I86" s="219" t="s">
        <v>23</v>
      </c>
      <c r="J86" s="233" t="s">
        <v>23</v>
      </c>
      <c r="K86" s="155">
        <v>24.34</v>
      </c>
      <c r="L86" s="222" t="s">
        <v>23</v>
      </c>
      <c r="M86" s="223" t="s">
        <v>23</v>
      </c>
      <c r="N86" s="224">
        <f t="shared" si="3"/>
        <v>19.202518363064009</v>
      </c>
      <c r="O86" s="223" t="s">
        <v>23</v>
      </c>
      <c r="P86" s="223" t="s">
        <v>23</v>
      </c>
      <c r="Q86" s="156">
        <f t="shared" si="4"/>
        <v>29.791921664626681</v>
      </c>
      <c r="R86" s="223" t="s">
        <v>23</v>
      </c>
      <c r="S86" s="223" t="s">
        <v>23</v>
      </c>
      <c r="T86" s="236"/>
    </row>
    <row r="87" spans="2:20" s="165" customFormat="1" ht="12.75" customHeight="1" x14ac:dyDescent="0.25">
      <c r="B87" s="226" t="s">
        <v>154</v>
      </c>
      <c r="C87" s="237">
        <v>1144442</v>
      </c>
      <c r="D87" s="231">
        <v>101</v>
      </c>
      <c r="E87" s="154">
        <v>5.74</v>
      </c>
      <c r="F87" s="238">
        <v>9</v>
      </c>
      <c r="G87" s="240">
        <v>4.8</v>
      </c>
      <c r="H87" s="240">
        <v>17.3</v>
      </c>
      <c r="I87" s="219" t="s">
        <v>23</v>
      </c>
      <c r="J87" s="233" t="s">
        <v>23</v>
      </c>
      <c r="K87" s="155">
        <v>24.22</v>
      </c>
      <c r="L87" s="222" t="s">
        <v>23</v>
      </c>
      <c r="M87" s="223" t="s">
        <v>23</v>
      </c>
      <c r="N87" s="224">
        <f t="shared" si="3"/>
        <v>18.172268907563026</v>
      </c>
      <c r="O87" s="223" t="s">
        <v>23</v>
      </c>
      <c r="P87" s="223" t="s">
        <v>23</v>
      </c>
      <c r="Q87" s="156">
        <f t="shared" si="4"/>
        <v>29.28657799274486</v>
      </c>
      <c r="R87" s="223" t="s">
        <v>23</v>
      </c>
      <c r="S87" s="223" t="s">
        <v>23</v>
      </c>
      <c r="T87" s="236"/>
    </row>
    <row r="88" spans="2:20" s="165" customFormat="1" ht="12.75" customHeight="1" x14ac:dyDescent="0.25">
      <c r="B88" s="226" t="s">
        <v>154</v>
      </c>
      <c r="C88" s="237">
        <v>1144443</v>
      </c>
      <c r="D88" s="231">
        <v>107</v>
      </c>
      <c r="E88" s="154">
        <v>3.26</v>
      </c>
      <c r="F88" s="238">
        <v>8.9</v>
      </c>
      <c r="G88" s="240">
        <v>4.9000000000000004</v>
      </c>
      <c r="H88" s="240">
        <v>16.7</v>
      </c>
      <c r="I88" s="219" t="s">
        <v>23</v>
      </c>
      <c r="J88" s="233" t="s">
        <v>23</v>
      </c>
      <c r="K88" s="155">
        <v>23.81</v>
      </c>
      <c r="L88" s="222" t="s">
        <v>23</v>
      </c>
      <c r="M88" s="223" t="s">
        <v>23</v>
      </c>
      <c r="N88" s="224">
        <f t="shared" si="3"/>
        <v>17.560462670872766</v>
      </c>
      <c r="O88" s="223" t="s">
        <v>23</v>
      </c>
      <c r="P88" s="223" t="s">
        <v>23</v>
      </c>
      <c r="Q88" s="156">
        <f t="shared" si="4"/>
        <v>28.58343337334934</v>
      </c>
      <c r="R88" s="223" t="s">
        <v>23</v>
      </c>
      <c r="S88" s="223" t="s">
        <v>23</v>
      </c>
      <c r="T88" s="236"/>
    </row>
    <row r="89" spans="2:20" s="165" customFormat="1" ht="12.75" customHeight="1" x14ac:dyDescent="0.25">
      <c r="B89" s="226" t="s">
        <v>154</v>
      </c>
      <c r="C89" s="247">
        <v>1144444</v>
      </c>
      <c r="D89" s="228">
        <v>118</v>
      </c>
      <c r="E89" s="154">
        <v>3.14</v>
      </c>
      <c r="F89" s="238">
        <v>8.3000000000000007</v>
      </c>
      <c r="G89" s="240">
        <v>4.8</v>
      </c>
      <c r="H89" s="240">
        <v>17.5</v>
      </c>
      <c r="I89" s="219" t="s">
        <v>23</v>
      </c>
      <c r="J89" s="233" t="s">
        <v>23</v>
      </c>
      <c r="K89" s="155">
        <v>24.75</v>
      </c>
      <c r="L89" s="222" t="s">
        <v>23</v>
      </c>
      <c r="M89" s="223" t="s">
        <v>23</v>
      </c>
      <c r="N89" s="224">
        <f t="shared" si="3"/>
        <v>18.382352941176471</v>
      </c>
      <c r="O89" s="223" t="s">
        <v>23</v>
      </c>
      <c r="P89" s="223" t="s">
        <v>23</v>
      </c>
      <c r="Q89" s="156">
        <f t="shared" si="4"/>
        <v>30</v>
      </c>
      <c r="R89" s="223" t="s">
        <v>23</v>
      </c>
      <c r="S89" s="223" t="s">
        <v>23</v>
      </c>
      <c r="T89" s="236"/>
    </row>
    <row r="90" spans="2:20" s="165" customFormat="1" ht="12.75" customHeight="1" x14ac:dyDescent="0.25">
      <c r="B90" s="226" t="s">
        <v>154</v>
      </c>
      <c r="C90" s="237">
        <v>1144445</v>
      </c>
      <c r="D90" s="239">
        <v>120</v>
      </c>
      <c r="E90" s="154">
        <v>4.6399999999999997</v>
      </c>
      <c r="F90" s="238">
        <v>8.9</v>
      </c>
      <c r="G90" s="240">
        <v>4.5</v>
      </c>
      <c r="H90" s="240">
        <v>18.3</v>
      </c>
      <c r="I90" s="219" t="s">
        <v>23</v>
      </c>
      <c r="J90" s="233" t="s">
        <v>23</v>
      </c>
      <c r="K90" s="155">
        <v>24.3</v>
      </c>
      <c r="L90" s="222" t="s">
        <v>23</v>
      </c>
      <c r="M90" s="223" t="s">
        <v>23</v>
      </c>
      <c r="N90" s="224">
        <f t="shared" si="3"/>
        <v>19.162303664921467</v>
      </c>
      <c r="O90" s="223" t="s">
        <v>23</v>
      </c>
      <c r="P90" s="223" t="s">
        <v>23</v>
      </c>
      <c r="Q90" s="156">
        <f t="shared" si="4"/>
        <v>29.742962056303547</v>
      </c>
      <c r="R90" s="223" t="s">
        <v>23</v>
      </c>
      <c r="S90" s="223" t="s">
        <v>23</v>
      </c>
      <c r="T90" s="236"/>
    </row>
    <row r="91" spans="2:20" s="165" customFormat="1" ht="12.75" customHeight="1" x14ac:dyDescent="0.25">
      <c r="B91" s="226" t="s">
        <v>154</v>
      </c>
      <c r="C91" s="237">
        <v>1144446</v>
      </c>
      <c r="D91" s="231">
        <v>125</v>
      </c>
      <c r="E91" s="248">
        <v>2.44</v>
      </c>
      <c r="F91" s="238">
        <v>9.6999999999999993</v>
      </c>
      <c r="G91" s="240">
        <v>4.5999999999999996</v>
      </c>
      <c r="H91" s="240">
        <v>19.7</v>
      </c>
      <c r="I91" s="219" t="s">
        <v>23</v>
      </c>
      <c r="J91" s="233" t="s">
        <v>23</v>
      </c>
      <c r="K91" s="155">
        <v>23.68</v>
      </c>
      <c r="L91" s="222" t="s">
        <v>23</v>
      </c>
      <c r="M91" s="223" t="s">
        <v>23</v>
      </c>
      <c r="N91" s="224">
        <f t="shared" si="3"/>
        <v>20.649895178197063</v>
      </c>
      <c r="O91" s="223" t="s">
        <v>23</v>
      </c>
      <c r="P91" s="223" t="s">
        <v>23</v>
      </c>
      <c r="Q91" s="156">
        <f t="shared" si="4"/>
        <v>29.489414694894148</v>
      </c>
      <c r="R91" s="223" t="s">
        <v>23</v>
      </c>
      <c r="S91" s="223" t="s">
        <v>23</v>
      </c>
      <c r="T91" s="236"/>
    </row>
    <row r="92" spans="2:20" s="165" customFormat="1" ht="12.75" customHeight="1" x14ac:dyDescent="0.25">
      <c r="B92" s="226" t="s">
        <v>154</v>
      </c>
      <c r="C92" s="227">
        <v>1144447</v>
      </c>
      <c r="D92" s="231">
        <v>128</v>
      </c>
      <c r="E92" s="248">
        <v>5.36</v>
      </c>
      <c r="F92" s="238">
        <v>8.6</v>
      </c>
      <c r="G92" s="240">
        <v>4.5</v>
      </c>
      <c r="H92" s="240">
        <v>17.899999999999999</v>
      </c>
      <c r="I92" s="219" t="s">
        <v>23</v>
      </c>
      <c r="J92" s="233" t="s">
        <v>23</v>
      </c>
      <c r="K92" s="155">
        <v>23.89</v>
      </c>
      <c r="L92" s="222" t="s">
        <v>23</v>
      </c>
      <c r="M92" s="223" t="s">
        <v>23</v>
      </c>
      <c r="N92" s="224">
        <f t="shared" si="3"/>
        <v>18.743455497382197</v>
      </c>
      <c r="O92" s="223" t="s">
        <v>23</v>
      </c>
      <c r="P92" s="223" t="s">
        <v>23</v>
      </c>
      <c r="Q92" s="156">
        <f t="shared" si="4"/>
        <v>29.098660170523754</v>
      </c>
      <c r="R92" s="223" t="s">
        <v>23</v>
      </c>
      <c r="S92" s="223" t="s">
        <v>23</v>
      </c>
      <c r="T92" s="236"/>
    </row>
    <row r="93" spans="2:20" s="165" customFormat="1" ht="12.75" customHeight="1" x14ac:dyDescent="0.25">
      <c r="B93" s="226" t="s">
        <v>154</v>
      </c>
      <c r="C93" s="237">
        <v>1144448</v>
      </c>
      <c r="D93" s="249">
        <v>131</v>
      </c>
      <c r="E93" s="248">
        <v>4.26</v>
      </c>
      <c r="F93" s="217">
        <v>8.6999999999999993</v>
      </c>
      <c r="G93" s="240">
        <v>4.7</v>
      </c>
      <c r="H93" s="240">
        <v>19.399999999999999</v>
      </c>
      <c r="I93" s="219" t="s">
        <v>23</v>
      </c>
      <c r="J93" s="233" t="s">
        <v>23</v>
      </c>
      <c r="K93" s="155">
        <v>23.4</v>
      </c>
      <c r="L93" s="222" t="s">
        <v>23</v>
      </c>
      <c r="M93" s="223" t="s">
        <v>23</v>
      </c>
      <c r="N93" s="224">
        <f t="shared" si="3"/>
        <v>20.35676810073452</v>
      </c>
      <c r="O93" s="223" t="s">
        <v>23</v>
      </c>
      <c r="P93" s="223" t="s">
        <v>23</v>
      </c>
      <c r="Q93" s="156">
        <f t="shared" si="4"/>
        <v>29.032258064516132</v>
      </c>
      <c r="R93" s="223" t="s">
        <v>23</v>
      </c>
      <c r="S93" s="223" t="s">
        <v>23</v>
      </c>
      <c r="T93" s="236"/>
    </row>
    <row r="94" spans="2:20" s="165" customFormat="1" ht="12.75" customHeight="1" x14ac:dyDescent="0.25">
      <c r="B94" s="226" t="s">
        <v>154</v>
      </c>
      <c r="C94" s="247">
        <v>1144449</v>
      </c>
      <c r="D94" s="231">
        <v>134</v>
      </c>
      <c r="E94" s="250">
        <v>5.0999999999999996</v>
      </c>
      <c r="F94" s="217">
        <v>8.4</v>
      </c>
      <c r="G94" s="240">
        <v>4.7</v>
      </c>
      <c r="H94" s="240">
        <v>19.600000000000001</v>
      </c>
      <c r="I94" s="219" t="s">
        <v>23</v>
      </c>
      <c r="J94" s="233" t="s">
        <v>23</v>
      </c>
      <c r="K94" s="155">
        <v>23.74</v>
      </c>
      <c r="L94" s="222" t="s">
        <v>23</v>
      </c>
      <c r="M94" s="223" t="s">
        <v>23</v>
      </c>
      <c r="N94" s="224">
        <f t="shared" si="3"/>
        <v>20.566631689401891</v>
      </c>
      <c r="O94" s="223" t="s">
        <v>23</v>
      </c>
      <c r="P94" s="223" t="s">
        <v>23</v>
      </c>
      <c r="Q94" s="156">
        <f t="shared" si="4"/>
        <v>29.527363184079601</v>
      </c>
      <c r="R94" s="223" t="s">
        <v>23</v>
      </c>
      <c r="S94" s="223" t="s">
        <v>23</v>
      </c>
      <c r="T94" s="236"/>
    </row>
    <row r="95" spans="2:20" s="165" customFormat="1" ht="12.75" customHeight="1" x14ac:dyDescent="0.25">
      <c r="B95" s="226" t="s">
        <v>154</v>
      </c>
      <c r="C95" s="227">
        <v>1144450</v>
      </c>
      <c r="D95" s="231">
        <v>145</v>
      </c>
      <c r="E95" s="250">
        <v>4.8</v>
      </c>
      <c r="F95" s="232">
        <v>8.8000000000000007</v>
      </c>
      <c r="G95" s="224">
        <v>4.7</v>
      </c>
      <c r="H95" s="240">
        <v>18.5</v>
      </c>
      <c r="I95" s="219" t="s">
        <v>23</v>
      </c>
      <c r="J95" s="233" t="s">
        <v>23</v>
      </c>
      <c r="K95" s="155">
        <v>24.04</v>
      </c>
      <c r="L95" s="222" t="s">
        <v>23</v>
      </c>
      <c r="M95" s="223" t="s">
        <v>23</v>
      </c>
      <c r="N95" s="224">
        <f t="shared" si="3"/>
        <v>19.412381951731376</v>
      </c>
      <c r="O95" s="223" t="s">
        <v>23</v>
      </c>
      <c r="P95" s="223" t="s">
        <v>23</v>
      </c>
      <c r="Q95" s="156">
        <f t="shared" si="4"/>
        <v>29.496932515337424</v>
      </c>
      <c r="R95" s="223" t="s">
        <v>23</v>
      </c>
      <c r="S95" s="223" t="s">
        <v>23</v>
      </c>
      <c r="T95" s="236"/>
    </row>
    <row r="96" spans="2:20" s="165" customFormat="1" ht="12.75" customHeight="1" x14ac:dyDescent="0.25">
      <c r="B96" s="226" t="s">
        <v>154</v>
      </c>
      <c r="C96" s="230">
        <v>1144451</v>
      </c>
      <c r="D96" s="249">
        <v>157</v>
      </c>
      <c r="E96" s="251">
        <v>4.04</v>
      </c>
      <c r="F96" s="238">
        <v>8.6999999999999993</v>
      </c>
      <c r="G96" s="245">
        <v>4.7</v>
      </c>
      <c r="H96" s="245">
        <v>19.2</v>
      </c>
      <c r="I96" s="219" t="s">
        <v>23</v>
      </c>
      <c r="J96" s="233" t="s">
        <v>23</v>
      </c>
      <c r="K96" s="155">
        <v>24.17</v>
      </c>
      <c r="L96" s="222" t="s">
        <v>23</v>
      </c>
      <c r="M96" s="223" t="s">
        <v>23</v>
      </c>
      <c r="N96" s="224">
        <f t="shared" si="3"/>
        <v>20.146904512067156</v>
      </c>
      <c r="O96" s="223" t="s">
        <v>23</v>
      </c>
      <c r="P96" s="223" t="s">
        <v>23</v>
      </c>
      <c r="Q96" s="156">
        <f t="shared" si="4"/>
        <v>29.913366336633665</v>
      </c>
      <c r="R96" s="223" t="s">
        <v>23</v>
      </c>
      <c r="S96" s="223" t="s">
        <v>23</v>
      </c>
      <c r="T96" s="236"/>
    </row>
    <row r="97" spans="2:20" s="165" customFormat="1" ht="12.75" customHeight="1" x14ac:dyDescent="0.25">
      <c r="B97" s="226" t="s">
        <v>154</v>
      </c>
      <c r="C97" s="230">
        <v>1144452</v>
      </c>
      <c r="D97" s="231">
        <v>171</v>
      </c>
      <c r="E97" s="248">
        <v>5.42</v>
      </c>
      <c r="F97" s="238">
        <v>8.6</v>
      </c>
      <c r="G97" s="240">
        <v>4</v>
      </c>
      <c r="H97" s="240">
        <v>19.899999999999999</v>
      </c>
      <c r="I97" s="219" t="s">
        <v>23</v>
      </c>
      <c r="J97" s="233" t="s">
        <v>23</v>
      </c>
      <c r="K97" s="155">
        <v>23.78</v>
      </c>
      <c r="L97" s="222" t="s">
        <v>23</v>
      </c>
      <c r="M97" s="223" t="s">
        <v>23</v>
      </c>
      <c r="N97" s="224">
        <f t="shared" si="3"/>
        <v>20.729166666666664</v>
      </c>
      <c r="O97" s="223" t="s">
        <v>23</v>
      </c>
      <c r="P97" s="223" t="s">
        <v>23</v>
      </c>
      <c r="Q97" s="156">
        <f t="shared" si="4"/>
        <v>29.687890137328342</v>
      </c>
      <c r="R97" s="223" t="s">
        <v>23</v>
      </c>
      <c r="S97" s="223" t="s">
        <v>23</v>
      </c>
      <c r="T97" s="236"/>
    </row>
    <row r="98" spans="2:20" s="165" customFormat="1" ht="12.75" customHeight="1" x14ac:dyDescent="0.25">
      <c r="B98" s="226" t="s">
        <v>154</v>
      </c>
      <c r="C98" s="237">
        <v>1144453</v>
      </c>
      <c r="D98" s="228">
        <v>178</v>
      </c>
      <c r="E98" s="154">
        <v>2.2400000000000002</v>
      </c>
      <c r="F98" s="238">
        <v>8.6999999999999993</v>
      </c>
      <c r="G98" s="240">
        <v>4.7</v>
      </c>
      <c r="H98" s="240">
        <v>20</v>
      </c>
      <c r="I98" s="219" t="s">
        <v>23</v>
      </c>
      <c r="J98" s="233" t="s">
        <v>23</v>
      </c>
      <c r="K98" s="155">
        <v>23.22</v>
      </c>
      <c r="L98" s="222" t="s">
        <v>23</v>
      </c>
      <c r="M98" s="223" t="s">
        <v>23</v>
      </c>
      <c r="N98" s="224">
        <f t="shared" si="3"/>
        <v>20.986358866736623</v>
      </c>
      <c r="O98" s="223" t="s">
        <v>23</v>
      </c>
      <c r="P98" s="223" t="s">
        <v>23</v>
      </c>
      <c r="Q98" s="156">
        <f t="shared" si="4"/>
        <v>29.024999999999999</v>
      </c>
      <c r="R98" s="223" t="s">
        <v>23</v>
      </c>
      <c r="S98" s="223" t="s">
        <v>23</v>
      </c>
      <c r="T98" s="236"/>
    </row>
    <row r="99" spans="2:20" s="165" customFormat="1" ht="12.75" customHeight="1" x14ac:dyDescent="0.25">
      <c r="B99" s="226" t="s">
        <v>154</v>
      </c>
      <c r="C99" s="237">
        <v>1144454</v>
      </c>
      <c r="D99" s="231">
        <v>105</v>
      </c>
      <c r="E99" s="154">
        <v>7</v>
      </c>
      <c r="F99" s="238">
        <v>8.5</v>
      </c>
      <c r="G99" s="240">
        <v>4.5</v>
      </c>
      <c r="H99" s="240">
        <v>18.3</v>
      </c>
      <c r="I99" s="219" t="s">
        <v>23</v>
      </c>
      <c r="J99" s="233" t="s">
        <v>23</v>
      </c>
      <c r="K99" s="155">
        <v>24.26</v>
      </c>
      <c r="L99" s="222" t="s">
        <v>23</v>
      </c>
      <c r="M99" s="223" t="s">
        <v>23</v>
      </c>
      <c r="N99" s="224">
        <f t="shared" si="3"/>
        <v>19.162303664921467</v>
      </c>
      <c r="O99" s="223" t="s">
        <v>23</v>
      </c>
      <c r="P99" s="223" t="s">
        <v>23</v>
      </c>
      <c r="Q99" s="156">
        <f t="shared" si="4"/>
        <v>29.694002447980417</v>
      </c>
      <c r="R99" s="223" t="s">
        <v>23</v>
      </c>
      <c r="S99" s="223" t="s">
        <v>23</v>
      </c>
      <c r="T99" s="236"/>
    </row>
    <row r="100" spans="2:20" s="165" customFormat="1" ht="12.75" customHeight="1" x14ac:dyDescent="0.25">
      <c r="B100" s="226" t="s">
        <v>154</v>
      </c>
      <c r="C100" s="237">
        <v>1144455</v>
      </c>
      <c r="D100" s="228">
        <v>124</v>
      </c>
      <c r="E100" s="154">
        <v>6.08</v>
      </c>
      <c r="F100" s="238">
        <v>8.4</v>
      </c>
      <c r="G100" s="240">
        <v>4.7</v>
      </c>
      <c r="H100" s="240">
        <v>16.7</v>
      </c>
      <c r="I100" s="219" t="s">
        <v>23</v>
      </c>
      <c r="J100" s="233" t="s">
        <v>23</v>
      </c>
      <c r="K100" s="155">
        <v>24.61</v>
      </c>
      <c r="L100" s="222" t="s">
        <v>23</v>
      </c>
      <c r="M100" s="223" t="s">
        <v>23</v>
      </c>
      <c r="N100" s="224">
        <f t="shared" si="3"/>
        <v>17.523609653725078</v>
      </c>
      <c r="O100" s="223" t="s">
        <v>23</v>
      </c>
      <c r="P100" s="223" t="s">
        <v>23</v>
      </c>
      <c r="Q100" s="156">
        <f t="shared" si="4"/>
        <v>29.543817527010805</v>
      </c>
      <c r="R100" s="223" t="s">
        <v>23</v>
      </c>
      <c r="S100" s="223" t="s">
        <v>23</v>
      </c>
      <c r="T100" s="236"/>
    </row>
    <row r="101" spans="2:20" s="165" customFormat="1" ht="12.75" customHeight="1" x14ac:dyDescent="0.25">
      <c r="B101" s="226" t="s">
        <v>154</v>
      </c>
      <c r="C101" s="227">
        <v>1144456</v>
      </c>
      <c r="D101" s="231">
        <v>127</v>
      </c>
      <c r="E101" s="154">
        <v>6.82</v>
      </c>
      <c r="F101" s="238">
        <v>9.6</v>
      </c>
      <c r="G101" s="240">
        <v>4.4000000000000004</v>
      </c>
      <c r="H101" s="240">
        <v>17.8</v>
      </c>
      <c r="I101" s="219" t="s">
        <v>23</v>
      </c>
      <c r="J101" s="233" t="s">
        <v>23</v>
      </c>
      <c r="K101" s="155">
        <v>24.37</v>
      </c>
      <c r="L101" s="222" t="s">
        <v>23</v>
      </c>
      <c r="M101" s="223" t="s">
        <v>23</v>
      </c>
      <c r="N101" s="224">
        <f t="shared" si="3"/>
        <v>18.619246861924687</v>
      </c>
      <c r="O101" s="223" t="s">
        <v>23</v>
      </c>
      <c r="P101" s="223" t="s">
        <v>23</v>
      </c>
      <c r="Q101" s="156">
        <f t="shared" si="4"/>
        <v>29.64720194647202</v>
      </c>
      <c r="R101" s="223" t="s">
        <v>23</v>
      </c>
      <c r="S101" s="223" t="s">
        <v>23</v>
      </c>
      <c r="T101" s="236"/>
    </row>
    <row r="102" spans="2:20" s="165" customFormat="1" ht="12.75" customHeight="1" x14ac:dyDescent="0.25">
      <c r="B102" s="226" t="s">
        <v>154</v>
      </c>
      <c r="C102" s="237">
        <v>1144457</v>
      </c>
      <c r="D102" s="231">
        <v>142</v>
      </c>
      <c r="E102" s="154">
        <v>3.06</v>
      </c>
      <c r="F102" s="238">
        <v>9.6999999999999993</v>
      </c>
      <c r="G102" s="240">
        <v>4.4000000000000004</v>
      </c>
      <c r="H102" s="240">
        <v>17</v>
      </c>
      <c r="I102" s="219" t="s">
        <v>23</v>
      </c>
      <c r="J102" s="233" t="s">
        <v>23</v>
      </c>
      <c r="K102" s="155">
        <v>24.51</v>
      </c>
      <c r="L102" s="222" t="s">
        <v>23</v>
      </c>
      <c r="M102" s="223" t="s">
        <v>23</v>
      </c>
      <c r="N102" s="224">
        <f t="shared" si="3"/>
        <v>17.78242677824268</v>
      </c>
      <c r="O102" s="223" t="s">
        <v>23</v>
      </c>
      <c r="P102" s="223" t="s">
        <v>23</v>
      </c>
      <c r="Q102" s="156">
        <f t="shared" si="4"/>
        <v>29.53012048192771</v>
      </c>
      <c r="R102" s="223" t="s">
        <v>23</v>
      </c>
      <c r="S102" s="223" t="s">
        <v>23</v>
      </c>
      <c r="T102" s="236"/>
    </row>
    <row r="103" spans="2:20" s="165" customFormat="1" ht="12.75" customHeight="1" x14ac:dyDescent="0.25">
      <c r="B103" s="226" t="s">
        <v>154</v>
      </c>
      <c r="C103" s="237">
        <v>1144458</v>
      </c>
      <c r="D103" s="228">
        <v>170</v>
      </c>
      <c r="E103" s="154">
        <v>6.52</v>
      </c>
      <c r="F103" s="238">
        <v>8.5</v>
      </c>
      <c r="G103" s="240">
        <v>4.5</v>
      </c>
      <c r="H103" s="240">
        <v>17.600000000000001</v>
      </c>
      <c r="I103" s="219" t="s">
        <v>23</v>
      </c>
      <c r="J103" s="233" t="s">
        <v>23</v>
      </c>
      <c r="K103" s="155">
        <v>24.19</v>
      </c>
      <c r="L103" s="222" t="s">
        <v>23</v>
      </c>
      <c r="M103" s="223" t="s">
        <v>23</v>
      </c>
      <c r="N103" s="224">
        <f t="shared" si="3"/>
        <v>18.42931937172775</v>
      </c>
      <c r="O103" s="223" t="s">
        <v>23</v>
      </c>
      <c r="P103" s="223" t="s">
        <v>23</v>
      </c>
      <c r="Q103" s="156">
        <f t="shared" si="4"/>
        <v>29.356796116504853</v>
      </c>
      <c r="R103" s="223" t="s">
        <v>23</v>
      </c>
      <c r="S103" s="223" t="s">
        <v>23</v>
      </c>
      <c r="T103" s="236"/>
    </row>
    <row r="104" spans="2:20" s="165" customFormat="1" ht="12.75" customHeight="1" x14ac:dyDescent="0.25">
      <c r="B104" s="226" t="s">
        <v>154</v>
      </c>
      <c r="C104" s="237">
        <v>1144459</v>
      </c>
      <c r="D104" s="231">
        <v>182</v>
      </c>
      <c r="E104" s="154">
        <v>2.1800000000000002</v>
      </c>
      <c r="F104" s="238">
        <v>8.5</v>
      </c>
      <c r="G104" s="240">
        <v>4.5</v>
      </c>
      <c r="H104" s="240">
        <v>17.899999999999999</v>
      </c>
      <c r="I104" s="219" t="s">
        <v>23</v>
      </c>
      <c r="J104" s="233" t="s">
        <v>23</v>
      </c>
      <c r="K104" s="155">
        <v>24.13</v>
      </c>
      <c r="L104" s="222" t="s">
        <v>23</v>
      </c>
      <c r="M104" s="223" t="s">
        <v>23</v>
      </c>
      <c r="N104" s="224">
        <f t="shared" si="3"/>
        <v>18.743455497382197</v>
      </c>
      <c r="O104" s="223" t="s">
        <v>23</v>
      </c>
      <c r="P104" s="223" t="s">
        <v>23</v>
      </c>
      <c r="Q104" s="156">
        <f t="shared" si="4"/>
        <v>29.39098660170524</v>
      </c>
      <c r="R104" s="223" t="s">
        <v>23</v>
      </c>
      <c r="S104" s="223" t="s">
        <v>23</v>
      </c>
      <c r="T104" s="236"/>
    </row>
    <row r="105" spans="2:20" s="165" customFormat="1" ht="12.75" customHeight="1" x14ac:dyDescent="0.25">
      <c r="B105" s="226" t="s">
        <v>154</v>
      </c>
      <c r="C105" s="227">
        <v>1144450</v>
      </c>
      <c r="D105" s="231">
        <v>145</v>
      </c>
      <c r="E105" s="250">
        <v>4.8</v>
      </c>
      <c r="F105" s="232">
        <v>8.8000000000000007</v>
      </c>
      <c r="G105" s="224">
        <v>4.7</v>
      </c>
      <c r="H105" s="240">
        <v>18.5</v>
      </c>
      <c r="I105" s="219" t="s">
        <v>23</v>
      </c>
      <c r="J105" s="233" t="s">
        <v>23</v>
      </c>
      <c r="K105" s="155">
        <v>24.04</v>
      </c>
      <c r="L105" s="222" t="s">
        <v>23</v>
      </c>
      <c r="M105" s="223" t="s">
        <v>23</v>
      </c>
      <c r="N105" s="224">
        <f t="shared" si="3"/>
        <v>19.412381951731376</v>
      </c>
      <c r="O105" s="223" t="s">
        <v>23</v>
      </c>
      <c r="P105" s="223" t="s">
        <v>23</v>
      </c>
      <c r="Q105" s="156">
        <f t="shared" si="4"/>
        <v>29.496932515337424</v>
      </c>
      <c r="R105" s="223" t="s">
        <v>23</v>
      </c>
      <c r="S105" s="223" t="s">
        <v>23</v>
      </c>
      <c r="T105" s="236"/>
    </row>
    <row r="106" spans="2:20" s="165" customFormat="1" ht="12.75" customHeight="1" x14ac:dyDescent="0.25">
      <c r="B106" s="226" t="s">
        <v>154</v>
      </c>
      <c r="C106" s="230">
        <v>1144451</v>
      </c>
      <c r="D106" s="249">
        <v>157</v>
      </c>
      <c r="E106" s="251">
        <v>4.04</v>
      </c>
      <c r="F106" s="238">
        <v>8.6999999999999993</v>
      </c>
      <c r="G106" s="245">
        <v>4.7</v>
      </c>
      <c r="H106" s="245">
        <v>19.2</v>
      </c>
      <c r="I106" s="219" t="s">
        <v>23</v>
      </c>
      <c r="J106" s="233" t="s">
        <v>23</v>
      </c>
      <c r="K106" s="155">
        <v>24.17</v>
      </c>
      <c r="L106" s="222" t="s">
        <v>23</v>
      </c>
      <c r="M106" s="223" t="s">
        <v>23</v>
      </c>
      <c r="N106" s="224">
        <f t="shared" si="3"/>
        <v>20.146904512067156</v>
      </c>
      <c r="O106" s="223" t="s">
        <v>23</v>
      </c>
      <c r="P106" s="223" t="s">
        <v>23</v>
      </c>
      <c r="Q106" s="156">
        <f t="shared" si="4"/>
        <v>29.913366336633665</v>
      </c>
      <c r="R106" s="223" t="s">
        <v>23</v>
      </c>
      <c r="S106" s="223" t="s">
        <v>23</v>
      </c>
      <c r="T106" s="236"/>
    </row>
    <row r="107" spans="2:20" s="165" customFormat="1" ht="12.75" customHeight="1" x14ac:dyDescent="0.25">
      <c r="B107" s="226" t="s">
        <v>154</v>
      </c>
      <c r="C107" s="230">
        <v>1144452</v>
      </c>
      <c r="D107" s="231">
        <v>171</v>
      </c>
      <c r="E107" s="248">
        <v>5.42</v>
      </c>
      <c r="F107" s="238">
        <v>8.6</v>
      </c>
      <c r="G107" s="240">
        <v>4</v>
      </c>
      <c r="H107" s="240">
        <v>19.899999999999999</v>
      </c>
      <c r="I107" s="219" t="s">
        <v>23</v>
      </c>
      <c r="J107" s="233" t="s">
        <v>23</v>
      </c>
      <c r="K107" s="155">
        <v>23.78</v>
      </c>
      <c r="L107" s="222" t="s">
        <v>23</v>
      </c>
      <c r="M107" s="223" t="s">
        <v>23</v>
      </c>
      <c r="N107" s="224">
        <f t="shared" si="3"/>
        <v>20.729166666666664</v>
      </c>
      <c r="O107" s="223" t="s">
        <v>23</v>
      </c>
      <c r="P107" s="223" t="s">
        <v>23</v>
      </c>
      <c r="Q107" s="156">
        <f t="shared" si="4"/>
        <v>29.687890137328342</v>
      </c>
      <c r="R107" s="223" t="s">
        <v>23</v>
      </c>
      <c r="S107" s="223" t="s">
        <v>23</v>
      </c>
      <c r="T107" s="236"/>
    </row>
    <row r="108" spans="2:20" s="165" customFormat="1" ht="12.75" customHeight="1" x14ac:dyDescent="0.25">
      <c r="B108" s="226" t="s">
        <v>154</v>
      </c>
      <c r="C108" s="237">
        <v>1144453</v>
      </c>
      <c r="D108" s="228">
        <v>178</v>
      </c>
      <c r="E108" s="154">
        <v>2.2400000000000002</v>
      </c>
      <c r="F108" s="238">
        <v>8.6999999999999993</v>
      </c>
      <c r="G108" s="240">
        <v>4.7</v>
      </c>
      <c r="H108" s="240">
        <v>20</v>
      </c>
      <c r="I108" s="219" t="s">
        <v>23</v>
      </c>
      <c r="J108" s="233" t="s">
        <v>23</v>
      </c>
      <c r="K108" s="155">
        <v>23.22</v>
      </c>
      <c r="L108" s="222" t="s">
        <v>23</v>
      </c>
      <c r="M108" s="223" t="s">
        <v>23</v>
      </c>
      <c r="N108" s="224">
        <f t="shared" si="3"/>
        <v>20.986358866736623</v>
      </c>
      <c r="O108" s="223" t="s">
        <v>23</v>
      </c>
      <c r="P108" s="223" t="s">
        <v>23</v>
      </c>
      <c r="Q108" s="156">
        <f t="shared" si="4"/>
        <v>29.024999999999999</v>
      </c>
      <c r="R108" s="223" t="s">
        <v>23</v>
      </c>
      <c r="S108" s="223" t="s">
        <v>23</v>
      </c>
      <c r="T108" s="236"/>
    </row>
    <row r="109" spans="2:20" s="165" customFormat="1" ht="12.75" customHeight="1" x14ac:dyDescent="0.25">
      <c r="B109" s="226" t="s">
        <v>154</v>
      </c>
      <c r="C109" s="237">
        <v>1144454</v>
      </c>
      <c r="D109" s="231">
        <v>105</v>
      </c>
      <c r="E109" s="154">
        <v>7</v>
      </c>
      <c r="F109" s="238">
        <v>8.5</v>
      </c>
      <c r="G109" s="240">
        <v>4.5</v>
      </c>
      <c r="H109" s="240">
        <v>18.3</v>
      </c>
      <c r="I109" s="219" t="s">
        <v>23</v>
      </c>
      <c r="J109" s="233" t="s">
        <v>23</v>
      </c>
      <c r="K109" s="155">
        <v>24.26</v>
      </c>
      <c r="L109" s="222" t="s">
        <v>23</v>
      </c>
      <c r="M109" s="223" t="s">
        <v>23</v>
      </c>
      <c r="N109" s="224">
        <f t="shared" si="3"/>
        <v>19.162303664921467</v>
      </c>
      <c r="O109" s="223" t="s">
        <v>23</v>
      </c>
      <c r="P109" s="223" t="s">
        <v>23</v>
      </c>
      <c r="Q109" s="156">
        <f t="shared" si="4"/>
        <v>29.694002447980417</v>
      </c>
      <c r="R109" s="223" t="s">
        <v>23</v>
      </c>
      <c r="S109" s="223" t="s">
        <v>23</v>
      </c>
      <c r="T109" s="236"/>
    </row>
    <row r="110" spans="2:20" s="165" customFormat="1" ht="12.75" customHeight="1" x14ac:dyDescent="0.25">
      <c r="B110" s="226" t="s">
        <v>154</v>
      </c>
      <c r="C110" s="237">
        <v>1144455</v>
      </c>
      <c r="D110" s="228">
        <v>124</v>
      </c>
      <c r="E110" s="154">
        <v>6.08</v>
      </c>
      <c r="F110" s="238">
        <v>8.4</v>
      </c>
      <c r="G110" s="240">
        <v>4.7</v>
      </c>
      <c r="H110" s="240">
        <v>16.7</v>
      </c>
      <c r="I110" s="219" t="s">
        <v>23</v>
      </c>
      <c r="J110" s="233" t="s">
        <v>23</v>
      </c>
      <c r="K110" s="155">
        <v>24.61</v>
      </c>
      <c r="L110" s="222" t="s">
        <v>23</v>
      </c>
      <c r="M110" s="223" t="s">
        <v>23</v>
      </c>
      <c r="N110" s="224">
        <f t="shared" si="3"/>
        <v>17.523609653725078</v>
      </c>
      <c r="O110" s="223" t="s">
        <v>23</v>
      </c>
      <c r="P110" s="223" t="s">
        <v>23</v>
      </c>
      <c r="Q110" s="156">
        <f t="shared" si="4"/>
        <v>29.543817527010805</v>
      </c>
      <c r="R110" s="223" t="s">
        <v>23</v>
      </c>
      <c r="S110" s="223" t="s">
        <v>23</v>
      </c>
      <c r="T110" s="236"/>
    </row>
    <row r="111" spans="2:20" s="165" customFormat="1" ht="12.75" customHeight="1" x14ac:dyDescent="0.25">
      <c r="B111" s="226" t="s">
        <v>154</v>
      </c>
      <c r="C111" s="227">
        <v>1144456</v>
      </c>
      <c r="D111" s="231">
        <v>127</v>
      </c>
      <c r="E111" s="154">
        <v>6.82</v>
      </c>
      <c r="F111" s="238">
        <v>9.6</v>
      </c>
      <c r="G111" s="240">
        <v>4.4000000000000004</v>
      </c>
      <c r="H111" s="240">
        <v>17.8</v>
      </c>
      <c r="I111" s="219" t="s">
        <v>23</v>
      </c>
      <c r="J111" s="233" t="s">
        <v>23</v>
      </c>
      <c r="K111" s="155">
        <v>24.37</v>
      </c>
      <c r="L111" s="222" t="s">
        <v>23</v>
      </c>
      <c r="M111" s="223" t="s">
        <v>23</v>
      </c>
      <c r="N111" s="224">
        <f t="shared" si="3"/>
        <v>18.619246861924687</v>
      </c>
      <c r="O111" s="223" t="s">
        <v>23</v>
      </c>
      <c r="P111" s="223" t="s">
        <v>23</v>
      </c>
      <c r="Q111" s="156">
        <f t="shared" si="4"/>
        <v>29.64720194647202</v>
      </c>
      <c r="R111" s="223" t="s">
        <v>23</v>
      </c>
      <c r="S111" s="223" t="s">
        <v>23</v>
      </c>
      <c r="T111" s="236"/>
    </row>
    <row r="112" spans="2:20" s="165" customFormat="1" ht="12.75" customHeight="1" x14ac:dyDescent="0.25">
      <c r="B112" s="226" t="s">
        <v>154</v>
      </c>
      <c r="C112" s="237">
        <v>1144457</v>
      </c>
      <c r="D112" s="231">
        <v>142</v>
      </c>
      <c r="E112" s="154">
        <v>3.06</v>
      </c>
      <c r="F112" s="238">
        <v>9.6999999999999993</v>
      </c>
      <c r="G112" s="240">
        <v>4.4000000000000004</v>
      </c>
      <c r="H112" s="240">
        <v>17</v>
      </c>
      <c r="I112" s="219" t="s">
        <v>23</v>
      </c>
      <c r="J112" s="233" t="s">
        <v>23</v>
      </c>
      <c r="K112" s="155">
        <v>24.51</v>
      </c>
      <c r="L112" s="222" t="s">
        <v>23</v>
      </c>
      <c r="M112" s="223" t="s">
        <v>23</v>
      </c>
      <c r="N112" s="224">
        <f t="shared" si="3"/>
        <v>17.78242677824268</v>
      </c>
      <c r="O112" s="223" t="s">
        <v>23</v>
      </c>
      <c r="P112" s="223" t="s">
        <v>23</v>
      </c>
      <c r="Q112" s="156">
        <f t="shared" si="4"/>
        <v>29.53012048192771</v>
      </c>
      <c r="R112" s="223" t="s">
        <v>23</v>
      </c>
      <c r="S112" s="223" t="s">
        <v>23</v>
      </c>
      <c r="T112" s="236"/>
    </row>
    <row r="113" spans="2:20" s="165" customFormat="1" ht="12.75" customHeight="1" x14ac:dyDescent="0.25">
      <c r="B113" s="226" t="s">
        <v>154</v>
      </c>
      <c r="C113" s="237">
        <v>1144458</v>
      </c>
      <c r="D113" s="228">
        <v>170</v>
      </c>
      <c r="E113" s="154">
        <v>6.52</v>
      </c>
      <c r="F113" s="238">
        <v>8.5</v>
      </c>
      <c r="G113" s="240">
        <v>4.5</v>
      </c>
      <c r="H113" s="240">
        <v>17.600000000000001</v>
      </c>
      <c r="I113" s="219" t="s">
        <v>23</v>
      </c>
      <c r="J113" s="233" t="s">
        <v>23</v>
      </c>
      <c r="K113" s="155">
        <v>24.19</v>
      </c>
      <c r="L113" s="222" t="s">
        <v>23</v>
      </c>
      <c r="M113" s="223" t="s">
        <v>23</v>
      </c>
      <c r="N113" s="224">
        <f t="shared" si="3"/>
        <v>18.42931937172775</v>
      </c>
      <c r="O113" s="223" t="s">
        <v>23</v>
      </c>
      <c r="P113" s="223" t="s">
        <v>23</v>
      </c>
      <c r="Q113" s="156">
        <f t="shared" si="4"/>
        <v>29.356796116504853</v>
      </c>
      <c r="R113" s="223" t="s">
        <v>23</v>
      </c>
      <c r="S113" s="223" t="s">
        <v>23</v>
      </c>
      <c r="T113" s="236"/>
    </row>
    <row r="114" spans="2:20" s="165" customFormat="1" ht="12.75" customHeight="1" x14ac:dyDescent="0.25">
      <c r="B114" s="226" t="s">
        <v>154</v>
      </c>
      <c r="C114" s="237">
        <v>1144459</v>
      </c>
      <c r="D114" s="231">
        <v>182</v>
      </c>
      <c r="E114" s="154">
        <v>2.1800000000000002</v>
      </c>
      <c r="F114" s="238">
        <v>8.5</v>
      </c>
      <c r="G114" s="240">
        <v>4.5</v>
      </c>
      <c r="H114" s="240">
        <v>17.899999999999999</v>
      </c>
      <c r="I114" s="219" t="s">
        <v>23</v>
      </c>
      <c r="J114" s="233" t="s">
        <v>23</v>
      </c>
      <c r="K114" s="155">
        <v>24.13</v>
      </c>
      <c r="L114" s="222" t="s">
        <v>23</v>
      </c>
      <c r="M114" s="223" t="s">
        <v>23</v>
      </c>
      <c r="N114" s="224">
        <f t="shared" si="3"/>
        <v>18.743455497382197</v>
      </c>
      <c r="O114" s="223" t="s">
        <v>23</v>
      </c>
      <c r="P114" s="223" t="s">
        <v>23</v>
      </c>
      <c r="Q114" s="156">
        <f t="shared" si="4"/>
        <v>29.39098660170524</v>
      </c>
      <c r="R114" s="223" t="s">
        <v>23</v>
      </c>
      <c r="S114" s="223" t="s">
        <v>23</v>
      </c>
      <c r="T114" s="236"/>
    </row>
    <row r="115" spans="2:20" s="165" customFormat="1" ht="12.75" customHeight="1" x14ac:dyDescent="0.25">
      <c r="B115" s="226"/>
      <c r="C115" s="284"/>
      <c r="D115" s="252">
        <v>1</v>
      </c>
      <c r="E115" s="154"/>
      <c r="F115" s="238"/>
      <c r="G115" s="253"/>
      <c r="H115" s="253"/>
      <c r="I115" s="219"/>
      <c r="J115" s="233"/>
      <c r="K115" s="155"/>
      <c r="L115" s="222"/>
      <c r="M115" s="223"/>
      <c r="N115" s="224" t="str">
        <f t="shared" si="3"/>
        <v/>
      </c>
      <c r="O115" s="223" t="s">
        <v>23</v>
      </c>
      <c r="P115" s="223" t="s">
        <v>23</v>
      </c>
      <c r="Q115" s="156" t="str">
        <f t="shared" si="4"/>
        <v/>
      </c>
      <c r="R115" s="223" t="s">
        <v>23</v>
      </c>
      <c r="S115" s="223" t="s">
        <v>23</v>
      </c>
      <c r="T115" s="236"/>
    </row>
    <row r="116" spans="2:20" s="165" customFormat="1" ht="12.75" customHeight="1" x14ac:dyDescent="0.25">
      <c r="B116" s="226"/>
      <c r="C116" s="284"/>
      <c r="D116" s="252">
        <v>2</v>
      </c>
      <c r="E116" s="154"/>
      <c r="F116" s="238"/>
      <c r="G116" s="253"/>
      <c r="H116" s="253"/>
      <c r="I116" s="219"/>
      <c r="J116" s="233"/>
      <c r="K116" s="155"/>
      <c r="L116" s="222"/>
      <c r="M116" s="223"/>
      <c r="N116" s="224" t="str">
        <f t="shared" si="3"/>
        <v/>
      </c>
      <c r="O116" s="223" t="s">
        <v>23</v>
      </c>
      <c r="P116" s="223" t="s">
        <v>23</v>
      </c>
      <c r="Q116" s="156" t="str">
        <f t="shared" si="4"/>
        <v/>
      </c>
      <c r="R116" s="223" t="s">
        <v>23</v>
      </c>
      <c r="S116" s="223" t="s">
        <v>23</v>
      </c>
      <c r="T116" s="236"/>
    </row>
    <row r="117" spans="2:20" s="165" customFormat="1" ht="12.75" customHeight="1" x14ac:dyDescent="0.25">
      <c r="B117" s="226"/>
      <c r="C117" s="284"/>
      <c r="D117" s="252">
        <v>3</v>
      </c>
      <c r="E117" s="154"/>
      <c r="F117" s="238"/>
      <c r="G117" s="253"/>
      <c r="H117" s="253"/>
      <c r="I117" s="219"/>
      <c r="J117" s="233"/>
      <c r="K117" s="155"/>
      <c r="L117" s="222"/>
      <c r="M117" s="223"/>
      <c r="N117" s="224" t="str">
        <f t="shared" si="3"/>
        <v/>
      </c>
      <c r="O117" s="223" t="s">
        <v>23</v>
      </c>
      <c r="P117" s="223" t="s">
        <v>23</v>
      </c>
      <c r="Q117" s="156" t="str">
        <f t="shared" si="4"/>
        <v/>
      </c>
      <c r="R117" s="223" t="s">
        <v>23</v>
      </c>
      <c r="S117" s="223" t="s">
        <v>23</v>
      </c>
      <c r="T117" s="236"/>
    </row>
    <row r="118" spans="2:20" s="165" customFormat="1" ht="12.75" customHeight="1" x14ac:dyDescent="0.25">
      <c r="B118" s="226"/>
      <c r="C118" s="284"/>
      <c r="D118" s="252">
        <v>4</v>
      </c>
      <c r="E118" s="154"/>
      <c r="F118" s="238"/>
      <c r="G118" s="253"/>
      <c r="H118" s="253"/>
      <c r="I118" s="219"/>
      <c r="J118" s="233"/>
      <c r="K118" s="155"/>
      <c r="L118" s="222"/>
      <c r="M118" s="223"/>
      <c r="N118" s="224" t="str">
        <f t="shared" si="3"/>
        <v/>
      </c>
      <c r="O118" s="223" t="s">
        <v>23</v>
      </c>
      <c r="P118" s="223" t="s">
        <v>23</v>
      </c>
      <c r="Q118" s="156" t="str">
        <f t="shared" si="4"/>
        <v/>
      </c>
      <c r="R118" s="223" t="s">
        <v>23</v>
      </c>
      <c r="S118" s="223" t="s">
        <v>23</v>
      </c>
      <c r="T118" s="236"/>
    </row>
    <row r="119" spans="2:20" s="165" customFormat="1" ht="12.75" customHeight="1" x14ac:dyDescent="0.25">
      <c r="B119" s="226"/>
      <c r="C119" s="284"/>
      <c r="D119" s="252">
        <v>5</v>
      </c>
      <c r="E119" s="154"/>
      <c r="F119" s="238"/>
      <c r="G119" s="253"/>
      <c r="H119" s="253"/>
      <c r="I119" s="219"/>
      <c r="J119" s="233"/>
      <c r="K119" s="155"/>
      <c r="L119" s="222"/>
      <c r="M119" s="223"/>
      <c r="N119" s="224" t="str">
        <f t="shared" si="3"/>
        <v/>
      </c>
      <c r="O119" s="223" t="s">
        <v>23</v>
      </c>
      <c r="P119" s="223" t="s">
        <v>23</v>
      </c>
      <c r="Q119" s="156" t="str">
        <f t="shared" si="4"/>
        <v/>
      </c>
      <c r="R119" s="223" t="s">
        <v>23</v>
      </c>
      <c r="S119" s="223" t="s">
        <v>23</v>
      </c>
      <c r="T119" s="236"/>
    </row>
    <row r="120" spans="2:20" s="165" customFormat="1" ht="12.75" customHeight="1" x14ac:dyDescent="0.25">
      <c r="B120" s="226"/>
      <c r="C120" s="284"/>
      <c r="D120" s="252">
        <v>6</v>
      </c>
      <c r="E120" s="154"/>
      <c r="F120" s="238"/>
      <c r="G120" s="253"/>
      <c r="H120" s="253"/>
      <c r="I120" s="219"/>
      <c r="J120" s="233"/>
      <c r="K120" s="155"/>
      <c r="L120" s="222"/>
      <c r="M120" s="223"/>
      <c r="N120" s="224" t="str">
        <f t="shared" si="3"/>
        <v/>
      </c>
      <c r="O120" s="223" t="s">
        <v>23</v>
      </c>
      <c r="P120" s="223" t="s">
        <v>23</v>
      </c>
      <c r="Q120" s="156" t="str">
        <f t="shared" si="4"/>
        <v/>
      </c>
      <c r="R120" s="223" t="s">
        <v>23</v>
      </c>
      <c r="S120" s="223" t="s">
        <v>23</v>
      </c>
      <c r="T120" s="236"/>
    </row>
    <row r="121" spans="2:20" s="165" customFormat="1" ht="12.75" customHeight="1" x14ac:dyDescent="0.25">
      <c r="B121" s="226"/>
      <c r="C121" s="284"/>
      <c r="D121" s="252">
        <v>7</v>
      </c>
      <c r="E121" s="154"/>
      <c r="F121" s="238"/>
      <c r="G121" s="253"/>
      <c r="H121" s="253"/>
      <c r="I121" s="219"/>
      <c r="J121" s="233"/>
      <c r="K121" s="155"/>
      <c r="L121" s="222"/>
      <c r="M121" s="223"/>
      <c r="N121" s="224" t="str">
        <f t="shared" si="3"/>
        <v/>
      </c>
      <c r="O121" s="223" t="s">
        <v>23</v>
      </c>
      <c r="P121" s="223" t="s">
        <v>23</v>
      </c>
      <c r="Q121" s="156" t="str">
        <f t="shared" si="4"/>
        <v/>
      </c>
      <c r="R121" s="223" t="s">
        <v>23</v>
      </c>
      <c r="S121" s="223" t="s">
        <v>23</v>
      </c>
      <c r="T121" s="236"/>
    </row>
    <row r="122" spans="2:20" s="165" customFormat="1" ht="12.75" customHeight="1" x14ac:dyDescent="0.25">
      <c r="B122" s="226"/>
      <c r="C122" s="284"/>
      <c r="D122" s="252">
        <v>8</v>
      </c>
      <c r="E122" s="154"/>
      <c r="F122" s="238"/>
      <c r="G122" s="253"/>
      <c r="H122" s="253"/>
      <c r="I122" s="219"/>
      <c r="J122" s="233"/>
      <c r="K122" s="155"/>
      <c r="L122" s="222"/>
      <c r="M122" s="223"/>
      <c r="N122" s="224" t="str">
        <f t="shared" si="3"/>
        <v/>
      </c>
      <c r="O122" s="223" t="s">
        <v>23</v>
      </c>
      <c r="P122" s="223" t="s">
        <v>23</v>
      </c>
      <c r="Q122" s="156" t="str">
        <f t="shared" si="4"/>
        <v/>
      </c>
      <c r="R122" s="223" t="s">
        <v>23</v>
      </c>
      <c r="S122" s="223" t="s">
        <v>23</v>
      </c>
      <c r="T122" s="236"/>
    </row>
    <row r="123" spans="2:20" s="165" customFormat="1" ht="12.75" customHeight="1" x14ac:dyDescent="0.25">
      <c r="B123" s="226"/>
      <c r="C123" s="284"/>
      <c r="D123" s="252">
        <v>9</v>
      </c>
      <c r="E123" s="154"/>
      <c r="F123" s="238"/>
      <c r="G123" s="253"/>
      <c r="H123" s="253"/>
      <c r="I123" s="219"/>
      <c r="J123" s="233"/>
      <c r="K123" s="155"/>
      <c r="L123" s="222"/>
      <c r="M123" s="223"/>
      <c r="N123" s="224" t="str">
        <f t="shared" si="3"/>
        <v/>
      </c>
      <c r="O123" s="223" t="s">
        <v>23</v>
      </c>
      <c r="P123" s="223" t="s">
        <v>23</v>
      </c>
      <c r="Q123" s="156" t="str">
        <f t="shared" si="4"/>
        <v/>
      </c>
      <c r="R123" s="223" t="s">
        <v>23</v>
      </c>
      <c r="S123" s="223" t="s">
        <v>23</v>
      </c>
      <c r="T123" s="236"/>
    </row>
    <row r="124" spans="2:20" s="165" customFormat="1" ht="12.75" customHeight="1" x14ac:dyDescent="0.25">
      <c r="B124" s="226"/>
      <c r="C124" s="284"/>
      <c r="D124" s="252">
        <v>10</v>
      </c>
      <c r="E124" s="154"/>
      <c r="F124" s="238"/>
      <c r="G124" s="253"/>
      <c r="H124" s="253"/>
      <c r="I124" s="219"/>
      <c r="J124" s="233"/>
      <c r="K124" s="155"/>
      <c r="L124" s="222"/>
      <c r="M124" s="223"/>
      <c r="N124" s="224" t="str">
        <f t="shared" si="3"/>
        <v/>
      </c>
      <c r="O124" s="223" t="s">
        <v>23</v>
      </c>
      <c r="P124" s="223" t="s">
        <v>23</v>
      </c>
      <c r="Q124" s="156" t="str">
        <f t="shared" si="4"/>
        <v/>
      </c>
      <c r="R124" s="223" t="s">
        <v>23</v>
      </c>
      <c r="S124" s="223" t="s">
        <v>23</v>
      </c>
      <c r="T124" s="236"/>
    </row>
    <row r="125" spans="2:20" s="165" customFormat="1" ht="12.75" customHeight="1" x14ac:dyDescent="0.25">
      <c r="B125" s="226"/>
      <c r="C125" s="284"/>
      <c r="D125" s="252">
        <v>11</v>
      </c>
      <c r="E125" s="154"/>
      <c r="F125" s="238"/>
      <c r="G125" s="253"/>
      <c r="H125" s="253"/>
      <c r="I125" s="219"/>
      <c r="J125" s="233"/>
      <c r="K125" s="155"/>
      <c r="L125" s="222"/>
      <c r="M125" s="223"/>
      <c r="N125" s="224" t="str">
        <f t="shared" si="3"/>
        <v/>
      </c>
      <c r="O125" s="223" t="s">
        <v>23</v>
      </c>
      <c r="P125" s="223" t="s">
        <v>23</v>
      </c>
      <c r="Q125" s="156" t="str">
        <f t="shared" si="4"/>
        <v/>
      </c>
      <c r="R125" s="223" t="s">
        <v>23</v>
      </c>
      <c r="S125" s="223" t="s">
        <v>23</v>
      </c>
      <c r="T125" s="236"/>
    </row>
    <row r="126" spans="2:20" s="165" customFormat="1" ht="12.75" customHeight="1" x14ac:dyDescent="0.25">
      <c r="B126" s="226"/>
      <c r="C126" s="284"/>
      <c r="D126" s="252">
        <v>12</v>
      </c>
      <c r="E126" s="154"/>
      <c r="F126" s="238"/>
      <c r="G126" s="253"/>
      <c r="H126" s="253"/>
      <c r="I126" s="219"/>
      <c r="J126" s="233"/>
      <c r="K126" s="155"/>
      <c r="L126" s="222"/>
      <c r="M126" s="223"/>
      <c r="N126" s="224" t="str">
        <f t="shared" si="3"/>
        <v/>
      </c>
      <c r="O126" s="223" t="s">
        <v>23</v>
      </c>
      <c r="P126" s="223" t="s">
        <v>23</v>
      </c>
      <c r="Q126" s="156" t="str">
        <f t="shared" si="4"/>
        <v/>
      </c>
      <c r="R126" s="223" t="s">
        <v>23</v>
      </c>
      <c r="S126" s="223" t="s">
        <v>23</v>
      </c>
      <c r="T126" s="236"/>
    </row>
    <row r="127" spans="2:20" s="165" customFormat="1" ht="12.75" customHeight="1" x14ac:dyDescent="0.25">
      <c r="B127" s="226"/>
      <c r="C127" s="284"/>
      <c r="D127" s="252">
        <v>13</v>
      </c>
      <c r="E127" s="154"/>
      <c r="F127" s="238"/>
      <c r="G127" s="253"/>
      <c r="H127" s="253"/>
      <c r="I127" s="219"/>
      <c r="J127" s="233"/>
      <c r="K127" s="155"/>
      <c r="L127" s="222"/>
      <c r="M127" s="223"/>
      <c r="N127" s="224" t="str">
        <f t="shared" si="3"/>
        <v/>
      </c>
      <c r="O127" s="223" t="s">
        <v>23</v>
      </c>
      <c r="P127" s="223" t="s">
        <v>23</v>
      </c>
      <c r="Q127" s="156" t="str">
        <f t="shared" si="4"/>
        <v/>
      </c>
      <c r="R127" s="223" t="s">
        <v>23</v>
      </c>
      <c r="S127" s="223" t="s">
        <v>23</v>
      </c>
      <c r="T127" s="236"/>
    </row>
    <row r="128" spans="2:20" s="165" customFormat="1" ht="12.75" customHeight="1" x14ac:dyDescent="0.25">
      <c r="B128" s="226"/>
      <c r="C128" s="284"/>
      <c r="D128" s="252">
        <v>14</v>
      </c>
      <c r="E128" s="154"/>
      <c r="F128" s="238"/>
      <c r="G128" s="253"/>
      <c r="H128" s="253"/>
      <c r="I128" s="219"/>
      <c r="J128" s="233"/>
      <c r="K128" s="155"/>
      <c r="L128" s="222"/>
      <c r="M128" s="223"/>
      <c r="N128" s="224" t="str">
        <f t="shared" si="3"/>
        <v/>
      </c>
      <c r="O128" s="223" t="s">
        <v>23</v>
      </c>
      <c r="P128" s="223" t="s">
        <v>23</v>
      </c>
      <c r="Q128" s="156" t="str">
        <f t="shared" si="4"/>
        <v/>
      </c>
      <c r="R128" s="223" t="s">
        <v>23</v>
      </c>
      <c r="S128" s="223" t="s">
        <v>23</v>
      </c>
      <c r="T128" s="236"/>
    </row>
    <row r="129" spans="2:20" s="165" customFormat="1" ht="12.75" customHeight="1" x14ac:dyDescent="0.25">
      <c r="B129" s="226"/>
      <c r="C129" s="284"/>
      <c r="D129" s="252">
        <v>15</v>
      </c>
      <c r="E129" s="154"/>
      <c r="F129" s="238"/>
      <c r="G129" s="253"/>
      <c r="H129" s="253"/>
      <c r="I129" s="219"/>
      <c r="J129" s="233"/>
      <c r="K129" s="155"/>
      <c r="L129" s="222"/>
      <c r="M129" s="223"/>
      <c r="N129" s="224" t="str">
        <f t="shared" si="3"/>
        <v/>
      </c>
      <c r="O129" s="223" t="s">
        <v>23</v>
      </c>
      <c r="P129" s="223" t="s">
        <v>23</v>
      </c>
      <c r="Q129" s="156" t="str">
        <f t="shared" si="4"/>
        <v/>
      </c>
      <c r="R129" s="223" t="s">
        <v>23</v>
      </c>
      <c r="S129" s="223" t="s">
        <v>23</v>
      </c>
      <c r="T129" s="236"/>
    </row>
    <row r="130" spans="2:20" s="165" customFormat="1" ht="12.75" customHeight="1" x14ac:dyDescent="0.25">
      <c r="B130" s="226"/>
      <c r="C130" s="284"/>
      <c r="D130" s="252">
        <v>16</v>
      </c>
      <c r="E130" s="154"/>
      <c r="F130" s="238"/>
      <c r="G130" s="253"/>
      <c r="H130" s="253"/>
      <c r="I130" s="219"/>
      <c r="J130" s="233"/>
      <c r="K130" s="155"/>
      <c r="L130" s="222"/>
      <c r="M130" s="223"/>
      <c r="N130" s="224" t="str">
        <f t="shared" si="3"/>
        <v/>
      </c>
      <c r="O130" s="223" t="s">
        <v>23</v>
      </c>
      <c r="P130" s="223" t="s">
        <v>23</v>
      </c>
      <c r="Q130" s="156" t="str">
        <f t="shared" si="4"/>
        <v/>
      </c>
      <c r="R130" s="223" t="s">
        <v>23</v>
      </c>
      <c r="S130" s="223" t="s">
        <v>23</v>
      </c>
      <c r="T130" s="236"/>
    </row>
    <row r="131" spans="2:20" s="165" customFormat="1" ht="12.75" customHeight="1" x14ac:dyDescent="0.25">
      <c r="B131" s="226"/>
      <c r="C131" s="284"/>
      <c r="D131" s="252">
        <v>17</v>
      </c>
      <c r="E131" s="154"/>
      <c r="F131" s="238"/>
      <c r="G131" s="253"/>
      <c r="H131" s="253"/>
      <c r="I131" s="219"/>
      <c r="J131" s="233"/>
      <c r="K131" s="155"/>
      <c r="L131" s="222"/>
      <c r="M131" s="223"/>
      <c r="N131" s="224" t="str">
        <f t="shared" si="3"/>
        <v/>
      </c>
      <c r="O131" s="223" t="s">
        <v>23</v>
      </c>
      <c r="P131" s="223" t="s">
        <v>23</v>
      </c>
      <c r="Q131" s="156" t="str">
        <f t="shared" si="4"/>
        <v/>
      </c>
      <c r="R131" s="223" t="s">
        <v>23</v>
      </c>
      <c r="S131" s="223" t="s">
        <v>23</v>
      </c>
      <c r="T131" s="236"/>
    </row>
    <row r="132" spans="2:20" s="165" customFormat="1" ht="12.75" customHeight="1" x14ac:dyDescent="0.25">
      <c r="B132" s="226"/>
      <c r="C132" s="284"/>
      <c r="D132" s="252">
        <v>18</v>
      </c>
      <c r="E132" s="154"/>
      <c r="F132" s="238"/>
      <c r="G132" s="253"/>
      <c r="H132" s="253"/>
      <c r="I132" s="219"/>
      <c r="J132" s="233"/>
      <c r="K132" s="155"/>
      <c r="L132" s="222"/>
      <c r="M132" s="223"/>
      <c r="N132" s="224" t="str">
        <f t="shared" si="3"/>
        <v/>
      </c>
      <c r="O132" s="223" t="s">
        <v>23</v>
      </c>
      <c r="P132" s="223" t="s">
        <v>23</v>
      </c>
      <c r="Q132" s="156" t="str">
        <f t="shared" si="4"/>
        <v/>
      </c>
      <c r="R132" s="223" t="s">
        <v>23</v>
      </c>
      <c r="S132" s="223" t="s">
        <v>23</v>
      </c>
      <c r="T132" s="236"/>
    </row>
    <row r="133" spans="2:20" s="165" customFormat="1" ht="12.75" customHeight="1" x14ac:dyDescent="0.25">
      <c r="B133" s="226"/>
      <c r="C133" s="284"/>
      <c r="D133" s="252">
        <v>19</v>
      </c>
      <c r="E133" s="154"/>
      <c r="F133" s="238"/>
      <c r="G133" s="253"/>
      <c r="H133" s="253"/>
      <c r="I133" s="219"/>
      <c r="J133" s="233"/>
      <c r="K133" s="155"/>
      <c r="L133" s="222"/>
      <c r="M133" s="223"/>
      <c r="N133" s="224" t="str">
        <f t="shared" si="3"/>
        <v/>
      </c>
      <c r="O133" s="223" t="s">
        <v>23</v>
      </c>
      <c r="P133" s="223" t="s">
        <v>23</v>
      </c>
      <c r="Q133" s="156" t="str">
        <f t="shared" si="4"/>
        <v/>
      </c>
      <c r="R133" s="223" t="s">
        <v>23</v>
      </c>
      <c r="S133" s="223" t="s">
        <v>23</v>
      </c>
      <c r="T133" s="236"/>
    </row>
    <row r="134" spans="2:20" s="165" customFormat="1" ht="12.75" customHeight="1" thickBot="1" x14ac:dyDescent="0.3">
      <c r="B134" s="226"/>
      <c r="C134" s="284"/>
      <c r="D134" s="252">
        <v>20</v>
      </c>
      <c r="E134" s="154"/>
      <c r="F134" s="238"/>
      <c r="G134" s="253"/>
      <c r="H134" s="253"/>
      <c r="I134" s="219"/>
      <c r="J134" s="233"/>
      <c r="K134" s="155"/>
      <c r="L134" s="222"/>
      <c r="M134" s="223"/>
      <c r="N134" s="255" t="str">
        <f t="shared" si="3"/>
        <v/>
      </c>
      <c r="O134" s="256" t="s">
        <v>23</v>
      </c>
      <c r="P134" s="256" t="s">
        <v>23</v>
      </c>
      <c r="Q134" s="257" t="str">
        <f t="shared" si="4"/>
        <v/>
      </c>
      <c r="R134" s="256" t="s">
        <v>23</v>
      </c>
      <c r="S134" s="258" t="s">
        <v>23</v>
      </c>
      <c r="T134" s="236"/>
    </row>
    <row r="135" spans="2:20" s="165" customFormat="1" ht="29.25" customHeight="1" thickBot="1" x14ac:dyDescent="0.3">
      <c r="B135" s="259"/>
      <c r="C135" s="260"/>
      <c r="D135" s="272" t="s">
        <v>155</v>
      </c>
      <c r="E135" s="261"/>
      <c r="F135" s="262">
        <f>AVERAGE(F15:F134)</f>
        <v>8.9240000000000013</v>
      </c>
      <c r="G135" s="263">
        <f>AVERAGE(G15:G134)</f>
        <v>4.2419999999999991</v>
      </c>
      <c r="H135" s="264">
        <f>AVERAGE(H15:H134)</f>
        <v>18.677000000000003</v>
      </c>
      <c r="I135" s="264" t="s">
        <v>23</v>
      </c>
      <c r="J135" s="265" t="s">
        <v>23</v>
      </c>
      <c r="K135" s="265">
        <f>AVERAGE(K15:K134)</f>
        <v>24.097000000000008</v>
      </c>
      <c r="L135" s="265" t="s">
        <v>23</v>
      </c>
      <c r="M135" s="265" t="s">
        <v>23</v>
      </c>
      <c r="N135" s="266">
        <f t="shared" ref="N135:Q135" si="5">IF(AND($G135&gt;0,H135&gt;0),(H135*100)/(100-$G135),"")</f>
        <v>19.504375613525767</v>
      </c>
      <c r="O135" s="267" t="s">
        <v>23</v>
      </c>
      <c r="P135" s="267" t="s">
        <v>23</v>
      </c>
      <c r="Q135" s="268">
        <f t="shared" si="5"/>
        <v>25.164477119405177</v>
      </c>
      <c r="R135" s="269" t="s">
        <v>23</v>
      </c>
      <c r="S135" s="270" t="s">
        <v>23</v>
      </c>
      <c r="T135" s="271"/>
    </row>
  </sheetData>
  <mergeCells count="8">
    <mergeCell ref="C7:F7"/>
    <mergeCell ref="H8:I8"/>
    <mergeCell ref="J8:K8"/>
    <mergeCell ref="G9:M9"/>
    <mergeCell ref="N9:S9"/>
    <mergeCell ref="C10:C14"/>
    <mergeCell ref="E10:E13"/>
    <mergeCell ref="G10:G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FAD7-2A69-444A-BF03-DAD937109FBD}">
  <sheetPr codeName="Sheet2"/>
  <dimension ref="A3:T50"/>
  <sheetViews>
    <sheetView workbookViewId="0">
      <selection activeCell="D32" sqref="D32"/>
    </sheetView>
  </sheetViews>
  <sheetFormatPr defaultRowHeight="14.4" x14ac:dyDescent="0.3"/>
  <cols>
    <col min="2" max="2" width="21.6640625" customWidth="1"/>
    <col min="3" max="3" width="18.5546875" customWidth="1"/>
    <col min="4" max="4" width="14.44140625" customWidth="1"/>
    <col min="5" max="5" width="12.6640625" customWidth="1"/>
    <col min="6" max="6" width="16.44140625" customWidth="1"/>
    <col min="20" max="20" width="16.5546875" customWidth="1"/>
  </cols>
  <sheetData>
    <row r="3" spans="1:20" ht="15" thickBot="1" x14ac:dyDescent="0.35"/>
    <row r="4" spans="1:20" ht="15" thickBot="1" x14ac:dyDescent="0.35">
      <c r="B4" s="165"/>
      <c r="C4" s="171"/>
      <c r="D4" s="171"/>
      <c r="E4" s="172"/>
      <c r="F4" s="173" t="s">
        <v>128</v>
      </c>
      <c r="G4" s="304" t="s">
        <v>129</v>
      </c>
      <c r="H4" s="305"/>
      <c r="I4" s="305"/>
      <c r="J4" s="305"/>
      <c r="K4" s="305"/>
      <c r="L4" s="305"/>
      <c r="M4" s="306"/>
      <c r="N4" s="307" t="s">
        <v>130</v>
      </c>
      <c r="O4" s="308"/>
      <c r="P4" s="308"/>
      <c r="Q4" s="308"/>
      <c r="R4" s="308"/>
      <c r="S4" s="309"/>
      <c r="T4" s="174" t="s">
        <v>131</v>
      </c>
    </row>
    <row r="5" spans="1:20" ht="20.25" customHeight="1" x14ac:dyDescent="0.3">
      <c r="B5" s="318" t="s">
        <v>147</v>
      </c>
      <c r="C5" s="310" t="s">
        <v>132</v>
      </c>
      <c r="D5" s="176"/>
      <c r="E5" s="310" t="s">
        <v>133</v>
      </c>
      <c r="F5" s="177" t="s">
        <v>134</v>
      </c>
      <c r="G5" s="313" t="s">
        <v>135</v>
      </c>
      <c r="H5" s="178" t="s">
        <v>136</v>
      </c>
      <c r="I5" s="178" t="s">
        <v>137</v>
      </c>
      <c r="J5" s="178" t="s">
        <v>138</v>
      </c>
      <c r="K5" s="179" t="s">
        <v>139</v>
      </c>
      <c r="L5" s="180" t="s">
        <v>134</v>
      </c>
      <c r="M5" s="181" t="s">
        <v>140</v>
      </c>
      <c r="N5" s="182" t="s">
        <v>136</v>
      </c>
      <c r="O5" s="178" t="s">
        <v>137</v>
      </c>
      <c r="P5" s="178" t="s">
        <v>138</v>
      </c>
      <c r="Q5" s="179" t="s">
        <v>139</v>
      </c>
      <c r="R5" s="180" t="s">
        <v>134</v>
      </c>
      <c r="S5" s="183" t="s">
        <v>140</v>
      </c>
      <c r="T5" s="184"/>
    </row>
    <row r="6" spans="1:20" x14ac:dyDescent="0.3">
      <c r="B6" s="319"/>
      <c r="C6" s="311"/>
      <c r="D6" s="186"/>
      <c r="E6" s="311"/>
      <c r="F6" s="187" t="s">
        <v>141</v>
      </c>
      <c r="G6" s="314"/>
      <c r="H6" s="178"/>
      <c r="I6" s="178" t="s">
        <v>142</v>
      </c>
      <c r="J6" s="178" t="s">
        <v>143</v>
      </c>
      <c r="K6" s="179" t="s">
        <v>144</v>
      </c>
      <c r="L6" s="180" t="s">
        <v>145</v>
      </c>
      <c r="M6" s="181" t="s">
        <v>146</v>
      </c>
      <c r="N6" s="182"/>
      <c r="O6" s="178" t="s">
        <v>142</v>
      </c>
      <c r="P6" s="178" t="s">
        <v>143</v>
      </c>
      <c r="Q6" s="179" t="s">
        <v>144</v>
      </c>
      <c r="R6" s="180" t="s">
        <v>145</v>
      </c>
      <c r="S6" s="183" t="s">
        <v>146</v>
      </c>
      <c r="T6" s="188"/>
    </row>
    <row r="7" spans="1:20" ht="15" thickBot="1" x14ac:dyDescent="0.35">
      <c r="B7" s="319"/>
      <c r="C7" s="311"/>
      <c r="D7" s="186" t="s">
        <v>148</v>
      </c>
      <c r="E7" s="311"/>
      <c r="F7" s="189" t="s">
        <v>149</v>
      </c>
      <c r="G7" s="315"/>
      <c r="H7" s="190" t="s">
        <v>149</v>
      </c>
      <c r="I7" s="190" t="s">
        <v>149</v>
      </c>
      <c r="J7" s="190" t="s">
        <v>149</v>
      </c>
      <c r="K7" s="191" t="s">
        <v>150</v>
      </c>
      <c r="L7" s="192" t="s">
        <v>149</v>
      </c>
      <c r="M7" s="193" t="s">
        <v>149</v>
      </c>
      <c r="N7" s="194" t="s">
        <v>149</v>
      </c>
      <c r="O7" s="190" t="s">
        <v>149</v>
      </c>
      <c r="P7" s="190" t="s">
        <v>149</v>
      </c>
      <c r="Q7" s="191" t="s">
        <v>150</v>
      </c>
      <c r="R7" s="192" t="s">
        <v>149</v>
      </c>
      <c r="S7" s="195" t="s">
        <v>149</v>
      </c>
      <c r="T7" s="196"/>
    </row>
    <row r="8" spans="1:20" x14ac:dyDescent="0.3">
      <c r="B8" s="319"/>
      <c r="C8" s="321"/>
      <c r="D8" s="186"/>
      <c r="E8" s="311"/>
      <c r="F8" s="197"/>
      <c r="G8" s="198"/>
      <c r="H8" s="199"/>
      <c r="I8" s="199"/>
      <c r="J8" s="199" t="s">
        <v>151</v>
      </c>
      <c r="K8" s="200"/>
      <c r="L8" s="201"/>
      <c r="M8" s="202"/>
      <c r="N8" s="203"/>
      <c r="O8" s="199"/>
      <c r="P8" s="199" t="s">
        <v>151</v>
      </c>
      <c r="Q8" s="200"/>
      <c r="R8" s="201"/>
      <c r="S8" s="204"/>
      <c r="T8" s="185"/>
    </row>
    <row r="9" spans="1:20" ht="15" thickBot="1" x14ac:dyDescent="0.35">
      <c r="B9" s="320"/>
      <c r="C9" s="312"/>
      <c r="D9" s="205"/>
      <c r="E9" s="205" t="s">
        <v>152</v>
      </c>
      <c r="F9" s="206"/>
      <c r="G9" s="207"/>
      <c r="H9" s="208"/>
      <c r="I9" s="208"/>
      <c r="J9" s="208" t="s">
        <v>153</v>
      </c>
      <c r="K9" s="209"/>
      <c r="L9" s="210"/>
      <c r="M9" s="211"/>
      <c r="N9" s="212"/>
      <c r="O9" s="208"/>
      <c r="P9" s="208" t="s">
        <v>153</v>
      </c>
      <c r="Q9" s="209"/>
      <c r="R9" s="210"/>
      <c r="S9" s="213"/>
      <c r="T9" s="196"/>
    </row>
    <row r="10" spans="1:20" x14ac:dyDescent="0.3">
      <c r="B10" s="214" t="str">
        <f>VLOOKUP(D10,Data!C$6:D$97,2,FALSE)</f>
        <v>09/12/2021</v>
      </c>
      <c r="C10" s="273">
        <f>VLOOKUP(D10,Data!F$6:G$97,2,FALSE)</f>
        <v>1144457</v>
      </c>
      <c r="D10" s="274">
        <v>142</v>
      </c>
      <c r="E10" s="153">
        <f>VLOOKUP(D10,Consolidated!D$15:E$134,2,FALSE)</f>
        <v>3.06</v>
      </c>
      <c r="F10" s="275">
        <f>VLOOKUP(D10,Data!L$6:M$97,2,FALSE)</f>
        <v>9.6999999999999993</v>
      </c>
      <c r="G10" s="275">
        <f>VLOOKUP(D10,Data!O$6:P$97,2,FALSE)</f>
        <v>4.4000000000000004</v>
      </c>
      <c r="H10" s="275">
        <f>VLOOKUP(D10,Data!R$6:S$97,2,FALSE)</f>
        <v>17</v>
      </c>
      <c r="I10" s="153" t="e">
        <v>#REF!</v>
      </c>
      <c r="J10" s="153" t="e">
        <v>#REF!</v>
      </c>
      <c r="K10" s="153">
        <f>VLOOKUP(D10,Data!U$6:V$97,2,FALSE)</f>
        <v>24.51</v>
      </c>
      <c r="L10" s="153" t="e">
        <v>#REF!</v>
      </c>
      <c r="M10" s="153" t="e">
        <v>#REF!</v>
      </c>
      <c r="N10" s="224">
        <f t="shared" ref="N10:N14" si="0">IF(AND($G10&gt;0,H10&gt;0),(H10*100)/(100-$G10),"")</f>
        <v>17.78242677824268</v>
      </c>
      <c r="O10" s="223" t="s">
        <v>23</v>
      </c>
      <c r="P10" s="223" t="s">
        <v>23</v>
      </c>
      <c r="Q10" s="155">
        <f t="shared" ref="Q10:Q14" si="1">IF(AND($G10&gt;0,K10&gt;0),(K10*100)/(100-$G10),"")</f>
        <v>25.638075313807533</v>
      </c>
      <c r="R10" s="223" t="s">
        <v>23</v>
      </c>
      <c r="S10" s="223" t="s">
        <v>23</v>
      </c>
      <c r="T10" s="225"/>
    </row>
    <row r="11" spans="1:20" x14ac:dyDescent="0.3">
      <c r="A11" s="124"/>
      <c r="B11" s="226" t="str">
        <f>VLOOKUP(D11,Data!C$6:D$97,2,FALSE)</f>
        <v>09/12/2021</v>
      </c>
      <c r="C11" s="277">
        <f>VLOOKUP(D11,Data!F$6:G$97,2,FALSE)</f>
        <v>1144443</v>
      </c>
      <c r="D11" s="278">
        <v>107</v>
      </c>
      <c r="E11" s="153">
        <f>VLOOKUP(D11,Consolidated!D$15:E$134,2,FALSE)</f>
        <v>3.26</v>
      </c>
      <c r="F11" s="275">
        <f>VLOOKUP(D11,Data!L$6:M$97,2,FALSE)</f>
        <v>8.9</v>
      </c>
      <c r="G11" s="275">
        <f>VLOOKUP(D11,Data!O$6:P$97,2,FALSE)</f>
        <v>4.9000000000000004</v>
      </c>
      <c r="H11" s="275">
        <f>VLOOKUP(D11,Data!R$6:S$97,2,FALSE)</f>
        <v>16.7</v>
      </c>
      <c r="I11" s="153" t="e">
        <v>#REF!</v>
      </c>
      <c r="J11" s="153" t="e">
        <v>#REF!</v>
      </c>
      <c r="K11" s="153">
        <f>VLOOKUP(D11,Data!U$6:V$97,2,FALSE)</f>
        <v>23.81</v>
      </c>
      <c r="L11" s="153" t="e">
        <v>#REF!</v>
      </c>
      <c r="M11" s="153" t="e">
        <v>#REF!</v>
      </c>
      <c r="N11" s="224">
        <f t="shared" si="0"/>
        <v>17.560462670872766</v>
      </c>
      <c r="O11" s="223" t="s">
        <v>23</v>
      </c>
      <c r="P11" s="223" t="s">
        <v>23</v>
      </c>
      <c r="Q11" s="155">
        <f t="shared" si="1"/>
        <v>25.036803364879077</v>
      </c>
      <c r="R11" s="223" t="s">
        <v>23</v>
      </c>
      <c r="S11" s="223" t="s">
        <v>23</v>
      </c>
      <c r="T11" s="225"/>
    </row>
    <row r="12" spans="1:20" x14ac:dyDescent="0.3">
      <c r="A12" s="124"/>
      <c r="B12" s="276" t="str">
        <f>VLOOKUP(D12,Data!C$6:D$97,2,FALSE)</f>
        <v>09/12/2021</v>
      </c>
      <c r="C12" s="279">
        <f>VLOOKUP(D12,Data!F$6:G$97,2,FALSE)</f>
        <v>1144378</v>
      </c>
      <c r="D12" s="278">
        <v>165</v>
      </c>
      <c r="E12" s="153">
        <f>VLOOKUP(D12,Consolidated!D$15:E$134,2,FALSE)</f>
        <v>2.74</v>
      </c>
      <c r="F12" s="275">
        <f>VLOOKUP(D12,Data!L$6:M$97,2,FALSE)</f>
        <v>9.1999999999999993</v>
      </c>
      <c r="G12" s="275">
        <f>VLOOKUP(D12,Data!O$6:P$97,2,FALSE)</f>
        <v>3.5</v>
      </c>
      <c r="H12" s="275">
        <f>VLOOKUP(D12,Data!R$6:S$97,2,FALSE)</f>
        <v>15.5</v>
      </c>
      <c r="I12" s="153" t="e">
        <v>#REF!</v>
      </c>
      <c r="J12" s="153" t="e">
        <v>#REF!</v>
      </c>
      <c r="K12" s="153">
        <f>VLOOKUP(D12,Data!U$6:V$97,2,FALSE)</f>
        <v>25.64</v>
      </c>
      <c r="L12" s="153" t="e">
        <v>#REF!</v>
      </c>
      <c r="M12" s="153" t="e">
        <v>#REF!</v>
      </c>
      <c r="N12" s="235">
        <f t="shared" si="0"/>
        <v>16.062176165803109</v>
      </c>
      <c r="O12" s="223" t="s">
        <v>23</v>
      </c>
      <c r="P12" s="223" t="s">
        <v>23</v>
      </c>
      <c r="Q12" s="156">
        <f t="shared" si="1"/>
        <v>26.569948186528496</v>
      </c>
      <c r="R12" s="223" t="s">
        <v>23</v>
      </c>
      <c r="S12" s="223" t="s">
        <v>23</v>
      </c>
      <c r="T12" s="236"/>
    </row>
    <row r="13" spans="1:20" x14ac:dyDescent="0.3">
      <c r="A13" s="124"/>
      <c r="B13" s="226" t="str">
        <f>VLOOKUP(D13,Data!C$6:D$97,2,FALSE)</f>
        <v>09/12/2021</v>
      </c>
      <c r="C13" s="277">
        <f>VLOOKUP(D13,Data!F$6:G$97,2,FALSE)</f>
        <v>1144416</v>
      </c>
      <c r="D13" s="278">
        <v>185</v>
      </c>
      <c r="E13" s="153">
        <f>VLOOKUP(D13,Consolidated!D$15:E$134,2,FALSE)</f>
        <v>2.48</v>
      </c>
      <c r="F13" s="275">
        <f>VLOOKUP(D13,Data!L$6:M$97,2,FALSE)</f>
        <v>8.6</v>
      </c>
      <c r="G13" s="275">
        <f>VLOOKUP(D13,Data!O$6:P$97,2,FALSE)</f>
        <v>4.2</v>
      </c>
      <c r="H13" s="275">
        <f>VLOOKUP(D13,Data!R$6:S$97,2,FALSE)</f>
        <v>19</v>
      </c>
      <c r="I13" s="153" t="e">
        <v>#REF!</v>
      </c>
      <c r="J13" s="153" t="e">
        <v>#REF!</v>
      </c>
      <c r="K13" s="153">
        <f>VLOOKUP(D13,Data!U$6:V$97,2,FALSE)</f>
        <v>24.04</v>
      </c>
      <c r="L13" s="153" t="e">
        <v>#REF!</v>
      </c>
      <c r="M13" s="153" t="e">
        <v>#REF!</v>
      </c>
      <c r="N13" s="235">
        <f t="shared" si="0"/>
        <v>19.832985386221296</v>
      </c>
      <c r="O13" s="223" t="s">
        <v>23</v>
      </c>
      <c r="P13" s="223" t="s">
        <v>23</v>
      </c>
      <c r="Q13" s="156">
        <f t="shared" si="1"/>
        <v>25.093945720250524</v>
      </c>
      <c r="R13" s="223" t="s">
        <v>23</v>
      </c>
      <c r="S13" s="223" t="s">
        <v>23</v>
      </c>
      <c r="T13" s="236"/>
    </row>
    <row r="14" spans="1:20" x14ac:dyDescent="0.3">
      <c r="B14" s="276" t="str">
        <f>VLOOKUP(D14,Data!C$6:D$97,2,FALSE)</f>
        <v>09/12/2021</v>
      </c>
      <c r="C14" s="279">
        <f>VLOOKUP(D14,Data!F$6:G$97,2,FALSE)</f>
        <v>1144405</v>
      </c>
      <c r="D14" s="278">
        <v>176</v>
      </c>
      <c r="E14" s="153">
        <f>VLOOKUP(D14,Consolidated!D$15:E$134,2,FALSE)</f>
        <v>2.38</v>
      </c>
      <c r="F14" s="275">
        <f>VLOOKUP(D14,Data!L$6:M$97,2,FALSE)</f>
        <v>8.5</v>
      </c>
      <c r="G14" s="275">
        <f>VLOOKUP(D14,Data!O$6:P$97,2,FALSE)</f>
        <v>3.9</v>
      </c>
      <c r="H14" s="275">
        <f>VLOOKUP(D14,Data!R$6:S$97,2,FALSE)</f>
        <v>17.100000000000001</v>
      </c>
      <c r="I14" s="153" t="e">
        <v>#REF!</v>
      </c>
      <c r="J14" s="153" t="e">
        <v>#REF!</v>
      </c>
      <c r="K14" s="153">
        <f>VLOOKUP(D14,Data!U$6:V$97,2,FALSE)</f>
        <v>24.85</v>
      </c>
      <c r="L14" s="153" t="e">
        <v>#REF!</v>
      </c>
      <c r="M14" s="153" t="e">
        <v>#REF!</v>
      </c>
      <c r="N14" s="224">
        <f t="shared" si="0"/>
        <v>17.793964620187307</v>
      </c>
      <c r="O14" s="223" t="s">
        <v>23</v>
      </c>
      <c r="P14" s="223" t="s">
        <v>23</v>
      </c>
      <c r="Q14" s="155">
        <f t="shared" si="1"/>
        <v>25.858480749219563</v>
      </c>
      <c r="R14" s="223" t="s">
        <v>23</v>
      </c>
      <c r="S14" s="223" t="s">
        <v>23</v>
      </c>
      <c r="T14" s="225"/>
    </row>
    <row r="15" spans="1:20" x14ac:dyDescent="0.3">
      <c r="B15" s="254" t="str">
        <f>VLOOKUP(D15,Data!C$6:D$97,2,FALSE)</f>
        <v>09/12/2021</v>
      </c>
      <c r="C15" s="277">
        <f>VLOOKUP(D15,Data!F$6:G$97,2,FALSE)</f>
        <v>1144459</v>
      </c>
      <c r="D15" s="278">
        <v>182</v>
      </c>
      <c r="E15" s="153">
        <f>VLOOKUP(D15,Consolidated!D$15:E$134,2,FALSE)</f>
        <v>2.1800000000000002</v>
      </c>
      <c r="F15" s="275">
        <f>VLOOKUP(D15,Data!L$6:M$97,2,FALSE)</f>
        <v>8.5</v>
      </c>
      <c r="G15" s="275">
        <f>VLOOKUP(D15,Data!O$6:P$97,2,FALSE)</f>
        <v>4.5</v>
      </c>
      <c r="H15" s="275">
        <f>VLOOKUP(D15,Data!R$6:S$97,2,FALSE)</f>
        <v>17.899999999999999</v>
      </c>
      <c r="I15" s="153" t="e">
        <v>#REF!</v>
      </c>
      <c r="J15" s="153" t="e">
        <v>#REF!</v>
      </c>
      <c r="K15" s="153">
        <f>VLOOKUP(D15,Data!U$6:V$97,2,FALSE)</f>
        <v>24.13</v>
      </c>
      <c r="L15" s="153" t="e">
        <v>#REF!</v>
      </c>
      <c r="M15" s="153" t="e">
        <v>#REF!</v>
      </c>
      <c r="N15" s="224">
        <f>IF(AND($G15&gt;0,H15&gt;0),(H15*100)/(100-$G15),"")</f>
        <v>18.743455497382197</v>
      </c>
      <c r="O15" s="223" t="s">
        <v>23</v>
      </c>
      <c r="P15" s="223" t="s">
        <v>23</v>
      </c>
      <c r="Q15" s="155">
        <f>IF(AND($G15&gt;0,K15&gt;0),(K15*100)/(100-$G15),"")</f>
        <v>25.267015706806284</v>
      </c>
      <c r="R15" s="223" t="s">
        <v>23</v>
      </c>
      <c r="S15" s="223" t="s">
        <v>23</v>
      </c>
      <c r="T15" s="225"/>
    </row>
    <row r="16" spans="1:20" x14ac:dyDescent="0.3">
      <c r="B16" s="254" t="str">
        <f>VLOOKUP(D16,Data!C$6:D$97,2,FALSE)</f>
        <v>09/12/2021</v>
      </c>
      <c r="C16" s="277">
        <f>VLOOKUP(D16,Data!F$6:G$97,2,FALSE)</f>
        <v>1144444</v>
      </c>
      <c r="D16" s="278">
        <v>118</v>
      </c>
      <c r="E16" s="153">
        <f>VLOOKUP(D16,Consolidated!D$15:E$134,2,FALSE)</f>
        <v>3.14</v>
      </c>
      <c r="F16" s="275">
        <f>VLOOKUP(D16,Data!L$6:M$97,2,FALSE)</f>
        <v>8.3000000000000007</v>
      </c>
      <c r="G16" s="275">
        <f>VLOOKUP(D16,Data!O$6:P$97,2,FALSE)</f>
        <v>4.8</v>
      </c>
      <c r="H16" s="275">
        <f>VLOOKUP(D16,Data!R$6:S$97,2,FALSE)</f>
        <v>17.5</v>
      </c>
      <c r="I16" s="153" t="e">
        <v>#REF!</v>
      </c>
      <c r="J16" s="153" t="e">
        <v>#REF!</v>
      </c>
      <c r="K16" s="153">
        <f>VLOOKUP(D16,Data!U$6:V$97,2,FALSE)</f>
        <v>24.75</v>
      </c>
      <c r="L16" s="153" t="e">
        <v>#REF!</v>
      </c>
      <c r="M16" s="153" t="e">
        <v>#REF!</v>
      </c>
      <c r="N16" s="235">
        <f t="shared" ref="N16:Q50" si="2">IF(AND($G16&gt;0,H16&gt;0),(H16*100)/(100-$G16),"")</f>
        <v>18.382352941176471</v>
      </c>
      <c r="O16" s="223" t="s">
        <v>23</v>
      </c>
      <c r="P16" s="223" t="s">
        <v>23</v>
      </c>
      <c r="Q16" s="156">
        <f t="shared" ref="Q16:Q49" si="3">IF(AND($G16&gt;0,K16&gt;0),(K16*100)/(100-$G16),"")</f>
        <v>25.997899159663866</v>
      </c>
      <c r="R16" s="223" t="s">
        <v>23</v>
      </c>
      <c r="S16" s="223" t="s">
        <v>23</v>
      </c>
      <c r="T16" s="236"/>
    </row>
    <row r="17" spans="2:20" x14ac:dyDescent="0.3">
      <c r="B17" s="254" t="str">
        <f>VLOOKUP(D17,Data!C$6:D$97,2,FALSE)</f>
        <v>09/12/2021</v>
      </c>
      <c r="C17" s="280">
        <f>VLOOKUP(D17,Data!F$6:G$97,2,FALSE)</f>
        <v>1144422</v>
      </c>
      <c r="D17" s="278">
        <v>123</v>
      </c>
      <c r="E17" s="153">
        <f>VLOOKUP(D17,Consolidated!D$15:E$134,2,FALSE)</f>
        <v>2.56</v>
      </c>
      <c r="F17" s="275">
        <f>VLOOKUP(D17,Data!L$6:M$97,2,FALSE)</f>
        <v>8.5</v>
      </c>
      <c r="G17" s="275">
        <f>VLOOKUP(D17,Data!O$6:P$97,2,FALSE)</f>
        <v>4.4000000000000004</v>
      </c>
      <c r="H17" s="275">
        <f>VLOOKUP(D17,Data!R$6:S$97,2,FALSE)</f>
        <v>18.600000000000001</v>
      </c>
      <c r="I17" s="153" t="e">
        <v>#REF!</v>
      </c>
      <c r="J17" s="153" t="e">
        <v>#REF!</v>
      </c>
      <c r="K17" s="153">
        <f>VLOOKUP(D17,Data!U$6:V$97,2,FALSE)</f>
        <v>23.34</v>
      </c>
      <c r="L17" s="153" t="e">
        <v>#REF!</v>
      </c>
      <c r="M17" s="153" t="e">
        <v>#REF!</v>
      </c>
      <c r="N17" s="224">
        <f t="shared" si="2"/>
        <v>19.456066945606697</v>
      </c>
      <c r="O17" s="223" t="s">
        <v>23</v>
      </c>
      <c r="P17" s="223" t="s">
        <v>23</v>
      </c>
      <c r="Q17" s="155">
        <f t="shared" si="3"/>
        <v>24.414225941422597</v>
      </c>
      <c r="R17" s="223" t="s">
        <v>23</v>
      </c>
      <c r="S17" s="223" t="s">
        <v>23</v>
      </c>
      <c r="T17" s="225"/>
    </row>
    <row r="18" spans="2:20" x14ac:dyDescent="0.3">
      <c r="B18" s="254" t="str">
        <f>VLOOKUP(D18,Data!C$6:D$97,2,FALSE)</f>
        <v>09/12/2021</v>
      </c>
      <c r="C18" s="277">
        <f>VLOOKUP(D18,Data!F$6:G$97,2,FALSE)</f>
        <v>1144391</v>
      </c>
      <c r="D18" s="278">
        <v>175</v>
      </c>
      <c r="E18" s="153">
        <f>VLOOKUP(D18,Consolidated!D$15:E$134,2,FALSE)</f>
        <v>3.16</v>
      </c>
      <c r="F18" s="275">
        <f>VLOOKUP(D18,Data!L$6:M$97,2,FALSE)</f>
        <v>8.8000000000000007</v>
      </c>
      <c r="G18" s="275">
        <f>VLOOKUP(D18,Data!O$6:P$97,2,FALSE)</f>
        <v>3.6</v>
      </c>
      <c r="H18" s="275">
        <f>VLOOKUP(D18,Data!R$6:S$97,2,FALSE)</f>
        <v>17.8</v>
      </c>
      <c r="I18" s="153" t="e">
        <v>#REF!</v>
      </c>
      <c r="J18" s="153" t="e">
        <v>#REF!</v>
      </c>
      <c r="K18" s="153">
        <f>VLOOKUP(D18,Data!U$6:V$97,2,FALSE)</f>
        <v>24.54</v>
      </c>
      <c r="L18" s="153" t="e">
        <v>#REF!</v>
      </c>
      <c r="M18" s="153" t="e">
        <v>#REF!</v>
      </c>
      <c r="N18" s="224">
        <f t="shared" si="2"/>
        <v>18.46473029045643</v>
      </c>
      <c r="O18" s="223" t="s">
        <v>23</v>
      </c>
      <c r="P18" s="223" t="s">
        <v>23</v>
      </c>
      <c r="Q18" s="155">
        <f t="shared" si="3"/>
        <v>25.456431535269708</v>
      </c>
      <c r="R18" s="223" t="s">
        <v>23</v>
      </c>
      <c r="S18" s="223" t="s">
        <v>23</v>
      </c>
      <c r="T18" s="225"/>
    </row>
    <row r="19" spans="2:20" x14ac:dyDescent="0.3">
      <c r="B19" s="254" t="str">
        <f>VLOOKUP(D19,Data!C$6:D$97,2,FALSE)</f>
        <v>09/12/2021</v>
      </c>
      <c r="C19" s="279">
        <f>VLOOKUP(D19,Data!F$6:G$97,2,FALSE)</f>
        <v>1144406</v>
      </c>
      <c r="D19" s="278">
        <v>102</v>
      </c>
      <c r="E19" s="153">
        <f>VLOOKUP(D19,Consolidated!D$15:E$134,2,FALSE)</f>
        <v>3.36</v>
      </c>
      <c r="F19" s="275">
        <f>VLOOKUP(D19,Data!L$6:M$97,2,FALSE)</f>
        <v>8.6</v>
      </c>
      <c r="G19" s="275">
        <f>VLOOKUP(D19,Data!O$6:P$97,2,FALSE)</f>
        <v>4.3</v>
      </c>
      <c r="H19" s="275">
        <f>VLOOKUP(D19,Data!R$6:S$97,2,FALSE)</f>
        <v>17.899999999999999</v>
      </c>
      <c r="I19" s="153" t="e">
        <v>#REF!</v>
      </c>
      <c r="J19" s="153" t="e">
        <v>#REF!</v>
      </c>
      <c r="K19" s="153">
        <f>VLOOKUP(D19,Data!U$6:V$97,2,FALSE)</f>
        <v>23.9</v>
      </c>
      <c r="L19" s="153" t="e">
        <v>#REF!</v>
      </c>
      <c r="M19" s="153" t="e">
        <v>#REF!</v>
      </c>
      <c r="N19" s="224">
        <f t="shared" si="2"/>
        <v>18.704284221525597</v>
      </c>
      <c r="O19" s="223" t="s">
        <v>23</v>
      </c>
      <c r="P19" s="223" t="s">
        <v>23</v>
      </c>
      <c r="Q19" s="155">
        <f t="shared" si="3"/>
        <v>24.973876698014628</v>
      </c>
      <c r="R19" s="223" t="s">
        <v>23</v>
      </c>
      <c r="S19" s="223" t="s">
        <v>23</v>
      </c>
      <c r="T19" s="225"/>
    </row>
    <row r="20" spans="2:20" x14ac:dyDescent="0.3">
      <c r="B20" s="254" t="str">
        <f>VLOOKUP(D20,Data!C$6:D$97,2,FALSE)</f>
        <v>09/12/2021</v>
      </c>
      <c r="C20" s="277">
        <f>VLOOKUP(D20,Data!F$6:G$97,2,FALSE)</f>
        <v>1144395</v>
      </c>
      <c r="D20" s="278">
        <v>110</v>
      </c>
      <c r="E20" s="153">
        <f>VLOOKUP(D20,Consolidated!D$15:E$134,2,FALSE)</f>
        <v>3.24</v>
      </c>
      <c r="F20" s="275">
        <f>VLOOKUP(D20,Data!L$6:M$97,2,FALSE)</f>
        <v>8.6999999999999993</v>
      </c>
      <c r="G20" s="275">
        <f>VLOOKUP(D20,Data!O$6:P$97,2,FALSE)</f>
        <v>4</v>
      </c>
      <c r="H20" s="275">
        <f>VLOOKUP(D20,Data!R$6:S$97,2,FALSE)</f>
        <v>21.8</v>
      </c>
      <c r="I20" s="153" t="e">
        <v>#REF!</v>
      </c>
      <c r="J20" s="153" t="e">
        <v>#REF!</v>
      </c>
      <c r="K20" s="153">
        <f>VLOOKUP(D20,Data!U$6:V$97,2,FALSE)</f>
        <v>22.71</v>
      </c>
      <c r="L20" s="153" t="e">
        <v>#REF!</v>
      </c>
      <c r="M20" s="153" t="e">
        <v>#REF!</v>
      </c>
      <c r="N20" s="224">
        <f t="shared" si="2"/>
        <v>22.708333333333332</v>
      </c>
      <c r="O20" s="223" t="s">
        <v>23</v>
      </c>
      <c r="P20" s="223" t="s">
        <v>23</v>
      </c>
      <c r="Q20" s="155">
        <f t="shared" si="3"/>
        <v>23.65625</v>
      </c>
      <c r="R20" s="223" t="s">
        <v>23</v>
      </c>
      <c r="S20" s="223" t="s">
        <v>23</v>
      </c>
      <c r="T20" s="225"/>
    </row>
    <row r="21" spans="2:20" x14ac:dyDescent="0.3">
      <c r="B21" s="226" t="str">
        <f>VLOOKUP(D21,Data!C$6:D$97,2,FALSE)</f>
        <v>09/12/2021</v>
      </c>
      <c r="C21" s="279">
        <f>VLOOKUP(D21,Data!F$6:G$97,2,FALSE)</f>
        <v>1144370</v>
      </c>
      <c r="D21" s="278">
        <v>103</v>
      </c>
      <c r="E21" s="153">
        <f>VLOOKUP(D21,Consolidated!D$15:E$134,2,FALSE)</f>
        <v>2.2999999999999998</v>
      </c>
      <c r="F21" s="275">
        <f>VLOOKUP(D21,Data!L$6:M$97,2,FALSE)</f>
        <v>9.3000000000000007</v>
      </c>
      <c r="G21" s="275">
        <f>VLOOKUP(D21,Data!O$6:P$97,2,FALSE)</f>
        <v>3.4</v>
      </c>
      <c r="H21" s="275">
        <f>VLOOKUP(D21,Data!R$6:S$97,2,FALSE)</f>
        <v>16.100000000000001</v>
      </c>
      <c r="I21" s="153" t="e">
        <v>#REF!</v>
      </c>
      <c r="J21" s="153" t="e">
        <v>#REF!</v>
      </c>
      <c r="K21" s="153">
        <f>VLOOKUP(D21,Data!U$6:V$97,2,FALSE)</f>
        <v>25.25</v>
      </c>
      <c r="L21" s="153" t="e">
        <v>#REF!</v>
      </c>
      <c r="M21" s="153" t="e">
        <v>#REF!</v>
      </c>
      <c r="N21" s="224">
        <f t="shared" si="2"/>
        <v>16.666666666666671</v>
      </c>
      <c r="O21" s="223" t="s">
        <v>23</v>
      </c>
      <c r="P21" s="223" t="s">
        <v>23</v>
      </c>
      <c r="Q21" s="155">
        <f t="shared" si="3"/>
        <v>26.138716356107661</v>
      </c>
      <c r="R21" s="223" t="s">
        <v>23</v>
      </c>
      <c r="S21" s="223" t="s">
        <v>23</v>
      </c>
      <c r="T21" s="225"/>
    </row>
    <row r="22" spans="2:20" x14ac:dyDescent="0.3">
      <c r="B22" s="276" t="str">
        <f>VLOOKUP(D22,Data!C$6:D$97,2,FALSE)</f>
        <v>09/12/2021</v>
      </c>
      <c r="C22" s="277">
        <f>VLOOKUP(D22,Data!F$6:G$97,2,FALSE)</f>
        <v>1144421</v>
      </c>
      <c r="D22" s="159">
        <v>122</v>
      </c>
      <c r="E22" s="153">
        <f>VLOOKUP(D22,Consolidated!D$15:E$134,2,FALSE)</f>
        <v>2.42</v>
      </c>
      <c r="F22" s="275">
        <f>VLOOKUP(D22,Data!L$6:M$97,2,FALSE)</f>
        <v>8.8000000000000007</v>
      </c>
      <c r="G22" s="275">
        <f>VLOOKUP(D22,Data!O$6:P$97,2,FALSE)</f>
        <v>4.5999999999999996</v>
      </c>
      <c r="H22" s="275">
        <f>VLOOKUP(D22,Data!R$6:S$97,2,FALSE)</f>
        <v>18.3</v>
      </c>
      <c r="I22" s="153" t="e">
        <v>#REF!</v>
      </c>
      <c r="J22" s="153" t="e">
        <v>#REF!</v>
      </c>
      <c r="K22" s="153">
        <f>VLOOKUP(D22,Data!U$6:V$97,2,FALSE)</f>
        <v>23.74</v>
      </c>
      <c r="L22" s="153" t="e">
        <v>#REF!</v>
      </c>
      <c r="M22" s="153" t="e">
        <v>#REF!</v>
      </c>
      <c r="N22" s="224">
        <f t="shared" si="2"/>
        <v>19.182389937106919</v>
      </c>
      <c r="O22" s="223" t="s">
        <v>23</v>
      </c>
      <c r="P22" s="223" t="s">
        <v>23</v>
      </c>
      <c r="Q22" s="155">
        <f t="shared" si="3"/>
        <v>24.884696016771485</v>
      </c>
      <c r="R22" s="223" t="s">
        <v>23</v>
      </c>
      <c r="S22" s="223" t="s">
        <v>23</v>
      </c>
      <c r="T22" s="225"/>
    </row>
    <row r="23" spans="2:20" x14ac:dyDescent="0.3">
      <c r="B23" s="254" t="str">
        <f>VLOOKUP(D23,Data!C$6:D$97,2,FALSE)</f>
        <v>09/12/2021</v>
      </c>
      <c r="C23" s="279">
        <f>VLOOKUP(D23,Data!F$6:G$97,2,FALSE)</f>
        <v>1144414</v>
      </c>
      <c r="D23" s="281">
        <v>177</v>
      </c>
      <c r="E23" s="153">
        <f>VLOOKUP(D23,Consolidated!D$15:E$134,2,FALSE)</f>
        <v>2.74</v>
      </c>
      <c r="F23" s="275">
        <f>VLOOKUP(D23,Data!L$6:M$97,2,FALSE)</f>
        <v>8.8000000000000007</v>
      </c>
      <c r="G23" s="275">
        <f>VLOOKUP(D23,Data!O$6:P$97,2,FALSE)</f>
        <v>4.2</v>
      </c>
      <c r="H23" s="275">
        <f>VLOOKUP(D23,Data!R$6:S$97,2,FALSE)</f>
        <v>18.899999999999999</v>
      </c>
      <c r="I23" s="153" t="e">
        <v>#REF!</v>
      </c>
      <c r="J23" s="153" t="e">
        <v>#REF!</v>
      </c>
      <c r="K23" s="153">
        <f>VLOOKUP(D23,Data!U$6:V$97,2,FALSE)</f>
        <v>24.08</v>
      </c>
      <c r="L23" s="153" t="e">
        <v>#REF!</v>
      </c>
      <c r="M23" s="153" t="e">
        <v>#REF!</v>
      </c>
      <c r="N23" s="224">
        <f t="shared" si="2"/>
        <v>19.7286012526096</v>
      </c>
      <c r="O23" s="223" t="s">
        <v>23</v>
      </c>
      <c r="P23" s="223" t="s">
        <v>23</v>
      </c>
      <c r="Q23" s="155">
        <f t="shared" si="3"/>
        <v>25.1356993736952</v>
      </c>
      <c r="R23" s="223" t="s">
        <v>23</v>
      </c>
      <c r="S23" s="223" t="s">
        <v>23</v>
      </c>
      <c r="T23" s="225"/>
    </row>
    <row r="24" spans="2:20" x14ac:dyDescent="0.3">
      <c r="B24" s="254" t="str">
        <f>VLOOKUP(D24,Data!C$6:D$97,2,FALSE)</f>
        <v>09/12/2021</v>
      </c>
      <c r="C24" s="277">
        <f>VLOOKUP(D24,Data!F$6:G$97,2,FALSE)</f>
        <v>1144436</v>
      </c>
      <c r="D24" s="278">
        <v>154</v>
      </c>
      <c r="E24" s="153">
        <f>VLOOKUP(D24,Consolidated!D$15:E$134,2,FALSE)</f>
        <v>2.4</v>
      </c>
      <c r="F24" s="275">
        <f>VLOOKUP(D24,Data!L$6:M$97,2,FALSE)</f>
        <v>9</v>
      </c>
      <c r="G24" s="275">
        <f>VLOOKUP(D24,Data!O$6:P$97,2,FALSE)</f>
        <v>4.5999999999999996</v>
      </c>
      <c r="H24" s="275">
        <f>VLOOKUP(D24,Data!R$6:S$97,2,FALSE)</f>
        <v>18.3</v>
      </c>
      <c r="I24" s="153" t="e">
        <v>#REF!</v>
      </c>
      <c r="J24" s="153" t="e">
        <v>#REF!</v>
      </c>
      <c r="K24" s="153">
        <f>VLOOKUP(D24,Data!U$6:V$97,2,FALSE)</f>
        <v>24.25</v>
      </c>
      <c r="L24" s="153" t="e">
        <v>#REF!</v>
      </c>
      <c r="M24" s="153" t="e">
        <v>#REF!</v>
      </c>
      <c r="N24" s="235">
        <f t="shared" si="2"/>
        <v>19.182389937106919</v>
      </c>
      <c r="O24" s="223" t="s">
        <v>23</v>
      </c>
      <c r="P24" s="223" t="s">
        <v>23</v>
      </c>
      <c r="Q24" s="156">
        <f t="shared" si="3"/>
        <v>25.419287211740041</v>
      </c>
      <c r="R24" s="223" t="s">
        <v>23</v>
      </c>
      <c r="S24" s="223" t="s">
        <v>23</v>
      </c>
      <c r="T24" s="236"/>
    </row>
    <row r="25" spans="2:20" x14ac:dyDescent="0.3">
      <c r="B25" s="254" t="str">
        <f>VLOOKUP(D25,Data!C$6:D$97,2,FALSE)</f>
        <v>09/12/2021</v>
      </c>
      <c r="C25" s="277">
        <f>VLOOKUP(D25,Data!F$6:G$97,2,FALSE)</f>
        <v>1144374</v>
      </c>
      <c r="D25" s="278">
        <v>155</v>
      </c>
      <c r="E25" s="153">
        <f>VLOOKUP(D25,Consolidated!D$15:E$134,2,FALSE)</f>
        <v>2.56</v>
      </c>
      <c r="F25" s="275">
        <f>VLOOKUP(D25,Data!L$6:M$97,2,FALSE)</f>
        <v>9.8000000000000007</v>
      </c>
      <c r="G25" s="275">
        <f>VLOOKUP(D25,Data!O$6:P$97,2,FALSE)</f>
        <v>3.2</v>
      </c>
      <c r="H25" s="275">
        <f>VLOOKUP(D25,Data!R$6:S$97,2,FALSE)</f>
        <v>20.2</v>
      </c>
      <c r="I25" s="153" t="e">
        <v>#REF!</v>
      </c>
      <c r="J25" s="153" t="e">
        <v>#REF!</v>
      </c>
      <c r="K25" s="153">
        <f>VLOOKUP(D25,Data!U$6:V$97,2,FALSE)</f>
        <v>23.8</v>
      </c>
      <c r="L25" s="153" t="e">
        <v>#REF!</v>
      </c>
      <c r="M25" s="153" t="e">
        <v>#REF!</v>
      </c>
      <c r="N25" s="235">
        <f t="shared" si="2"/>
        <v>20.867768595041323</v>
      </c>
      <c r="O25" s="223" t="s">
        <v>23</v>
      </c>
      <c r="P25" s="223" t="s">
        <v>23</v>
      </c>
      <c r="Q25" s="156">
        <f t="shared" si="3"/>
        <v>24.586776859504134</v>
      </c>
      <c r="R25" s="223" t="s">
        <v>23</v>
      </c>
      <c r="S25" s="223" t="s">
        <v>23</v>
      </c>
      <c r="T25" s="236"/>
    </row>
    <row r="26" spans="2:20" x14ac:dyDescent="0.3">
      <c r="B26" s="254" t="str">
        <f>VLOOKUP(D26,Data!C$6:D$97,2,FALSE)</f>
        <v>09/12/2021</v>
      </c>
      <c r="C26" s="280">
        <f>VLOOKUP(D26,Data!F$6:G$97,2,FALSE)</f>
        <v>1144396</v>
      </c>
      <c r="D26" s="278">
        <v>112</v>
      </c>
      <c r="E26" s="153">
        <f>VLOOKUP(D26,Consolidated!D$15:E$134,2,FALSE)</f>
        <v>2.66</v>
      </c>
      <c r="F26" s="275">
        <f>VLOOKUP(D26,Data!L$6:M$97,2,FALSE)</f>
        <v>8.8000000000000007</v>
      </c>
      <c r="G26" s="275">
        <f>VLOOKUP(D26,Data!O$6:P$97,2,FALSE)</f>
        <v>4.3</v>
      </c>
      <c r="H26" s="275">
        <f>VLOOKUP(D26,Data!R$6:S$97,2,FALSE)</f>
        <v>18.2</v>
      </c>
      <c r="I26" s="153" t="e">
        <v>#REF!</v>
      </c>
      <c r="J26" s="153" t="e">
        <v>#REF!</v>
      </c>
      <c r="K26" s="153">
        <f>VLOOKUP(D26,Data!U$6:V$97,2,FALSE)</f>
        <v>24.27</v>
      </c>
      <c r="L26" s="153" t="e">
        <v>#REF!</v>
      </c>
      <c r="M26" s="153" t="e">
        <v>#REF!</v>
      </c>
      <c r="N26" s="235">
        <f t="shared" si="2"/>
        <v>19.01776384535005</v>
      </c>
      <c r="O26" s="223" t="s">
        <v>23</v>
      </c>
      <c r="P26" s="223" t="s">
        <v>23</v>
      </c>
      <c r="Q26" s="156">
        <f t="shared" si="3"/>
        <v>25.360501567398117</v>
      </c>
      <c r="R26" s="223" t="s">
        <v>23</v>
      </c>
      <c r="S26" s="223" t="s">
        <v>23</v>
      </c>
      <c r="T26" s="236"/>
    </row>
    <row r="27" spans="2:20" x14ac:dyDescent="0.3">
      <c r="B27" s="226" t="str">
        <f>VLOOKUP(D27,Data!C$6:D$97,2,FALSE)</f>
        <v>09/12/2021</v>
      </c>
      <c r="C27" s="279">
        <f>VLOOKUP(D27,Data!F$6:G$97,2,FALSE)</f>
        <v>1144453</v>
      </c>
      <c r="D27" s="278">
        <v>178</v>
      </c>
      <c r="E27" s="153">
        <f>VLOOKUP(D27,Consolidated!D$15:E$134,2,FALSE)</f>
        <v>2.2400000000000002</v>
      </c>
      <c r="F27" s="275">
        <f>VLOOKUP(D27,Data!L$6:M$97,2,FALSE)</f>
        <v>8.6999999999999993</v>
      </c>
      <c r="G27" s="275">
        <f>VLOOKUP(D27,Data!O$6:P$97,2,FALSE)</f>
        <v>4.7</v>
      </c>
      <c r="H27" s="275">
        <f>VLOOKUP(D27,Data!R$6:S$97,2,FALSE)</f>
        <v>20</v>
      </c>
      <c r="I27" s="153" t="e">
        <v>#REF!</v>
      </c>
      <c r="J27" s="153" t="e">
        <v>#REF!</v>
      </c>
      <c r="K27" s="153">
        <f>VLOOKUP(D27,Data!U$6:V$97,2,FALSE)</f>
        <v>23.22</v>
      </c>
      <c r="L27" s="153" t="e">
        <v>#REF!</v>
      </c>
      <c r="M27" s="153" t="e">
        <v>#REF!</v>
      </c>
      <c r="N27" s="235">
        <f t="shared" si="2"/>
        <v>20.986358866736623</v>
      </c>
      <c r="O27" s="223" t="s">
        <v>23</v>
      </c>
      <c r="P27" s="223" t="s">
        <v>23</v>
      </c>
      <c r="Q27" s="156">
        <f t="shared" si="3"/>
        <v>24.365162644281217</v>
      </c>
      <c r="R27" s="223" t="s">
        <v>23</v>
      </c>
      <c r="S27" s="223" t="s">
        <v>23</v>
      </c>
      <c r="T27" s="236"/>
    </row>
    <row r="28" spans="2:20" x14ac:dyDescent="0.3">
      <c r="B28" s="276" t="str">
        <f>VLOOKUP(D28,Data!C$6:D$97,2,FALSE)</f>
        <v>09/12/2021</v>
      </c>
      <c r="C28" s="277">
        <f>VLOOKUP(D28,Data!F$6:G$97,2,FALSE)</f>
        <v>1144428</v>
      </c>
      <c r="D28" s="278">
        <v>174</v>
      </c>
      <c r="E28" s="153">
        <f>VLOOKUP(D28,Consolidated!D$15:E$134,2,FALSE)</f>
        <v>2.52</v>
      </c>
      <c r="F28" s="275">
        <f>VLOOKUP(D28,Data!L$6:M$97,2,FALSE)</f>
        <v>8.5</v>
      </c>
      <c r="G28" s="275">
        <f>VLOOKUP(D28,Data!O$6:P$97,2,FALSE)</f>
        <v>4.5</v>
      </c>
      <c r="H28" s="275">
        <f>VLOOKUP(D28,Data!R$6:S$97,2,FALSE)</f>
        <v>18.600000000000001</v>
      </c>
      <c r="I28" s="153" t="e">
        <v>#REF!</v>
      </c>
      <c r="J28" s="153" t="e">
        <v>#REF!</v>
      </c>
      <c r="K28" s="153">
        <f>VLOOKUP(D28,Data!U$6:V$97,2,FALSE)</f>
        <v>23.44</v>
      </c>
      <c r="L28" s="153" t="e">
        <v>#REF!</v>
      </c>
      <c r="M28" s="153" t="e">
        <v>#REF!</v>
      </c>
      <c r="N28" s="235">
        <f t="shared" si="2"/>
        <v>19.47643979057592</v>
      </c>
      <c r="O28" s="223" t="s">
        <v>23</v>
      </c>
      <c r="P28" s="223" t="s">
        <v>23</v>
      </c>
      <c r="Q28" s="156">
        <f t="shared" si="3"/>
        <v>24.544502617801047</v>
      </c>
      <c r="R28" s="223" t="s">
        <v>23</v>
      </c>
      <c r="S28" s="223" t="s">
        <v>23</v>
      </c>
      <c r="T28" s="236"/>
    </row>
    <row r="29" spans="2:20" x14ac:dyDescent="0.3">
      <c r="B29" s="226" t="str">
        <f>VLOOKUP(D29,Data!C$6:D$97,2,FALSE)</f>
        <v>09/12/2021</v>
      </c>
      <c r="C29" s="302">
        <f>VLOOKUP(D29,Data!F$6:G$97,2,FALSE)</f>
        <v>1144440</v>
      </c>
      <c r="D29" s="278">
        <v>184</v>
      </c>
      <c r="E29" s="153">
        <f>VLOOKUP(D29,Consolidated!D$15:E$134,2,FALSE)</f>
        <v>5</v>
      </c>
      <c r="F29" s="275">
        <f>VLOOKUP(D29,Data!L$6:M$97,2,FALSE)</f>
        <v>9.5</v>
      </c>
      <c r="G29" s="275">
        <f>VLOOKUP(D29,Data!O$6:P$97,2,FALSE)</f>
        <v>4.7</v>
      </c>
      <c r="H29" s="275">
        <f>VLOOKUP(D29,Data!R$6:S$97,2,FALSE)</f>
        <v>20.6</v>
      </c>
      <c r="I29" s="153" t="e">
        <v>#REF!</v>
      </c>
      <c r="J29" s="153" t="e">
        <v>#REF!</v>
      </c>
      <c r="K29" s="153">
        <f>VLOOKUP(D29,Data!U$6:V$97,2,FALSE)</f>
        <v>23.62</v>
      </c>
      <c r="L29" s="153" t="e">
        <v>#REF!</v>
      </c>
      <c r="M29" s="153" t="e">
        <v>#REF!</v>
      </c>
      <c r="N29" s="235">
        <f t="shared" si="2"/>
        <v>21.615949632738719</v>
      </c>
      <c r="O29" s="223" t="s">
        <v>23</v>
      </c>
      <c r="P29" s="223" t="s">
        <v>23</v>
      </c>
      <c r="Q29" s="156">
        <f t="shared" si="3"/>
        <v>24.784889821615952</v>
      </c>
      <c r="R29" s="223" t="s">
        <v>23</v>
      </c>
      <c r="S29" s="223" t="s">
        <v>23</v>
      </c>
      <c r="T29" s="236"/>
    </row>
    <row r="30" spans="2:20" x14ac:dyDescent="0.3">
      <c r="B30" s="226" t="e">
        <f>VLOOKUP(D30,Data!C$6:D$97,2,FALSE)</f>
        <v>#N/A</v>
      </c>
      <c r="C30" s="159" t="e">
        <f>VLOOKUP(D30,Data!F$6:G$97,2,FALSE)</f>
        <v>#N/A</v>
      </c>
      <c r="D30" s="278"/>
      <c r="E30" s="153" t="e">
        <f>VLOOKUP(D30,Consolidated!D$15:E$134,2,FALSE)</f>
        <v>#N/A</v>
      </c>
      <c r="F30" s="275" t="e">
        <f>VLOOKUP(D30,Data!L$6:M$97,2,FALSE)</f>
        <v>#N/A</v>
      </c>
      <c r="G30" s="275" t="e">
        <f>VLOOKUP(D30,Data!O$6:P$97,2,FALSE)</f>
        <v>#N/A</v>
      </c>
      <c r="H30" s="275" t="e">
        <f>VLOOKUP(D30,Data!R$6:S$97,2,FALSE)</f>
        <v>#N/A</v>
      </c>
      <c r="I30" s="153" t="e">
        <v>#N/A</v>
      </c>
      <c r="J30" s="153" t="e">
        <v>#N/A</v>
      </c>
      <c r="K30" s="153" t="e">
        <f>VLOOKUP(D30,Data!U$6:V$97,2,FALSE)</f>
        <v>#N/A</v>
      </c>
      <c r="L30" s="153" t="e">
        <v>#N/A</v>
      </c>
      <c r="M30" s="153" t="e">
        <v>#N/A</v>
      </c>
      <c r="N30" s="235" t="e">
        <f t="shared" si="2"/>
        <v>#N/A</v>
      </c>
      <c r="O30" s="223" t="s">
        <v>23</v>
      </c>
      <c r="P30" s="223" t="s">
        <v>23</v>
      </c>
      <c r="Q30" s="156" t="e">
        <f t="shared" si="3"/>
        <v>#N/A</v>
      </c>
      <c r="R30" s="223" t="s">
        <v>23</v>
      </c>
      <c r="S30" s="223" t="s">
        <v>23</v>
      </c>
      <c r="T30" s="236"/>
    </row>
    <row r="31" spans="2:20" x14ac:dyDescent="0.3">
      <c r="B31" s="226" t="str">
        <f>VLOOKUP(D31,Data!C$6:D$97,2,FALSE)</f>
        <v>09/12/2021</v>
      </c>
      <c r="C31" s="279">
        <f>VLOOKUP(D31,Data!F$6:G$97,2,FALSE)</f>
        <v>1144370</v>
      </c>
      <c r="D31" s="278">
        <v>103</v>
      </c>
      <c r="E31" s="153">
        <f>VLOOKUP(D31,Consolidated!D$15:E$134,2,FALSE)</f>
        <v>2.2999999999999998</v>
      </c>
      <c r="F31" s="275">
        <f>VLOOKUP(D31,Data!L$6:M$97,2,FALSE)</f>
        <v>9.3000000000000007</v>
      </c>
      <c r="G31" s="275">
        <f>VLOOKUP(D31,Data!O$6:P$97,2,FALSE)</f>
        <v>3.4</v>
      </c>
      <c r="H31" s="275">
        <f>VLOOKUP(D31,Data!R$6:S$97,2,FALSE)</f>
        <v>16.100000000000001</v>
      </c>
      <c r="I31" s="153" t="e">
        <v>#REF!</v>
      </c>
      <c r="J31" s="153" t="e">
        <v>#REF!</v>
      </c>
      <c r="K31" s="153">
        <f>VLOOKUP(D31,Data!U$6:V$97,2,FALSE)</f>
        <v>25.25</v>
      </c>
      <c r="L31" s="153" t="e">
        <v>#REF!</v>
      </c>
      <c r="M31" s="153" t="e">
        <v>#REF!</v>
      </c>
      <c r="N31" s="235">
        <f t="shared" si="2"/>
        <v>16.666666666666671</v>
      </c>
      <c r="O31" s="223" t="s">
        <v>23</v>
      </c>
      <c r="P31" s="223" t="s">
        <v>23</v>
      </c>
      <c r="Q31" s="156">
        <f t="shared" si="3"/>
        <v>26.138716356107661</v>
      </c>
      <c r="R31" s="223" t="s">
        <v>23</v>
      </c>
      <c r="S31" s="223" t="s">
        <v>23</v>
      </c>
      <c r="T31" s="236"/>
    </row>
    <row r="32" spans="2:20" x14ac:dyDescent="0.3">
      <c r="B32" s="226" t="e">
        <f>VLOOKUP(D32,Data!C$6:D$97,2,FALSE)</f>
        <v>#N/A</v>
      </c>
      <c r="C32" s="159" t="e">
        <f>VLOOKUP(D32,Data!F$6:G$97,2,FALSE)</f>
        <v>#N/A</v>
      </c>
      <c r="D32" s="278"/>
      <c r="E32" s="153" t="e">
        <f>VLOOKUP(D32,Consolidated!D$15:E$134,2,FALSE)</f>
        <v>#N/A</v>
      </c>
      <c r="F32" s="275" t="e">
        <f>VLOOKUP(D32,Data!L$6:M$97,2,FALSE)</f>
        <v>#N/A</v>
      </c>
      <c r="G32" s="275" t="e">
        <f>VLOOKUP(D32,Data!O$6:P$97,2,FALSE)</f>
        <v>#N/A</v>
      </c>
      <c r="H32" s="275" t="e">
        <f>VLOOKUP(D32,Data!R$6:S$97,2,FALSE)</f>
        <v>#N/A</v>
      </c>
      <c r="I32" s="153" t="e">
        <v>#N/A</v>
      </c>
      <c r="J32" s="153" t="e">
        <v>#N/A</v>
      </c>
      <c r="K32" s="153" t="e">
        <f>VLOOKUP(D32,Data!U$6:V$97,2,FALSE)</f>
        <v>#N/A</v>
      </c>
      <c r="L32" s="153" t="e">
        <v>#N/A</v>
      </c>
      <c r="M32" s="153" t="e">
        <v>#N/A</v>
      </c>
      <c r="N32" s="235" t="e">
        <f t="shared" si="2"/>
        <v>#N/A</v>
      </c>
      <c r="O32" s="223" t="s">
        <v>23</v>
      </c>
      <c r="P32" s="223" t="s">
        <v>23</v>
      </c>
      <c r="Q32" s="156" t="e">
        <f t="shared" si="3"/>
        <v>#N/A</v>
      </c>
      <c r="R32" s="223" t="s">
        <v>23</v>
      </c>
      <c r="S32" s="223" t="s">
        <v>23</v>
      </c>
      <c r="T32" s="236"/>
    </row>
    <row r="33" spans="2:20" x14ac:dyDescent="0.3">
      <c r="B33" s="226" t="e">
        <f>VLOOKUP(D33,Data!C$6:D$97,2,FALSE)</f>
        <v>#N/A</v>
      </c>
      <c r="C33" s="160" t="e">
        <f>VLOOKUP(D33,Data!F$6:G$97,2,FALSE)</f>
        <v>#N/A</v>
      </c>
      <c r="D33" s="278"/>
      <c r="E33" s="153" t="e">
        <f>VLOOKUP(D33,Consolidated!D$15:E$134,2,FALSE)</f>
        <v>#N/A</v>
      </c>
      <c r="F33" s="275" t="e">
        <f>VLOOKUP(D33,Data!L$6:M$97,2,FALSE)</f>
        <v>#N/A</v>
      </c>
      <c r="G33" s="275" t="e">
        <f>VLOOKUP(D33,Data!O$6:P$97,2,FALSE)</f>
        <v>#N/A</v>
      </c>
      <c r="H33" s="275" t="e">
        <f>VLOOKUP(D33,Data!R$6:S$97,2,FALSE)</f>
        <v>#N/A</v>
      </c>
      <c r="I33" s="153" t="e">
        <v>#N/A</v>
      </c>
      <c r="J33" s="153" t="e">
        <v>#N/A</v>
      </c>
      <c r="K33" s="153" t="e">
        <f>VLOOKUP(D33,Data!U$6:V$97,2,FALSE)</f>
        <v>#N/A</v>
      </c>
      <c r="L33" s="153" t="e">
        <v>#N/A</v>
      </c>
      <c r="M33" s="153" t="e">
        <v>#N/A</v>
      </c>
      <c r="N33" s="235" t="e">
        <f t="shared" si="2"/>
        <v>#N/A</v>
      </c>
      <c r="O33" s="223" t="s">
        <v>23</v>
      </c>
      <c r="P33" s="223" t="s">
        <v>23</v>
      </c>
      <c r="Q33" s="156" t="e">
        <f t="shared" si="3"/>
        <v>#N/A</v>
      </c>
      <c r="R33" s="223" t="s">
        <v>23</v>
      </c>
      <c r="S33" s="223" t="s">
        <v>23</v>
      </c>
      <c r="T33" s="236"/>
    </row>
    <row r="34" spans="2:20" x14ac:dyDescent="0.3">
      <c r="B34" s="226" t="e">
        <f>VLOOKUP(D34,Data!C$6:D$97,2,FALSE)</f>
        <v>#N/A</v>
      </c>
      <c r="C34" s="159" t="e">
        <f>VLOOKUP(D34,Data!F$6:G$97,2,FALSE)</f>
        <v>#N/A</v>
      </c>
      <c r="D34" s="278"/>
      <c r="E34" s="153" t="e">
        <f>VLOOKUP(D34,Consolidated!D$15:E$134,2,FALSE)</f>
        <v>#N/A</v>
      </c>
      <c r="F34" s="275" t="e">
        <f>VLOOKUP(D34,Data!L$6:M$97,2,FALSE)</f>
        <v>#N/A</v>
      </c>
      <c r="G34" s="275" t="e">
        <f>VLOOKUP(D34,Data!O$6:P$97,2,FALSE)</f>
        <v>#N/A</v>
      </c>
      <c r="H34" s="275" t="e">
        <f>VLOOKUP(D34,Data!R$6:S$97,2,FALSE)</f>
        <v>#N/A</v>
      </c>
      <c r="I34" s="153" t="e">
        <v>#N/A</v>
      </c>
      <c r="J34" s="153" t="e">
        <v>#N/A</v>
      </c>
      <c r="K34" s="153" t="e">
        <f>VLOOKUP(D34,Data!U$6:V$97,2,FALSE)</f>
        <v>#N/A</v>
      </c>
      <c r="L34" s="153" t="e">
        <v>#N/A</v>
      </c>
      <c r="M34" s="153" t="e">
        <v>#N/A</v>
      </c>
      <c r="N34" s="235" t="e">
        <f t="shared" si="2"/>
        <v>#N/A</v>
      </c>
      <c r="O34" s="223" t="s">
        <v>23</v>
      </c>
      <c r="P34" s="223" t="s">
        <v>23</v>
      </c>
      <c r="Q34" s="156" t="e">
        <f t="shared" si="3"/>
        <v>#N/A</v>
      </c>
      <c r="R34" s="223" t="s">
        <v>23</v>
      </c>
      <c r="S34" s="223" t="s">
        <v>23</v>
      </c>
      <c r="T34" s="236"/>
    </row>
    <row r="35" spans="2:20" x14ac:dyDescent="0.3">
      <c r="B35" s="226" t="e">
        <f>VLOOKUP(D35,Data!C$6:D$97,2,FALSE)</f>
        <v>#N/A</v>
      </c>
      <c r="C35" s="160" t="e">
        <f>VLOOKUP(D35,Data!F$6:G$97,2,FALSE)</f>
        <v>#N/A</v>
      </c>
      <c r="D35" s="278"/>
      <c r="E35" s="153" t="e">
        <f>VLOOKUP(D35,Consolidated!D$15:E$134,2,FALSE)</f>
        <v>#N/A</v>
      </c>
      <c r="F35" s="275" t="e">
        <f>VLOOKUP(D35,Data!L$6:M$97,2,FALSE)</f>
        <v>#N/A</v>
      </c>
      <c r="G35" s="275" t="e">
        <f>VLOOKUP(D35,Data!O$6:P$97,2,FALSE)</f>
        <v>#N/A</v>
      </c>
      <c r="H35" s="275" t="e">
        <f>VLOOKUP(D35,Data!R$6:S$97,2,FALSE)</f>
        <v>#N/A</v>
      </c>
      <c r="I35" s="153" t="e">
        <v>#N/A</v>
      </c>
      <c r="J35" s="153" t="e">
        <v>#N/A</v>
      </c>
      <c r="K35" s="153" t="e">
        <f>VLOOKUP(D35,Data!U$6:V$97,2,FALSE)</f>
        <v>#N/A</v>
      </c>
      <c r="L35" s="153" t="e">
        <v>#N/A</v>
      </c>
      <c r="M35" s="153" t="e">
        <v>#N/A</v>
      </c>
      <c r="N35" s="235" t="e">
        <f t="shared" si="2"/>
        <v>#N/A</v>
      </c>
      <c r="O35" s="223" t="s">
        <v>23</v>
      </c>
      <c r="P35" s="223" t="s">
        <v>23</v>
      </c>
      <c r="Q35" s="156" t="e">
        <f t="shared" si="3"/>
        <v>#N/A</v>
      </c>
      <c r="R35" s="223" t="s">
        <v>23</v>
      </c>
      <c r="S35" s="223" t="s">
        <v>23</v>
      </c>
      <c r="T35" s="236"/>
    </row>
    <row r="36" spans="2:20" x14ac:dyDescent="0.3">
      <c r="B36" s="226" t="e">
        <f>VLOOKUP(D36,Data!C$6:D$97,2,FALSE)</f>
        <v>#N/A</v>
      </c>
      <c r="C36" s="159" t="e">
        <f>VLOOKUP(D36,Data!F$6:G$97,2,FALSE)</f>
        <v>#N/A</v>
      </c>
      <c r="D36" s="278"/>
      <c r="E36" s="153" t="e">
        <f>VLOOKUP(D36,Consolidated!D$15:E$134,2,FALSE)</f>
        <v>#N/A</v>
      </c>
      <c r="F36" s="275" t="e">
        <f>VLOOKUP(D36,Data!L$6:M$97,2,FALSE)</f>
        <v>#N/A</v>
      </c>
      <c r="G36" s="275" t="e">
        <f>VLOOKUP(D36,Data!O$6:P$97,2,FALSE)</f>
        <v>#N/A</v>
      </c>
      <c r="H36" s="275" t="e">
        <f>VLOOKUP(D36,Data!R$6:S$97,2,FALSE)</f>
        <v>#N/A</v>
      </c>
      <c r="I36" s="153" t="e">
        <v>#N/A</v>
      </c>
      <c r="J36" s="153" t="e">
        <v>#N/A</v>
      </c>
      <c r="K36" s="153" t="e">
        <f>VLOOKUP(D36,Data!U$6:V$97,2,FALSE)</f>
        <v>#N/A</v>
      </c>
      <c r="L36" s="153" t="e">
        <v>#N/A</v>
      </c>
      <c r="M36" s="153" t="e">
        <v>#N/A</v>
      </c>
      <c r="N36" s="235" t="e">
        <f t="shared" si="2"/>
        <v>#N/A</v>
      </c>
      <c r="O36" s="223" t="s">
        <v>23</v>
      </c>
      <c r="P36" s="223" t="s">
        <v>23</v>
      </c>
      <c r="Q36" s="156" t="e">
        <f t="shared" si="3"/>
        <v>#N/A</v>
      </c>
      <c r="R36" s="223" t="s">
        <v>23</v>
      </c>
      <c r="S36" s="223" t="s">
        <v>23</v>
      </c>
      <c r="T36" s="236"/>
    </row>
    <row r="37" spans="2:20" x14ac:dyDescent="0.3">
      <c r="B37" s="226" t="e">
        <f>VLOOKUP(D37,Data!C$6:D$97,2,FALSE)</f>
        <v>#N/A</v>
      </c>
      <c r="C37" s="160" t="e">
        <f>VLOOKUP(D37,Data!F$6:G$97,2,FALSE)</f>
        <v>#N/A</v>
      </c>
      <c r="D37" s="278"/>
      <c r="E37" s="153" t="e">
        <f>VLOOKUP(D37,Consolidated!D$15:E$134,2,FALSE)</f>
        <v>#N/A</v>
      </c>
      <c r="F37" s="275" t="e">
        <f>VLOOKUP(D37,Data!L$6:M$97,2,FALSE)</f>
        <v>#N/A</v>
      </c>
      <c r="G37" s="275" t="e">
        <f>VLOOKUP(D37,Data!O$6:P$97,2,FALSE)</f>
        <v>#N/A</v>
      </c>
      <c r="H37" s="275" t="e">
        <f>VLOOKUP(D37,Data!R$6:S$97,2,FALSE)</f>
        <v>#N/A</v>
      </c>
      <c r="I37" s="153" t="e">
        <v>#N/A</v>
      </c>
      <c r="J37" s="153" t="e">
        <v>#N/A</v>
      </c>
      <c r="K37" s="153" t="e">
        <f>VLOOKUP(D37,Data!U$6:V$97,2,FALSE)</f>
        <v>#N/A</v>
      </c>
      <c r="L37" s="153" t="e">
        <v>#N/A</v>
      </c>
      <c r="M37" s="153" t="e">
        <v>#N/A</v>
      </c>
      <c r="N37" s="235" t="e">
        <f t="shared" si="2"/>
        <v>#N/A</v>
      </c>
      <c r="O37" s="223" t="s">
        <v>23</v>
      </c>
      <c r="P37" s="223" t="s">
        <v>23</v>
      </c>
      <c r="Q37" s="156" t="e">
        <f t="shared" si="3"/>
        <v>#N/A</v>
      </c>
      <c r="R37" s="223" t="s">
        <v>23</v>
      </c>
      <c r="S37" s="223" t="s">
        <v>23</v>
      </c>
      <c r="T37" s="236"/>
    </row>
    <row r="38" spans="2:20" x14ac:dyDescent="0.3">
      <c r="B38" s="226" t="e">
        <f>VLOOKUP(D38,Data!C$6:D$97,2,FALSE)</f>
        <v>#N/A</v>
      </c>
      <c r="C38" s="159" t="e">
        <f>VLOOKUP(D38,Data!F$6:G$97,2,FALSE)</f>
        <v>#N/A</v>
      </c>
      <c r="D38" s="278"/>
      <c r="E38" s="153" t="e">
        <f>VLOOKUP(D38,Consolidated!D$15:E$134,2,FALSE)</f>
        <v>#N/A</v>
      </c>
      <c r="F38" s="275" t="e">
        <f>VLOOKUP(D38,Data!L$6:M$97,2,FALSE)</f>
        <v>#N/A</v>
      </c>
      <c r="G38" s="275" t="e">
        <f>VLOOKUP(D38,Data!O$6:P$97,2,FALSE)</f>
        <v>#N/A</v>
      </c>
      <c r="H38" s="275" t="e">
        <f>VLOOKUP(D38,Data!R$6:S$97,2,FALSE)</f>
        <v>#N/A</v>
      </c>
      <c r="I38" s="153" t="e">
        <v>#N/A</v>
      </c>
      <c r="J38" s="153" t="e">
        <v>#N/A</v>
      </c>
      <c r="K38" s="153" t="e">
        <f>VLOOKUP(D38,Data!U$6:V$97,2,FALSE)</f>
        <v>#N/A</v>
      </c>
      <c r="L38" s="153" t="e">
        <v>#N/A</v>
      </c>
      <c r="M38" s="153" t="e">
        <v>#N/A</v>
      </c>
      <c r="N38" s="235" t="e">
        <f t="shared" si="2"/>
        <v>#N/A</v>
      </c>
      <c r="O38" s="223" t="s">
        <v>23</v>
      </c>
      <c r="P38" s="223" t="s">
        <v>23</v>
      </c>
      <c r="Q38" s="156" t="e">
        <f t="shared" si="3"/>
        <v>#N/A</v>
      </c>
      <c r="R38" s="223" t="s">
        <v>23</v>
      </c>
      <c r="S38" s="223" t="s">
        <v>23</v>
      </c>
      <c r="T38" s="236"/>
    </row>
    <row r="39" spans="2:20" x14ac:dyDescent="0.3">
      <c r="B39" s="226" t="e">
        <f>VLOOKUP(D39,Data!C$6:D$97,2,FALSE)</f>
        <v>#N/A</v>
      </c>
      <c r="C39" s="160" t="e">
        <f>VLOOKUP(D39,Data!F$6:G$97,2,FALSE)</f>
        <v>#N/A</v>
      </c>
      <c r="D39" s="278"/>
      <c r="E39" s="153" t="e">
        <f>VLOOKUP(D39,Consolidated!D$15:E$134,2,FALSE)</f>
        <v>#N/A</v>
      </c>
      <c r="F39" s="275" t="e">
        <f>VLOOKUP(D39,Data!L$6:M$97,2,FALSE)</f>
        <v>#N/A</v>
      </c>
      <c r="G39" s="275" t="e">
        <f>VLOOKUP(D39,Data!O$6:P$97,2,FALSE)</f>
        <v>#N/A</v>
      </c>
      <c r="H39" s="275" t="e">
        <f>VLOOKUP(D39,Data!R$6:S$97,2,FALSE)</f>
        <v>#N/A</v>
      </c>
      <c r="I39" s="153" t="e">
        <v>#N/A</v>
      </c>
      <c r="J39" s="153" t="e">
        <v>#N/A</v>
      </c>
      <c r="K39" s="153" t="e">
        <f>VLOOKUP(D39,Data!U$6:V$97,2,FALSE)</f>
        <v>#N/A</v>
      </c>
      <c r="L39" s="153" t="e">
        <v>#N/A</v>
      </c>
      <c r="M39" s="153" t="e">
        <v>#N/A</v>
      </c>
      <c r="N39" s="235" t="e">
        <f t="shared" si="2"/>
        <v>#N/A</v>
      </c>
      <c r="O39" s="223" t="s">
        <v>23</v>
      </c>
      <c r="P39" s="223" t="s">
        <v>23</v>
      </c>
      <c r="Q39" s="156" t="e">
        <f t="shared" si="3"/>
        <v>#N/A</v>
      </c>
      <c r="R39" s="223" t="s">
        <v>23</v>
      </c>
      <c r="S39" s="223" t="s">
        <v>23</v>
      </c>
      <c r="T39" s="236"/>
    </row>
    <row r="40" spans="2:20" x14ac:dyDescent="0.3">
      <c r="B40" s="226" t="str">
        <f>VLOOKUP(D40,Data!C$6:D$97,2,FALSE)</f>
        <v>09/12/2021</v>
      </c>
      <c r="C40" s="159">
        <f>VLOOKUP(D40,Data!F$6:G$97,2,FALSE)</f>
        <v>1144446</v>
      </c>
      <c r="D40" s="278">
        <v>125</v>
      </c>
      <c r="E40" s="153">
        <f>VLOOKUP(D40,Consolidated!D$15:E$134,2,FALSE)</f>
        <v>2.44</v>
      </c>
      <c r="F40" s="275">
        <f>VLOOKUP(D40,Data!L$6:M$97,2,FALSE)</f>
        <v>9.6999999999999993</v>
      </c>
      <c r="G40" s="275">
        <f>VLOOKUP(D40,Data!O$6:P$97,2,FALSE)</f>
        <v>4.5999999999999996</v>
      </c>
      <c r="H40" s="275">
        <f>VLOOKUP(D40,Data!R$6:S$97,2,FALSE)</f>
        <v>19.7</v>
      </c>
      <c r="I40" s="153" t="e">
        <v>#REF!</v>
      </c>
      <c r="J40" s="153" t="e">
        <v>#REF!</v>
      </c>
      <c r="K40" s="153">
        <f>VLOOKUP(D40,Data!U$6:V$97,2,FALSE)</f>
        <v>23.68</v>
      </c>
      <c r="L40" s="153" t="e">
        <v>#REF!</v>
      </c>
      <c r="M40" s="153" t="e">
        <v>#REF!</v>
      </c>
      <c r="N40" s="235">
        <f t="shared" si="2"/>
        <v>20.649895178197063</v>
      </c>
      <c r="O40" s="223" t="s">
        <v>23</v>
      </c>
      <c r="P40" s="223" t="s">
        <v>23</v>
      </c>
      <c r="Q40" s="156">
        <f t="shared" si="3"/>
        <v>24.821802935010481</v>
      </c>
      <c r="R40" s="223" t="s">
        <v>23</v>
      </c>
      <c r="S40" s="223" t="s">
        <v>23</v>
      </c>
      <c r="T40" s="236"/>
    </row>
    <row r="41" spans="2:20" x14ac:dyDescent="0.3">
      <c r="B41" s="226" t="str">
        <f>VLOOKUP(D41,Data!C$6:D$97,2,FALSE)</f>
        <v>09/12/2021</v>
      </c>
      <c r="C41" s="160">
        <f>VLOOKUP(D41,Data!F$6:G$97,2,FALSE)</f>
        <v>1144432</v>
      </c>
      <c r="D41" s="278">
        <v>129</v>
      </c>
      <c r="E41" s="153">
        <f>VLOOKUP(D41,Consolidated!D$15:E$134,2,FALSE)</f>
        <v>2.52</v>
      </c>
      <c r="F41" s="275">
        <f>VLOOKUP(D41,Data!L$6:M$97,2,FALSE)</f>
        <v>9.6</v>
      </c>
      <c r="G41" s="275">
        <f>VLOOKUP(D41,Data!O$6:P$97,2,FALSE)</f>
        <v>4.9000000000000004</v>
      </c>
      <c r="H41" s="275">
        <f>VLOOKUP(D41,Data!R$6:S$97,2,FALSE)</f>
        <v>18.100000000000001</v>
      </c>
      <c r="I41" s="153" t="e">
        <v>#REF!</v>
      </c>
      <c r="J41" s="153" t="e">
        <v>#REF!</v>
      </c>
      <c r="K41" s="153">
        <f>VLOOKUP(D41,Data!U$6:V$97,2,FALSE)</f>
        <v>24.41</v>
      </c>
      <c r="L41" s="153" t="e">
        <v>#REF!</v>
      </c>
      <c r="M41" s="153" t="e">
        <v>#REF!</v>
      </c>
      <c r="N41" s="235">
        <f t="shared" si="2"/>
        <v>19.032597266035754</v>
      </c>
      <c r="O41" s="223" t="s">
        <v>23</v>
      </c>
      <c r="P41" s="223" t="s">
        <v>23</v>
      </c>
      <c r="Q41" s="156">
        <f t="shared" si="3"/>
        <v>25.667718191377499</v>
      </c>
      <c r="R41" s="223" t="s">
        <v>23</v>
      </c>
      <c r="S41" s="223" t="s">
        <v>23</v>
      </c>
      <c r="T41" s="236"/>
    </row>
    <row r="42" spans="2:20" x14ac:dyDescent="0.3">
      <c r="B42" s="226" t="str">
        <f>VLOOKUP(D42,Data!C$6:D$97,2,FALSE)</f>
        <v>09/12/2021</v>
      </c>
      <c r="C42" s="159">
        <f>VLOOKUP(D42,Data!F$6:G$97,2,FALSE)</f>
        <v>1144386</v>
      </c>
      <c r="D42" s="278">
        <v>138</v>
      </c>
      <c r="E42" s="153">
        <f>VLOOKUP(D42,Consolidated!D$15:E$134,2,FALSE)</f>
        <v>2.98</v>
      </c>
      <c r="F42" s="275">
        <f>VLOOKUP(D42,Data!L$6:M$97,2,FALSE)</f>
        <v>9.3000000000000007</v>
      </c>
      <c r="G42" s="275">
        <f>VLOOKUP(D42,Data!O$6:P$97,2,FALSE)</f>
        <v>3.9</v>
      </c>
      <c r="H42" s="275">
        <f>VLOOKUP(D42,Data!R$6:S$97,2,FALSE)</f>
        <v>19.899999999999999</v>
      </c>
      <c r="I42" s="153" t="e">
        <v>#REF!</v>
      </c>
      <c r="J42" s="153" t="e">
        <v>#REF!</v>
      </c>
      <c r="K42" s="153">
        <f>VLOOKUP(D42,Data!U$6:V$97,2,FALSE)</f>
        <v>23.91</v>
      </c>
      <c r="L42" s="153" t="e">
        <v>#REF!</v>
      </c>
      <c r="M42" s="153" t="e">
        <v>#REF!</v>
      </c>
      <c r="N42" s="235">
        <f t="shared" si="2"/>
        <v>20.707596253902185</v>
      </c>
      <c r="O42" s="223" t="s">
        <v>23</v>
      </c>
      <c r="P42" s="223" t="s">
        <v>23</v>
      </c>
      <c r="Q42" s="156">
        <f t="shared" si="3"/>
        <v>24.880332986472425</v>
      </c>
      <c r="R42" s="223" t="s">
        <v>23</v>
      </c>
      <c r="S42" s="223" t="s">
        <v>23</v>
      </c>
      <c r="T42" s="236"/>
    </row>
    <row r="43" spans="2:20" x14ac:dyDescent="0.3">
      <c r="B43" s="226" t="str">
        <f>VLOOKUP(D43,Data!C$6:D$97,2,FALSE)</f>
        <v>09/12/2021</v>
      </c>
      <c r="C43" s="159">
        <f>VLOOKUP(D43,Data!F$6:G$97,2,FALSE)</f>
        <v>1144434</v>
      </c>
      <c r="D43" s="278">
        <v>139</v>
      </c>
      <c r="E43" s="153">
        <f>VLOOKUP(D43,Consolidated!D$15:E$134,2,FALSE)</f>
        <v>2.56</v>
      </c>
      <c r="F43" s="275">
        <f>VLOOKUP(D43,Data!L$6:M$97,2,FALSE)</f>
        <v>9.3000000000000007</v>
      </c>
      <c r="G43" s="275">
        <f>VLOOKUP(D43,Data!O$6:P$97,2,FALSE)</f>
        <v>4.5999999999999996</v>
      </c>
      <c r="H43" s="275">
        <f>VLOOKUP(D43,Data!R$6:S$97,2,FALSE)</f>
        <v>17.600000000000001</v>
      </c>
      <c r="I43" s="153" t="e">
        <v>#REF!</v>
      </c>
      <c r="J43" s="153" t="e">
        <v>#REF!</v>
      </c>
      <c r="K43" s="153">
        <f>VLOOKUP(D43,Data!U$6:V$97,2,FALSE)</f>
        <v>24.45</v>
      </c>
      <c r="L43" s="153" t="e">
        <v>#REF!</v>
      </c>
      <c r="M43" s="153" t="e">
        <v>#REF!</v>
      </c>
      <c r="N43" s="235">
        <f t="shared" si="2"/>
        <v>18.448637316561847</v>
      </c>
      <c r="O43" s="223" t="s">
        <v>23</v>
      </c>
      <c r="P43" s="223" t="s">
        <v>23</v>
      </c>
      <c r="Q43" s="156">
        <f t="shared" si="3"/>
        <v>25.628930817610062</v>
      </c>
      <c r="R43" s="223" t="s">
        <v>23</v>
      </c>
      <c r="S43" s="223" t="s">
        <v>23</v>
      </c>
      <c r="T43" s="236"/>
    </row>
    <row r="44" spans="2:20" x14ac:dyDescent="0.3">
      <c r="B44" s="226" t="str">
        <f>VLOOKUP(D44,Data!C$6:D$97,2,FALSE)</f>
        <v>09/12/2021</v>
      </c>
      <c r="C44" s="160">
        <f>VLOOKUP(D44,Data!F$6:G$97,2,FALSE)</f>
        <v>1144420</v>
      </c>
      <c r="D44" s="278">
        <v>121</v>
      </c>
      <c r="E44" s="153">
        <f>VLOOKUP(D44,Consolidated!D$15:E$134,2,FALSE)</f>
        <v>2.12</v>
      </c>
      <c r="F44" s="275">
        <f>VLOOKUP(D44,Data!L$6:M$97,2,FALSE)</f>
        <v>8.4</v>
      </c>
      <c r="G44" s="275">
        <f>VLOOKUP(D44,Data!O$6:P$97,2,FALSE)</f>
        <v>4.7</v>
      </c>
      <c r="H44" s="275">
        <f>VLOOKUP(D44,Data!R$6:S$97,2,FALSE)</f>
        <v>19.2</v>
      </c>
      <c r="I44" s="153" t="e">
        <v>#REF!</v>
      </c>
      <c r="J44" s="153" t="e">
        <v>#REF!</v>
      </c>
      <c r="K44" s="153">
        <f>VLOOKUP(D44,Data!U$6:V$97,2,FALSE)</f>
        <v>24.09</v>
      </c>
      <c r="L44" s="153" t="e">
        <v>#REF!</v>
      </c>
      <c r="M44" s="153" t="e">
        <v>#REF!</v>
      </c>
      <c r="N44" s="235">
        <f t="shared" si="2"/>
        <v>20.146904512067156</v>
      </c>
      <c r="O44" s="223" t="s">
        <v>23</v>
      </c>
      <c r="P44" s="223" t="s">
        <v>23</v>
      </c>
      <c r="Q44" s="156">
        <f t="shared" si="3"/>
        <v>25.27806925498426</v>
      </c>
      <c r="R44" s="223" t="s">
        <v>23</v>
      </c>
      <c r="S44" s="223" t="s">
        <v>23</v>
      </c>
      <c r="T44" s="236"/>
    </row>
    <row r="45" spans="2:20" x14ac:dyDescent="0.3">
      <c r="B45" s="226" t="str">
        <f>VLOOKUP(D45,Data!C$6:D$97,2,FALSE)</f>
        <v>09/12/2021</v>
      </c>
      <c r="C45" s="159">
        <f>VLOOKUP(D45,Data!F$6:G$97,2,FALSE)</f>
        <v>1144417</v>
      </c>
      <c r="D45" s="278">
        <v>186</v>
      </c>
      <c r="E45" s="153">
        <f>VLOOKUP(D45,Consolidated!D$15:E$134,2,FALSE)</f>
        <v>4.4800000000000004</v>
      </c>
      <c r="F45" s="275">
        <f>VLOOKUP(D45,Data!L$6:M$97,2,FALSE)</f>
        <v>8.8000000000000007</v>
      </c>
      <c r="G45" s="275">
        <f>VLOOKUP(D45,Data!O$6:P$97,2,FALSE)</f>
        <v>4.4000000000000004</v>
      </c>
      <c r="H45" s="275">
        <f>VLOOKUP(D45,Data!R$6:S$97,2,FALSE)</f>
        <v>19.2</v>
      </c>
      <c r="I45" s="153" t="e">
        <v>#REF!</v>
      </c>
      <c r="J45" s="153" t="e">
        <v>#REF!</v>
      </c>
      <c r="K45" s="153">
        <f>VLOOKUP(D45,Data!U$6:V$97,2,FALSE)</f>
        <v>23.73</v>
      </c>
      <c r="L45" s="153" t="e">
        <v>#REF!</v>
      </c>
      <c r="M45" s="153" t="e">
        <v>#REF!</v>
      </c>
      <c r="N45" s="235">
        <f t="shared" si="2"/>
        <v>20.083682008368203</v>
      </c>
      <c r="O45" s="223" t="s">
        <v>23</v>
      </c>
      <c r="P45" s="223" t="s">
        <v>23</v>
      </c>
      <c r="Q45" s="156">
        <f t="shared" si="3"/>
        <v>24.822175732217573</v>
      </c>
      <c r="R45" s="223" t="s">
        <v>23</v>
      </c>
      <c r="S45" s="223" t="s">
        <v>23</v>
      </c>
      <c r="T45" s="236"/>
    </row>
    <row r="46" spans="2:20" x14ac:dyDescent="0.3">
      <c r="B46" s="226" t="str">
        <f>VLOOKUP(D46,Data!C$6:D$97,2,FALSE)</f>
        <v>09/12/2021</v>
      </c>
      <c r="C46" s="160">
        <f>VLOOKUP(D46,Data!F$6:G$97,2,FALSE)</f>
        <v>1144381</v>
      </c>
      <c r="D46" s="278">
        <v>190</v>
      </c>
      <c r="E46" s="153">
        <f>VLOOKUP(D46,Consolidated!D$15:E$134,2,FALSE)</f>
        <v>2.06</v>
      </c>
      <c r="F46" s="275">
        <f>VLOOKUP(D46,Data!L$6:M$97,2,FALSE)</f>
        <v>9</v>
      </c>
      <c r="G46" s="275">
        <f>VLOOKUP(D46,Data!O$6:P$97,2,FALSE)</f>
        <v>3.7</v>
      </c>
      <c r="H46" s="275">
        <f>VLOOKUP(D46,Data!R$6:S$97,2,FALSE)</f>
        <v>21.2</v>
      </c>
      <c r="I46" s="153" t="e">
        <v>#REF!</v>
      </c>
      <c r="J46" s="153" t="e">
        <v>#REF!</v>
      </c>
      <c r="K46" s="153">
        <f>VLOOKUP(D46,Data!U$6:V$97,2,FALSE)</f>
        <v>23.58</v>
      </c>
      <c r="L46" s="153" t="e">
        <v>#REF!</v>
      </c>
      <c r="M46" s="153" t="e">
        <v>#REF!</v>
      </c>
      <c r="N46" s="235">
        <f t="shared" si="2"/>
        <v>22.014537902388369</v>
      </c>
      <c r="O46" s="223" t="s">
        <v>23</v>
      </c>
      <c r="P46" s="223" t="s">
        <v>23</v>
      </c>
      <c r="Q46" s="156">
        <f t="shared" si="3"/>
        <v>24.485981308411215</v>
      </c>
      <c r="R46" s="223" t="s">
        <v>23</v>
      </c>
      <c r="S46" s="223" t="s">
        <v>23</v>
      </c>
      <c r="T46" s="236"/>
    </row>
    <row r="47" spans="2:20" x14ac:dyDescent="0.3">
      <c r="B47" s="226" t="str">
        <f>VLOOKUP(D47,Data!C$6:D$97,2,FALSE)</f>
        <v>09/12/2021</v>
      </c>
      <c r="C47" s="159">
        <f>VLOOKUP(D47,Data!F$6:G$97,2,FALSE)</f>
        <v>1144393</v>
      </c>
      <c r="D47" s="278">
        <v>180</v>
      </c>
      <c r="E47" s="153">
        <f>VLOOKUP(D47,Consolidated!D$15:E$134,2,FALSE)</f>
        <v>2.72</v>
      </c>
      <c r="F47" s="275">
        <f>VLOOKUP(D47,Data!L$6:M$97,2,FALSE)</f>
        <v>8.9</v>
      </c>
      <c r="G47" s="275">
        <f>VLOOKUP(D47,Data!O$6:P$97,2,FALSE)</f>
        <v>3.9</v>
      </c>
      <c r="H47" s="275">
        <f>VLOOKUP(D47,Data!R$6:S$97,2,FALSE)</f>
        <v>20.7</v>
      </c>
      <c r="I47" s="153" t="e">
        <v>#REF!</v>
      </c>
      <c r="J47" s="153" t="e">
        <v>#REF!</v>
      </c>
      <c r="K47" s="153">
        <f>VLOOKUP(D47,Data!U$6:V$97,2,FALSE)</f>
        <v>23.58</v>
      </c>
      <c r="L47" s="153" t="e">
        <v>#REF!</v>
      </c>
      <c r="M47" s="153" t="e">
        <v>#REF!</v>
      </c>
      <c r="N47" s="235">
        <f t="shared" si="2"/>
        <v>21.540062434963581</v>
      </c>
      <c r="O47" s="223" t="s">
        <v>23</v>
      </c>
      <c r="P47" s="223" t="s">
        <v>23</v>
      </c>
      <c r="Q47" s="156">
        <f t="shared" si="3"/>
        <v>24.5369406867846</v>
      </c>
      <c r="R47" s="223" t="s">
        <v>23</v>
      </c>
      <c r="S47" s="223" t="s">
        <v>23</v>
      </c>
      <c r="T47" s="236"/>
    </row>
    <row r="48" spans="2:20" x14ac:dyDescent="0.3">
      <c r="B48" s="226" t="str">
        <f>VLOOKUP(D48,Data!C$6:D$97,2,FALSE)</f>
        <v>09/12/2021</v>
      </c>
      <c r="C48" s="159">
        <f>VLOOKUP(D48,Data!F$6:G$97,2,FALSE)</f>
        <v>1144404</v>
      </c>
      <c r="D48" s="278">
        <v>168</v>
      </c>
      <c r="E48" s="153">
        <f>VLOOKUP(D48,Consolidated!D$15:E$134,2,FALSE)</f>
        <v>3.26</v>
      </c>
      <c r="F48" s="275">
        <f>VLOOKUP(D48,Data!L$6:M$97,2,FALSE)</f>
        <v>8.6</v>
      </c>
      <c r="G48" s="275">
        <f>VLOOKUP(D48,Data!O$6:P$97,2,FALSE)</f>
        <v>4.5</v>
      </c>
      <c r="H48" s="275">
        <f>VLOOKUP(D48,Data!R$6:S$97,2,FALSE)</f>
        <v>19.8</v>
      </c>
      <c r="I48" s="153" t="e">
        <v>#REF!</v>
      </c>
      <c r="J48" s="153" t="e">
        <v>#REF!</v>
      </c>
      <c r="K48" s="153">
        <f>VLOOKUP(D48,Data!U$6:V$97,2,FALSE)</f>
        <v>23.9</v>
      </c>
      <c r="L48" s="153" t="e">
        <v>#REF!</v>
      </c>
      <c r="M48" s="153" t="e">
        <v>#REF!</v>
      </c>
      <c r="N48" s="235">
        <f t="shared" si="2"/>
        <v>20.732984293193716</v>
      </c>
      <c r="O48" s="223" t="s">
        <v>23</v>
      </c>
      <c r="P48" s="223" t="s">
        <v>23</v>
      </c>
      <c r="Q48" s="156">
        <f t="shared" si="3"/>
        <v>25.026178010471206</v>
      </c>
      <c r="R48" s="223" t="s">
        <v>23</v>
      </c>
      <c r="S48" s="223" t="s">
        <v>23</v>
      </c>
      <c r="T48" s="236"/>
    </row>
    <row r="49" spans="2:20" ht="15" thickBot="1" x14ac:dyDescent="0.35">
      <c r="B49" s="226" t="str">
        <f>VLOOKUP(D49,Data!C$6:D$97,2,FALSE)</f>
        <v>09/12/2021</v>
      </c>
      <c r="C49" s="279">
        <f>VLOOKUP(D49,Data!F$6:G$97,2,FALSE)</f>
        <v>1144383</v>
      </c>
      <c r="D49" s="278">
        <v>114</v>
      </c>
      <c r="E49" s="153">
        <f>VLOOKUP(D49,Consolidated!D$15:E$134,2,FALSE)</f>
        <v>3.36</v>
      </c>
      <c r="F49" s="275">
        <f>VLOOKUP(D49,Data!L$6:M$97,2,FALSE)</f>
        <v>9.6</v>
      </c>
      <c r="G49" s="275">
        <f>VLOOKUP(D49,Data!O$6:P$97,2,FALSE)</f>
        <v>3.8</v>
      </c>
      <c r="H49" s="275">
        <f>VLOOKUP(D49,Data!R$6:S$97,2,FALSE)</f>
        <v>19.2</v>
      </c>
      <c r="I49" s="153" t="e">
        <v>#REF!</v>
      </c>
      <c r="J49" s="153" t="e">
        <v>#REF!</v>
      </c>
      <c r="K49" s="153">
        <f>VLOOKUP(D49,Data!U$6:V$97,2,FALSE)</f>
        <v>23.63</v>
      </c>
      <c r="L49" s="153" t="e">
        <v>#REF!</v>
      </c>
      <c r="M49" s="153" t="e">
        <v>#REF!</v>
      </c>
      <c r="N49" s="235">
        <f t="shared" si="2"/>
        <v>19.95841995841996</v>
      </c>
      <c r="O49" s="223" t="s">
        <v>23</v>
      </c>
      <c r="P49" s="223" t="s">
        <v>23</v>
      </c>
      <c r="Q49" s="156">
        <f t="shared" si="3"/>
        <v>24.563409563409564</v>
      </c>
      <c r="R49" s="223" t="s">
        <v>23</v>
      </c>
      <c r="S49" s="223" t="s">
        <v>23</v>
      </c>
      <c r="T49" s="236"/>
    </row>
    <row r="50" spans="2:20" ht="15" thickBot="1" x14ac:dyDescent="0.35">
      <c r="B50" s="259"/>
      <c r="C50" s="260"/>
      <c r="D50" s="272" t="s">
        <v>155</v>
      </c>
      <c r="E50" s="261"/>
      <c r="F50" s="262" t="e">
        <f>AVERAGE(F10:F49)</f>
        <v>#N/A</v>
      </c>
      <c r="G50" s="263" t="e">
        <f>AVERAGE(G10:G49)</f>
        <v>#N/A</v>
      </c>
      <c r="H50" s="264" t="e">
        <f>AVERAGE(H10:H49)</f>
        <v>#N/A</v>
      </c>
      <c r="I50" s="264" t="s">
        <v>23</v>
      </c>
      <c r="J50" s="265" t="s">
        <v>23</v>
      </c>
      <c r="K50" s="265" t="e">
        <f>AVERAGE(K10:K49)</f>
        <v>#N/A</v>
      </c>
      <c r="L50" s="265" t="s">
        <v>23</v>
      </c>
      <c r="M50" s="265" t="s">
        <v>23</v>
      </c>
      <c r="N50" s="266" t="e">
        <f t="shared" si="2"/>
        <v>#N/A</v>
      </c>
      <c r="O50" s="267" t="s">
        <v>23</v>
      </c>
      <c r="P50" s="267" t="s">
        <v>23</v>
      </c>
      <c r="Q50" s="268" t="e">
        <f t="shared" si="2"/>
        <v>#N/A</v>
      </c>
      <c r="R50" s="269" t="s">
        <v>23</v>
      </c>
      <c r="S50" s="270" t="s">
        <v>23</v>
      </c>
      <c r="T50" s="271"/>
    </row>
  </sheetData>
  <mergeCells count="6">
    <mergeCell ref="B5:B9"/>
    <mergeCell ref="G4:M4"/>
    <mergeCell ref="N4:S4"/>
    <mergeCell ref="C5:C9"/>
    <mergeCell ref="E5:E8"/>
    <mergeCell ref="G5:G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99B8-DB07-44EA-AD5C-C02855469BD7}">
  <sheetPr codeName="Sheet3"/>
  <dimension ref="A3:T50"/>
  <sheetViews>
    <sheetView workbookViewId="0">
      <selection activeCell="E42" sqref="E42"/>
    </sheetView>
  </sheetViews>
  <sheetFormatPr defaultRowHeight="14.4" x14ac:dyDescent="0.3"/>
  <cols>
    <col min="2" max="2" width="21.6640625" customWidth="1"/>
    <col min="3" max="3" width="18.5546875" customWidth="1"/>
    <col min="4" max="4" width="14.44140625" customWidth="1"/>
    <col min="5" max="5" width="12.6640625" customWidth="1"/>
    <col min="6" max="6" width="16.44140625" customWidth="1"/>
    <col min="20" max="20" width="16.5546875" customWidth="1"/>
  </cols>
  <sheetData>
    <row r="3" spans="1:20" ht="15" thickBot="1" x14ac:dyDescent="0.35"/>
    <row r="4" spans="1:20" ht="15" thickBot="1" x14ac:dyDescent="0.35">
      <c r="B4" s="165"/>
      <c r="C4" s="171"/>
      <c r="D4" s="171"/>
      <c r="E4" s="172"/>
      <c r="F4" s="173" t="s">
        <v>128</v>
      </c>
      <c r="G4" s="304" t="s">
        <v>129</v>
      </c>
      <c r="H4" s="305"/>
      <c r="I4" s="305"/>
      <c r="J4" s="305"/>
      <c r="K4" s="305"/>
      <c r="L4" s="305"/>
      <c r="M4" s="306"/>
      <c r="N4" s="307" t="s">
        <v>130</v>
      </c>
      <c r="O4" s="308"/>
      <c r="P4" s="308"/>
      <c r="Q4" s="308"/>
      <c r="R4" s="308"/>
      <c r="S4" s="309"/>
      <c r="T4" s="174" t="s">
        <v>131</v>
      </c>
    </row>
    <row r="5" spans="1:20" ht="20.25" customHeight="1" x14ac:dyDescent="0.3">
      <c r="B5" s="318" t="s">
        <v>147</v>
      </c>
      <c r="C5" s="310" t="s">
        <v>132</v>
      </c>
      <c r="D5" s="176"/>
      <c r="E5" s="310" t="s">
        <v>133</v>
      </c>
      <c r="F5" s="177" t="s">
        <v>134</v>
      </c>
      <c r="G5" s="313" t="s">
        <v>135</v>
      </c>
      <c r="H5" s="178" t="s">
        <v>136</v>
      </c>
      <c r="I5" s="178" t="s">
        <v>137</v>
      </c>
      <c r="J5" s="178" t="s">
        <v>138</v>
      </c>
      <c r="K5" s="179" t="s">
        <v>139</v>
      </c>
      <c r="L5" s="180" t="s">
        <v>134</v>
      </c>
      <c r="M5" s="181" t="s">
        <v>140</v>
      </c>
      <c r="N5" s="182" t="s">
        <v>136</v>
      </c>
      <c r="O5" s="178" t="s">
        <v>137</v>
      </c>
      <c r="P5" s="178" t="s">
        <v>138</v>
      </c>
      <c r="Q5" s="179" t="s">
        <v>139</v>
      </c>
      <c r="R5" s="180" t="s">
        <v>134</v>
      </c>
      <c r="S5" s="183" t="s">
        <v>140</v>
      </c>
      <c r="T5" s="184"/>
    </row>
    <row r="6" spans="1:20" x14ac:dyDescent="0.3">
      <c r="B6" s="319"/>
      <c r="C6" s="311"/>
      <c r="D6" s="186"/>
      <c r="E6" s="311"/>
      <c r="F6" s="187" t="s">
        <v>141</v>
      </c>
      <c r="G6" s="314"/>
      <c r="H6" s="178"/>
      <c r="I6" s="178" t="s">
        <v>142</v>
      </c>
      <c r="J6" s="178" t="s">
        <v>143</v>
      </c>
      <c r="K6" s="179" t="s">
        <v>144</v>
      </c>
      <c r="L6" s="180" t="s">
        <v>145</v>
      </c>
      <c r="M6" s="181" t="s">
        <v>146</v>
      </c>
      <c r="N6" s="182"/>
      <c r="O6" s="178" t="s">
        <v>142</v>
      </c>
      <c r="P6" s="178" t="s">
        <v>143</v>
      </c>
      <c r="Q6" s="179" t="s">
        <v>144</v>
      </c>
      <c r="R6" s="180" t="s">
        <v>145</v>
      </c>
      <c r="S6" s="183" t="s">
        <v>146</v>
      </c>
      <c r="T6" s="188"/>
    </row>
    <row r="7" spans="1:20" ht="15" thickBot="1" x14ac:dyDescent="0.35">
      <c r="B7" s="319"/>
      <c r="C7" s="311"/>
      <c r="D7" s="186" t="s">
        <v>148</v>
      </c>
      <c r="E7" s="311"/>
      <c r="F7" s="189" t="s">
        <v>149</v>
      </c>
      <c r="G7" s="315"/>
      <c r="H7" s="190" t="s">
        <v>149</v>
      </c>
      <c r="I7" s="190" t="s">
        <v>149</v>
      </c>
      <c r="J7" s="190" t="s">
        <v>149</v>
      </c>
      <c r="K7" s="191" t="s">
        <v>150</v>
      </c>
      <c r="L7" s="192" t="s">
        <v>149</v>
      </c>
      <c r="M7" s="193" t="s">
        <v>149</v>
      </c>
      <c r="N7" s="194" t="s">
        <v>149</v>
      </c>
      <c r="O7" s="190" t="s">
        <v>149</v>
      </c>
      <c r="P7" s="190" t="s">
        <v>149</v>
      </c>
      <c r="Q7" s="191" t="s">
        <v>150</v>
      </c>
      <c r="R7" s="192" t="s">
        <v>149</v>
      </c>
      <c r="S7" s="195" t="s">
        <v>149</v>
      </c>
      <c r="T7" s="196"/>
    </row>
    <row r="8" spans="1:20" x14ac:dyDescent="0.3">
      <c r="B8" s="319"/>
      <c r="C8" s="321"/>
      <c r="D8" s="186"/>
      <c r="E8" s="311"/>
      <c r="F8" s="197"/>
      <c r="G8" s="198"/>
      <c r="H8" s="199"/>
      <c r="I8" s="199"/>
      <c r="J8" s="199" t="s">
        <v>151</v>
      </c>
      <c r="K8" s="200"/>
      <c r="L8" s="201"/>
      <c r="M8" s="202"/>
      <c r="N8" s="203"/>
      <c r="O8" s="199"/>
      <c r="P8" s="199" t="s">
        <v>151</v>
      </c>
      <c r="Q8" s="200"/>
      <c r="R8" s="201"/>
      <c r="S8" s="204"/>
      <c r="T8" s="185"/>
    </row>
    <row r="9" spans="1:20" ht="15" thickBot="1" x14ac:dyDescent="0.35">
      <c r="B9" s="320"/>
      <c r="C9" s="312"/>
      <c r="D9" s="205"/>
      <c r="E9" s="205" t="s">
        <v>152</v>
      </c>
      <c r="F9" s="206"/>
      <c r="G9" s="207"/>
      <c r="H9" s="208"/>
      <c r="I9" s="208"/>
      <c r="J9" s="208" t="s">
        <v>153</v>
      </c>
      <c r="K9" s="209"/>
      <c r="L9" s="210"/>
      <c r="M9" s="211"/>
      <c r="N9" s="212"/>
      <c r="O9" s="208"/>
      <c r="P9" s="208" t="s">
        <v>153</v>
      </c>
      <c r="Q9" s="209"/>
      <c r="R9" s="210"/>
      <c r="S9" s="213"/>
      <c r="T9" s="196"/>
    </row>
    <row r="10" spans="1:20" x14ac:dyDescent="0.3">
      <c r="B10" s="214" t="str">
        <f>VLOOKUP(D10,Data!C$6:D$97,2,FALSE)</f>
        <v>09/12/2021</v>
      </c>
      <c r="C10" s="273">
        <f>VLOOKUP(D10,Data!F$6:G$97,2,FALSE)</f>
        <v>1144456</v>
      </c>
      <c r="D10" s="274">
        <v>127</v>
      </c>
      <c r="E10" s="153">
        <f>VLOOKUP(D10,Consolidated!D$15:E$134,2,FALSE)</f>
        <v>6.82</v>
      </c>
      <c r="F10" s="275">
        <f>VLOOKUP(D10,Data!L$6:M$97,2,FALSE)</f>
        <v>9.6</v>
      </c>
      <c r="G10" s="275">
        <f>VLOOKUP(D10,Data!O$6:P$97,2,FALSE)</f>
        <v>4.4000000000000004</v>
      </c>
      <c r="H10" s="275">
        <f>VLOOKUP(D10,Data!R$6:S$97,2,FALSE)</f>
        <v>17.8</v>
      </c>
      <c r="I10" s="153" t="e">
        <v>#REF!</v>
      </c>
      <c r="J10" s="153" t="e">
        <v>#REF!</v>
      </c>
      <c r="K10" s="153">
        <f>VLOOKUP(D10,Data!U$6:V$97,2,FALSE)</f>
        <v>24.37</v>
      </c>
      <c r="L10" s="153" t="e">
        <v>#REF!</v>
      </c>
      <c r="M10" s="153" t="e">
        <v>#REF!</v>
      </c>
      <c r="N10" s="224">
        <f t="shared" ref="N10:N14" si="0">IF(AND($G10&gt;0,H10&gt;0),(H10*100)/(100-$G10),"")</f>
        <v>18.619246861924687</v>
      </c>
      <c r="O10" s="223" t="s">
        <v>23</v>
      </c>
      <c r="P10" s="223" t="s">
        <v>23</v>
      </c>
      <c r="Q10" s="155">
        <f t="shared" ref="Q10:Q14" si="1">IF(AND($G10&gt;0,K10&gt;0),(K10*100)/(100-$G10),"")</f>
        <v>25.49163179916318</v>
      </c>
      <c r="R10" s="223" t="s">
        <v>23</v>
      </c>
      <c r="S10" s="223" t="s">
        <v>23</v>
      </c>
      <c r="T10" s="225"/>
    </row>
    <row r="11" spans="1:20" x14ac:dyDescent="0.3">
      <c r="A11" s="124"/>
      <c r="B11" s="226" t="str">
        <f>VLOOKUP(D11,Data!C$6:D$97,2,FALSE)</f>
        <v>09/12/2021</v>
      </c>
      <c r="C11" s="277">
        <f>VLOOKUP(D11,Data!F$6:G$97,2,FALSE)</f>
        <v>1144442</v>
      </c>
      <c r="D11" s="278">
        <v>101</v>
      </c>
      <c r="E11" s="153">
        <f>VLOOKUP(D11,Consolidated!D$15:E$134,2,FALSE)</f>
        <v>5.74</v>
      </c>
      <c r="F11" s="275">
        <f>VLOOKUP(D11,Data!L$6:M$97,2,FALSE)</f>
        <v>9</v>
      </c>
      <c r="G11" s="275">
        <f>VLOOKUP(D11,Data!O$6:P$97,2,FALSE)</f>
        <v>4.8</v>
      </c>
      <c r="H11" s="275">
        <f>VLOOKUP(D11,Data!R$6:S$97,2,FALSE)</f>
        <v>17.3</v>
      </c>
      <c r="I11" s="153" t="e">
        <v>#REF!</v>
      </c>
      <c r="J11" s="153" t="e">
        <v>#REF!</v>
      </c>
      <c r="K11" s="153">
        <f>VLOOKUP(D11,Data!U$6:V$97,2,FALSE)</f>
        <v>24.22</v>
      </c>
      <c r="L11" s="153" t="e">
        <v>#REF!</v>
      </c>
      <c r="M11" s="153" t="e">
        <v>#REF!</v>
      </c>
      <c r="N11" s="224">
        <f t="shared" si="0"/>
        <v>18.172268907563026</v>
      </c>
      <c r="O11" s="223" t="s">
        <v>23</v>
      </c>
      <c r="P11" s="223" t="s">
        <v>23</v>
      </c>
      <c r="Q11" s="155">
        <f t="shared" si="1"/>
        <v>25.441176470588236</v>
      </c>
      <c r="R11" s="223" t="s">
        <v>23</v>
      </c>
      <c r="S11" s="223" t="s">
        <v>23</v>
      </c>
      <c r="T11" s="225"/>
    </row>
    <row r="12" spans="1:20" x14ac:dyDescent="0.3">
      <c r="A12" s="124"/>
      <c r="B12" s="276" t="str">
        <f>VLOOKUP(D12,Data!C$6:D$97,2,FALSE)</f>
        <v>09/12/2021</v>
      </c>
      <c r="C12" s="279">
        <f>VLOOKUP(D12,Data!F$6:G$97,2,FALSE)</f>
        <v>1144373</v>
      </c>
      <c r="D12" s="278">
        <v>144</v>
      </c>
      <c r="E12" s="153">
        <f>VLOOKUP(D12,Consolidated!D$15:E$134,2,FALSE)</f>
        <v>7.14</v>
      </c>
      <c r="F12" s="275">
        <f>VLOOKUP(D12,Data!L$6:M$97,2,FALSE)</f>
        <v>8.9</v>
      </c>
      <c r="G12" s="275">
        <f>VLOOKUP(D12,Data!O$6:P$97,2,FALSE)</f>
        <v>3.4</v>
      </c>
      <c r="H12" s="275">
        <f>VLOOKUP(D12,Data!R$6:S$97,2,FALSE)</f>
        <v>15.4</v>
      </c>
      <c r="I12" s="153" t="e">
        <v>#REF!</v>
      </c>
      <c r="J12" s="153" t="e">
        <v>#REF!</v>
      </c>
      <c r="K12" s="153">
        <f>VLOOKUP(D12,Data!U$6:V$97,2,FALSE)</f>
        <v>25.82</v>
      </c>
      <c r="L12" s="153" t="e">
        <v>#REF!</v>
      </c>
      <c r="M12" s="153" t="e">
        <v>#REF!</v>
      </c>
      <c r="N12" s="235">
        <f t="shared" si="0"/>
        <v>15.942028985507248</v>
      </c>
      <c r="O12" s="223" t="s">
        <v>23</v>
      </c>
      <c r="P12" s="223" t="s">
        <v>23</v>
      </c>
      <c r="Q12" s="156">
        <f t="shared" si="1"/>
        <v>26.728778467908903</v>
      </c>
      <c r="R12" s="223" t="s">
        <v>23</v>
      </c>
      <c r="S12" s="223" t="s">
        <v>23</v>
      </c>
      <c r="T12" s="236"/>
    </row>
    <row r="13" spans="1:20" x14ac:dyDescent="0.3">
      <c r="A13" s="124"/>
      <c r="B13" s="226" t="str">
        <f>VLOOKUP(D13,Data!C$6:D$97,2,FALSE)</f>
        <v>09/12/2021</v>
      </c>
      <c r="C13" s="277">
        <f>VLOOKUP(D13,Data!F$6:G$97,2,FALSE)</f>
        <v>1144407</v>
      </c>
      <c r="D13" s="278">
        <v>106</v>
      </c>
      <c r="E13" s="153">
        <f>VLOOKUP(D13,Consolidated!D$15:E$134,2,FALSE)</f>
        <v>4.74</v>
      </c>
      <c r="F13" s="275">
        <f>VLOOKUP(D13,Data!L$6:M$97,2,FALSE)</f>
        <v>8.5</v>
      </c>
      <c r="G13" s="275">
        <f>VLOOKUP(D13,Data!O$6:P$97,2,FALSE)</f>
        <v>4.3</v>
      </c>
      <c r="H13" s="275">
        <f>VLOOKUP(D13,Data!R$6:S$97,2,FALSE)</f>
        <v>18.600000000000001</v>
      </c>
      <c r="I13" s="153" t="e">
        <v>#REF!</v>
      </c>
      <c r="J13" s="153" t="e">
        <v>#REF!</v>
      </c>
      <c r="K13" s="153">
        <f>VLOOKUP(D13,Data!U$6:V$97,2,FALSE)</f>
        <v>24.85</v>
      </c>
      <c r="L13" s="153" t="e">
        <v>#REF!</v>
      </c>
      <c r="M13" s="153" t="e">
        <v>#REF!</v>
      </c>
      <c r="N13" s="235">
        <f t="shared" si="0"/>
        <v>19.43573667711599</v>
      </c>
      <c r="O13" s="223" t="s">
        <v>23</v>
      </c>
      <c r="P13" s="223" t="s">
        <v>23</v>
      </c>
      <c r="Q13" s="156">
        <f t="shared" si="1"/>
        <v>25.966562173458723</v>
      </c>
      <c r="R13" s="223" t="s">
        <v>23</v>
      </c>
      <c r="S13" s="223" t="s">
        <v>23</v>
      </c>
      <c r="T13" s="236"/>
    </row>
    <row r="14" spans="1:20" x14ac:dyDescent="0.3">
      <c r="B14" s="276" t="str">
        <f>VLOOKUP(D14,Data!C$6:D$97,2,FALSE)</f>
        <v>09/12/2021</v>
      </c>
      <c r="C14" s="279">
        <f>VLOOKUP(D14,Data!F$6:G$97,2,FALSE)</f>
        <v>1144402</v>
      </c>
      <c r="D14" s="278">
        <v>153</v>
      </c>
      <c r="E14" s="153">
        <f>VLOOKUP(D14,Consolidated!D$15:E$134,2,FALSE)</f>
        <v>6.48</v>
      </c>
      <c r="F14" s="275">
        <f>VLOOKUP(D14,Data!L$6:M$97,2,FALSE)</f>
        <v>8.8000000000000007</v>
      </c>
      <c r="G14" s="275">
        <f>VLOOKUP(D14,Data!O$6:P$97,2,FALSE)</f>
        <v>3.8</v>
      </c>
      <c r="H14" s="275">
        <f>VLOOKUP(D14,Data!R$6:S$97,2,FALSE)</f>
        <v>17.600000000000001</v>
      </c>
      <c r="I14" s="153" t="e">
        <v>#REF!</v>
      </c>
      <c r="J14" s="153" t="e">
        <v>#REF!</v>
      </c>
      <c r="K14" s="153">
        <f>VLOOKUP(D14,Data!U$6:V$97,2,FALSE)</f>
        <v>24.64</v>
      </c>
      <c r="L14" s="153" t="e">
        <v>#REF!</v>
      </c>
      <c r="M14" s="153" t="e">
        <v>#REF!</v>
      </c>
      <c r="N14" s="224">
        <f t="shared" si="0"/>
        <v>18.295218295218298</v>
      </c>
      <c r="O14" s="223" t="s">
        <v>23</v>
      </c>
      <c r="P14" s="223" t="s">
        <v>23</v>
      </c>
      <c r="Q14" s="155">
        <f t="shared" si="1"/>
        <v>25.613305613305613</v>
      </c>
      <c r="R14" s="223" t="s">
        <v>23</v>
      </c>
      <c r="S14" s="223" t="s">
        <v>23</v>
      </c>
      <c r="T14" s="225"/>
    </row>
    <row r="15" spans="1:20" x14ac:dyDescent="0.3">
      <c r="B15" s="254" t="str">
        <f>VLOOKUP(D15,Data!C$6:D$97,2,FALSE)</f>
        <v>09/12/2021</v>
      </c>
      <c r="C15" s="277">
        <f>VLOOKUP(D15,Data!F$6:G$97,2,FALSE)</f>
        <v>1144458</v>
      </c>
      <c r="D15" s="278">
        <v>170</v>
      </c>
      <c r="E15" s="153">
        <f>VLOOKUP(D15,Consolidated!D$15:E$134,2,FALSE)</f>
        <v>6.52</v>
      </c>
      <c r="F15" s="275">
        <f>VLOOKUP(D15,Data!L$6:M$97,2,FALSE)</f>
        <v>8.5</v>
      </c>
      <c r="G15" s="275">
        <f>VLOOKUP(D15,Data!O$6:P$97,2,FALSE)</f>
        <v>4.5</v>
      </c>
      <c r="H15" s="275">
        <f>VLOOKUP(D15,Data!R$6:S$97,2,FALSE)</f>
        <v>17.600000000000001</v>
      </c>
      <c r="I15" s="153" t="e">
        <v>#REF!</v>
      </c>
      <c r="J15" s="153" t="e">
        <v>#REF!</v>
      </c>
      <c r="K15" s="153">
        <f>VLOOKUP(D15,Data!U$6:V$97,2,FALSE)</f>
        <v>24.19</v>
      </c>
      <c r="L15" s="153" t="e">
        <v>#REF!</v>
      </c>
      <c r="M15" s="153" t="e">
        <v>#REF!</v>
      </c>
      <c r="N15" s="224">
        <f>IF(AND($G15&gt;0,H15&gt;0),(H15*100)/(100-$G15),"")</f>
        <v>18.42931937172775</v>
      </c>
      <c r="O15" s="223" t="s">
        <v>23</v>
      </c>
      <c r="P15" s="223" t="s">
        <v>23</v>
      </c>
      <c r="Q15" s="155">
        <f>IF(AND($G15&gt;0,K15&gt;0),(K15*100)/(100-$G15),"")</f>
        <v>25.329842931937172</v>
      </c>
      <c r="R15" s="223" t="s">
        <v>23</v>
      </c>
      <c r="S15" s="223" t="s">
        <v>23</v>
      </c>
      <c r="T15" s="225"/>
    </row>
    <row r="16" spans="1:20" x14ac:dyDescent="0.3">
      <c r="B16" s="254" t="str">
        <f>VLOOKUP(D16,Data!C$6:D$97,2,FALSE)</f>
        <v>09/12/2021</v>
      </c>
      <c r="C16" s="277">
        <f>VLOOKUP(D16,Data!F$6:G$97,2,FALSE)</f>
        <v>1144452</v>
      </c>
      <c r="D16" s="278">
        <v>171</v>
      </c>
      <c r="E16" s="153">
        <f>VLOOKUP(D16,Consolidated!D$15:E$134,2,FALSE)</f>
        <v>5.42</v>
      </c>
      <c r="F16" s="275">
        <f>VLOOKUP(D16,Data!L$6:M$97,2,FALSE)</f>
        <v>8.6</v>
      </c>
      <c r="G16" s="275">
        <f>VLOOKUP(D16,Data!O$6:P$97,2,FALSE)</f>
        <v>4</v>
      </c>
      <c r="H16" s="275">
        <f>VLOOKUP(D16,Data!R$6:S$97,2,FALSE)</f>
        <v>19.899999999999999</v>
      </c>
      <c r="I16" s="153" t="e">
        <v>#REF!</v>
      </c>
      <c r="J16" s="153" t="e">
        <v>#REF!</v>
      </c>
      <c r="K16" s="153">
        <f>VLOOKUP(D16,Data!U$6:V$97,2,FALSE)</f>
        <v>23.78</v>
      </c>
      <c r="L16" s="153" t="e">
        <v>#REF!</v>
      </c>
      <c r="M16" s="153" t="e">
        <v>#REF!</v>
      </c>
      <c r="N16" s="235">
        <f t="shared" ref="N16:Q50" si="2">IF(AND($G16&gt;0,H16&gt;0),(H16*100)/(100-$G16),"")</f>
        <v>20.729166666666664</v>
      </c>
      <c r="O16" s="223" t="s">
        <v>23</v>
      </c>
      <c r="P16" s="223" t="s">
        <v>23</v>
      </c>
      <c r="Q16" s="156">
        <f t="shared" ref="Q16:Q49" si="3">IF(AND($G16&gt;0,K16&gt;0),(K16*100)/(100-$G16),"")</f>
        <v>24.770833333333332</v>
      </c>
      <c r="R16" s="223" t="s">
        <v>23</v>
      </c>
      <c r="S16" s="223" t="s">
        <v>23</v>
      </c>
      <c r="T16" s="236"/>
    </row>
    <row r="17" spans="2:20" x14ac:dyDescent="0.3">
      <c r="B17" s="254" t="str">
        <f>VLOOKUP(D17,Data!C$6:D$97,2,FALSE)</f>
        <v>09/12/2021</v>
      </c>
      <c r="C17" s="280">
        <f>VLOOKUP(D17,Data!F$6:G$97,2,FALSE)</f>
        <v>1144418</v>
      </c>
      <c r="D17" s="278">
        <v>100</v>
      </c>
      <c r="E17" s="153">
        <f>VLOOKUP(D17,Consolidated!D$15:E$134,2,FALSE)</f>
        <v>7</v>
      </c>
      <c r="F17" s="275">
        <f>VLOOKUP(D17,Data!L$6:M$97,2,FALSE)</f>
        <v>8.4</v>
      </c>
      <c r="G17" s="275">
        <f>VLOOKUP(D17,Data!O$6:P$97,2,FALSE)</f>
        <v>4.7</v>
      </c>
      <c r="H17" s="275">
        <f>VLOOKUP(D17,Data!R$6:S$97,2,FALSE)</f>
        <v>18</v>
      </c>
      <c r="I17" s="153" t="e">
        <v>#REF!</v>
      </c>
      <c r="J17" s="153" t="e">
        <v>#REF!</v>
      </c>
      <c r="K17" s="153">
        <f>VLOOKUP(D17,Data!U$6:V$97,2,FALSE)</f>
        <v>23.62</v>
      </c>
      <c r="L17" s="153" t="e">
        <v>#REF!</v>
      </c>
      <c r="M17" s="153" t="e">
        <v>#REF!</v>
      </c>
      <c r="N17" s="224">
        <f t="shared" si="2"/>
        <v>18.887722980062961</v>
      </c>
      <c r="O17" s="223" t="s">
        <v>23</v>
      </c>
      <c r="P17" s="223" t="s">
        <v>23</v>
      </c>
      <c r="Q17" s="155">
        <f t="shared" si="3"/>
        <v>24.784889821615952</v>
      </c>
      <c r="R17" s="223" t="s">
        <v>23</v>
      </c>
      <c r="S17" s="223" t="s">
        <v>23</v>
      </c>
      <c r="T17" s="225"/>
    </row>
    <row r="18" spans="2:20" x14ac:dyDescent="0.3">
      <c r="B18" s="254" t="str">
        <f>VLOOKUP(D18,Data!C$6:D$97,2,FALSE)</f>
        <v>09/12/2021</v>
      </c>
      <c r="C18" s="277">
        <f>VLOOKUP(D18,Data!F$6:G$97,2,FALSE)</f>
        <v>1144388</v>
      </c>
      <c r="D18" s="278">
        <v>147</v>
      </c>
      <c r="E18" s="153">
        <f>VLOOKUP(D18,Consolidated!D$15:E$134,2,FALSE)</f>
        <v>4.82</v>
      </c>
      <c r="F18" s="275">
        <f>VLOOKUP(D18,Data!L$6:M$97,2,FALSE)</f>
        <v>8.6</v>
      </c>
      <c r="G18" s="275">
        <f>VLOOKUP(D18,Data!O$6:P$97,2,FALSE)</f>
        <v>3.8</v>
      </c>
      <c r="H18" s="275">
        <f>VLOOKUP(D18,Data!R$6:S$97,2,FALSE)</f>
        <v>17.7</v>
      </c>
      <c r="I18" s="153" t="e">
        <v>#REF!</v>
      </c>
      <c r="J18" s="153" t="e">
        <v>#REF!</v>
      </c>
      <c r="K18" s="153">
        <f>VLOOKUP(D18,Data!U$6:V$97,2,FALSE)</f>
        <v>24.75</v>
      </c>
      <c r="L18" s="153" t="e">
        <v>#REF!</v>
      </c>
      <c r="M18" s="153" t="e">
        <v>#REF!</v>
      </c>
      <c r="N18" s="224">
        <f t="shared" si="2"/>
        <v>18.399168399168399</v>
      </c>
      <c r="O18" s="223" t="s">
        <v>23</v>
      </c>
      <c r="P18" s="223" t="s">
        <v>23</v>
      </c>
      <c r="Q18" s="155">
        <f t="shared" si="3"/>
        <v>25.727650727650726</v>
      </c>
      <c r="R18" s="223" t="s">
        <v>23</v>
      </c>
      <c r="S18" s="223" t="s">
        <v>23</v>
      </c>
      <c r="T18" s="225"/>
    </row>
    <row r="19" spans="2:20" x14ac:dyDescent="0.3">
      <c r="B19" s="254" t="str">
        <f>VLOOKUP(D19,Data!C$6:D$97,2,FALSE)</f>
        <v>09/12/2021</v>
      </c>
      <c r="C19" s="279">
        <f>VLOOKUP(D19,Data!F$6:G$97,2,FALSE)</f>
        <v>1144410</v>
      </c>
      <c r="D19" s="278">
        <v>143</v>
      </c>
      <c r="E19" s="153">
        <f>VLOOKUP(D19,Consolidated!D$15:E$134,2,FALSE)</f>
        <v>6.98</v>
      </c>
      <c r="F19" s="275">
        <f>VLOOKUP(D19,Data!L$6:M$97,2,FALSE)</f>
        <v>8.9</v>
      </c>
      <c r="G19" s="275">
        <f>VLOOKUP(D19,Data!O$6:P$97,2,FALSE)</f>
        <v>4.5</v>
      </c>
      <c r="H19" s="275">
        <f>VLOOKUP(D19,Data!R$6:S$97,2,FALSE)</f>
        <v>18.600000000000001</v>
      </c>
      <c r="I19" s="153" t="e">
        <v>#REF!</v>
      </c>
      <c r="J19" s="153" t="e">
        <v>#REF!</v>
      </c>
      <c r="K19" s="153">
        <f>VLOOKUP(D19,Data!U$6:V$97,2,FALSE)</f>
        <v>24.71</v>
      </c>
      <c r="L19" s="153" t="e">
        <v>#REF!</v>
      </c>
      <c r="M19" s="153" t="e">
        <v>#REF!</v>
      </c>
      <c r="N19" s="224">
        <f t="shared" si="2"/>
        <v>19.47643979057592</v>
      </c>
      <c r="O19" s="223" t="s">
        <v>23</v>
      </c>
      <c r="P19" s="223" t="s">
        <v>23</v>
      </c>
      <c r="Q19" s="155">
        <f t="shared" si="3"/>
        <v>25.874345549738219</v>
      </c>
      <c r="R19" s="223" t="s">
        <v>23</v>
      </c>
      <c r="S19" s="223" t="s">
        <v>23</v>
      </c>
      <c r="T19" s="225"/>
    </row>
    <row r="20" spans="2:20" x14ac:dyDescent="0.3">
      <c r="B20" s="254" t="str">
        <f>VLOOKUP(D20,Data!C$6:D$97,2,FALSE)</f>
        <v>09/12/2021</v>
      </c>
      <c r="C20" s="277">
        <f>VLOOKUP(D20,Data!F$6:G$97,2,FALSE)</f>
        <v>1144398</v>
      </c>
      <c r="D20" s="278">
        <v>133</v>
      </c>
      <c r="E20" s="153">
        <f>VLOOKUP(D20,Consolidated!D$15:E$134,2,FALSE)</f>
        <v>4.24</v>
      </c>
      <c r="F20" s="275">
        <f>VLOOKUP(D20,Data!L$6:M$97,2,FALSE)</f>
        <v>8.9</v>
      </c>
      <c r="G20" s="275">
        <f>VLOOKUP(D20,Data!O$6:P$97,2,FALSE)</f>
        <v>4.4000000000000004</v>
      </c>
      <c r="H20" s="275">
        <f>VLOOKUP(D20,Data!R$6:S$97,2,FALSE)</f>
        <v>20.3</v>
      </c>
      <c r="I20" s="153" t="e">
        <v>#REF!</v>
      </c>
      <c r="J20" s="153" t="e">
        <v>#REF!</v>
      </c>
      <c r="K20" s="153">
        <f>VLOOKUP(D20,Data!U$6:V$97,2,FALSE)</f>
        <v>23.46</v>
      </c>
      <c r="L20" s="153" t="e">
        <v>#REF!</v>
      </c>
      <c r="M20" s="153" t="e">
        <v>#REF!</v>
      </c>
      <c r="N20" s="224">
        <f t="shared" si="2"/>
        <v>21.234309623430963</v>
      </c>
      <c r="O20" s="223" t="s">
        <v>23</v>
      </c>
      <c r="P20" s="223" t="s">
        <v>23</v>
      </c>
      <c r="Q20" s="155">
        <f t="shared" si="3"/>
        <v>24.539748953974897</v>
      </c>
      <c r="R20" s="223" t="s">
        <v>23</v>
      </c>
      <c r="S20" s="223" t="s">
        <v>23</v>
      </c>
      <c r="T20" s="225"/>
    </row>
    <row r="21" spans="2:20" x14ac:dyDescent="0.3">
      <c r="B21" s="226" t="str">
        <f>VLOOKUP(D21,Data!C$6:D$97,2,FALSE)</f>
        <v>09/12/2021</v>
      </c>
      <c r="C21" s="279">
        <f>VLOOKUP(D21,Data!F$6:G$97,2,FALSE)</f>
        <v>1144379</v>
      </c>
      <c r="D21" s="278">
        <v>183</v>
      </c>
      <c r="E21" s="153">
        <f>VLOOKUP(D21,Consolidated!D$15:E$134,2,FALSE)</f>
        <v>5.74</v>
      </c>
      <c r="F21" s="275">
        <f>VLOOKUP(D21,Data!L$6:M$97,2,FALSE)</f>
        <v>8.8000000000000007</v>
      </c>
      <c r="G21" s="275">
        <f>VLOOKUP(D21,Data!O$6:P$97,2,FALSE)</f>
        <v>3.4</v>
      </c>
      <c r="H21" s="275">
        <f>VLOOKUP(D21,Data!R$6:S$97,2,FALSE)</f>
        <v>17.2</v>
      </c>
      <c r="I21" s="153" t="e">
        <v>#REF!</v>
      </c>
      <c r="J21" s="153" t="e">
        <v>#REF!</v>
      </c>
      <c r="K21" s="153">
        <f>VLOOKUP(D21,Data!U$6:V$97,2,FALSE)</f>
        <v>25.01</v>
      </c>
      <c r="L21" s="153" t="e">
        <v>#REF!</v>
      </c>
      <c r="M21" s="153" t="e">
        <v>#REF!</v>
      </c>
      <c r="N21" s="224">
        <f t="shared" si="2"/>
        <v>17.805383022774329</v>
      </c>
      <c r="O21" s="223" t="s">
        <v>23</v>
      </c>
      <c r="P21" s="223" t="s">
        <v>23</v>
      </c>
      <c r="Q21" s="155">
        <f t="shared" si="3"/>
        <v>25.890269151138718</v>
      </c>
      <c r="R21" s="223" t="s">
        <v>23</v>
      </c>
      <c r="S21" s="223" t="s">
        <v>23</v>
      </c>
      <c r="T21" s="225"/>
    </row>
    <row r="22" spans="2:20" x14ac:dyDescent="0.3">
      <c r="B22" s="276" t="str">
        <f>VLOOKUP(D22,Data!C$6:D$97,2,FALSE)</f>
        <v>09/12/2021</v>
      </c>
      <c r="C22" s="277">
        <f>VLOOKUP(D22,Data!F$6:G$97,2,FALSE)</f>
        <v>1144424</v>
      </c>
      <c r="D22" s="159">
        <v>150</v>
      </c>
      <c r="E22" s="153">
        <f>VLOOKUP(D22,Consolidated!D$15:E$134,2,FALSE)</f>
        <v>5.04</v>
      </c>
      <c r="F22" s="275">
        <f>VLOOKUP(D22,Data!L$6:M$97,2,FALSE)</f>
        <v>8.4</v>
      </c>
      <c r="G22" s="275">
        <f>VLOOKUP(D22,Data!O$6:P$97,2,FALSE)</f>
        <v>4.5</v>
      </c>
      <c r="H22" s="275">
        <f>VLOOKUP(D22,Data!R$6:S$97,2,FALSE)</f>
        <v>18.7</v>
      </c>
      <c r="I22" s="153" t="e">
        <v>#REF!</v>
      </c>
      <c r="J22" s="153" t="e">
        <v>#REF!</v>
      </c>
      <c r="K22" s="153">
        <f>VLOOKUP(D22,Data!U$6:V$97,2,FALSE)</f>
        <v>24.44</v>
      </c>
      <c r="L22" s="153" t="e">
        <v>#REF!</v>
      </c>
      <c r="M22" s="153" t="e">
        <v>#REF!</v>
      </c>
      <c r="N22" s="224">
        <f t="shared" si="2"/>
        <v>19.581151832460733</v>
      </c>
      <c r="O22" s="223" t="s">
        <v>23</v>
      </c>
      <c r="P22" s="223" t="s">
        <v>23</v>
      </c>
      <c r="Q22" s="155">
        <f t="shared" si="3"/>
        <v>25.591623036649214</v>
      </c>
      <c r="R22" s="223" t="s">
        <v>23</v>
      </c>
      <c r="S22" s="223" t="s">
        <v>23</v>
      </c>
      <c r="T22" s="225"/>
    </row>
    <row r="23" spans="2:20" x14ac:dyDescent="0.3">
      <c r="B23" s="254" t="str">
        <f>VLOOKUP(D23,Data!C$6:D$97,2,FALSE)</f>
        <v>09/12/2021</v>
      </c>
      <c r="C23" s="279">
        <f>VLOOKUP(D23,Data!F$6:G$97,2,FALSE)</f>
        <v>1144412</v>
      </c>
      <c r="D23" s="281">
        <v>164</v>
      </c>
      <c r="E23" s="153">
        <f>VLOOKUP(D23,Consolidated!D$15:E$134,2,FALSE)</f>
        <v>5.5</v>
      </c>
      <c r="F23" s="275">
        <f>VLOOKUP(D23,Data!L$6:M$97,2,FALSE)</f>
        <v>9.1999999999999993</v>
      </c>
      <c r="G23" s="275">
        <f>VLOOKUP(D23,Data!O$6:P$97,2,FALSE)</f>
        <v>2.9</v>
      </c>
      <c r="H23" s="275">
        <f>VLOOKUP(D23,Data!R$6:S$97,2,FALSE)</f>
        <v>18.7</v>
      </c>
      <c r="I23" s="153" t="e">
        <v>#REF!</v>
      </c>
      <c r="J23" s="153" t="e">
        <v>#REF!</v>
      </c>
      <c r="K23" s="153">
        <f>VLOOKUP(D23,Data!U$6:V$97,2,FALSE)</f>
        <v>24.57</v>
      </c>
      <c r="L23" s="153" t="e">
        <v>#REF!</v>
      </c>
      <c r="M23" s="153" t="e">
        <v>#REF!</v>
      </c>
      <c r="N23" s="224">
        <f t="shared" si="2"/>
        <v>19.25849639546859</v>
      </c>
      <c r="O23" s="223" t="s">
        <v>23</v>
      </c>
      <c r="P23" s="223" t="s">
        <v>23</v>
      </c>
      <c r="Q23" s="155">
        <f t="shared" si="3"/>
        <v>25.303810504634399</v>
      </c>
      <c r="R23" s="223" t="s">
        <v>23</v>
      </c>
      <c r="S23" s="223" t="s">
        <v>23</v>
      </c>
      <c r="T23" s="225"/>
    </row>
    <row r="24" spans="2:20" x14ac:dyDescent="0.3">
      <c r="B24" s="254" t="str">
        <f>VLOOKUP(D24,Data!C$6:D$97,2,FALSE)</f>
        <v>09/12/2021</v>
      </c>
      <c r="C24" s="277">
        <f>VLOOKUP(D24,Data!F$6:G$97,2,FALSE)</f>
        <v>1144439</v>
      </c>
      <c r="D24" s="278">
        <v>173</v>
      </c>
      <c r="E24" s="153">
        <f>VLOOKUP(D24,Consolidated!D$15:E$134,2,FALSE)</f>
        <v>4.26</v>
      </c>
      <c r="F24" s="275">
        <f>VLOOKUP(D24,Data!L$6:M$97,2,FALSE)</f>
        <v>9.6999999999999993</v>
      </c>
      <c r="G24" s="275">
        <f>VLOOKUP(D24,Data!O$6:P$97,2,FALSE)</f>
        <v>4.7</v>
      </c>
      <c r="H24" s="275">
        <f>VLOOKUP(D24,Data!R$6:S$97,2,FALSE)</f>
        <v>20.7</v>
      </c>
      <c r="I24" s="153" t="e">
        <v>#REF!</v>
      </c>
      <c r="J24" s="153" t="e">
        <v>#REF!</v>
      </c>
      <c r="K24" s="153">
        <f>VLOOKUP(D24,Data!U$6:V$97,2,FALSE)</f>
        <v>23.37</v>
      </c>
      <c r="L24" s="153" t="e">
        <v>#REF!</v>
      </c>
      <c r="M24" s="153" t="e">
        <v>#REF!</v>
      </c>
      <c r="N24" s="235">
        <f t="shared" si="2"/>
        <v>21.720881427072403</v>
      </c>
      <c r="O24" s="223" t="s">
        <v>23</v>
      </c>
      <c r="P24" s="223" t="s">
        <v>23</v>
      </c>
      <c r="Q24" s="156">
        <f t="shared" si="3"/>
        <v>24.522560335781744</v>
      </c>
      <c r="R24" s="223" t="s">
        <v>23</v>
      </c>
      <c r="S24" s="223" t="s">
        <v>23</v>
      </c>
      <c r="T24" s="236"/>
    </row>
    <row r="25" spans="2:20" x14ac:dyDescent="0.3">
      <c r="B25" s="254" t="str">
        <f>VLOOKUP(D25,Data!C$6:D$97,2,FALSE)</f>
        <v>09/12/2021</v>
      </c>
      <c r="C25" s="277">
        <f>VLOOKUP(D25,Data!F$6:G$97,2,FALSE)</f>
        <v>1144372</v>
      </c>
      <c r="D25" s="278">
        <v>135</v>
      </c>
      <c r="E25" s="153">
        <f>VLOOKUP(D25,Consolidated!D$15:E$134,2,FALSE)</f>
        <v>5.98</v>
      </c>
      <c r="F25" s="275">
        <f>VLOOKUP(D25,Data!L$6:M$97,2,FALSE)</f>
        <v>9.1</v>
      </c>
      <c r="G25" s="275">
        <f>VLOOKUP(D25,Data!O$6:P$97,2,FALSE)</f>
        <v>3.6</v>
      </c>
      <c r="H25" s="275">
        <f>VLOOKUP(D25,Data!R$6:S$97,2,FALSE)</f>
        <v>19.3</v>
      </c>
      <c r="I25" s="153" t="e">
        <v>#REF!</v>
      </c>
      <c r="J25" s="153" t="e">
        <v>#REF!</v>
      </c>
      <c r="K25" s="153">
        <f>VLOOKUP(D25,Data!U$6:V$97,2,FALSE)</f>
        <v>24.24</v>
      </c>
      <c r="L25" s="153" t="e">
        <v>#REF!</v>
      </c>
      <c r="M25" s="153" t="e">
        <v>#REF!</v>
      </c>
      <c r="N25" s="235">
        <f t="shared" si="2"/>
        <v>20.020746887966805</v>
      </c>
      <c r="O25" s="223" t="s">
        <v>23</v>
      </c>
      <c r="P25" s="223" t="s">
        <v>23</v>
      </c>
      <c r="Q25" s="156">
        <f t="shared" si="3"/>
        <v>25.145228215767634</v>
      </c>
      <c r="R25" s="223" t="s">
        <v>23</v>
      </c>
      <c r="S25" s="223" t="s">
        <v>23</v>
      </c>
      <c r="T25" s="236"/>
    </row>
    <row r="26" spans="2:20" x14ac:dyDescent="0.3">
      <c r="B26" s="254" t="str">
        <f>VLOOKUP(D26,Data!C$6:D$97,2,FALSE)</f>
        <v>09/12/2021</v>
      </c>
      <c r="C26" s="280">
        <f>VLOOKUP(D26,Data!F$6:G$97,2,FALSE)</f>
        <v>1144400</v>
      </c>
      <c r="D26" s="278">
        <v>146</v>
      </c>
      <c r="E26" s="153">
        <f>VLOOKUP(D26,Consolidated!D$15:E$134,2,FALSE)</f>
        <v>5.7</v>
      </c>
      <c r="F26" s="275">
        <f>VLOOKUP(D26,Data!L$6:M$97,2,FALSE)</f>
        <v>9.1</v>
      </c>
      <c r="G26" s="275">
        <f>VLOOKUP(D26,Data!O$6:P$97,2,FALSE)</f>
        <v>4.4000000000000004</v>
      </c>
      <c r="H26" s="275">
        <f>VLOOKUP(D26,Data!R$6:S$97,2,FALSE)</f>
        <v>20.100000000000001</v>
      </c>
      <c r="I26" s="153" t="e">
        <v>#REF!</v>
      </c>
      <c r="J26" s="153" t="e">
        <v>#REF!</v>
      </c>
      <c r="K26" s="153">
        <f>VLOOKUP(D26,Data!U$6:V$97,2,FALSE)</f>
        <v>23.57</v>
      </c>
      <c r="L26" s="153" t="e">
        <v>#REF!</v>
      </c>
      <c r="M26" s="153" t="e">
        <v>#REF!</v>
      </c>
      <c r="N26" s="235">
        <f t="shared" si="2"/>
        <v>21.025104602510464</v>
      </c>
      <c r="O26" s="223" t="s">
        <v>23</v>
      </c>
      <c r="P26" s="223" t="s">
        <v>23</v>
      </c>
      <c r="Q26" s="156">
        <f t="shared" si="3"/>
        <v>24.654811715481173</v>
      </c>
      <c r="R26" s="223" t="s">
        <v>23</v>
      </c>
      <c r="S26" s="223" t="s">
        <v>23</v>
      </c>
      <c r="T26" s="236"/>
    </row>
    <row r="27" spans="2:20" x14ac:dyDescent="0.3">
      <c r="B27" s="226" t="str">
        <f>VLOOKUP(D27,Data!C$6:D$97,2,FALSE)</f>
        <v>09/12/2021</v>
      </c>
      <c r="C27" s="279">
        <f>VLOOKUP(D27,Data!F$6:G$97,2,FALSE)</f>
        <v>1144449</v>
      </c>
      <c r="D27" s="278">
        <v>134</v>
      </c>
      <c r="E27" s="153">
        <f>VLOOKUP(D27,Consolidated!D$15:E$134,2,FALSE)</f>
        <v>5.0999999999999996</v>
      </c>
      <c r="F27" s="275">
        <f>VLOOKUP(D27,Data!L$6:M$97,2,FALSE)</f>
        <v>8.4</v>
      </c>
      <c r="G27" s="275">
        <f>VLOOKUP(D27,Data!O$6:P$97,2,FALSE)</f>
        <v>4.7</v>
      </c>
      <c r="H27" s="275">
        <f>VLOOKUP(D27,Data!R$6:S$97,2,FALSE)</f>
        <v>19.600000000000001</v>
      </c>
      <c r="I27" s="153" t="e">
        <v>#REF!</v>
      </c>
      <c r="J27" s="153" t="e">
        <v>#REF!</v>
      </c>
      <c r="K27" s="153">
        <f>VLOOKUP(D27,Data!U$6:V$97,2,FALSE)</f>
        <v>23.74</v>
      </c>
      <c r="L27" s="153" t="e">
        <v>#REF!</v>
      </c>
      <c r="M27" s="153" t="e">
        <v>#REF!</v>
      </c>
      <c r="N27" s="235">
        <f t="shared" si="2"/>
        <v>20.566631689401891</v>
      </c>
      <c r="O27" s="223" t="s">
        <v>23</v>
      </c>
      <c r="P27" s="223" t="s">
        <v>23</v>
      </c>
      <c r="Q27" s="156">
        <f t="shared" si="3"/>
        <v>24.910807974816372</v>
      </c>
      <c r="R27" s="223" t="s">
        <v>23</v>
      </c>
      <c r="S27" s="223" t="s">
        <v>23</v>
      </c>
      <c r="T27" s="236"/>
    </row>
    <row r="28" spans="2:20" x14ac:dyDescent="0.3">
      <c r="B28" s="276" t="str">
        <f>VLOOKUP(D28,Data!C$6:D$97,2,FALSE)</f>
        <v>09/12/2021</v>
      </c>
      <c r="C28" s="277">
        <f>VLOOKUP(D28,Data!F$6:G$97,2,FALSE)</f>
        <v>1144427</v>
      </c>
      <c r="D28" s="278">
        <v>172</v>
      </c>
      <c r="E28" s="153">
        <f>VLOOKUP(D28,Consolidated!D$15:E$134,2,FALSE)</f>
        <v>4.62</v>
      </c>
      <c r="F28" s="275">
        <f>VLOOKUP(D28,Data!L$6:M$97,2,FALSE)</f>
        <v>9.6999999999999993</v>
      </c>
      <c r="G28" s="275">
        <f>VLOOKUP(D28,Data!O$6:P$97,2,FALSE)</f>
        <v>4.5</v>
      </c>
      <c r="H28" s="275">
        <f>VLOOKUP(D28,Data!R$6:S$97,2,FALSE)</f>
        <v>18.899999999999999</v>
      </c>
      <c r="I28" s="153" t="e">
        <v>#REF!</v>
      </c>
      <c r="J28" s="153" t="e">
        <v>#REF!</v>
      </c>
      <c r="K28" s="153">
        <f>VLOOKUP(D28,Data!U$6:V$97,2,FALSE)</f>
        <v>24</v>
      </c>
      <c r="L28" s="153" t="e">
        <v>#REF!</v>
      </c>
      <c r="M28" s="153" t="e">
        <v>#REF!</v>
      </c>
      <c r="N28" s="235">
        <f t="shared" si="2"/>
        <v>19.790575916230363</v>
      </c>
      <c r="O28" s="223" t="s">
        <v>23</v>
      </c>
      <c r="P28" s="223" t="s">
        <v>23</v>
      </c>
      <c r="Q28" s="156">
        <f t="shared" si="3"/>
        <v>25.130890052356023</v>
      </c>
      <c r="R28" s="223" t="s">
        <v>23</v>
      </c>
      <c r="S28" s="223" t="s">
        <v>23</v>
      </c>
      <c r="T28" s="236"/>
    </row>
    <row r="29" spans="2:20" x14ac:dyDescent="0.3">
      <c r="B29" s="226" t="str">
        <f>VLOOKUP(D29,Data!C$6:D$97,2,FALSE)</f>
        <v>09/12/2021</v>
      </c>
      <c r="C29" s="279">
        <f>VLOOKUP(D29,Data!F$6:G$97,2,FALSE)</f>
        <v>1144430</v>
      </c>
      <c r="D29" s="278">
        <v>104</v>
      </c>
      <c r="E29" s="153">
        <f>VLOOKUP(D29,Consolidated!D$15:E$134,2,FALSE)</f>
        <v>6.24</v>
      </c>
      <c r="F29" s="275">
        <f>VLOOKUP(D29,Data!L$6:M$97,2,FALSE)</f>
        <v>9.5</v>
      </c>
      <c r="G29" s="275">
        <f>VLOOKUP(D29,Data!O$6:P$97,2,FALSE)</f>
        <v>4.9000000000000004</v>
      </c>
      <c r="H29" s="275">
        <f>VLOOKUP(D29,Data!R$6:S$97,2,FALSE)</f>
        <v>20.2</v>
      </c>
      <c r="I29" s="153" t="e">
        <v>#REF!</v>
      </c>
      <c r="J29" s="153" t="e">
        <v>#REF!</v>
      </c>
      <c r="K29" s="153">
        <f>VLOOKUP(D29,Data!U$6:V$97,2,FALSE)</f>
        <v>23.41</v>
      </c>
      <c r="L29" s="153" t="e">
        <v>#REF!</v>
      </c>
      <c r="M29" s="153" t="e">
        <v>#REF!</v>
      </c>
      <c r="N29" s="235">
        <f t="shared" si="2"/>
        <v>21.240799158780234</v>
      </c>
      <c r="O29" s="223" t="s">
        <v>23</v>
      </c>
      <c r="P29" s="223" t="s">
        <v>23</v>
      </c>
      <c r="Q29" s="156">
        <f t="shared" si="3"/>
        <v>24.616193480546794</v>
      </c>
      <c r="R29" s="223" t="s">
        <v>23</v>
      </c>
      <c r="S29" s="223" t="s">
        <v>23</v>
      </c>
      <c r="T29" s="236"/>
    </row>
    <row r="30" spans="2:20" x14ac:dyDescent="0.3">
      <c r="B30" s="226" t="e">
        <f>VLOOKUP(D30,Data!C$6:D$97,2,FALSE)</f>
        <v>#N/A</v>
      </c>
      <c r="C30" s="159" t="e">
        <f>VLOOKUP(D30,Data!F$6:G$97,2,FALSE)</f>
        <v>#N/A</v>
      </c>
      <c r="D30" s="278"/>
      <c r="E30" s="153" t="e">
        <f>VLOOKUP(D30,Consolidated!D$15:E$134,2,FALSE)</f>
        <v>#N/A</v>
      </c>
      <c r="F30" s="275" t="e">
        <f>VLOOKUP(D30,Data!L$6:M$97,2,FALSE)</f>
        <v>#N/A</v>
      </c>
      <c r="G30" s="275" t="e">
        <f>VLOOKUP(D30,Data!O$6:P$97,2,FALSE)</f>
        <v>#N/A</v>
      </c>
      <c r="H30" s="275" t="e">
        <f>VLOOKUP(D30,Data!R$6:S$97,2,FALSE)</f>
        <v>#N/A</v>
      </c>
      <c r="I30" s="153" t="e">
        <v>#N/A</v>
      </c>
      <c r="J30" s="153" t="e">
        <v>#N/A</v>
      </c>
      <c r="K30" s="153" t="e">
        <f>VLOOKUP(D30,Data!U$6:V$97,2,FALSE)</f>
        <v>#N/A</v>
      </c>
      <c r="L30" s="153" t="e">
        <v>#N/A</v>
      </c>
      <c r="M30" s="153" t="e">
        <v>#N/A</v>
      </c>
      <c r="N30" s="235" t="e">
        <f t="shared" si="2"/>
        <v>#N/A</v>
      </c>
      <c r="O30" s="223" t="s">
        <v>23</v>
      </c>
      <c r="P30" s="223" t="s">
        <v>23</v>
      </c>
      <c r="Q30" s="156" t="e">
        <f t="shared" si="3"/>
        <v>#N/A</v>
      </c>
      <c r="R30" s="223" t="s">
        <v>23</v>
      </c>
      <c r="S30" s="223" t="s">
        <v>23</v>
      </c>
      <c r="T30" s="236"/>
    </row>
    <row r="31" spans="2:20" x14ac:dyDescent="0.3">
      <c r="B31" s="226" t="e">
        <f>VLOOKUP(D31,Data!C$6:D$97,2,FALSE)</f>
        <v>#N/A</v>
      </c>
      <c r="C31" s="159" t="e">
        <f>VLOOKUP(D31,Data!F$6:G$97,2,FALSE)</f>
        <v>#N/A</v>
      </c>
      <c r="D31" s="278"/>
      <c r="E31" s="153" t="e">
        <f>VLOOKUP(D31,Consolidated!D$15:E$134,2,FALSE)</f>
        <v>#N/A</v>
      </c>
      <c r="F31" s="275" t="e">
        <f>VLOOKUP(D31,Data!L$6:M$97,2,FALSE)</f>
        <v>#N/A</v>
      </c>
      <c r="G31" s="275" t="e">
        <f>VLOOKUP(D31,Data!O$6:P$97,2,FALSE)</f>
        <v>#N/A</v>
      </c>
      <c r="H31" s="275" t="e">
        <f>VLOOKUP(D31,Data!R$6:S$97,2,FALSE)</f>
        <v>#N/A</v>
      </c>
      <c r="I31" s="153" t="e">
        <v>#N/A</v>
      </c>
      <c r="J31" s="153" t="e">
        <v>#N/A</v>
      </c>
      <c r="K31" s="153" t="e">
        <f>VLOOKUP(D31,Data!U$6:V$97,2,FALSE)</f>
        <v>#N/A</v>
      </c>
      <c r="L31" s="153" t="e">
        <v>#N/A</v>
      </c>
      <c r="M31" s="153" t="e">
        <v>#N/A</v>
      </c>
      <c r="N31" s="235" t="e">
        <f t="shared" si="2"/>
        <v>#N/A</v>
      </c>
      <c r="O31" s="223" t="s">
        <v>23</v>
      </c>
      <c r="P31" s="223" t="s">
        <v>23</v>
      </c>
      <c r="Q31" s="156" t="e">
        <f t="shared" si="3"/>
        <v>#N/A</v>
      </c>
      <c r="R31" s="223" t="s">
        <v>23</v>
      </c>
      <c r="S31" s="223" t="s">
        <v>23</v>
      </c>
      <c r="T31" s="236"/>
    </row>
    <row r="32" spans="2:20" x14ac:dyDescent="0.3">
      <c r="B32" s="226" t="e">
        <f>VLOOKUP(D32,Data!C$6:D$97,2,FALSE)</f>
        <v>#N/A</v>
      </c>
      <c r="C32" s="279" t="e">
        <f>VLOOKUP(D32,Data!F$6:G$97,2,FALSE)</f>
        <v>#N/A</v>
      </c>
      <c r="D32" s="278"/>
      <c r="E32" s="153" t="e">
        <f>VLOOKUP(D32,Consolidated!D$15:E$134,2,FALSE)</f>
        <v>#N/A</v>
      </c>
      <c r="F32" s="275" t="e">
        <f>VLOOKUP(D32,Data!L$6:M$97,2,FALSE)</f>
        <v>#N/A</v>
      </c>
      <c r="G32" s="275" t="e">
        <f>VLOOKUP(D32,Data!O$6:P$97,2,FALSE)</f>
        <v>#N/A</v>
      </c>
      <c r="H32" s="275" t="e">
        <f>VLOOKUP(D32,Data!R$6:S$97,2,FALSE)</f>
        <v>#N/A</v>
      </c>
      <c r="I32" s="153" t="e">
        <v>#N/A</v>
      </c>
      <c r="J32" s="153" t="e">
        <v>#N/A</v>
      </c>
      <c r="K32" s="153" t="e">
        <f>VLOOKUP(D32,Data!U$6:V$97,2,FALSE)</f>
        <v>#N/A</v>
      </c>
      <c r="L32" s="153" t="e">
        <v>#N/A</v>
      </c>
      <c r="M32" s="153" t="e">
        <v>#N/A</v>
      </c>
      <c r="N32" s="235" t="e">
        <f t="shared" si="2"/>
        <v>#N/A</v>
      </c>
      <c r="O32" s="223" t="s">
        <v>23</v>
      </c>
      <c r="P32" s="223" t="s">
        <v>23</v>
      </c>
      <c r="Q32" s="156" t="e">
        <f t="shared" si="3"/>
        <v>#N/A</v>
      </c>
      <c r="R32" s="223" t="s">
        <v>23</v>
      </c>
      <c r="S32" s="223" t="s">
        <v>23</v>
      </c>
      <c r="T32" s="236"/>
    </row>
    <row r="33" spans="2:20" x14ac:dyDescent="0.3">
      <c r="B33" s="282" t="e">
        <f>VLOOKUP(D33,Data!C$6:D$97,2,FALSE)</f>
        <v>#N/A</v>
      </c>
      <c r="C33" s="283" t="e">
        <f>VLOOKUP(D33,Data!F$6:G$97,2,FALSE)</f>
        <v>#N/A</v>
      </c>
      <c r="D33" s="278"/>
      <c r="E33" s="153" t="e">
        <f>VLOOKUP(D33,Consolidated!D$15:E$134,2,FALSE)</f>
        <v>#N/A</v>
      </c>
      <c r="F33" s="275" t="e">
        <f>VLOOKUP(D33,Data!L$6:M$97,2,FALSE)</f>
        <v>#N/A</v>
      </c>
      <c r="G33" s="275" t="e">
        <f>VLOOKUP(D33,Data!O$6:P$97,2,FALSE)</f>
        <v>#N/A</v>
      </c>
      <c r="H33" s="275" t="e">
        <f>VLOOKUP(D33,Data!R$6:S$97,2,FALSE)</f>
        <v>#N/A</v>
      </c>
      <c r="I33" s="153" t="e">
        <v>#N/A</v>
      </c>
      <c r="J33" s="153" t="e">
        <v>#N/A</v>
      </c>
      <c r="K33" s="153" t="e">
        <f>VLOOKUP(D33,Data!U$6:V$97,2,FALSE)</f>
        <v>#N/A</v>
      </c>
      <c r="L33" s="153" t="e">
        <v>#N/A</v>
      </c>
      <c r="M33" s="153" t="e">
        <v>#N/A</v>
      </c>
      <c r="N33" s="235" t="e">
        <f t="shared" si="2"/>
        <v>#N/A</v>
      </c>
      <c r="O33" s="223" t="s">
        <v>23</v>
      </c>
      <c r="P33" s="223" t="s">
        <v>23</v>
      </c>
      <c r="Q33" s="156" t="e">
        <f t="shared" si="3"/>
        <v>#N/A</v>
      </c>
      <c r="R33" s="223" t="s">
        <v>23</v>
      </c>
      <c r="S33" s="223" t="s">
        <v>23</v>
      </c>
      <c r="T33" s="236"/>
    </row>
    <row r="34" spans="2:20" x14ac:dyDescent="0.3">
      <c r="B34" s="226" t="e">
        <f>VLOOKUP(D34,Data!C$6:D$97,2,FALSE)</f>
        <v>#N/A</v>
      </c>
      <c r="C34" s="279" t="e">
        <f>VLOOKUP(D34,Data!F$6:G$97,2,FALSE)</f>
        <v>#N/A</v>
      </c>
      <c r="D34" s="278"/>
      <c r="E34" s="153" t="e">
        <f>VLOOKUP(D34,Consolidated!D$15:E$134,2,FALSE)</f>
        <v>#N/A</v>
      </c>
      <c r="F34" s="275" t="e">
        <f>VLOOKUP(D34,Data!L$6:M$97,2,FALSE)</f>
        <v>#N/A</v>
      </c>
      <c r="G34" s="275" t="e">
        <f>VLOOKUP(D34,Data!O$6:P$97,2,FALSE)</f>
        <v>#N/A</v>
      </c>
      <c r="H34" s="275" t="e">
        <f>VLOOKUP(D34,Data!R$6:S$97,2,FALSE)</f>
        <v>#N/A</v>
      </c>
      <c r="I34" s="153" t="e">
        <v>#N/A</v>
      </c>
      <c r="J34" s="153" t="e">
        <v>#N/A</v>
      </c>
      <c r="K34" s="153" t="e">
        <f>VLOOKUP(D34,Data!U$6:V$97,2,FALSE)</f>
        <v>#N/A</v>
      </c>
      <c r="L34" s="153" t="e">
        <v>#N/A</v>
      </c>
      <c r="M34" s="153" t="e">
        <v>#N/A</v>
      </c>
      <c r="N34" s="235" t="e">
        <f t="shared" si="2"/>
        <v>#N/A</v>
      </c>
      <c r="O34" s="223" t="s">
        <v>23</v>
      </c>
      <c r="P34" s="223" t="s">
        <v>23</v>
      </c>
      <c r="Q34" s="156" t="e">
        <f t="shared" si="3"/>
        <v>#N/A</v>
      </c>
      <c r="R34" s="223" t="s">
        <v>23</v>
      </c>
      <c r="S34" s="223" t="s">
        <v>23</v>
      </c>
      <c r="T34" s="236"/>
    </row>
    <row r="35" spans="2:20" x14ac:dyDescent="0.3">
      <c r="B35" s="282" t="e">
        <f>VLOOKUP(D35,Data!C$6:D$97,2,FALSE)</f>
        <v>#N/A</v>
      </c>
      <c r="C35" s="283" t="e">
        <f>VLOOKUP(D35,Data!F$6:G$97,2,FALSE)</f>
        <v>#N/A</v>
      </c>
      <c r="D35" s="278"/>
      <c r="E35" s="153" t="e">
        <f>VLOOKUP(D35,Consolidated!D$15:E$134,2,FALSE)</f>
        <v>#N/A</v>
      </c>
      <c r="F35" s="275" t="e">
        <f>VLOOKUP(D35,Data!L$6:M$97,2,FALSE)</f>
        <v>#N/A</v>
      </c>
      <c r="G35" s="275" t="e">
        <f>VLOOKUP(D35,Data!O$6:P$97,2,FALSE)</f>
        <v>#N/A</v>
      </c>
      <c r="H35" s="275" t="e">
        <f>VLOOKUP(D35,Data!R$6:S$97,2,FALSE)</f>
        <v>#N/A</v>
      </c>
      <c r="I35" s="153" t="e">
        <v>#N/A</v>
      </c>
      <c r="J35" s="153" t="e">
        <v>#N/A</v>
      </c>
      <c r="K35" s="153" t="e">
        <f>VLOOKUP(D35,Data!U$6:V$97,2,FALSE)</f>
        <v>#N/A</v>
      </c>
      <c r="L35" s="153" t="e">
        <v>#N/A</v>
      </c>
      <c r="M35" s="153" t="e">
        <v>#N/A</v>
      </c>
      <c r="N35" s="235" t="e">
        <f t="shared" si="2"/>
        <v>#N/A</v>
      </c>
      <c r="O35" s="223" t="s">
        <v>23</v>
      </c>
      <c r="P35" s="223" t="s">
        <v>23</v>
      </c>
      <c r="Q35" s="156" t="e">
        <f t="shared" si="3"/>
        <v>#N/A</v>
      </c>
      <c r="R35" s="223" t="s">
        <v>23</v>
      </c>
      <c r="S35" s="223" t="s">
        <v>23</v>
      </c>
      <c r="T35" s="236"/>
    </row>
    <row r="36" spans="2:20" x14ac:dyDescent="0.3">
      <c r="B36" s="226" t="e">
        <f>VLOOKUP(D36,Data!C$6:D$97,2,FALSE)</f>
        <v>#N/A</v>
      </c>
      <c r="C36" s="279" t="e">
        <f>VLOOKUP(D36,Data!F$6:G$97,2,FALSE)</f>
        <v>#N/A</v>
      </c>
      <c r="D36" s="278"/>
      <c r="E36" s="153" t="e">
        <f>VLOOKUP(D36,Consolidated!D$15:E$134,2,FALSE)</f>
        <v>#N/A</v>
      </c>
      <c r="F36" s="275" t="e">
        <f>VLOOKUP(D36,Data!L$6:M$97,2,FALSE)</f>
        <v>#N/A</v>
      </c>
      <c r="G36" s="275" t="e">
        <f>VLOOKUP(D36,Data!O$6:P$97,2,FALSE)</f>
        <v>#N/A</v>
      </c>
      <c r="H36" s="275" t="e">
        <f>VLOOKUP(D36,Data!R$6:S$97,2,FALSE)</f>
        <v>#N/A</v>
      </c>
      <c r="I36" s="153" t="e">
        <v>#N/A</v>
      </c>
      <c r="J36" s="153" t="e">
        <v>#N/A</v>
      </c>
      <c r="K36" s="153" t="e">
        <f>VLOOKUP(D36,Data!U$6:V$97,2,FALSE)</f>
        <v>#N/A</v>
      </c>
      <c r="L36" s="153" t="e">
        <v>#N/A</v>
      </c>
      <c r="M36" s="153" t="e">
        <v>#N/A</v>
      </c>
      <c r="N36" s="235" t="e">
        <f t="shared" si="2"/>
        <v>#N/A</v>
      </c>
      <c r="O36" s="223" t="s">
        <v>23</v>
      </c>
      <c r="P36" s="223" t="s">
        <v>23</v>
      </c>
      <c r="Q36" s="156" t="e">
        <f t="shared" si="3"/>
        <v>#N/A</v>
      </c>
      <c r="R36" s="223" t="s">
        <v>23</v>
      </c>
      <c r="S36" s="223" t="s">
        <v>23</v>
      </c>
      <c r="T36" s="236"/>
    </row>
    <row r="37" spans="2:20" x14ac:dyDescent="0.3">
      <c r="B37" s="282" t="e">
        <f>VLOOKUP(D37,Data!C$6:D$97,2,FALSE)</f>
        <v>#N/A</v>
      </c>
      <c r="C37" s="283" t="e">
        <f>VLOOKUP(D37,Data!F$6:G$97,2,FALSE)</f>
        <v>#N/A</v>
      </c>
      <c r="D37" s="278"/>
      <c r="E37" s="153" t="e">
        <f>VLOOKUP(D37,Consolidated!D$15:E$134,2,FALSE)</f>
        <v>#N/A</v>
      </c>
      <c r="F37" s="275" t="e">
        <f>VLOOKUP(D37,Data!L$6:M$97,2,FALSE)</f>
        <v>#N/A</v>
      </c>
      <c r="G37" s="275" t="e">
        <f>VLOOKUP(D37,Data!O$6:P$97,2,FALSE)</f>
        <v>#N/A</v>
      </c>
      <c r="H37" s="275" t="e">
        <f>VLOOKUP(D37,Data!R$6:S$97,2,FALSE)</f>
        <v>#N/A</v>
      </c>
      <c r="I37" s="153" t="e">
        <v>#N/A</v>
      </c>
      <c r="J37" s="153" t="e">
        <v>#N/A</v>
      </c>
      <c r="K37" s="153" t="e">
        <f>VLOOKUP(D37,Data!U$6:V$97,2,FALSE)</f>
        <v>#N/A</v>
      </c>
      <c r="L37" s="153" t="e">
        <v>#N/A</v>
      </c>
      <c r="M37" s="153" t="e">
        <v>#N/A</v>
      </c>
      <c r="N37" s="235" t="e">
        <f t="shared" si="2"/>
        <v>#N/A</v>
      </c>
      <c r="O37" s="223" t="s">
        <v>23</v>
      </c>
      <c r="P37" s="223" t="s">
        <v>23</v>
      </c>
      <c r="Q37" s="156" t="e">
        <f t="shared" si="3"/>
        <v>#N/A</v>
      </c>
      <c r="R37" s="223" t="s">
        <v>23</v>
      </c>
      <c r="S37" s="223" t="s">
        <v>23</v>
      </c>
      <c r="T37" s="236"/>
    </row>
    <row r="38" spans="2:20" x14ac:dyDescent="0.3">
      <c r="B38" s="226" t="e">
        <f>VLOOKUP(D38,Data!C$6:D$97,2,FALSE)</f>
        <v>#N/A</v>
      </c>
      <c r="C38" s="279" t="e">
        <f>VLOOKUP(D38,Data!F$6:G$97,2,FALSE)</f>
        <v>#N/A</v>
      </c>
      <c r="D38" s="278"/>
      <c r="E38" s="153" t="e">
        <f>VLOOKUP(D38,Consolidated!D$15:E$134,2,FALSE)</f>
        <v>#N/A</v>
      </c>
      <c r="F38" s="275" t="e">
        <f>VLOOKUP(D38,Data!L$6:M$97,2,FALSE)</f>
        <v>#N/A</v>
      </c>
      <c r="G38" s="275" t="e">
        <f>VLOOKUP(D38,Data!O$6:P$97,2,FALSE)</f>
        <v>#N/A</v>
      </c>
      <c r="H38" s="275" t="e">
        <f>VLOOKUP(D38,Data!R$6:S$97,2,FALSE)</f>
        <v>#N/A</v>
      </c>
      <c r="I38" s="153" t="e">
        <v>#N/A</v>
      </c>
      <c r="J38" s="153" t="e">
        <v>#N/A</v>
      </c>
      <c r="K38" s="153" t="e">
        <f>VLOOKUP(D38,Data!U$6:V$97,2,FALSE)</f>
        <v>#N/A</v>
      </c>
      <c r="L38" s="153" t="e">
        <v>#N/A</v>
      </c>
      <c r="M38" s="153" t="e">
        <v>#N/A</v>
      </c>
      <c r="N38" s="235" t="e">
        <f t="shared" si="2"/>
        <v>#N/A</v>
      </c>
      <c r="O38" s="223" t="s">
        <v>23</v>
      </c>
      <c r="P38" s="223" t="s">
        <v>23</v>
      </c>
      <c r="Q38" s="156" t="e">
        <f t="shared" si="3"/>
        <v>#N/A</v>
      </c>
      <c r="R38" s="223" t="s">
        <v>23</v>
      </c>
      <c r="S38" s="223" t="s">
        <v>23</v>
      </c>
      <c r="T38" s="236"/>
    </row>
    <row r="39" spans="2:20" x14ac:dyDescent="0.3">
      <c r="B39" s="226" t="e">
        <f>VLOOKUP(D39,Data!C$6:D$97,2,FALSE)</f>
        <v>#N/A</v>
      </c>
      <c r="C39" s="277" t="e">
        <f>VLOOKUP(D39,Data!F$6:G$97,2,FALSE)</f>
        <v>#N/A</v>
      </c>
      <c r="D39" s="278"/>
      <c r="E39" s="153" t="e">
        <f>VLOOKUP(D39,Consolidated!D$15:E$134,2,FALSE)</f>
        <v>#N/A</v>
      </c>
      <c r="F39" s="275" t="e">
        <f>VLOOKUP(D39,Data!L$6:M$97,2,FALSE)</f>
        <v>#N/A</v>
      </c>
      <c r="G39" s="275" t="e">
        <f>VLOOKUP(D39,Data!O$6:P$97,2,FALSE)</f>
        <v>#N/A</v>
      </c>
      <c r="H39" s="275" t="e">
        <f>VLOOKUP(D39,Data!R$6:S$97,2,FALSE)</f>
        <v>#N/A</v>
      </c>
      <c r="I39" s="153" t="e">
        <v>#N/A</v>
      </c>
      <c r="J39" s="153" t="e">
        <v>#N/A</v>
      </c>
      <c r="K39" s="153" t="e">
        <f>VLOOKUP(D39,Data!U$6:V$97,2,FALSE)</f>
        <v>#N/A</v>
      </c>
      <c r="L39" s="153" t="e">
        <v>#N/A</v>
      </c>
      <c r="M39" s="153" t="e">
        <v>#N/A</v>
      </c>
      <c r="N39" s="235" t="e">
        <f t="shared" si="2"/>
        <v>#N/A</v>
      </c>
      <c r="O39" s="223" t="s">
        <v>23</v>
      </c>
      <c r="P39" s="223" t="s">
        <v>23</v>
      </c>
      <c r="Q39" s="156" t="e">
        <f t="shared" si="3"/>
        <v>#N/A</v>
      </c>
      <c r="R39" s="223" t="s">
        <v>23</v>
      </c>
      <c r="S39" s="223" t="s">
        <v>23</v>
      </c>
      <c r="T39" s="236"/>
    </row>
    <row r="40" spans="2:20" x14ac:dyDescent="0.3">
      <c r="B40" s="226" t="str">
        <f>VLOOKUP(D40,Data!C$6:D$97,2,FALSE)</f>
        <v>09/12/2021</v>
      </c>
      <c r="C40" s="277">
        <f>VLOOKUP(D40,Data!F$6:G$97,2,FALSE)</f>
        <v>1144451</v>
      </c>
      <c r="D40" s="278">
        <v>157</v>
      </c>
      <c r="E40" s="153">
        <f>VLOOKUP(D40,Consolidated!D$15:E$134,2,FALSE)</f>
        <v>4.04</v>
      </c>
      <c r="F40" s="275">
        <f>VLOOKUP(D40,Data!L$6:M$97,2,FALSE)</f>
        <v>8.6999999999999993</v>
      </c>
      <c r="G40" s="275">
        <f>VLOOKUP(D40,Data!O$6:P$97,2,FALSE)</f>
        <v>4.7</v>
      </c>
      <c r="H40" s="275">
        <f>VLOOKUP(D40,Data!R$6:S$97,2,FALSE)</f>
        <v>19.2</v>
      </c>
      <c r="I40" s="153" t="e">
        <v>#REF!</v>
      </c>
      <c r="J40" s="153" t="e">
        <v>#REF!</v>
      </c>
      <c r="K40" s="153">
        <f>VLOOKUP(D40,Data!U$6:V$97,2,FALSE)</f>
        <v>24.17</v>
      </c>
      <c r="L40" s="153" t="e">
        <v>#REF!</v>
      </c>
      <c r="M40" s="153" t="e">
        <v>#REF!</v>
      </c>
      <c r="N40" s="235">
        <f t="shared" si="2"/>
        <v>20.146904512067156</v>
      </c>
      <c r="O40" s="223" t="s">
        <v>23</v>
      </c>
      <c r="P40" s="223" t="s">
        <v>23</v>
      </c>
      <c r="Q40" s="156">
        <f t="shared" si="3"/>
        <v>25.362014690451208</v>
      </c>
      <c r="R40" s="223" t="s">
        <v>23</v>
      </c>
      <c r="S40" s="223" t="s">
        <v>23</v>
      </c>
      <c r="T40" s="236"/>
    </row>
    <row r="41" spans="2:20" x14ac:dyDescent="0.3">
      <c r="B41" s="226" t="str">
        <f>VLOOKUP(D41,Data!C$6:D$97,2,FALSE)</f>
        <v>09/12/2021</v>
      </c>
      <c r="C41" s="279">
        <f>VLOOKUP(D41,Data!F$6:G$97,2,FALSE)</f>
        <v>1144431</v>
      </c>
      <c r="D41" s="278">
        <v>119</v>
      </c>
      <c r="E41" s="153">
        <f>VLOOKUP(D41,Consolidated!D$15:E$134,2,FALSE)</f>
        <v>4.96</v>
      </c>
      <c r="F41" s="275">
        <f>VLOOKUP(D41,Data!L$6:M$97,2,FALSE)</f>
        <v>9.4</v>
      </c>
      <c r="G41" s="275">
        <f>VLOOKUP(D41,Data!O$6:P$97,2,FALSE)</f>
        <v>4.9000000000000004</v>
      </c>
      <c r="H41" s="275">
        <f>VLOOKUP(D41,Data!R$6:S$97,2,FALSE)</f>
        <v>19.2</v>
      </c>
      <c r="I41" s="153" t="e">
        <v>#REF!</v>
      </c>
      <c r="J41" s="153" t="e">
        <v>#REF!</v>
      </c>
      <c r="K41" s="153">
        <f>VLOOKUP(D41,Data!U$6:V$97,2,FALSE)</f>
        <v>23.68</v>
      </c>
      <c r="L41" s="153" t="e">
        <v>#REF!</v>
      </c>
      <c r="M41" s="153" t="e">
        <v>#REF!</v>
      </c>
      <c r="N41" s="235">
        <f t="shared" si="2"/>
        <v>20.189274447949529</v>
      </c>
      <c r="O41" s="223" t="s">
        <v>23</v>
      </c>
      <c r="P41" s="223" t="s">
        <v>23</v>
      </c>
      <c r="Q41" s="156">
        <f t="shared" si="3"/>
        <v>24.900105152471085</v>
      </c>
      <c r="R41" s="223" t="s">
        <v>23</v>
      </c>
      <c r="S41" s="223" t="s">
        <v>23</v>
      </c>
      <c r="T41" s="236"/>
    </row>
    <row r="42" spans="2:20" x14ac:dyDescent="0.3">
      <c r="B42" s="226" t="str">
        <f>VLOOKUP(D42,Data!C$6:D$97,2,FALSE)</f>
        <v>09/12/2021</v>
      </c>
      <c r="C42" s="277">
        <f>VLOOKUP(D42,Data!F$6:G$97,2,FALSE)</f>
        <v>1144387</v>
      </c>
      <c r="D42" s="278">
        <v>140</v>
      </c>
      <c r="E42" s="153">
        <f>VLOOKUP(D42,Consolidated!D$15:E$134,2,FALSE)</f>
        <v>3.98</v>
      </c>
      <c r="F42" s="275">
        <f>VLOOKUP(D42,Data!L$6:M$97,2,FALSE)</f>
        <v>9.5</v>
      </c>
      <c r="G42" s="275">
        <f>VLOOKUP(D42,Data!O$6:P$97,2,FALSE)</f>
        <v>3.7</v>
      </c>
      <c r="H42" s="275">
        <f>VLOOKUP(D42,Data!R$6:S$97,2,FALSE)</f>
        <v>19.8</v>
      </c>
      <c r="I42" s="153" t="e">
        <v>#REF!</v>
      </c>
      <c r="J42" s="153" t="e">
        <v>#REF!</v>
      </c>
      <c r="K42" s="153">
        <f>VLOOKUP(D42,Data!U$6:V$97,2,FALSE)</f>
        <v>23.93</v>
      </c>
      <c r="L42" s="153" t="e">
        <v>#REF!</v>
      </c>
      <c r="M42" s="153" t="e">
        <v>#REF!</v>
      </c>
      <c r="N42" s="235">
        <f t="shared" si="2"/>
        <v>20.560747663551403</v>
      </c>
      <c r="O42" s="223" t="s">
        <v>23</v>
      </c>
      <c r="P42" s="223" t="s">
        <v>23</v>
      </c>
      <c r="Q42" s="156">
        <f t="shared" si="3"/>
        <v>24.849428868120459</v>
      </c>
      <c r="R42" s="223" t="s">
        <v>23</v>
      </c>
      <c r="S42" s="223" t="s">
        <v>23</v>
      </c>
      <c r="T42" s="236"/>
    </row>
    <row r="43" spans="2:20" x14ac:dyDescent="0.3">
      <c r="B43" s="226" t="str">
        <f>VLOOKUP(D43,Data!C$6:D$97,2,FALSE)</f>
        <v>09/12/2021</v>
      </c>
      <c r="C43" s="277">
        <f>VLOOKUP(D43,Data!F$6:G$97,2,FALSE)</f>
        <v>1144435</v>
      </c>
      <c r="D43" s="278">
        <v>141</v>
      </c>
      <c r="E43" s="153">
        <f>VLOOKUP(D43,Consolidated!D$15:E$134,2,FALSE)</f>
        <v>5.32</v>
      </c>
      <c r="F43" s="275">
        <f>VLOOKUP(D43,Data!L$6:M$97,2,FALSE)</f>
        <v>9.4</v>
      </c>
      <c r="G43" s="275">
        <f>VLOOKUP(D43,Data!O$6:P$97,2,FALSE)</f>
        <v>4.5999999999999996</v>
      </c>
      <c r="H43" s="275">
        <f>VLOOKUP(D43,Data!R$6:S$97,2,FALSE)</f>
        <v>18.399999999999999</v>
      </c>
      <c r="I43" s="153" t="e">
        <v>#REF!</v>
      </c>
      <c r="J43" s="153" t="e">
        <v>#REF!</v>
      </c>
      <c r="K43" s="153">
        <f>VLOOKUP(D43,Data!U$6:V$97,2,FALSE)</f>
        <v>23.98</v>
      </c>
      <c r="L43" s="153" t="e">
        <v>#REF!</v>
      </c>
      <c r="M43" s="153" t="e">
        <v>#REF!</v>
      </c>
      <c r="N43" s="235">
        <f t="shared" si="2"/>
        <v>19.287211740041926</v>
      </c>
      <c r="O43" s="223" t="s">
        <v>23</v>
      </c>
      <c r="P43" s="223" t="s">
        <v>23</v>
      </c>
      <c r="Q43" s="156">
        <f t="shared" si="3"/>
        <v>25.136268343815512</v>
      </c>
      <c r="R43" s="223" t="s">
        <v>23</v>
      </c>
      <c r="S43" s="223" t="s">
        <v>23</v>
      </c>
      <c r="T43" s="236"/>
    </row>
    <row r="44" spans="2:20" x14ac:dyDescent="0.3">
      <c r="B44" s="226" t="str">
        <f>VLOOKUP(D44,Data!C$6:D$97,2,FALSE)</f>
        <v>09/12/2021</v>
      </c>
      <c r="C44" s="279">
        <f>VLOOKUP(D44,Data!F$6:G$97,2,FALSE)</f>
        <v>1144429</v>
      </c>
      <c r="D44" s="278">
        <v>188</v>
      </c>
      <c r="E44" s="153">
        <f>VLOOKUP(D44,Consolidated!D$15:E$134,2,FALSE)</f>
        <v>4.22</v>
      </c>
      <c r="F44" s="275">
        <f>VLOOKUP(D44,Data!L$6:M$97,2,FALSE)</f>
        <v>9</v>
      </c>
      <c r="G44" s="275">
        <f>VLOOKUP(D44,Data!O$6:P$97,2,FALSE)</f>
        <v>4.3</v>
      </c>
      <c r="H44" s="275">
        <f>VLOOKUP(D44,Data!R$6:S$97,2,FALSE)</f>
        <v>19</v>
      </c>
      <c r="I44" s="153" t="e">
        <v>#REF!</v>
      </c>
      <c r="J44" s="153" t="e">
        <v>#REF!</v>
      </c>
      <c r="K44" s="153">
        <f>VLOOKUP(D44,Data!U$6:V$97,2,FALSE)</f>
        <v>23.79</v>
      </c>
      <c r="L44" s="153" t="e">
        <v>#REF!</v>
      </c>
      <c r="M44" s="153" t="e">
        <v>#REF!</v>
      </c>
      <c r="N44" s="235">
        <f t="shared" si="2"/>
        <v>19.853709508881924</v>
      </c>
      <c r="O44" s="223" t="s">
        <v>23</v>
      </c>
      <c r="P44" s="223" t="s">
        <v>23</v>
      </c>
      <c r="Q44" s="156">
        <f t="shared" si="3"/>
        <v>24.858934169278996</v>
      </c>
      <c r="R44" s="223" t="s">
        <v>23</v>
      </c>
      <c r="S44" s="223" t="s">
        <v>23</v>
      </c>
      <c r="T44" s="236"/>
    </row>
    <row r="45" spans="2:20" x14ac:dyDescent="0.3">
      <c r="B45" s="226" t="str">
        <f>VLOOKUP(D45,Data!C$6:D$97,2,FALSE)</f>
        <v>09/12/2021</v>
      </c>
      <c r="C45" s="277">
        <f>VLOOKUP(D45,Data!F$6:G$97,2,FALSE)</f>
        <v>1144415</v>
      </c>
      <c r="D45" s="278">
        <v>181</v>
      </c>
      <c r="E45" s="153">
        <f>VLOOKUP(D45,Consolidated!D$15:E$134,2,FALSE)</f>
        <v>6.08</v>
      </c>
      <c r="F45" s="275">
        <f>VLOOKUP(D45,Data!L$6:M$97,2,FALSE)</f>
        <v>8.6999999999999993</v>
      </c>
      <c r="G45" s="275">
        <f>VLOOKUP(D45,Data!O$6:P$97,2,FALSE)</f>
        <v>4</v>
      </c>
      <c r="H45" s="275">
        <f>VLOOKUP(D45,Data!R$6:S$97,2,FALSE)</f>
        <v>19</v>
      </c>
      <c r="I45" s="153" t="e">
        <v>#REF!</v>
      </c>
      <c r="J45" s="153" t="e">
        <v>#REF!</v>
      </c>
      <c r="K45" s="153">
        <f>VLOOKUP(D45,Data!U$6:V$97,2,FALSE)</f>
        <v>23.85</v>
      </c>
      <c r="L45" s="153" t="e">
        <v>#REF!</v>
      </c>
      <c r="M45" s="153" t="e">
        <v>#REF!</v>
      </c>
      <c r="N45" s="235">
        <f t="shared" si="2"/>
        <v>19.791666666666668</v>
      </c>
      <c r="O45" s="223" t="s">
        <v>23</v>
      </c>
      <c r="P45" s="223" t="s">
        <v>23</v>
      </c>
      <c r="Q45" s="156">
        <f t="shared" si="3"/>
        <v>24.84375</v>
      </c>
      <c r="R45" s="223" t="s">
        <v>23</v>
      </c>
      <c r="S45" s="223" t="s">
        <v>23</v>
      </c>
      <c r="T45" s="236"/>
    </row>
    <row r="46" spans="2:20" x14ac:dyDescent="0.3">
      <c r="B46" s="226" t="str">
        <f>VLOOKUP(D46,Data!C$6:D$97,2,FALSE)</f>
        <v>09/12/2021</v>
      </c>
      <c r="C46" s="277">
        <f>VLOOKUP(D46,Data!F$6:G$97,2,FALSE)</f>
        <v>1144380</v>
      </c>
      <c r="D46" s="278">
        <v>187</v>
      </c>
      <c r="E46" s="153">
        <f>VLOOKUP(D46,Consolidated!D$15:E$134,2,FALSE)</f>
        <v>3.12</v>
      </c>
      <c r="F46" s="275">
        <f>VLOOKUP(D46,Data!L$6:M$97,2,FALSE)</f>
        <v>9.6</v>
      </c>
      <c r="G46" s="275">
        <f>VLOOKUP(D46,Data!O$6:P$97,2,FALSE)</f>
        <v>3.6</v>
      </c>
      <c r="H46" s="275">
        <f>VLOOKUP(D46,Data!R$6:S$97,2,FALSE)</f>
        <v>19.399999999999999</v>
      </c>
      <c r="I46" s="153" t="e">
        <v>#REF!</v>
      </c>
      <c r="J46" s="153" t="e">
        <v>#REF!</v>
      </c>
      <c r="K46" s="153">
        <f>VLOOKUP(D46,Data!U$6:V$97,2,FALSE)</f>
        <v>24.3</v>
      </c>
      <c r="L46" s="153" t="e">
        <v>#REF!</v>
      </c>
      <c r="M46" s="153" t="e">
        <v>#REF!</v>
      </c>
      <c r="N46" s="235">
        <f t="shared" si="2"/>
        <v>20.124481327800826</v>
      </c>
      <c r="O46" s="223" t="s">
        <v>23</v>
      </c>
      <c r="P46" s="223" t="s">
        <v>23</v>
      </c>
      <c r="Q46" s="156">
        <f t="shared" si="3"/>
        <v>25.207468879668049</v>
      </c>
      <c r="R46" s="223" t="s">
        <v>23</v>
      </c>
      <c r="S46" s="223" t="s">
        <v>23</v>
      </c>
      <c r="T46" s="236"/>
    </row>
    <row r="47" spans="2:20" x14ac:dyDescent="0.3">
      <c r="B47" s="226" t="str">
        <f>VLOOKUP(D47,Data!C$6:D$97,2,FALSE)</f>
        <v>09/12/2021</v>
      </c>
      <c r="C47" s="279">
        <f>VLOOKUP(D47,Data!F$6:G$97,2,FALSE)</f>
        <v>1144389</v>
      </c>
      <c r="D47" s="278">
        <v>151</v>
      </c>
      <c r="E47" s="153">
        <f>VLOOKUP(D47,Consolidated!D$15:E$134,2,FALSE)</f>
        <v>5.7</v>
      </c>
      <c r="F47" s="275">
        <f>VLOOKUP(D47,Data!L$6:M$97,2,FALSE)</f>
        <v>8.8000000000000007</v>
      </c>
      <c r="G47" s="275">
        <f>VLOOKUP(D47,Data!O$6:P$97,2,FALSE)</f>
        <v>3.7</v>
      </c>
      <c r="H47" s="275">
        <f>VLOOKUP(D47,Data!R$6:S$97,2,FALSE)</f>
        <v>19.5</v>
      </c>
      <c r="I47" s="153" t="e">
        <v>#REF!</v>
      </c>
      <c r="J47" s="153" t="e">
        <v>#REF!</v>
      </c>
      <c r="K47" s="153">
        <f>VLOOKUP(D47,Data!U$6:V$97,2,FALSE)</f>
        <v>24</v>
      </c>
      <c r="L47" s="153" t="e">
        <v>#REF!</v>
      </c>
      <c r="M47" s="153" t="e">
        <v>#REF!</v>
      </c>
      <c r="N47" s="235">
        <f t="shared" si="2"/>
        <v>20.249221183800625</v>
      </c>
      <c r="O47" s="223" t="s">
        <v>23</v>
      </c>
      <c r="P47" s="223" t="s">
        <v>23</v>
      </c>
      <c r="Q47" s="156">
        <f t="shared" si="3"/>
        <v>24.922118380062305</v>
      </c>
      <c r="R47" s="223" t="s">
        <v>23</v>
      </c>
      <c r="S47" s="223" t="s">
        <v>23</v>
      </c>
      <c r="T47" s="236"/>
    </row>
    <row r="48" spans="2:20" x14ac:dyDescent="0.3">
      <c r="B48" s="226" t="str">
        <f>VLOOKUP(D48,Data!C$6:D$97,2,FALSE)</f>
        <v>09/12/2021</v>
      </c>
      <c r="C48" s="277">
        <f>VLOOKUP(D48,Data!F$6:G$97,2,FALSE)</f>
        <v>1144401</v>
      </c>
      <c r="D48" s="278">
        <v>152</v>
      </c>
      <c r="E48" s="153">
        <f>VLOOKUP(D48,Consolidated!D$15:E$134,2,FALSE)</f>
        <v>4.42</v>
      </c>
      <c r="F48" s="275">
        <f>VLOOKUP(D48,Data!L$6:M$97,2,FALSE)</f>
        <v>8.9</v>
      </c>
      <c r="G48" s="275">
        <f>VLOOKUP(D48,Data!O$6:P$97,2,FALSE)</f>
        <v>3.5</v>
      </c>
      <c r="H48" s="275">
        <f>VLOOKUP(D48,Data!R$6:S$97,2,FALSE)</f>
        <v>19.600000000000001</v>
      </c>
      <c r="I48" s="153" t="e">
        <v>#REF!</v>
      </c>
      <c r="J48" s="153" t="e">
        <v>#REF!</v>
      </c>
      <c r="K48" s="153">
        <f>VLOOKUP(D48,Data!U$6:V$97,2,FALSE)</f>
        <v>23.71</v>
      </c>
      <c r="L48" s="153" t="e">
        <v>#REF!</v>
      </c>
      <c r="M48" s="153" t="e">
        <v>#REF!</v>
      </c>
      <c r="N48" s="235">
        <f t="shared" si="2"/>
        <v>20.310880829015545</v>
      </c>
      <c r="O48" s="223" t="s">
        <v>23</v>
      </c>
      <c r="P48" s="223" t="s">
        <v>23</v>
      </c>
      <c r="Q48" s="156">
        <f t="shared" si="3"/>
        <v>24.569948186528496</v>
      </c>
      <c r="R48" s="223" t="s">
        <v>23</v>
      </c>
      <c r="S48" s="223" t="s">
        <v>23</v>
      </c>
      <c r="T48" s="236"/>
    </row>
    <row r="49" spans="2:20" ht="15" thickBot="1" x14ac:dyDescent="0.35">
      <c r="B49" s="226" t="str">
        <f>VLOOKUP(D49,Data!C$6:D$97,2,FALSE)</f>
        <v>09/12/2021</v>
      </c>
      <c r="C49" s="279">
        <f>VLOOKUP(D49,Data!F$6:G$97,2,FALSE)</f>
        <v>1144392</v>
      </c>
      <c r="D49" s="278">
        <v>179</v>
      </c>
      <c r="E49" s="153">
        <f>VLOOKUP(D49,Consolidated!D$15:E$134,2,FALSE)</f>
        <v>5.66</v>
      </c>
      <c r="F49" s="275">
        <f>VLOOKUP(D49,Data!L$6:M$97,2,FALSE)</f>
        <v>8.5</v>
      </c>
      <c r="G49" s="275">
        <f>VLOOKUP(D49,Data!O$6:P$97,2,FALSE)</f>
        <v>3.9</v>
      </c>
      <c r="H49" s="275">
        <f>VLOOKUP(D49,Data!R$6:S$97,2,FALSE)</f>
        <v>20.100000000000001</v>
      </c>
      <c r="I49" s="153" t="e">
        <v>#REF!</v>
      </c>
      <c r="J49" s="153" t="e">
        <v>#REF!</v>
      </c>
      <c r="K49" s="153">
        <f>VLOOKUP(D49,Data!U$6:V$97,2,FALSE)</f>
        <v>23.96</v>
      </c>
      <c r="L49" s="153" t="e">
        <v>#REF!</v>
      </c>
      <c r="M49" s="153" t="e">
        <v>#REF!</v>
      </c>
      <c r="N49" s="235">
        <f t="shared" si="2"/>
        <v>20.915712799167537</v>
      </c>
      <c r="O49" s="285" t="s">
        <v>23</v>
      </c>
      <c r="P49" s="285" t="s">
        <v>23</v>
      </c>
      <c r="Q49" s="156">
        <f t="shared" si="3"/>
        <v>24.932362122788764</v>
      </c>
      <c r="R49" s="285" t="s">
        <v>23</v>
      </c>
      <c r="S49" s="285" t="s">
        <v>23</v>
      </c>
      <c r="T49" s="236"/>
    </row>
    <row r="50" spans="2:20" ht="15" thickBot="1" x14ac:dyDescent="0.35">
      <c r="B50" s="259"/>
      <c r="C50" s="260"/>
      <c r="D50" s="272" t="s">
        <v>155</v>
      </c>
      <c r="E50" s="261"/>
      <c r="F50" s="262" t="e">
        <f>AVERAGE(F10:F49)</f>
        <v>#N/A</v>
      </c>
      <c r="G50" s="263" t="e">
        <f>AVERAGE(G10:G49)</f>
        <v>#N/A</v>
      </c>
      <c r="H50" s="264" t="e">
        <f>AVERAGE(H10:H49)</f>
        <v>#N/A</v>
      </c>
      <c r="I50" s="264" t="s">
        <v>23</v>
      </c>
      <c r="J50" s="265" t="s">
        <v>23</v>
      </c>
      <c r="K50" s="265" t="e">
        <f>AVERAGE(K10:K49)</f>
        <v>#N/A</v>
      </c>
      <c r="L50" s="265" t="s">
        <v>23</v>
      </c>
      <c r="M50" s="265" t="s">
        <v>23</v>
      </c>
      <c r="N50" s="263" t="e">
        <f t="shared" si="2"/>
        <v>#N/A</v>
      </c>
      <c r="O50" s="286" t="s">
        <v>23</v>
      </c>
      <c r="P50" s="264" t="s">
        <v>23</v>
      </c>
      <c r="Q50" s="265" t="e">
        <f t="shared" si="2"/>
        <v>#N/A</v>
      </c>
      <c r="R50" s="287" t="s">
        <v>23</v>
      </c>
      <c r="S50" s="288" t="s">
        <v>23</v>
      </c>
      <c r="T50" s="271"/>
    </row>
  </sheetData>
  <mergeCells count="6">
    <mergeCell ref="G4:M4"/>
    <mergeCell ref="N4:S4"/>
    <mergeCell ref="B5:B9"/>
    <mergeCell ref="C5:C9"/>
    <mergeCell ref="E5:E8"/>
    <mergeCell ref="G5:G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5D6DD-47AE-45BE-A08A-4DC5AD98E95C}">
  <sheetPr codeName="Sheet4"/>
  <dimension ref="A3:T50"/>
  <sheetViews>
    <sheetView workbookViewId="0">
      <selection activeCell="D32" sqref="D32"/>
    </sheetView>
  </sheetViews>
  <sheetFormatPr defaultRowHeight="14.4" x14ac:dyDescent="0.3"/>
  <cols>
    <col min="2" max="2" width="21.6640625" customWidth="1"/>
    <col min="3" max="3" width="18.5546875" customWidth="1"/>
    <col min="4" max="4" width="14.44140625" customWidth="1"/>
    <col min="5" max="5" width="12.6640625" customWidth="1"/>
    <col min="6" max="6" width="16.44140625" customWidth="1"/>
    <col min="20" max="20" width="16.5546875" customWidth="1"/>
  </cols>
  <sheetData>
    <row r="3" spans="1:20" ht="15" thickBot="1" x14ac:dyDescent="0.35"/>
    <row r="4" spans="1:20" ht="15" thickBot="1" x14ac:dyDescent="0.35">
      <c r="B4" s="165"/>
      <c r="C4" s="171"/>
      <c r="D4" s="171"/>
      <c r="E4" s="172"/>
      <c r="F4" s="173" t="s">
        <v>128</v>
      </c>
      <c r="G4" s="304" t="s">
        <v>129</v>
      </c>
      <c r="H4" s="305"/>
      <c r="I4" s="305"/>
      <c r="J4" s="305"/>
      <c r="K4" s="305"/>
      <c r="L4" s="305"/>
      <c r="M4" s="306"/>
      <c r="N4" s="307" t="s">
        <v>130</v>
      </c>
      <c r="O4" s="308"/>
      <c r="P4" s="308"/>
      <c r="Q4" s="308"/>
      <c r="R4" s="308"/>
      <c r="S4" s="309"/>
      <c r="T4" s="174" t="s">
        <v>131</v>
      </c>
    </row>
    <row r="5" spans="1:20" ht="20.25" customHeight="1" x14ac:dyDescent="0.3">
      <c r="B5" s="318" t="s">
        <v>147</v>
      </c>
      <c r="C5" s="310" t="s">
        <v>132</v>
      </c>
      <c r="D5" s="176"/>
      <c r="E5" s="310" t="s">
        <v>133</v>
      </c>
      <c r="F5" s="177" t="s">
        <v>134</v>
      </c>
      <c r="G5" s="313" t="s">
        <v>135</v>
      </c>
      <c r="H5" s="178" t="s">
        <v>136</v>
      </c>
      <c r="I5" s="178" t="s">
        <v>137</v>
      </c>
      <c r="J5" s="178" t="s">
        <v>138</v>
      </c>
      <c r="K5" s="179" t="s">
        <v>139</v>
      </c>
      <c r="L5" s="180" t="s">
        <v>134</v>
      </c>
      <c r="M5" s="181" t="s">
        <v>140</v>
      </c>
      <c r="N5" s="182" t="s">
        <v>136</v>
      </c>
      <c r="O5" s="178" t="s">
        <v>137</v>
      </c>
      <c r="P5" s="178" t="s">
        <v>138</v>
      </c>
      <c r="Q5" s="179" t="s">
        <v>139</v>
      </c>
      <c r="R5" s="180" t="s">
        <v>134</v>
      </c>
      <c r="S5" s="183" t="s">
        <v>140</v>
      </c>
      <c r="T5" s="184"/>
    </row>
    <row r="6" spans="1:20" x14ac:dyDescent="0.3">
      <c r="B6" s="319"/>
      <c r="C6" s="311"/>
      <c r="D6" s="186"/>
      <c r="E6" s="311"/>
      <c r="F6" s="187" t="s">
        <v>141</v>
      </c>
      <c r="G6" s="314"/>
      <c r="H6" s="178"/>
      <c r="I6" s="178" t="s">
        <v>142</v>
      </c>
      <c r="J6" s="178" t="s">
        <v>143</v>
      </c>
      <c r="K6" s="179" t="s">
        <v>144</v>
      </c>
      <c r="L6" s="180" t="s">
        <v>145</v>
      </c>
      <c r="M6" s="181" t="s">
        <v>146</v>
      </c>
      <c r="N6" s="182"/>
      <c r="O6" s="178" t="s">
        <v>142</v>
      </c>
      <c r="P6" s="178" t="s">
        <v>143</v>
      </c>
      <c r="Q6" s="179" t="s">
        <v>144</v>
      </c>
      <c r="R6" s="180" t="s">
        <v>145</v>
      </c>
      <c r="S6" s="183" t="s">
        <v>146</v>
      </c>
      <c r="T6" s="188"/>
    </row>
    <row r="7" spans="1:20" ht="15" thickBot="1" x14ac:dyDescent="0.35">
      <c r="B7" s="319"/>
      <c r="C7" s="311"/>
      <c r="D7" s="186" t="s">
        <v>148</v>
      </c>
      <c r="E7" s="311"/>
      <c r="F7" s="189" t="s">
        <v>149</v>
      </c>
      <c r="G7" s="315"/>
      <c r="H7" s="190" t="s">
        <v>149</v>
      </c>
      <c r="I7" s="190" t="s">
        <v>149</v>
      </c>
      <c r="J7" s="190" t="s">
        <v>149</v>
      </c>
      <c r="K7" s="191" t="s">
        <v>150</v>
      </c>
      <c r="L7" s="192" t="s">
        <v>149</v>
      </c>
      <c r="M7" s="193" t="s">
        <v>149</v>
      </c>
      <c r="N7" s="194" t="s">
        <v>149</v>
      </c>
      <c r="O7" s="190" t="s">
        <v>149</v>
      </c>
      <c r="P7" s="190" t="s">
        <v>149</v>
      </c>
      <c r="Q7" s="191" t="s">
        <v>150</v>
      </c>
      <c r="R7" s="192" t="s">
        <v>149</v>
      </c>
      <c r="S7" s="195" t="s">
        <v>149</v>
      </c>
      <c r="T7" s="196"/>
    </row>
    <row r="8" spans="1:20" x14ac:dyDescent="0.3">
      <c r="B8" s="319"/>
      <c r="C8" s="321"/>
      <c r="D8" s="186"/>
      <c r="E8" s="311"/>
      <c r="F8" s="197"/>
      <c r="G8" s="198"/>
      <c r="H8" s="199"/>
      <c r="I8" s="199"/>
      <c r="J8" s="199" t="s">
        <v>151</v>
      </c>
      <c r="K8" s="200"/>
      <c r="L8" s="201"/>
      <c r="M8" s="202"/>
      <c r="N8" s="203"/>
      <c r="O8" s="199"/>
      <c r="P8" s="199" t="s">
        <v>151</v>
      </c>
      <c r="Q8" s="200"/>
      <c r="R8" s="201"/>
      <c r="S8" s="204"/>
      <c r="T8" s="185"/>
    </row>
    <row r="9" spans="1:20" ht="15" thickBot="1" x14ac:dyDescent="0.35">
      <c r="B9" s="320"/>
      <c r="C9" s="312"/>
      <c r="D9" s="205"/>
      <c r="E9" s="205" t="s">
        <v>152</v>
      </c>
      <c r="F9" s="206"/>
      <c r="G9" s="207"/>
      <c r="H9" s="208"/>
      <c r="I9" s="208"/>
      <c r="J9" s="208" t="s">
        <v>153</v>
      </c>
      <c r="K9" s="209"/>
      <c r="L9" s="210"/>
      <c r="M9" s="211"/>
      <c r="N9" s="212"/>
      <c r="O9" s="208"/>
      <c r="P9" s="208" t="s">
        <v>153</v>
      </c>
      <c r="Q9" s="209"/>
      <c r="R9" s="210"/>
      <c r="S9" s="213"/>
      <c r="T9" s="196"/>
    </row>
    <row r="10" spans="1:20" x14ac:dyDescent="0.3">
      <c r="B10" s="214" t="str">
        <f>VLOOKUP(D10,Data!C$6:D$97,2,FALSE)</f>
        <v>09/12/2021</v>
      </c>
      <c r="C10" s="273">
        <f>VLOOKUP(D10,Data!F$6:G$97,2,FALSE)</f>
        <v>1144454</v>
      </c>
      <c r="D10" s="274">
        <v>105</v>
      </c>
      <c r="E10" s="153">
        <f>VLOOKUP(D10,Consolidated!D$15:E$134,2,FALSE)</f>
        <v>7</v>
      </c>
      <c r="F10" s="275">
        <f>VLOOKUP(D10,Data!L$6:M$97,2,FALSE)</f>
        <v>8.5</v>
      </c>
      <c r="G10" s="275">
        <f>VLOOKUP(D10,Data!O$6:P$97,2,FALSE)</f>
        <v>4.5</v>
      </c>
      <c r="H10" s="275">
        <f>VLOOKUP(D10,Data!R$6:S$97,2,FALSE)</f>
        <v>18.3</v>
      </c>
      <c r="I10" s="153" t="e">
        <v>#REF!</v>
      </c>
      <c r="J10" s="153" t="e">
        <v>#REF!</v>
      </c>
      <c r="K10" s="153">
        <f>VLOOKUP(D10,Data!U$6:V$97,2,FALSE)</f>
        <v>24.26</v>
      </c>
      <c r="L10" s="153" t="e">
        <v>#REF!</v>
      </c>
      <c r="M10" s="153" t="e">
        <v>#REF!</v>
      </c>
      <c r="N10" s="224">
        <f t="shared" ref="N10:N14" si="0">IF(AND($G10&gt;0,H10&gt;0),(H10*100)/(100-$G10),"")</f>
        <v>19.162303664921467</v>
      </c>
      <c r="O10" s="223" t="s">
        <v>23</v>
      </c>
      <c r="P10" s="223" t="s">
        <v>23</v>
      </c>
      <c r="Q10" s="155">
        <f t="shared" ref="Q10:Q14" si="1">IF(AND($G10&gt;0,K10&gt;0),(K10*100)/(100-$G10),"")</f>
        <v>25.403141361256544</v>
      </c>
      <c r="R10" s="223" t="s">
        <v>23</v>
      </c>
      <c r="S10" s="223" t="s">
        <v>23</v>
      </c>
      <c r="T10" s="225"/>
    </row>
    <row r="11" spans="1:20" x14ac:dyDescent="0.3">
      <c r="A11" s="124"/>
      <c r="B11" s="226" t="str">
        <f>VLOOKUP(D11,Data!C$6:D$97,2,FALSE)</f>
        <v>09/12/2021</v>
      </c>
      <c r="C11" s="277">
        <f>VLOOKUP(D11,Data!F$6:G$97,2,FALSE)</f>
        <v>1144447</v>
      </c>
      <c r="D11" s="278">
        <v>128</v>
      </c>
      <c r="E11" s="153">
        <f>VLOOKUP(D11,Consolidated!D$15:E$134,2,FALSE)</f>
        <v>5.36</v>
      </c>
      <c r="F11" s="275">
        <f>VLOOKUP(D11,Data!L$6:M$97,2,FALSE)</f>
        <v>8.6</v>
      </c>
      <c r="G11" s="275">
        <f>VLOOKUP(D11,Data!O$6:P$97,2,FALSE)</f>
        <v>4.5</v>
      </c>
      <c r="H11" s="275">
        <f>VLOOKUP(D11,Data!R$6:S$97,2,FALSE)</f>
        <v>17.899999999999999</v>
      </c>
      <c r="I11" s="153" t="e">
        <v>#REF!</v>
      </c>
      <c r="J11" s="153" t="e">
        <v>#REF!</v>
      </c>
      <c r="K11" s="153">
        <f>VLOOKUP(D11,Data!U$6:V$97,2,FALSE)</f>
        <v>23.89</v>
      </c>
      <c r="L11" s="153" t="e">
        <v>#REF!</v>
      </c>
      <c r="M11" s="153" t="e">
        <v>#REF!</v>
      </c>
      <c r="N11" s="224">
        <f t="shared" si="0"/>
        <v>18.743455497382197</v>
      </c>
      <c r="O11" s="223" t="s">
        <v>23</v>
      </c>
      <c r="P11" s="223" t="s">
        <v>23</v>
      </c>
      <c r="Q11" s="155">
        <f t="shared" si="1"/>
        <v>25.015706806282722</v>
      </c>
      <c r="R11" s="223" t="s">
        <v>23</v>
      </c>
      <c r="S11" s="223" t="s">
        <v>23</v>
      </c>
      <c r="T11" s="225"/>
    </row>
    <row r="12" spans="1:20" x14ac:dyDescent="0.3">
      <c r="A12" s="124"/>
      <c r="B12" s="276" t="str">
        <f>VLOOKUP(D12,Data!C$6:D$97,2,FALSE)</f>
        <v>09/12/2021</v>
      </c>
      <c r="C12" s="279">
        <f>VLOOKUP(D12,Data!F$6:G$97,2,FALSE)</f>
        <v>1144377</v>
      </c>
      <c r="D12" s="278">
        <v>162</v>
      </c>
      <c r="E12" s="153">
        <f>VLOOKUP(D12,Consolidated!D$15:E$134,2,FALSE)</f>
        <v>5.36</v>
      </c>
      <c r="F12" s="275">
        <f>VLOOKUP(D12,Data!L$6:M$97,2,FALSE)</f>
        <v>8.6</v>
      </c>
      <c r="G12" s="275">
        <f>VLOOKUP(D12,Data!O$6:P$97,2,FALSE)</f>
        <v>3.4</v>
      </c>
      <c r="H12" s="275">
        <f>VLOOKUP(D12,Data!R$6:S$97,2,FALSE)</f>
        <v>16.399999999999999</v>
      </c>
      <c r="I12" s="153" t="e">
        <v>#REF!</v>
      </c>
      <c r="J12" s="153" t="e">
        <v>#REF!</v>
      </c>
      <c r="K12" s="153">
        <f>VLOOKUP(D12,Data!U$6:V$97,2,FALSE)</f>
        <v>25.33</v>
      </c>
      <c r="L12" s="153" t="e">
        <v>#REF!</v>
      </c>
      <c r="M12" s="153" t="e">
        <v>#REF!</v>
      </c>
      <c r="N12" s="235">
        <f t="shared" si="0"/>
        <v>16.977225672877847</v>
      </c>
      <c r="O12" s="223" t="s">
        <v>23</v>
      </c>
      <c r="P12" s="223" t="s">
        <v>23</v>
      </c>
      <c r="Q12" s="156">
        <f t="shared" si="1"/>
        <v>26.221532091097309</v>
      </c>
      <c r="R12" s="223" t="s">
        <v>23</v>
      </c>
      <c r="S12" s="223" t="s">
        <v>23</v>
      </c>
      <c r="T12" s="236"/>
    </row>
    <row r="13" spans="1:20" x14ac:dyDescent="0.3">
      <c r="A13" s="124"/>
      <c r="B13" s="226" t="str">
        <f>VLOOKUP(D13,Data!C$6:D$97,2,FALSE)</f>
        <v>09/12/2021</v>
      </c>
      <c r="C13" s="277">
        <f>VLOOKUP(D13,Data!F$6:G$97,2,FALSE)</f>
        <v>1144411</v>
      </c>
      <c r="D13" s="278">
        <v>149</v>
      </c>
      <c r="E13" s="153">
        <f>VLOOKUP(D13,Consolidated!D$15:E$134,2,FALSE)</f>
        <v>3.9</v>
      </c>
      <c r="F13" s="275">
        <f>VLOOKUP(D13,Data!L$6:M$97,2,FALSE)</f>
        <v>9</v>
      </c>
      <c r="G13" s="275">
        <f>VLOOKUP(D13,Data!O$6:P$97,2,FALSE)</f>
        <v>4.3</v>
      </c>
      <c r="H13" s="275">
        <f>VLOOKUP(D13,Data!R$6:S$97,2,FALSE)</f>
        <v>18</v>
      </c>
      <c r="I13" s="153" t="e">
        <v>#REF!</v>
      </c>
      <c r="J13" s="153" t="e">
        <v>#REF!</v>
      </c>
      <c r="K13" s="153">
        <f>VLOOKUP(D13,Data!U$6:V$97,2,FALSE)</f>
        <v>24.11</v>
      </c>
      <c r="L13" s="153" t="e">
        <v>#REF!</v>
      </c>
      <c r="M13" s="153" t="e">
        <v>#REF!</v>
      </c>
      <c r="N13" s="235">
        <f t="shared" si="0"/>
        <v>18.808777429467085</v>
      </c>
      <c r="O13" s="223" t="s">
        <v>23</v>
      </c>
      <c r="P13" s="223" t="s">
        <v>23</v>
      </c>
      <c r="Q13" s="156">
        <f t="shared" si="1"/>
        <v>25.193312434691745</v>
      </c>
      <c r="R13" s="223" t="s">
        <v>23</v>
      </c>
      <c r="S13" s="223" t="s">
        <v>23</v>
      </c>
      <c r="T13" s="236"/>
    </row>
    <row r="14" spans="1:20" x14ac:dyDescent="0.3">
      <c r="B14" s="276" t="str">
        <f>VLOOKUP(D14,Data!C$6:D$97,2,FALSE)</f>
        <v>09/12/2021</v>
      </c>
      <c r="C14" s="279">
        <f>VLOOKUP(D14,Data!F$6:G$97,2,FALSE)</f>
        <v>1144399</v>
      </c>
      <c r="D14" s="278">
        <v>137</v>
      </c>
      <c r="E14" s="153">
        <f>VLOOKUP(D14,Consolidated!D$15:E$134,2,FALSE)</f>
        <v>4.92</v>
      </c>
      <c r="F14" s="275">
        <f>VLOOKUP(D14,Data!L$6:M$97,2,FALSE)</f>
        <v>8.6</v>
      </c>
      <c r="G14" s="275">
        <f>VLOOKUP(D14,Data!O$6:P$97,2,FALSE)</f>
        <v>4.5</v>
      </c>
      <c r="H14" s="275">
        <f>VLOOKUP(D14,Data!R$6:S$97,2,FALSE)</f>
        <v>17.7</v>
      </c>
      <c r="I14" s="153" t="e">
        <v>#REF!</v>
      </c>
      <c r="J14" s="153" t="e">
        <v>#REF!</v>
      </c>
      <c r="K14" s="153">
        <f>VLOOKUP(D14,Data!U$6:V$97,2,FALSE)</f>
        <v>24.44</v>
      </c>
      <c r="L14" s="153" t="e">
        <v>#REF!</v>
      </c>
      <c r="M14" s="153" t="e">
        <v>#REF!</v>
      </c>
      <c r="N14" s="224">
        <f t="shared" si="0"/>
        <v>18.534031413612567</v>
      </c>
      <c r="O14" s="223" t="s">
        <v>23</v>
      </c>
      <c r="P14" s="223" t="s">
        <v>23</v>
      </c>
      <c r="Q14" s="155">
        <f t="shared" si="1"/>
        <v>25.591623036649214</v>
      </c>
      <c r="R14" s="223" t="s">
        <v>23</v>
      </c>
      <c r="S14" s="223" t="s">
        <v>23</v>
      </c>
      <c r="T14" s="225"/>
    </row>
    <row r="15" spans="1:20" x14ac:dyDescent="0.3">
      <c r="B15" s="254" t="str">
        <f>VLOOKUP(D15,Data!C$6:D$97,2,FALSE)</f>
        <v>09/12/2021</v>
      </c>
      <c r="C15" s="277">
        <f>VLOOKUP(D15,Data!F$6:G$97,2,FALSE)</f>
        <v>1144455</v>
      </c>
      <c r="D15" s="278">
        <v>124</v>
      </c>
      <c r="E15" s="153">
        <f>VLOOKUP(D15,Consolidated!D$15:E$134,2,FALSE)</f>
        <v>6.08</v>
      </c>
      <c r="F15" s="275">
        <f>VLOOKUP(D15,Data!L$6:M$97,2,FALSE)</f>
        <v>8.4</v>
      </c>
      <c r="G15" s="275">
        <f>VLOOKUP(D15,Data!O$6:P$97,2,FALSE)</f>
        <v>4.7</v>
      </c>
      <c r="H15" s="275">
        <f>VLOOKUP(D15,Data!R$6:S$97,2,FALSE)</f>
        <v>16.7</v>
      </c>
      <c r="I15" s="153" t="e">
        <v>#REF!</v>
      </c>
      <c r="J15" s="153" t="e">
        <v>#REF!</v>
      </c>
      <c r="K15" s="153">
        <f>VLOOKUP(D15,Data!U$6:V$97,2,FALSE)</f>
        <v>24.61</v>
      </c>
      <c r="L15" s="153" t="e">
        <v>#REF!</v>
      </c>
      <c r="M15" s="153" t="e">
        <v>#REF!</v>
      </c>
      <c r="N15" s="224">
        <f>IF(AND($G15&gt;0,H15&gt;0),(H15*100)/(100-$G15),"")</f>
        <v>17.523609653725078</v>
      </c>
      <c r="O15" s="223" t="s">
        <v>23</v>
      </c>
      <c r="P15" s="223" t="s">
        <v>23</v>
      </c>
      <c r="Q15" s="155">
        <f>IF(AND($G15&gt;0,K15&gt;0),(K15*100)/(100-$G15),"")</f>
        <v>25.823714585519411</v>
      </c>
      <c r="R15" s="223" t="s">
        <v>23</v>
      </c>
      <c r="S15" s="223" t="s">
        <v>23</v>
      </c>
      <c r="T15" s="225"/>
    </row>
    <row r="16" spans="1:20" x14ac:dyDescent="0.3">
      <c r="B16" s="254" t="str">
        <f>VLOOKUP(D16,Data!C$6:D$97,2,FALSE)</f>
        <v>09/12/2021</v>
      </c>
      <c r="C16" s="277">
        <f>VLOOKUP(D16,Data!F$6:G$97,2,FALSE)</f>
        <v>1144445</v>
      </c>
      <c r="D16" s="278">
        <v>120</v>
      </c>
      <c r="E16" s="153">
        <f>VLOOKUP(D16,Consolidated!D$15:E$134,2,FALSE)</f>
        <v>4.6399999999999997</v>
      </c>
      <c r="F16" s="275">
        <f>VLOOKUP(D16,Data!L$6:M$97,2,FALSE)</f>
        <v>8.9</v>
      </c>
      <c r="G16" s="275">
        <f>VLOOKUP(D16,Data!O$6:P$97,2,FALSE)</f>
        <v>4.5</v>
      </c>
      <c r="H16" s="275">
        <f>VLOOKUP(D16,Data!R$6:S$97,2,FALSE)</f>
        <v>18.3</v>
      </c>
      <c r="I16" s="153" t="e">
        <v>#REF!</v>
      </c>
      <c r="J16" s="153" t="e">
        <v>#REF!</v>
      </c>
      <c r="K16" s="153">
        <f>VLOOKUP(D16,Data!U$6:V$97,2,FALSE)</f>
        <v>24.3</v>
      </c>
      <c r="L16" s="153" t="e">
        <v>#REF!</v>
      </c>
      <c r="M16" s="153" t="e">
        <v>#REF!</v>
      </c>
      <c r="N16" s="235">
        <f t="shared" ref="N16:Q50" si="2">IF(AND($G16&gt;0,H16&gt;0),(H16*100)/(100-$G16),"")</f>
        <v>19.162303664921467</v>
      </c>
      <c r="O16" s="223" t="s">
        <v>23</v>
      </c>
      <c r="P16" s="223" t="s">
        <v>23</v>
      </c>
      <c r="Q16" s="156">
        <f t="shared" ref="Q16:Q49" si="3">IF(AND($G16&gt;0,K16&gt;0),(K16*100)/(100-$G16),"")</f>
        <v>25.445026178010473</v>
      </c>
      <c r="R16" s="223" t="s">
        <v>23</v>
      </c>
      <c r="S16" s="223" t="s">
        <v>23</v>
      </c>
      <c r="T16" s="236"/>
    </row>
    <row r="17" spans="2:20" x14ac:dyDescent="0.3">
      <c r="B17" s="254" t="str">
        <f>VLOOKUP(D17,Data!C$6:D$97,2,FALSE)</f>
        <v>09/12/2021</v>
      </c>
      <c r="C17" s="280">
        <f>VLOOKUP(D17,Data!F$6:G$97,2,FALSE)</f>
        <v>1144423</v>
      </c>
      <c r="D17" s="278">
        <v>148</v>
      </c>
      <c r="E17" s="153">
        <f>VLOOKUP(D17,Consolidated!D$15:E$134,2,FALSE)</f>
        <v>6.78</v>
      </c>
      <c r="F17" s="275">
        <f>VLOOKUP(D17,Data!L$6:M$97,2,FALSE)</f>
        <v>8.8000000000000007</v>
      </c>
      <c r="G17" s="275">
        <f>VLOOKUP(D17,Data!O$6:P$97,2,FALSE)</f>
        <v>4.4000000000000004</v>
      </c>
      <c r="H17" s="275">
        <f>VLOOKUP(D17,Data!R$6:S$97,2,FALSE)</f>
        <v>18.899999999999999</v>
      </c>
      <c r="I17" s="153" t="e">
        <v>#REF!</v>
      </c>
      <c r="J17" s="153" t="e">
        <v>#REF!</v>
      </c>
      <c r="K17" s="153">
        <f>VLOOKUP(D17,Data!U$6:V$97,2,FALSE)</f>
        <v>23.53</v>
      </c>
      <c r="L17" s="153" t="e">
        <v>#REF!</v>
      </c>
      <c r="M17" s="153" t="e">
        <v>#REF!</v>
      </c>
      <c r="N17" s="224">
        <f t="shared" si="2"/>
        <v>19.769874476987447</v>
      </c>
      <c r="O17" s="223" t="s">
        <v>23</v>
      </c>
      <c r="P17" s="223" t="s">
        <v>23</v>
      </c>
      <c r="Q17" s="155">
        <f t="shared" si="3"/>
        <v>24.612970711297073</v>
      </c>
      <c r="R17" s="223" t="s">
        <v>23</v>
      </c>
      <c r="S17" s="223" t="s">
        <v>23</v>
      </c>
      <c r="T17" s="225"/>
    </row>
    <row r="18" spans="2:20" x14ac:dyDescent="0.3">
      <c r="B18" s="254" t="str">
        <f>VLOOKUP(D18,Data!C$6:D$97,2,FALSE)</f>
        <v>09/12/2021</v>
      </c>
      <c r="C18" s="277">
        <f>VLOOKUP(D18,Data!F$6:G$97,2,FALSE)</f>
        <v>1144384</v>
      </c>
      <c r="D18" s="278">
        <v>116</v>
      </c>
      <c r="E18" s="153">
        <f>VLOOKUP(D18,Consolidated!D$15:E$134,2,FALSE)</f>
        <v>4.54</v>
      </c>
      <c r="F18" s="275">
        <f>VLOOKUP(D18,Data!L$6:M$97,2,FALSE)</f>
        <v>8.6999999999999993</v>
      </c>
      <c r="G18" s="275">
        <f>VLOOKUP(D18,Data!O$6:P$97,2,FALSE)</f>
        <v>3.6</v>
      </c>
      <c r="H18" s="275">
        <f>VLOOKUP(D18,Data!R$6:S$97,2,FALSE)</f>
        <v>17.899999999999999</v>
      </c>
      <c r="I18" s="153" t="e">
        <v>#REF!</v>
      </c>
      <c r="J18" s="153" t="e">
        <v>#REF!</v>
      </c>
      <c r="K18" s="153">
        <f>VLOOKUP(D18,Data!U$6:V$97,2,FALSE)</f>
        <v>24.55</v>
      </c>
      <c r="L18" s="153" t="e">
        <v>#REF!</v>
      </c>
      <c r="M18" s="153" t="e">
        <v>#REF!</v>
      </c>
      <c r="N18" s="224">
        <f t="shared" si="2"/>
        <v>18.568464730290454</v>
      </c>
      <c r="O18" s="223" t="s">
        <v>23</v>
      </c>
      <c r="P18" s="223" t="s">
        <v>23</v>
      </c>
      <c r="Q18" s="155">
        <f t="shared" si="3"/>
        <v>25.466804979253112</v>
      </c>
      <c r="R18" s="223" t="s">
        <v>23</v>
      </c>
      <c r="S18" s="223" t="s">
        <v>23</v>
      </c>
      <c r="T18" s="225"/>
    </row>
    <row r="19" spans="2:20" x14ac:dyDescent="0.3">
      <c r="B19" s="254" t="str">
        <f>VLOOKUP(D19,Data!C$6:D$97,2,FALSE)</f>
        <v>09/12/2021</v>
      </c>
      <c r="C19" s="279">
        <f>VLOOKUP(D19,Data!F$6:G$97,2,FALSE)</f>
        <v>1144408</v>
      </c>
      <c r="D19" s="278">
        <v>111</v>
      </c>
      <c r="E19" s="153">
        <f>VLOOKUP(D19,Consolidated!D$15:E$134,2,FALSE)</f>
        <v>6.72</v>
      </c>
      <c r="F19" s="275">
        <f>VLOOKUP(D19,Data!L$6:M$97,2,FALSE)</f>
        <v>8.5</v>
      </c>
      <c r="G19" s="275">
        <f>VLOOKUP(D19,Data!O$6:P$97,2,FALSE)</f>
        <v>4.5</v>
      </c>
      <c r="H19" s="275">
        <f>VLOOKUP(D19,Data!R$6:S$97,2,FALSE)</f>
        <v>18.600000000000001</v>
      </c>
      <c r="I19" s="153" t="e">
        <v>#REF!</v>
      </c>
      <c r="J19" s="153" t="e">
        <v>#REF!</v>
      </c>
      <c r="K19" s="153">
        <f>VLOOKUP(D19,Data!U$6:V$97,2,FALSE)</f>
        <v>23.16</v>
      </c>
      <c r="L19" s="153" t="e">
        <v>#REF!</v>
      </c>
      <c r="M19" s="153" t="e">
        <v>#REF!</v>
      </c>
      <c r="N19" s="224">
        <f t="shared" si="2"/>
        <v>19.47643979057592</v>
      </c>
      <c r="O19" s="223" t="s">
        <v>23</v>
      </c>
      <c r="P19" s="223" t="s">
        <v>23</v>
      </c>
      <c r="Q19" s="155">
        <f t="shared" si="3"/>
        <v>24.251308900523561</v>
      </c>
      <c r="R19" s="223" t="s">
        <v>23</v>
      </c>
      <c r="S19" s="223" t="s">
        <v>23</v>
      </c>
      <c r="T19" s="225"/>
    </row>
    <row r="20" spans="2:20" x14ac:dyDescent="0.3">
      <c r="B20" s="254" t="str">
        <f>VLOOKUP(D20,Data!C$6:D$97,2,FALSE)</f>
        <v>09/12/2021</v>
      </c>
      <c r="C20" s="277">
        <f>VLOOKUP(D20,Data!F$6:G$97,2,FALSE)</f>
        <v>1144397</v>
      </c>
      <c r="D20" s="278">
        <v>117</v>
      </c>
      <c r="E20" s="153">
        <f>VLOOKUP(D20,Consolidated!D$15:E$134,2,FALSE)</f>
        <v>3.82</v>
      </c>
      <c r="F20" s="275">
        <f>VLOOKUP(D20,Data!L$6:M$97,2,FALSE)</f>
        <v>8.8000000000000007</v>
      </c>
      <c r="G20" s="275">
        <f>VLOOKUP(D20,Data!O$6:P$97,2,FALSE)</f>
        <v>4.0999999999999996</v>
      </c>
      <c r="H20" s="275">
        <f>VLOOKUP(D20,Data!R$6:S$97,2,FALSE)</f>
        <v>17.7</v>
      </c>
      <c r="I20" s="153" t="e">
        <v>#REF!</v>
      </c>
      <c r="J20" s="153" t="e">
        <v>#REF!</v>
      </c>
      <c r="K20" s="153">
        <f>VLOOKUP(D20,Data!U$6:V$97,2,FALSE)</f>
        <v>24.25</v>
      </c>
      <c r="L20" s="153" t="e">
        <v>#REF!</v>
      </c>
      <c r="M20" s="153" t="e">
        <v>#REF!</v>
      </c>
      <c r="N20" s="224">
        <f t="shared" si="2"/>
        <v>18.456725755995826</v>
      </c>
      <c r="O20" s="223" t="s">
        <v>23</v>
      </c>
      <c r="P20" s="223" t="s">
        <v>23</v>
      </c>
      <c r="Q20" s="155">
        <f t="shared" si="3"/>
        <v>25.286757038581854</v>
      </c>
      <c r="R20" s="223" t="s">
        <v>23</v>
      </c>
      <c r="S20" s="223" t="s">
        <v>23</v>
      </c>
      <c r="T20" s="225"/>
    </row>
    <row r="21" spans="2:20" x14ac:dyDescent="0.3">
      <c r="B21" s="226" t="str">
        <f>VLOOKUP(D21,Data!C$6:D$97,2,FALSE)</f>
        <v>09/12/2021</v>
      </c>
      <c r="C21" s="279">
        <f>VLOOKUP(D21,Data!F$6:G$97,2,FALSE)</f>
        <v>1144375</v>
      </c>
      <c r="D21" s="278">
        <v>156</v>
      </c>
      <c r="E21" s="153">
        <f>VLOOKUP(D21,Consolidated!D$15:E$134,2,FALSE)</f>
        <v>5</v>
      </c>
      <c r="F21" s="275">
        <f>VLOOKUP(D21,Data!L$6:M$97,2,FALSE)</f>
        <v>8.8000000000000007</v>
      </c>
      <c r="G21" s="275">
        <f>VLOOKUP(D21,Data!O$6:P$97,2,FALSE)</f>
        <v>3.5</v>
      </c>
      <c r="H21" s="275">
        <f>VLOOKUP(D21,Data!R$6:S$97,2,FALSE)</f>
        <v>18.399999999999999</v>
      </c>
      <c r="I21" s="153" t="e">
        <v>#REF!</v>
      </c>
      <c r="J21" s="153" t="e">
        <v>#REF!</v>
      </c>
      <c r="K21" s="153">
        <f>VLOOKUP(D21,Data!U$6:V$97,2,FALSE)</f>
        <v>24.65</v>
      </c>
      <c r="L21" s="153" t="e">
        <v>#REF!</v>
      </c>
      <c r="M21" s="153" t="e">
        <v>#REF!</v>
      </c>
      <c r="N21" s="224">
        <f t="shared" si="2"/>
        <v>19.067357512953365</v>
      </c>
      <c r="O21" s="223" t="s">
        <v>23</v>
      </c>
      <c r="P21" s="223" t="s">
        <v>23</v>
      </c>
      <c r="Q21" s="155">
        <f t="shared" si="3"/>
        <v>25.5440414507772</v>
      </c>
      <c r="R21" s="223" t="s">
        <v>23</v>
      </c>
      <c r="S21" s="223" t="s">
        <v>23</v>
      </c>
      <c r="T21" s="225"/>
    </row>
    <row r="22" spans="2:20" x14ac:dyDescent="0.3">
      <c r="B22" s="276" t="str">
        <f>VLOOKUP(D22,Data!C$6:D$97,2,FALSE)</f>
        <v>09/12/2021</v>
      </c>
      <c r="C22" s="277">
        <f>VLOOKUP(D22,Data!F$6:G$97,2,FALSE)</f>
        <v>1144426</v>
      </c>
      <c r="D22" s="159">
        <v>160</v>
      </c>
      <c r="E22" s="153">
        <f>VLOOKUP(D22,Consolidated!D$15:E$134,2,FALSE)</f>
        <v>3.92</v>
      </c>
      <c r="F22" s="275">
        <f>VLOOKUP(D22,Data!L$6:M$97,2,FALSE)</f>
        <v>8.4</v>
      </c>
      <c r="G22" s="275">
        <f>VLOOKUP(D22,Data!O$6:P$97,2,FALSE)</f>
        <v>4.5999999999999996</v>
      </c>
      <c r="H22" s="275">
        <f>VLOOKUP(D22,Data!R$6:S$97,2,FALSE)</f>
        <v>18.7</v>
      </c>
      <c r="I22" s="153" t="e">
        <v>#REF!</v>
      </c>
      <c r="J22" s="153" t="e">
        <v>#REF!</v>
      </c>
      <c r="K22" s="153">
        <f>VLOOKUP(D22,Data!U$6:V$97,2,FALSE)</f>
        <v>24.34</v>
      </c>
      <c r="L22" s="153" t="e">
        <v>#REF!</v>
      </c>
      <c r="M22" s="153" t="e">
        <v>#REF!</v>
      </c>
      <c r="N22" s="224">
        <f t="shared" si="2"/>
        <v>19.60167714884696</v>
      </c>
      <c r="O22" s="223" t="s">
        <v>23</v>
      </c>
      <c r="P22" s="223" t="s">
        <v>23</v>
      </c>
      <c r="Q22" s="155">
        <f t="shared" si="3"/>
        <v>25.513626834381551</v>
      </c>
      <c r="R22" s="223" t="s">
        <v>23</v>
      </c>
      <c r="S22" s="223" t="s">
        <v>23</v>
      </c>
      <c r="T22" s="225"/>
    </row>
    <row r="23" spans="2:20" x14ac:dyDescent="0.3">
      <c r="B23" s="254" t="str">
        <f>VLOOKUP(D23,Data!C$6:D$97,2,FALSE)</f>
        <v>09/12/2021</v>
      </c>
      <c r="C23" s="279">
        <f>VLOOKUP(D23,Data!F$6:G$97,2,FALSE)</f>
        <v>1144413</v>
      </c>
      <c r="D23" s="281">
        <v>169</v>
      </c>
      <c r="E23" s="153">
        <f>VLOOKUP(D23,Consolidated!D$15:E$134,2,FALSE)</f>
        <v>5.42</v>
      </c>
      <c r="F23" s="275">
        <f>VLOOKUP(D23,Data!L$6:M$97,2,FALSE)</f>
        <v>8.6999999999999993</v>
      </c>
      <c r="G23" s="275">
        <f>VLOOKUP(D23,Data!O$6:P$97,2,FALSE)</f>
        <v>4.0999999999999996</v>
      </c>
      <c r="H23" s="275">
        <f>VLOOKUP(D23,Data!R$6:S$97,2,FALSE)</f>
        <v>19</v>
      </c>
      <c r="I23" s="153" t="e">
        <v>#REF!</v>
      </c>
      <c r="J23" s="153" t="e">
        <v>#REF!</v>
      </c>
      <c r="K23" s="153">
        <f>VLOOKUP(D23,Data!U$6:V$97,2,FALSE)</f>
        <v>24.22</v>
      </c>
      <c r="L23" s="153" t="e">
        <v>#REF!</v>
      </c>
      <c r="M23" s="153" t="e">
        <v>#REF!</v>
      </c>
      <c r="N23" s="224">
        <f t="shared" si="2"/>
        <v>19.81230448383733</v>
      </c>
      <c r="O23" s="223" t="s">
        <v>23</v>
      </c>
      <c r="P23" s="223" t="s">
        <v>23</v>
      </c>
      <c r="Q23" s="155">
        <f t="shared" si="3"/>
        <v>25.255474452554743</v>
      </c>
      <c r="R23" s="223" t="s">
        <v>23</v>
      </c>
      <c r="S23" s="223" t="s">
        <v>23</v>
      </c>
      <c r="T23" s="225"/>
    </row>
    <row r="24" spans="2:20" x14ac:dyDescent="0.3">
      <c r="B24" s="254" t="str">
        <f>VLOOKUP(D24,Data!C$6:D$97,2,FALSE)</f>
        <v>09/12/2021</v>
      </c>
      <c r="C24" s="277">
        <f>VLOOKUP(D24,Data!F$6:G$97,2,FALSE)</f>
        <v>1144437</v>
      </c>
      <c r="D24" s="278">
        <v>161</v>
      </c>
      <c r="E24" s="153">
        <f>VLOOKUP(D24,Consolidated!D$15:E$134,2,FALSE)</f>
        <v>4.5199999999999996</v>
      </c>
      <c r="F24" s="275">
        <f>VLOOKUP(D24,Data!L$6:M$97,2,FALSE)</f>
        <v>9.3000000000000007</v>
      </c>
      <c r="G24" s="275">
        <f>VLOOKUP(D24,Data!O$6:P$97,2,FALSE)</f>
        <v>4.3</v>
      </c>
      <c r="H24" s="275">
        <f>VLOOKUP(D24,Data!R$6:S$97,2,FALSE)</f>
        <v>19.600000000000001</v>
      </c>
      <c r="I24" s="153" t="e">
        <v>#REF!</v>
      </c>
      <c r="J24" s="153" t="e">
        <v>#REF!</v>
      </c>
      <c r="K24" s="153">
        <f>VLOOKUP(D24,Data!U$6:V$97,2,FALSE)</f>
        <v>23.89</v>
      </c>
      <c r="L24" s="153" t="e">
        <v>#REF!</v>
      </c>
      <c r="M24" s="153" t="e">
        <v>#REF!</v>
      </c>
      <c r="N24" s="235">
        <f t="shared" si="2"/>
        <v>20.480668756530829</v>
      </c>
      <c r="O24" s="223" t="s">
        <v>23</v>
      </c>
      <c r="P24" s="223" t="s">
        <v>23</v>
      </c>
      <c r="Q24" s="156">
        <f t="shared" si="3"/>
        <v>24.96342737722048</v>
      </c>
      <c r="R24" s="223" t="s">
        <v>23</v>
      </c>
      <c r="S24" s="223" t="s">
        <v>23</v>
      </c>
      <c r="T24" s="236"/>
    </row>
    <row r="25" spans="2:20" x14ac:dyDescent="0.3">
      <c r="B25" s="254" t="str">
        <f>VLOOKUP(D25,Data!C$6:D$97,2,FALSE)</f>
        <v>09/12/2021</v>
      </c>
      <c r="C25" s="277">
        <f>VLOOKUP(D25,Data!F$6:G$97,2,FALSE)</f>
        <v>1144376</v>
      </c>
      <c r="D25" s="278">
        <v>159</v>
      </c>
      <c r="E25" s="153">
        <f>VLOOKUP(D25,Consolidated!D$15:E$134,2,FALSE)</f>
        <v>5.92</v>
      </c>
      <c r="F25" s="275">
        <f>VLOOKUP(D25,Data!L$6:M$97,2,FALSE)</f>
        <v>8.8000000000000007</v>
      </c>
      <c r="G25" s="275">
        <f>VLOOKUP(D25,Data!O$6:P$97,2,FALSE)</f>
        <v>3.5</v>
      </c>
      <c r="H25" s="275">
        <f>VLOOKUP(D25,Data!R$6:S$97,2,FALSE)</f>
        <v>17.7</v>
      </c>
      <c r="I25" s="153" t="e">
        <v>#REF!</v>
      </c>
      <c r="J25" s="153" t="e">
        <v>#REF!</v>
      </c>
      <c r="K25" s="153">
        <f>VLOOKUP(D25,Data!U$6:V$97,2,FALSE)</f>
        <v>24.62</v>
      </c>
      <c r="L25" s="153" t="e">
        <v>#REF!</v>
      </c>
      <c r="M25" s="153" t="e">
        <v>#REF!</v>
      </c>
      <c r="N25" s="235">
        <f t="shared" si="2"/>
        <v>18.3419689119171</v>
      </c>
      <c r="O25" s="223" t="s">
        <v>23</v>
      </c>
      <c r="P25" s="223" t="s">
        <v>23</v>
      </c>
      <c r="Q25" s="156">
        <f t="shared" si="3"/>
        <v>25.512953367875646</v>
      </c>
      <c r="R25" s="223" t="s">
        <v>23</v>
      </c>
      <c r="S25" s="223" t="s">
        <v>23</v>
      </c>
      <c r="T25" s="236"/>
    </row>
    <row r="26" spans="2:20" x14ac:dyDescent="0.3">
      <c r="B26" s="254" t="str">
        <f>VLOOKUP(D26,Data!C$6:D$97,2,FALSE)</f>
        <v>09/12/2021</v>
      </c>
      <c r="C26" s="280">
        <f>VLOOKUP(D26,Data!F$6:G$97,2,FALSE)</f>
        <v>1144394</v>
      </c>
      <c r="D26" s="278">
        <v>109</v>
      </c>
      <c r="E26" s="153">
        <f>VLOOKUP(D26,Consolidated!D$15:E$134,2,FALSE)</f>
        <v>4.3600000000000003</v>
      </c>
      <c r="F26" s="275">
        <f>VLOOKUP(D26,Data!L$6:M$97,2,FALSE)</f>
        <v>9</v>
      </c>
      <c r="G26" s="275">
        <f>VLOOKUP(D26,Data!O$6:P$97,2,FALSE)</f>
        <v>3.7</v>
      </c>
      <c r="H26" s="275">
        <f>VLOOKUP(D26,Data!R$6:S$97,2,FALSE)</f>
        <v>19.100000000000001</v>
      </c>
      <c r="I26" s="153" t="e">
        <v>#REF!</v>
      </c>
      <c r="J26" s="153" t="e">
        <v>#REF!</v>
      </c>
      <c r="K26" s="153">
        <f>VLOOKUP(D26,Data!U$6:V$97,2,FALSE)</f>
        <v>23.63</v>
      </c>
      <c r="L26" s="153" t="e">
        <v>#REF!</v>
      </c>
      <c r="M26" s="153" t="e">
        <v>#REF!</v>
      </c>
      <c r="N26" s="235">
        <f t="shared" si="2"/>
        <v>19.83385254413292</v>
      </c>
      <c r="O26" s="223" t="s">
        <v>23</v>
      </c>
      <c r="P26" s="223" t="s">
        <v>23</v>
      </c>
      <c r="Q26" s="156">
        <f t="shared" si="3"/>
        <v>24.53790238836968</v>
      </c>
      <c r="R26" s="223" t="s">
        <v>23</v>
      </c>
      <c r="S26" s="223" t="s">
        <v>23</v>
      </c>
      <c r="T26" s="236"/>
    </row>
    <row r="27" spans="2:20" x14ac:dyDescent="0.3">
      <c r="B27" s="226" t="str">
        <f>VLOOKUP(D27,Data!C$6:D$97,2,FALSE)</f>
        <v>09/12/2021</v>
      </c>
      <c r="C27" s="279">
        <f>VLOOKUP(D27,Data!F$6:G$97,2,FALSE)</f>
        <v>1144450</v>
      </c>
      <c r="D27" s="278">
        <v>145</v>
      </c>
      <c r="E27" s="153">
        <f>VLOOKUP(D27,Consolidated!D$15:E$134,2,FALSE)</f>
        <v>4.8</v>
      </c>
      <c r="F27" s="275">
        <f>VLOOKUP(D27,Data!L$6:M$97,2,FALSE)</f>
        <v>8.8000000000000007</v>
      </c>
      <c r="G27" s="275">
        <f>VLOOKUP(D27,Data!O$6:P$97,2,FALSE)</f>
        <v>4.7</v>
      </c>
      <c r="H27" s="275">
        <f>VLOOKUP(D27,Data!R$6:S$97,2,FALSE)</f>
        <v>18.5</v>
      </c>
      <c r="I27" s="153" t="e">
        <v>#REF!</v>
      </c>
      <c r="J27" s="153" t="e">
        <v>#REF!</v>
      </c>
      <c r="K27" s="153">
        <f>VLOOKUP(D27,Data!U$6:V$97,2,FALSE)</f>
        <v>24.04</v>
      </c>
      <c r="L27" s="153" t="e">
        <v>#REF!</v>
      </c>
      <c r="M27" s="153" t="e">
        <v>#REF!</v>
      </c>
      <c r="N27" s="235">
        <f t="shared" si="2"/>
        <v>19.412381951731376</v>
      </c>
      <c r="O27" s="223" t="s">
        <v>23</v>
      </c>
      <c r="P27" s="223" t="s">
        <v>23</v>
      </c>
      <c r="Q27" s="156">
        <f t="shared" si="3"/>
        <v>25.22560335781742</v>
      </c>
      <c r="R27" s="223" t="s">
        <v>23</v>
      </c>
      <c r="S27" s="223" t="s">
        <v>23</v>
      </c>
      <c r="T27" s="236"/>
    </row>
    <row r="28" spans="2:20" x14ac:dyDescent="0.3">
      <c r="B28" s="276" t="str">
        <f>VLOOKUP(D28,Data!C$6:D$97,2,FALSE)</f>
        <v>09/12/2021</v>
      </c>
      <c r="C28" s="277">
        <f>VLOOKUP(D28,Data!F$6:G$97,2,FALSE)</f>
        <v>1144419</v>
      </c>
      <c r="D28" s="278">
        <v>108</v>
      </c>
      <c r="E28" s="153">
        <f>VLOOKUP(D28,Consolidated!D$15:E$134,2,FALSE)</f>
        <v>4.1399999999999997</v>
      </c>
      <c r="F28" s="275">
        <f>VLOOKUP(D28,Data!L$6:M$97,2,FALSE)</f>
        <v>8.8000000000000007</v>
      </c>
      <c r="G28" s="275">
        <f>VLOOKUP(D28,Data!O$6:P$97,2,FALSE)</f>
        <v>4.7</v>
      </c>
      <c r="H28" s="275">
        <f>VLOOKUP(D28,Data!R$6:S$97,2,FALSE)</f>
        <v>18.100000000000001</v>
      </c>
      <c r="I28" s="153" t="e">
        <v>#REF!</v>
      </c>
      <c r="J28" s="153" t="e">
        <v>#REF!</v>
      </c>
      <c r="K28" s="153">
        <f>VLOOKUP(D28,Data!U$6:V$97,2,FALSE)</f>
        <v>23.31</v>
      </c>
      <c r="L28" s="153" t="e">
        <v>#REF!</v>
      </c>
      <c r="M28" s="153" t="e">
        <v>#REF!</v>
      </c>
      <c r="N28" s="235">
        <f t="shared" si="2"/>
        <v>18.992654774396645</v>
      </c>
      <c r="O28" s="223" t="s">
        <v>23</v>
      </c>
      <c r="P28" s="223" t="s">
        <v>23</v>
      </c>
      <c r="Q28" s="156">
        <f t="shared" si="3"/>
        <v>24.459601259181532</v>
      </c>
      <c r="R28" s="223" t="s">
        <v>23</v>
      </c>
      <c r="S28" s="223" t="s">
        <v>23</v>
      </c>
      <c r="T28" s="236"/>
    </row>
    <row r="29" spans="2:20" x14ac:dyDescent="0.3">
      <c r="B29" s="226" t="str">
        <f>VLOOKUP(D29,Data!C$6:D$97,2,FALSE)</f>
        <v>09/12/2021</v>
      </c>
      <c r="C29" s="279">
        <f>VLOOKUP(D29,Data!F$6:G$97,2,FALSE)</f>
        <v>1144433</v>
      </c>
      <c r="D29" s="278">
        <v>130</v>
      </c>
      <c r="E29" s="153">
        <f>VLOOKUP(D29,Consolidated!D$15:E$134,2,FALSE)</f>
        <v>6.28</v>
      </c>
      <c r="F29" s="275">
        <f>VLOOKUP(D29,Data!L$6:M$97,2,FALSE)</f>
        <v>9.5</v>
      </c>
      <c r="G29" s="275">
        <f>VLOOKUP(D29,Data!O$6:P$97,2,FALSE)</f>
        <v>4.7</v>
      </c>
      <c r="H29" s="275">
        <f>VLOOKUP(D29,Data!R$6:S$97,2,FALSE)</f>
        <v>19.2</v>
      </c>
      <c r="I29" s="153" t="e">
        <v>#REF!</v>
      </c>
      <c r="J29" s="153" t="e">
        <v>#REF!</v>
      </c>
      <c r="K29" s="153">
        <f>VLOOKUP(D29,Data!U$6:V$97,2,FALSE)</f>
        <v>24.04</v>
      </c>
      <c r="L29" s="153" t="e">
        <v>#REF!</v>
      </c>
      <c r="M29" s="153" t="e">
        <v>#REF!</v>
      </c>
      <c r="N29" s="235">
        <f t="shared" si="2"/>
        <v>20.146904512067156</v>
      </c>
      <c r="O29" s="223" t="s">
        <v>23</v>
      </c>
      <c r="P29" s="223" t="s">
        <v>23</v>
      </c>
      <c r="Q29" s="156">
        <f t="shared" si="3"/>
        <v>25.22560335781742</v>
      </c>
      <c r="R29" s="223" t="s">
        <v>23</v>
      </c>
      <c r="S29" s="223" t="s">
        <v>23</v>
      </c>
      <c r="T29" s="236"/>
    </row>
    <row r="30" spans="2:20" x14ac:dyDescent="0.3">
      <c r="B30" s="226" t="str">
        <f>VLOOKUP(D30,Data!C$6:D$97,2,FALSE)</f>
        <v>09/12/2021</v>
      </c>
      <c r="C30" s="277">
        <f>VLOOKUP(D30,Data!F$6:G$97,2,FALSE)</f>
        <v>1144433</v>
      </c>
      <c r="D30" s="278">
        <v>130</v>
      </c>
      <c r="E30" s="153">
        <f>VLOOKUP(D30,Consolidated!D$15:E$134,2,FALSE)</f>
        <v>6.28</v>
      </c>
      <c r="F30" s="275">
        <f>VLOOKUP(D30,Data!L$6:M$97,2,FALSE)</f>
        <v>9.5</v>
      </c>
      <c r="G30" s="275">
        <f>VLOOKUP(D30,Data!O$6:P$97,2,FALSE)</f>
        <v>4.7</v>
      </c>
      <c r="H30" s="275">
        <f>VLOOKUP(D30,Data!R$6:S$97,2,FALSE)</f>
        <v>19.2</v>
      </c>
      <c r="I30" s="153" t="e">
        <v>#REF!</v>
      </c>
      <c r="J30" s="153" t="e">
        <v>#REF!</v>
      </c>
      <c r="K30" s="153">
        <f>VLOOKUP(D30,Data!U$6:V$97,2,FALSE)</f>
        <v>24.04</v>
      </c>
      <c r="L30" s="153" t="e">
        <v>#REF!</v>
      </c>
      <c r="M30" s="153" t="e">
        <v>#REF!</v>
      </c>
      <c r="N30" s="235">
        <f t="shared" si="2"/>
        <v>20.146904512067156</v>
      </c>
      <c r="O30" s="223" t="s">
        <v>23</v>
      </c>
      <c r="P30" s="223" t="s">
        <v>23</v>
      </c>
      <c r="Q30" s="156">
        <f t="shared" si="3"/>
        <v>25.22560335781742</v>
      </c>
      <c r="R30" s="223" t="s">
        <v>23</v>
      </c>
      <c r="S30" s="223" t="s">
        <v>23</v>
      </c>
      <c r="T30" s="236"/>
    </row>
    <row r="31" spans="2:20" x14ac:dyDescent="0.3">
      <c r="B31" s="226" t="str">
        <f>VLOOKUP(D31,Data!C$6:D$97,2,FALSE)</f>
        <v>09/12/2021</v>
      </c>
      <c r="C31" s="277">
        <f>VLOOKUP(D31,Data!F$6:G$97,2,FALSE)</f>
        <v>1144376</v>
      </c>
      <c r="D31" s="278">
        <v>159</v>
      </c>
      <c r="E31" s="153">
        <f>VLOOKUP(D31,Consolidated!D$15:E$134,2,FALSE)</f>
        <v>5.92</v>
      </c>
      <c r="F31" s="275">
        <f>VLOOKUP(D31,Data!L$6:M$97,2,FALSE)</f>
        <v>8.8000000000000007</v>
      </c>
      <c r="G31" s="275">
        <f>VLOOKUP(D31,Data!O$6:P$97,2,FALSE)</f>
        <v>3.5</v>
      </c>
      <c r="H31" s="275">
        <f>VLOOKUP(D31,Data!R$6:S$97,2,FALSE)</f>
        <v>17.7</v>
      </c>
      <c r="I31" s="153" t="e">
        <v>#REF!</v>
      </c>
      <c r="J31" s="153" t="e">
        <v>#REF!</v>
      </c>
      <c r="K31" s="153">
        <f>VLOOKUP(D31,Data!U$6:V$97,2,FALSE)</f>
        <v>24.62</v>
      </c>
      <c r="L31" s="153" t="e">
        <v>#REF!</v>
      </c>
      <c r="M31" s="153" t="e">
        <v>#REF!</v>
      </c>
      <c r="N31" s="235">
        <f t="shared" si="2"/>
        <v>18.3419689119171</v>
      </c>
      <c r="O31" s="223" t="s">
        <v>23</v>
      </c>
      <c r="P31" s="223" t="s">
        <v>23</v>
      </c>
      <c r="Q31" s="156">
        <f t="shared" si="3"/>
        <v>25.512953367875646</v>
      </c>
      <c r="R31" s="223" t="s">
        <v>23</v>
      </c>
      <c r="S31" s="223" t="s">
        <v>23</v>
      </c>
      <c r="T31" s="236"/>
    </row>
    <row r="32" spans="2:20" x14ac:dyDescent="0.3">
      <c r="B32" s="226" t="e">
        <f>VLOOKUP(D32,Data!C$6:D$97,2,FALSE)</f>
        <v>#N/A</v>
      </c>
      <c r="C32" s="159" t="e">
        <f>VLOOKUP(D32,Data!F$6:G$97,2,FALSE)</f>
        <v>#N/A</v>
      </c>
      <c r="D32" s="278"/>
      <c r="E32" s="153" t="e">
        <f>VLOOKUP(D32,Consolidated!D$15:E$134,2,FALSE)</f>
        <v>#N/A</v>
      </c>
      <c r="F32" s="275" t="e">
        <f>VLOOKUP(D32,Data!L$6:M$97,2,FALSE)</f>
        <v>#N/A</v>
      </c>
      <c r="G32" s="275" t="e">
        <f>VLOOKUP(D32,Data!O$6:P$97,2,FALSE)</f>
        <v>#N/A</v>
      </c>
      <c r="H32" s="275" t="e">
        <f>VLOOKUP(D32,Data!R$6:S$97,2,FALSE)</f>
        <v>#N/A</v>
      </c>
      <c r="I32" s="153" t="e">
        <v>#N/A</v>
      </c>
      <c r="J32" s="153" t="e">
        <v>#N/A</v>
      </c>
      <c r="K32" s="153" t="e">
        <f>VLOOKUP(D32,Data!U$6:V$97,2,FALSE)</f>
        <v>#N/A</v>
      </c>
      <c r="L32" s="153" t="e">
        <v>#N/A</v>
      </c>
      <c r="M32" s="153" t="e">
        <v>#N/A</v>
      </c>
      <c r="N32" s="235" t="e">
        <f t="shared" si="2"/>
        <v>#N/A</v>
      </c>
      <c r="O32" s="223" t="s">
        <v>23</v>
      </c>
      <c r="P32" s="223" t="s">
        <v>23</v>
      </c>
      <c r="Q32" s="156" t="e">
        <f t="shared" si="3"/>
        <v>#N/A</v>
      </c>
      <c r="R32" s="223" t="s">
        <v>23</v>
      </c>
      <c r="S32" s="223" t="s">
        <v>23</v>
      </c>
      <c r="T32" s="236"/>
    </row>
    <row r="33" spans="2:20" x14ac:dyDescent="0.3">
      <c r="B33" s="226" t="e">
        <f>VLOOKUP(D33,Data!C$6:D$97,2,FALSE)</f>
        <v>#N/A</v>
      </c>
      <c r="C33" s="160" t="e">
        <f>VLOOKUP(D33,Data!F$6:G$97,2,FALSE)</f>
        <v>#N/A</v>
      </c>
      <c r="D33" s="278"/>
      <c r="E33" s="153" t="e">
        <f>VLOOKUP(D33,Consolidated!D$15:E$134,2,FALSE)</f>
        <v>#N/A</v>
      </c>
      <c r="F33" s="275" t="e">
        <f>VLOOKUP(D33,Data!L$6:M$97,2,FALSE)</f>
        <v>#N/A</v>
      </c>
      <c r="G33" s="275" t="e">
        <f>VLOOKUP(D33,Data!O$6:P$97,2,FALSE)</f>
        <v>#N/A</v>
      </c>
      <c r="H33" s="275" t="e">
        <f>VLOOKUP(D33,Data!R$6:S$97,2,FALSE)</f>
        <v>#N/A</v>
      </c>
      <c r="I33" s="153" t="e">
        <v>#N/A</v>
      </c>
      <c r="J33" s="153" t="e">
        <v>#N/A</v>
      </c>
      <c r="K33" s="153" t="e">
        <f>VLOOKUP(D33,Data!U$6:V$97,2,FALSE)</f>
        <v>#N/A</v>
      </c>
      <c r="L33" s="153" t="e">
        <v>#N/A</v>
      </c>
      <c r="M33" s="153" t="e">
        <v>#N/A</v>
      </c>
      <c r="N33" s="235" t="e">
        <f t="shared" si="2"/>
        <v>#N/A</v>
      </c>
      <c r="O33" s="223" t="s">
        <v>23</v>
      </c>
      <c r="P33" s="223" t="s">
        <v>23</v>
      </c>
      <c r="Q33" s="156" t="e">
        <f t="shared" si="3"/>
        <v>#N/A</v>
      </c>
      <c r="R33" s="223" t="s">
        <v>23</v>
      </c>
      <c r="S33" s="223" t="s">
        <v>23</v>
      </c>
      <c r="T33" s="236"/>
    </row>
    <row r="34" spans="2:20" x14ac:dyDescent="0.3">
      <c r="B34" s="226" t="e">
        <f>VLOOKUP(D34,Data!C$6:D$97,2,FALSE)</f>
        <v>#N/A</v>
      </c>
      <c r="C34" s="159" t="e">
        <f>VLOOKUP(D34,Data!F$6:G$97,2,FALSE)</f>
        <v>#N/A</v>
      </c>
      <c r="D34" s="278"/>
      <c r="E34" s="153" t="e">
        <f>VLOOKUP(D34,Consolidated!D$15:E$134,2,FALSE)</f>
        <v>#N/A</v>
      </c>
      <c r="F34" s="275" t="e">
        <f>VLOOKUP(D34,Data!L$6:M$97,2,FALSE)</f>
        <v>#N/A</v>
      </c>
      <c r="G34" s="275" t="e">
        <f>VLOOKUP(D34,Data!O$6:P$97,2,FALSE)</f>
        <v>#N/A</v>
      </c>
      <c r="H34" s="275" t="e">
        <f>VLOOKUP(D34,Data!R$6:S$97,2,FALSE)</f>
        <v>#N/A</v>
      </c>
      <c r="I34" s="153" t="e">
        <v>#N/A</v>
      </c>
      <c r="J34" s="153" t="e">
        <v>#N/A</v>
      </c>
      <c r="K34" s="153" t="e">
        <f>VLOOKUP(D34,Data!U$6:V$97,2,FALSE)</f>
        <v>#N/A</v>
      </c>
      <c r="L34" s="153" t="e">
        <v>#N/A</v>
      </c>
      <c r="M34" s="153" t="e">
        <v>#N/A</v>
      </c>
      <c r="N34" s="235" t="e">
        <f t="shared" si="2"/>
        <v>#N/A</v>
      </c>
      <c r="O34" s="223" t="s">
        <v>23</v>
      </c>
      <c r="P34" s="223" t="s">
        <v>23</v>
      </c>
      <c r="Q34" s="156" t="e">
        <f t="shared" si="3"/>
        <v>#N/A</v>
      </c>
      <c r="R34" s="223" t="s">
        <v>23</v>
      </c>
      <c r="S34" s="223" t="s">
        <v>23</v>
      </c>
      <c r="T34" s="236"/>
    </row>
    <row r="35" spans="2:20" x14ac:dyDescent="0.3">
      <c r="B35" s="226" t="e">
        <f>VLOOKUP(D35,Data!C$6:D$97,2,FALSE)</f>
        <v>#N/A</v>
      </c>
      <c r="C35" s="160" t="e">
        <f>VLOOKUP(D35,Data!F$6:G$97,2,FALSE)</f>
        <v>#N/A</v>
      </c>
      <c r="D35" s="278"/>
      <c r="E35" s="153" t="e">
        <f>VLOOKUP(D35,Consolidated!D$15:E$134,2,FALSE)</f>
        <v>#N/A</v>
      </c>
      <c r="F35" s="275" t="e">
        <f>VLOOKUP(D35,Data!L$6:M$97,2,FALSE)</f>
        <v>#N/A</v>
      </c>
      <c r="G35" s="275" t="e">
        <f>VLOOKUP(D35,Data!O$6:P$97,2,FALSE)</f>
        <v>#N/A</v>
      </c>
      <c r="H35" s="275" t="e">
        <f>VLOOKUP(D35,Data!R$6:S$97,2,FALSE)</f>
        <v>#N/A</v>
      </c>
      <c r="I35" s="153" t="e">
        <v>#N/A</v>
      </c>
      <c r="J35" s="153" t="e">
        <v>#N/A</v>
      </c>
      <c r="K35" s="153" t="e">
        <f>VLOOKUP(D35,Data!U$6:V$97,2,FALSE)</f>
        <v>#N/A</v>
      </c>
      <c r="L35" s="153" t="e">
        <v>#N/A</v>
      </c>
      <c r="M35" s="153" t="e">
        <v>#N/A</v>
      </c>
      <c r="N35" s="235" t="e">
        <f t="shared" si="2"/>
        <v>#N/A</v>
      </c>
      <c r="O35" s="223" t="s">
        <v>23</v>
      </c>
      <c r="P35" s="223" t="s">
        <v>23</v>
      </c>
      <c r="Q35" s="156" t="e">
        <f t="shared" si="3"/>
        <v>#N/A</v>
      </c>
      <c r="R35" s="223" t="s">
        <v>23</v>
      </c>
      <c r="S35" s="223" t="s">
        <v>23</v>
      </c>
      <c r="T35" s="236"/>
    </row>
    <row r="36" spans="2:20" x14ac:dyDescent="0.3">
      <c r="B36" s="226" t="e">
        <f>VLOOKUP(D36,Data!C$6:D$97,2,FALSE)</f>
        <v>#N/A</v>
      </c>
      <c r="C36" s="159" t="e">
        <f>VLOOKUP(D36,Data!F$6:G$97,2,FALSE)</f>
        <v>#N/A</v>
      </c>
      <c r="D36" s="278"/>
      <c r="E36" s="153" t="e">
        <f>VLOOKUP(D36,Consolidated!D$15:E$134,2,FALSE)</f>
        <v>#N/A</v>
      </c>
      <c r="F36" s="275" t="e">
        <f>VLOOKUP(D36,Data!L$6:M$97,2,FALSE)</f>
        <v>#N/A</v>
      </c>
      <c r="G36" s="275" t="e">
        <f>VLOOKUP(D36,Data!O$6:P$97,2,FALSE)</f>
        <v>#N/A</v>
      </c>
      <c r="H36" s="275" t="e">
        <f>VLOOKUP(D36,Data!R$6:S$97,2,FALSE)</f>
        <v>#N/A</v>
      </c>
      <c r="I36" s="153" t="e">
        <v>#N/A</v>
      </c>
      <c r="J36" s="153" t="e">
        <v>#N/A</v>
      </c>
      <c r="K36" s="153" t="e">
        <f>VLOOKUP(D36,Data!U$6:V$97,2,FALSE)</f>
        <v>#N/A</v>
      </c>
      <c r="L36" s="153" t="e">
        <v>#N/A</v>
      </c>
      <c r="M36" s="153" t="e">
        <v>#N/A</v>
      </c>
      <c r="N36" s="235" t="e">
        <f t="shared" si="2"/>
        <v>#N/A</v>
      </c>
      <c r="O36" s="223" t="s">
        <v>23</v>
      </c>
      <c r="P36" s="223" t="s">
        <v>23</v>
      </c>
      <c r="Q36" s="156" t="e">
        <f t="shared" si="3"/>
        <v>#N/A</v>
      </c>
      <c r="R36" s="223" t="s">
        <v>23</v>
      </c>
      <c r="S36" s="223" t="s">
        <v>23</v>
      </c>
      <c r="T36" s="236"/>
    </row>
    <row r="37" spans="2:20" x14ac:dyDescent="0.3">
      <c r="B37" s="226" t="e">
        <f>VLOOKUP(D37,Data!C$6:D$97,2,FALSE)</f>
        <v>#N/A</v>
      </c>
      <c r="C37" s="159" t="e">
        <f>VLOOKUP(D37,Data!F$6:G$97,2,FALSE)</f>
        <v>#N/A</v>
      </c>
      <c r="D37" s="278"/>
      <c r="E37" s="153" t="e">
        <f>VLOOKUP(D37,Consolidated!D$15:E$134,2,FALSE)</f>
        <v>#N/A</v>
      </c>
      <c r="F37" s="275" t="e">
        <f>VLOOKUP(D37,Data!L$6:M$97,2,FALSE)</f>
        <v>#N/A</v>
      </c>
      <c r="G37" s="275" t="e">
        <f>VLOOKUP(D37,Data!O$6:P$97,2,FALSE)</f>
        <v>#N/A</v>
      </c>
      <c r="H37" s="275" t="e">
        <f>VLOOKUP(D37,Data!R$6:S$97,2,FALSE)</f>
        <v>#N/A</v>
      </c>
      <c r="I37" s="153" t="e">
        <v>#N/A</v>
      </c>
      <c r="J37" s="153" t="e">
        <v>#N/A</v>
      </c>
      <c r="K37" s="153" t="e">
        <f>VLOOKUP(D37,Data!U$6:V$97,2,FALSE)</f>
        <v>#N/A</v>
      </c>
      <c r="L37" s="153" t="e">
        <v>#N/A</v>
      </c>
      <c r="M37" s="153" t="e">
        <v>#N/A</v>
      </c>
      <c r="N37" s="235" t="e">
        <f t="shared" si="2"/>
        <v>#N/A</v>
      </c>
      <c r="O37" s="223" t="s">
        <v>23</v>
      </c>
      <c r="P37" s="223" t="s">
        <v>23</v>
      </c>
      <c r="Q37" s="156" t="e">
        <f t="shared" si="3"/>
        <v>#N/A</v>
      </c>
      <c r="R37" s="223" t="s">
        <v>23</v>
      </c>
      <c r="S37" s="223" t="s">
        <v>23</v>
      </c>
      <c r="T37" s="236"/>
    </row>
    <row r="38" spans="2:20" x14ac:dyDescent="0.3">
      <c r="B38" s="226" t="e">
        <f>VLOOKUP(D38,Data!C$6:D$97,2,FALSE)</f>
        <v>#N/A</v>
      </c>
      <c r="C38" s="160" t="e">
        <f>VLOOKUP(D38,Data!F$6:G$97,2,FALSE)</f>
        <v>#N/A</v>
      </c>
      <c r="D38" s="278"/>
      <c r="E38" s="153" t="e">
        <f>VLOOKUP(D38,Consolidated!D$15:E$134,2,FALSE)</f>
        <v>#N/A</v>
      </c>
      <c r="F38" s="275" t="e">
        <f>VLOOKUP(D38,Data!L$6:M$97,2,FALSE)</f>
        <v>#N/A</v>
      </c>
      <c r="G38" s="275" t="e">
        <f>VLOOKUP(D38,Data!O$6:P$97,2,FALSE)</f>
        <v>#N/A</v>
      </c>
      <c r="H38" s="275" t="e">
        <f>VLOOKUP(D38,Data!R$6:S$97,2,FALSE)</f>
        <v>#N/A</v>
      </c>
      <c r="I38" s="153" t="e">
        <v>#N/A</v>
      </c>
      <c r="J38" s="153" t="e">
        <v>#N/A</v>
      </c>
      <c r="K38" s="153" t="e">
        <f>VLOOKUP(D38,Data!U$6:V$97,2,FALSE)</f>
        <v>#N/A</v>
      </c>
      <c r="L38" s="153" t="e">
        <v>#N/A</v>
      </c>
      <c r="M38" s="153" t="e">
        <v>#N/A</v>
      </c>
      <c r="N38" s="235" t="e">
        <f t="shared" si="2"/>
        <v>#N/A</v>
      </c>
      <c r="O38" s="223" t="s">
        <v>23</v>
      </c>
      <c r="P38" s="223" t="s">
        <v>23</v>
      </c>
      <c r="Q38" s="156" t="e">
        <f t="shared" si="3"/>
        <v>#N/A</v>
      </c>
      <c r="R38" s="223" t="s">
        <v>23</v>
      </c>
      <c r="S38" s="223" t="s">
        <v>23</v>
      </c>
      <c r="T38" s="236"/>
    </row>
    <row r="39" spans="2:20" x14ac:dyDescent="0.3">
      <c r="B39" s="226" t="e">
        <f>VLOOKUP(D39,Data!C$6:D$97,2,FALSE)</f>
        <v>#N/A</v>
      </c>
      <c r="C39" s="159" t="e">
        <f>VLOOKUP(D39,Data!F$6:G$97,2,FALSE)</f>
        <v>#N/A</v>
      </c>
      <c r="D39" s="278"/>
      <c r="E39" s="153" t="e">
        <f>VLOOKUP(D39,Consolidated!D$15:E$134,2,FALSE)</f>
        <v>#N/A</v>
      </c>
      <c r="F39" s="275" t="e">
        <f>VLOOKUP(D39,Data!L$6:M$97,2,FALSE)</f>
        <v>#N/A</v>
      </c>
      <c r="G39" s="275" t="e">
        <f>VLOOKUP(D39,Data!O$6:P$97,2,FALSE)</f>
        <v>#N/A</v>
      </c>
      <c r="H39" s="275" t="e">
        <f>VLOOKUP(D39,Data!R$6:S$97,2,FALSE)</f>
        <v>#N/A</v>
      </c>
      <c r="I39" s="153" t="e">
        <v>#N/A</v>
      </c>
      <c r="J39" s="153" t="e">
        <v>#N/A</v>
      </c>
      <c r="K39" s="153" t="e">
        <f>VLOOKUP(D39,Data!U$6:V$97,2,FALSE)</f>
        <v>#N/A</v>
      </c>
      <c r="L39" s="153" t="e">
        <v>#N/A</v>
      </c>
      <c r="M39" s="153" t="e">
        <v>#N/A</v>
      </c>
      <c r="N39" s="235" t="e">
        <f t="shared" si="2"/>
        <v>#N/A</v>
      </c>
      <c r="O39" s="223" t="s">
        <v>23</v>
      </c>
      <c r="P39" s="223" t="s">
        <v>23</v>
      </c>
      <c r="Q39" s="156" t="e">
        <f t="shared" si="3"/>
        <v>#N/A</v>
      </c>
      <c r="R39" s="223" t="s">
        <v>23</v>
      </c>
      <c r="S39" s="223" t="s">
        <v>23</v>
      </c>
      <c r="T39" s="236"/>
    </row>
    <row r="40" spans="2:20" x14ac:dyDescent="0.3">
      <c r="B40" s="226" t="str">
        <f>VLOOKUP(D40,Data!C$6:D$97,2,FALSE)</f>
        <v>09/12/2021</v>
      </c>
      <c r="C40" s="160">
        <f>VLOOKUP(D40,Data!F$6:G$97,2,FALSE)</f>
        <v>1144448</v>
      </c>
      <c r="D40" s="278">
        <v>131</v>
      </c>
      <c r="E40" s="153">
        <f>VLOOKUP(D40,Consolidated!D$15:E$134,2,FALSE)</f>
        <v>4.26</v>
      </c>
      <c r="F40" s="275">
        <f>VLOOKUP(D40,Data!L$6:M$97,2,FALSE)</f>
        <v>8.6999999999999993</v>
      </c>
      <c r="G40" s="275">
        <f>VLOOKUP(D40,Data!O$6:P$97,2,FALSE)</f>
        <v>4.7</v>
      </c>
      <c r="H40" s="275">
        <f>VLOOKUP(D40,Data!R$6:S$97,2,FALSE)</f>
        <v>19.399999999999999</v>
      </c>
      <c r="I40" s="153" t="e">
        <v>#REF!</v>
      </c>
      <c r="J40" s="153" t="e">
        <v>#REF!</v>
      </c>
      <c r="K40" s="153">
        <f>VLOOKUP(D40,Data!U$6:V$97,2,FALSE)</f>
        <v>23.4</v>
      </c>
      <c r="L40" s="153" t="e">
        <v>#REF!</v>
      </c>
      <c r="M40" s="153" t="e">
        <v>#REF!</v>
      </c>
      <c r="N40" s="235">
        <f t="shared" si="2"/>
        <v>20.35676810073452</v>
      </c>
      <c r="O40" s="223" t="s">
        <v>23</v>
      </c>
      <c r="P40" s="223" t="s">
        <v>23</v>
      </c>
      <c r="Q40" s="156">
        <f t="shared" si="3"/>
        <v>24.554039874081848</v>
      </c>
      <c r="R40" s="223" t="s">
        <v>23</v>
      </c>
      <c r="S40" s="223" t="s">
        <v>23</v>
      </c>
      <c r="T40" s="236"/>
    </row>
    <row r="41" spans="2:20" x14ac:dyDescent="0.3">
      <c r="B41" s="226" t="str">
        <f>VLOOKUP(D41,Data!C$6:D$97,2,FALSE)</f>
        <v>09/12/2021</v>
      </c>
      <c r="C41" s="159">
        <f>VLOOKUP(D41,Data!F$6:G$97,2,FALSE)</f>
        <v>1144438</v>
      </c>
      <c r="D41" s="278">
        <v>163</v>
      </c>
      <c r="E41" s="153">
        <f>VLOOKUP(D41,Consolidated!D$15:E$134,2,FALSE)</f>
        <v>5.28</v>
      </c>
      <c r="F41" s="275">
        <f>VLOOKUP(D41,Data!L$6:M$97,2,FALSE)</f>
        <v>9.4</v>
      </c>
      <c r="G41" s="275">
        <f>VLOOKUP(D41,Data!O$6:P$97,2,FALSE)</f>
        <v>4.5999999999999996</v>
      </c>
      <c r="H41" s="275">
        <f>VLOOKUP(D41,Data!R$6:S$97,2,FALSE)</f>
        <v>18.2</v>
      </c>
      <c r="I41" s="153" t="e">
        <v>#REF!</v>
      </c>
      <c r="J41" s="153" t="e">
        <v>#REF!</v>
      </c>
      <c r="K41" s="153">
        <f>VLOOKUP(D41,Data!U$6:V$97,2,FALSE)</f>
        <v>24.46</v>
      </c>
      <c r="L41" s="153" t="e">
        <v>#REF!</v>
      </c>
      <c r="M41" s="153" t="e">
        <v>#REF!</v>
      </c>
      <c r="N41" s="235">
        <f t="shared" si="2"/>
        <v>19.077568134171905</v>
      </c>
      <c r="O41" s="223" t="s">
        <v>23</v>
      </c>
      <c r="P41" s="223" t="s">
        <v>23</v>
      </c>
      <c r="Q41" s="156">
        <f t="shared" si="3"/>
        <v>25.639412997903563</v>
      </c>
      <c r="R41" s="223" t="s">
        <v>23</v>
      </c>
      <c r="S41" s="223" t="s">
        <v>23</v>
      </c>
      <c r="T41" s="236"/>
    </row>
    <row r="42" spans="2:20" x14ac:dyDescent="0.3">
      <c r="B42" s="226" t="str">
        <f>VLOOKUP(D42,Data!C$6:D$97,2,FALSE)</f>
        <v>09/12/2021</v>
      </c>
      <c r="C42" s="160">
        <f>VLOOKUP(D42,Data!F$6:G$97,2,FALSE)</f>
        <v>1144385</v>
      </c>
      <c r="D42" s="278">
        <v>126</v>
      </c>
      <c r="E42" s="153">
        <f>VLOOKUP(D42,Consolidated!D$15:E$134,2,FALSE)</f>
        <v>3.46</v>
      </c>
      <c r="F42" s="275">
        <f>VLOOKUP(D42,Data!L$6:M$97,2,FALSE)</f>
        <v>9.5</v>
      </c>
      <c r="G42" s="275">
        <f>VLOOKUP(D42,Data!O$6:P$97,2,FALSE)</f>
        <v>3.5</v>
      </c>
      <c r="H42" s="275">
        <f>VLOOKUP(D42,Data!R$6:S$97,2,FALSE)</f>
        <v>21</v>
      </c>
      <c r="I42" s="153" t="e">
        <v>#REF!</v>
      </c>
      <c r="J42" s="153" t="e">
        <v>#REF!</v>
      </c>
      <c r="K42" s="153">
        <f>VLOOKUP(D42,Data!U$6:V$97,2,FALSE)</f>
        <v>23.42</v>
      </c>
      <c r="L42" s="153" t="e">
        <v>#REF!</v>
      </c>
      <c r="M42" s="153" t="e">
        <v>#REF!</v>
      </c>
      <c r="N42" s="235">
        <f t="shared" si="2"/>
        <v>21.761658031088082</v>
      </c>
      <c r="O42" s="223" t="s">
        <v>23</v>
      </c>
      <c r="P42" s="223" t="s">
        <v>23</v>
      </c>
      <c r="Q42" s="156">
        <f t="shared" si="3"/>
        <v>24.269430051813472</v>
      </c>
      <c r="R42" s="223" t="s">
        <v>23</v>
      </c>
      <c r="S42" s="223" t="s">
        <v>23</v>
      </c>
      <c r="T42" s="236"/>
    </row>
    <row r="43" spans="2:20" x14ac:dyDescent="0.3">
      <c r="B43" s="226" t="str">
        <f>VLOOKUP(D43,Data!C$6:D$97,2,FALSE)</f>
        <v>09/12/2021</v>
      </c>
      <c r="C43" s="159">
        <f>VLOOKUP(D43,Data!F$6:G$97,2,FALSE)</f>
        <v>1144441</v>
      </c>
      <c r="D43" s="278">
        <v>189</v>
      </c>
      <c r="E43" s="153">
        <f>VLOOKUP(D43,Consolidated!D$15:E$134,2,FALSE)</f>
        <v>4.8600000000000003</v>
      </c>
      <c r="F43" s="275">
        <f>VLOOKUP(D43,Data!L$6:M$97,2,FALSE)</f>
        <v>9</v>
      </c>
      <c r="G43" s="275">
        <f>VLOOKUP(D43,Data!O$6:P$97,2,FALSE)</f>
        <v>4.7</v>
      </c>
      <c r="H43" s="275">
        <f>VLOOKUP(D43,Data!R$6:S$97,2,FALSE)</f>
        <v>18.3</v>
      </c>
      <c r="I43" s="153" t="e">
        <v>#REF!</v>
      </c>
      <c r="J43" s="153" t="e">
        <v>#REF!</v>
      </c>
      <c r="K43" s="153">
        <f>VLOOKUP(D43,Data!U$6:V$97,2,FALSE)</f>
        <v>24.34</v>
      </c>
      <c r="L43" s="153" t="e">
        <v>#REF!</v>
      </c>
      <c r="M43" s="153" t="e">
        <v>#REF!</v>
      </c>
      <c r="N43" s="235">
        <f t="shared" si="2"/>
        <v>19.202518363064009</v>
      </c>
      <c r="O43" s="223" t="s">
        <v>23</v>
      </c>
      <c r="P43" s="223" t="s">
        <v>23</v>
      </c>
      <c r="Q43" s="156">
        <f t="shared" si="3"/>
        <v>25.540398740818468</v>
      </c>
      <c r="R43" s="223" t="s">
        <v>23</v>
      </c>
      <c r="S43" s="223" t="s">
        <v>23</v>
      </c>
      <c r="T43" s="236"/>
    </row>
    <row r="44" spans="2:20" x14ac:dyDescent="0.3">
      <c r="B44" s="226" t="str">
        <f>VLOOKUP(D44,Data!C$6:D$97,2,FALSE)</f>
        <v>09/12/2021</v>
      </c>
      <c r="C44" s="160">
        <f>VLOOKUP(D44,Data!F$6:G$97,2,FALSE)</f>
        <v>1144425</v>
      </c>
      <c r="D44" s="278">
        <v>158</v>
      </c>
      <c r="E44" s="153">
        <f>VLOOKUP(D44,Consolidated!D$15:E$134,2,FALSE)</f>
        <v>3.76</v>
      </c>
      <c r="F44" s="275">
        <f>VLOOKUP(D44,Data!L$6:M$97,2,FALSE)</f>
        <v>8.9</v>
      </c>
      <c r="G44" s="275">
        <f>VLOOKUP(D44,Data!O$6:P$97,2,FALSE)</f>
        <v>4.3</v>
      </c>
      <c r="H44" s="275">
        <f>VLOOKUP(D44,Data!R$6:S$97,2,FALSE)</f>
        <v>19</v>
      </c>
      <c r="I44" s="153" t="e">
        <v>#REF!</v>
      </c>
      <c r="J44" s="153" t="e">
        <v>#REF!</v>
      </c>
      <c r="K44" s="153">
        <f>VLOOKUP(D44,Data!U$6:V$97,2,FALSE)</f>
        <v>24.04</v>
      </c>
      <c r="L44" s="153" t="e">
        <v>#REF!</v>
      </c>
      <c r="M44" s="153" t="e">
        <v>#REF!</v>
      </c>
      <c r="N44" s="235">
        <f t="shared" si="2"/>
        <v>19.853709508881924</v>
      </c>
      <c r="O44" s="223" t="s">
        <v>23</v>
      </c>
      <c r="P44" s="223" t="s">
        <v>23</v>
      </c>
      <c r="Q44" s="156">
        <f t="shared" si="3"/>
        <v>25.120167189132705</v>
      </c>
      <c r="R44" s="223" t="s">
        <v>23</v>
      </c>
      <c r="S44" s="223" t="s">
        <v>23</v>
      </c>
      <c r="T44" s="236"/>
    </row>
    <row r="45" spans="2:20" x14ac:dyDescent="0.3">
      <c r="B45" s="226" t="str">
        <f>VLOOKUP(D45,Data!C$6:D$97,2,FALSE)</f>
        <v>09/12/2021</v>
      </c>
      <c r="C45" s="159">
        <f>VLOOKUP(D45,Data!F$6:G$97,2,FALSE)</f>
        <v>1144409</v>
      </c>
      <c r="D45" s="278">
        <v>132</v>
      </c>
      <c r="E45" s="153">
        <f>VLOOKUP(D45,Consolidated!D$15:E$134,2,FALSE)</f>
        <v>5.22</v>
      </c>
      <c r="F45" s="275">
        <f>VLOOKUP(D45,Data!L$6:M$97,2,FALSE)</f>
        <v>8.8000000000000007</v>
      </c>
      <c r="G45" s="275">
        <f>VLOOKUP(D45,Data!O$6:P$97,2,FALSE)</f>
        <v>4.3</v>
      </c>
      <c r="H45" s="275">
        <f>VLOOKUP(D45,Data!R$6:S$97,2,FALSE)</f>
        <v>18.399999999999999</v>
      </c>
      <c r="I45" s="153" t="e">
        <v>#REF!</v>
      </c>
      <c r="J45" s="153" t="e">
        <v>#REF!</v>
      </c>
      <c r="K45" s="153">
        <f>VLOOKUP(D45,Data!U$6:V$97,2,FALSE)</f>
        <v>24.31</v>
      </c>
      <c r="L45" s="153" t="e">
        <v>#REF!</v>
      </c>
      <c r="M45" s="153" t="e">
        <v>#REF!</v>
      </c>
      <c r="N45" s="235">
        <f t="shared" si="2"/>
        <v>19.226750261233018</v>
      </c>
      <c r="O45" s="223" t="s">
        <v>23</v>
      </c>
      <c r="P45" s="223" t="s">
        <v>23</v>
      </c>
      <c r="Q45" s="156">
        <f t="shared" si="3"/>
        <v>25.402298850574713</v>
      </c>
      <c r="R45" s="223" t="s">
        <v>23</v>
      </c>
      <c r="S45" s="223" t="s">
        <v>23</v>
      </c>
      <c r="T45" s="236"/>
    </row>
    <row r="46" spans="2:20" x14ac:dyDescent="0.3">
      <c r="B46" s="226" t="str">
        <f>VLOOKUP(D46,Data!C$6:D$97,2,FALSE)</f>
        <v>09/12/2021</v>
      </c>
      <c r="C46" s="160">
        <f>VLOOKUP(D46,Data!F$6:G$97,2,FALSE)</f>
        <v>1144371</v>
      </c>
      <c r="D46" s="278">
        <v>115</v>
      </c>
      <c r="E46" s="153">
        <f>VLOOKUP(D46,Consolidated!D$15:E$134,2,FALSE)</f>
        <v>4.0999999999999996</v>
      </c>
      <c r="F46" s="275">
        <f>VLOOKUP(D46,Data!L$6:M$97,2,FALSE)</f>
        <v>9.6</v>
      </c>
      <c r="G46" s="275">
        <f>VLOOKUP(D46,Data!O$6:P$97,2,FALSE)</f>
        <v>3.7</v>
      </c>
      <c r="H46" s="275">
        <f>VLOOKUP(D46,Data!R$6:S$97,2,FALSE)</f>
        <v>19.2</v>
      </c>
      <c r="I46" s="153" t="e">
        <v>#REF!</v>
      </c>
      <c r="J46" s="153" t="e">
        <v>#REF!</v>
      </c>
      <c r="K46" s="153">
        <f>VLOOKUP(D46,Data!U$6:V$97,2,FALSE)</f>
        <v>24.25</v>
      </c>
      <c r="L46" s="153" t="e">
        <v>#REF!</v>
      </c>
      <c r="M46" s="153" t="e">
        <v>#REF!</v>
      </c>
      <c r="N46" s="235">
        <f t="shared" si="2"/>
        <v>19.937694704049846</v>
      </c>
      <c r="O46" s="223" t="s">
        <v>23</v>
      </c>
      <c r="P46" s="223" t="s">
        <v>23</v>
      </c>
      <c r="Q46" s="156">
        <f t="shared" si="3"/>
        <v>25.181723779854622</v>
      </c>
      <c r="R46" s="223" t="s">
        <v>23</v>
      </c>
      <c r="S46" s="223" t="s">
        <v>23</v>
      </c>
      <c r="T46" s="236"/>
    </row>
    <row r="47" spans="2:20" x14ac:dyDescent="0.3">
      <c r="B47" s="226" t="str">
        <f>VLOOKUP(D47,Data!C$6:D$97,2,FALSE)</f>
        <v>09/12/2021</v>
      </c>
      <c r="C47" s="159">
        <f>VLOOKUP(D47,Data!F$6:G$97,2,FALSE)</f>
        <v>1144390</v>
      </c>
      <c r="D47" s="278">
        <v>167</v>
      </c>
      <c r="E47" s="153">
        <f>VLOOKUP(D47,Consolidated!D$15:E$134,2,FALSE)</f>
        <v>5.24</v>
      </c>
      <c r="F47" s="275">
        <f>VLOOKUP(D47,Data!L$6:M$97,2,FALSE)</f>
        <v>8.5</v>
      </c>
      <c r="G47" s="275">
        <f>VLOOKUP(D47,Data!O$6:P$97,2,FALSE)</f>
        <v>3.9</v>
      </c>
      <c r="H47" s="275">
        <f>VLOOKUP(D47,Data!R$6:S$97,2,FALSE)</f>
        <v>21</v>
      </c>
      <c r="I47" s="153" t="e">
        <v>#REF!</v>
      </c>
      <c r="J47" s="153" t="e">
        <v>#REF!</v>
      </c>
      <c r="K47" s="153">
        <f>VLOOKUP(D47,Data!U$6:V$97,2,FALSE)</f>
        <v>24.44</v>
      </c>
      <c r="L47" s="153" t="e">
        <v>#REF!</v>
      </c>
      <c r="M47" s="153" t="e">
        <v>#REF!</v>
      </c>
      <c r="N47" s="235">
        <f t="shared" si="2"/>
        <v>21.852237252861602</v>
      </c>
      <c r="O47" s="223" t="s">
        <v>23</v>
      </c>
      <c r="P47" s="223" t="s">
        <v>23</v>
      </c>
      <c r="Q47" s="156">
        <f t="shared" si="3"/>
        <v>25.431841831425601</v>
      </c>
      <c r="R47" s="223" t="s">
        <v>23</v>
      </c>
      <c r="S47" s="223" t="s">
        <v>23</v>
      </c>
      <c r="T47" s="236"/>
    </row>
    <row r="48" spans="2:20" x14ac:dyDescent="0.3">
      <c r="B48" s="226" t="str">
        <f>VLOOKUP(D48,Data!C$6:D$97,2,FALSE)</f>
        <v>09/12/2021</v>
      </c>
      <c r="C48" s="159">
        <f>VLOOKUP(D48,Data!F$6:G$97,2,FALSE)</f>
        <v>1144403</v>
      </c>
      <c r="D48" s="278">
        <v>166</v>
      </c>
      <c r="E48" s="153">
        <f>VLOOKUP(D48,Consolidated!D$15:E$134,2,FALSE)</f>
        <v>4.0999999999999996</v>
      </c>
      <c r="F48" s="275">
        <f>VLOOKUP(D48,Data!L$6:M$97,2,FALSE)</f>
        <v>9</v>
      </c>
      <c r="G48" s="275">
        <f>VLOOKUP(D48,Data!O$6:P$97,2,FALSE)</f>
        <v>3.8</v>
      </c>
      <c r="H48" s="275">
        <f>VLOOKUP(D48,Data!R$6:S$97,2,FALSE)</f>
        <v>19.5</v>
      </c>
      <c r="I48" s="153" t="e">
        <v>#REF!</v>
      </c>
      <c r="J48" s="153" t="e">
        <v>#REF!</v>
      </c>
      <c r="K48" s="153">
        <f>VLOOKUP(D48,Data!U$6:V$97,2,FALSE)</f>
        <v>23.85</v>
      </c>
      <c r="L48" s="153" t="e">
        <v>#REF!</v>
      </c>
      <c r="M48" s="153" t="e">
        <v>#REF!</v>
      </c>
      <c r="N48" s="235">
        <f t="shared" si="2"/>
        <v>20.27027027027027</v>
      </c>
      <c r="O48" s="223" t="s">
        <v>23</v>
      </c>
      <c r="P48" s="223" t="s">
        <v>23</v>
      </c>
      <c r="Q48" s="156">
        <f t="shared" si="3"/>
        <v>24.792099792099791</v>
      </c>
      <c r="R48" s="223" t="s">
        <v>23</v>
      </c>
      <c r="S48" s="223" t="s">
        <v>23</v>
      </c>
      <c r="T48" s="236"/>
    </row>
    <row r="49" spans="2:20" ht="15" thickBot="1" x14ac:dyDescent="0.35">
      <c r="B49" s="226" t="str">
        <f>VLOOKUP(D49,Data!C$6:D$97,2,FALSE)</f>
        <v>09/12/2021</v>
      </c>
      <c r="C49" s="279">
        <f>VLOOKUP(D49,Data!F$6:G$97,2,FALSE)</f>
        <v>1144382</v>
      </c>
      <c r="D49" s="278">
        <v>113</v>
      </c>
      <c r="E49" s="153">
        <f>VLOOKUP(D49,Consolidated!D$15:E$134,2,FALSE)</f>
        <v>5.0199999999999996</v>
      </c>
      <c r="F49" s="275">
        <f>VLOOKUP(D49,Data!L$6:M$97,2,FALSE)</f>
        <v>9.6999999999999993</v>
      </c>
      <c r="G49" s="275">
        <f>VLOOKUP(D49,Data!O$6:P$97,2,FALSE)</f>
        <v>4</v>
      </c>
      <c r="H49" s="275">
        <f>VLOOKUP(D49,Data!R$6:S$97,2,FALSE)</f>
        <v>20.100000000000001</v>
      </c>
      <c r="I49" s="153" t="e">
        <v>#REF!</v>
      </c>
      <c r="J49" s="153" t="e">
        <v>#REF!</v>
      </c>
      <c r="K49" s="153">
        <f>VLOOKUP(D49,Data!U$6:V$97,2,FALSE)</f>
        <v>23.76</v>
      </c>
      <c r="L49" s="153" t="e">
        <v>#REF!</v>
      </c>
      <c r="M49" s="153" t="e">
        <v>#REF!</v>
      </c>
      <c r="N49" s="235">
        <f t="shared" si="2"/>
        <v>20.937500000000004</v>
      </c>
      <c r="O49" s="285" t="s">
        <v>23</v>
      </c>
      <c r="P49" s="285" t="s">
        <v>23</v>
      </c>
      <c r="Q49" s="156">
        <f t="shared" si="3"/>
        <v>24.75</v>
      </c>
      <c r="R49" s="285" t="s">
        <v>23</v>
      </c>
      <c r="S49" s="285" t="s">
        <v>23</v>
      </c>
      <c r="T49" s="236"/>
    </row>
    <row r="50" spans="2:20" ht="15" thickBot="1" x14ac:dyDescent="0.35">
      <c r="B50" s="259"/>
      <c r="C50" s="260"/>
      <c r="D50" s="272" t="s">
        <v>155</v>
      </c>
      <c r="E50" s="261"/>
      <c r="F50" s="262" t="e">
        <f>AVERAGE(F10:F49)</f>
        <v>#N/A</v>
      </c>
      <c r="G50" s="263" t="e">
        <f>AVERAGE(G10:G49)</f>
        <v>#N/A</v>
      </c>
      <c r="H50" s="264" t="e">
        <f>AVERAGE(H10:H49)</f>
        <v>#N/A</v>
      </c>
      <c r="I50" s="264" t="s">
        <v>23</v>
      </c>
      <c r="J50" s="265" t="s">
        <v>23</v>
      </c>
      <c r="K50" s="265" t="e">
        <f>AVERAGE(K10:K49)</f>
        <v>#N/A</v>
      </c>
      <c r="L50" s="265" t="s">
        <v>23</v>
      </c>
      <c r="M50" s="265" t="s">
        <v>23</v>
      </c>
      <c r="N50" s="263" t="e">
        <f t="shared" si="2"/>
        <v>#N/A</v>
      </c>
      <c r="O50" s="264" t="s">
        <v>23</v>
      </c>
      <c r="P50" s="264" t="s">
        <v>23</v>
      </c>
      <c r="Q50" s="265" t="e">
        <f t="shared" si="2"/>
        <v>#N/A</v>
      </c>
      <c r="R50" s="287" t="s">
        <v>23</v>
      </c>
      <c r="S50" s="288" t="s">
        <v>23</v>
      </c>
      <c r="T50" s="271"/>
    </row>
  </sheetData>
  <mergeCells count="6">
    <mergeCell ref="G4:M4"/>
    <mergeCell ref="N4:S4"/>
    <mergeCell ref="B5:B9"/>
    <mergeCell ref="C5:C9"/>
    <mergeCell ref="E5:E8"/>
    <mergeCell ref="G5:G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6DBA5-2653-441F-A0DD-E4E31F985B38}">
  <sheetPr codeName="Sheet5"/>
  <dimension ref="C6:V115"/>
  <sheetViews>
    <sheetView topLeftCell="E1" workbookViewId="0">
      <selection activeCell="W6" sqref="W6"/>
    </sheetView>
  </sheetViews>
  <sheetFormatPr defaultRowHeight="14.4" x14ac:dyDescent="0.3"/>
  <cols>
    <col min="4" max="4" width="13.6640625" customWidth="1"/>
  </cols>
  <sheetData>
    <row r="6" spans="3:22" x14ac:dyDescent="0.3">
      <c r="C6" s="34">
        <f>Consolidated!D15</f>
        <v>103</v>
      </c>
      <c r="D6" t="str">
        <f>Consolidated!B15</f>
        <v>09/12/2021</v>
      </c>
      <c r="F6">
        <f>Consolidated!D15</f>
        <v>103</v>
      </c>
      <c r="G6">
        <f>Consolidated!C15</f>
        <v>1144370</v>
      </c>
      <c r="I6">
        <f>Consolidated!D15</f>
        <v>103</v>
      </c>
      <c r="J6" s="90">
        <f>Consolidated!E15</f>
        <v>2.2999999999999998</v>
      </c>
      <c r="L6">
        <f>Consolidated!D15</f>
        <v>103</v>
      </c>
      <c r="M6">
        <f>Consolidated!F15</f>
        <v>9.3000000000000007</v>
      </c>
      <c r="O6">
        <f>Consolidated!D15</f>
        <v>103</v>
      </c>
      <c r="P6">
        <f>Consolidated!G15</f>
        <v>3.4</v>
      </c>
      <c r="R6">
        <f>Consolidated!D15</f>
        <v>103</v>
      </c>
      <c r="S6">
        <f>Consolidated!H15</f>
        <v>16.100000000000001</v>
      </c>
      <c r="U6">
        <f>Consolidated!D15</f>
        <v>103</v>
      </c>
      <c r="V6" s="90">
        <f>Consolidated!K15</f>
        <v>25.25</v>
      </c>
    </row>
    <row r="7" spans="3:22" x14ac:dyDescent="0.3">
      <c r="C7" s="34">
        <f>Consolidated!D16</f>
        <v>115</v>
      </c>
      <c r="D7" t="str">
        <f>Consolidated!B16</f>
        <v>09/12/2021</v>
      </c>
      <c r="F7">
        <f>Consolidated!D16</f>
        <v>115</v>
      </c>
      <c r="G7">
        <f>Consolidated!C16</f>
        <v>1144371</v>
      </c>
      <c r="I7">
        <f>Consolidated!D16</f>
        <v>115</v>
      </c>
      <c r="J7" s="90">
        <f>Consolidated!E16</f>
        <v>4.0999999999999996</v>
      </c>
      <c r="L7">
        <f>Consolidated!D16</f>
        <v>115</v>
      </c>
      <c r="M7">
        <f>Consolidated!F16</f>
        <v>9.6</v>
      </c>
      <c r="O7">
        <f>Consolidated!D16</f>
        <v>115</v>
      </c>
      <c r="P7">
        <f>Consolidated!G16</f>
        <v>3.7</v>
      </c>
      <c r="R7">
        <f>Consolidated!D16</f>
        <v>115</v>
      </c>
      <c r="S7">
        <f>Consolidated!H16</f>
        <v>19.2</v>
      </c>
      <c r="U7">
        <f>Consolidated!D16</f>
        <v>115</v>
      </c>
      <c r="V7" s="90">
        <f>Consolidated!K16</f>
        <v>24.25</v>
      </c>
    </row>
    <row r="8" spans="3:22" x14ac:dyDescent="0.3">
      <c r="C8" s="34">
        <f>Consolidated!D17</f>
        <v>135</v>
      </c>
      <c r="D8" t="str">
        <f>Consolidated!B17</f>
        <v>09/12/2021</v>
      </c>
      <c r="F8">
        <f>Consolidated!D17</f>
        <v>135</v>
      </c>
      <c r="G8">
        <f>Consolidated!C17</f>
        <v>1144372</v>
      </c>
      <c r="I8">
        <f>Consolidated!D17</f>
        <v>135</v>
      </c>
      <c r="J8" s="90">
        <f>Consolidated!E17</f>
        <v>5.98</v>
      </c>
      <c r="L8">
        <f>Consolidated!D17</f>
        <v>135</v>
      </c>
      <c r="M8">
        <f>Consolidated!F17</f>
        <v>9.1</v>
      </c>
      <c r="O8">
        <f>Consolidated!D17</f>
        <v>135</v>
      </c>
      <c r="P8">
        <f>Consolidated!G17</f>
        <v>3.6</v>
      </c>
      <c r="R8">
        <f>Consolidated!D17</f>
        <v>135</v>
      </c>
      <c r="S8">
        <f>Consolidated!H17</f>
        <v>19.3</v>
      </c>
      <c r="U8">
        <f>Consolidated!D17</f>
        <v>135</v>
      </c>
      <c r="V8" s="90">
        <f>Consolidated!K17</f>
        <v>24.24</v>
      </c>
    </row>
    <row r="9" spans="3:22" x14ac:dyDescent="0.3">
      <c r="C9" s="34">
        <f>Consolidated!D18</f>
        <v>144</v>
      </c>
      <c r="D9" t="str">
        <f>Consolidated!B18</f>
        <v>09/12/2021</v>
      </c>
      <c r="F9">
        <f>Consolidated!D18</f>
        <v>144</v>
      </c>
      <c r="G9">
        <f>Consolidated!C18</f>
        <v>1144373</v>
      </c>
      <c r="I9">
        <f>Consolidated!D18</f>
        <v>144</v>
      </c>
      <c r="J9" s="90">
        <f>Consolidated!E18</f>
        <v>7.14</v>
      </c>
      <c r="L9">
        <f>Consolidated!D18</f>
        <v>144</v>
      </c>
      <c r="M9">
        <f>Consolidated!F18</f>
        <v>8.9</v>
      </c>
      <c r="O9">
        <f>Consolidated!D18</f>
        <v>144</v>
      </c>
      <c r="P9">
        <f>Consolidated!G18</f>
        <v>3.4</v>
      </c>
      <c r="R9">
        <f>Consolidated!D18</f>
        <v>144</v>
      </c>
      <c r="S9">
        <f>Consolidated!H18</f>
        <v>15.4</v>
      </c>
      <c r="U9">
        <f>Consolidated!D18</f>
        <v>144</v>
      </c>
      <c r="V9" s="90">
        <f>Consolidated!K18</f>
        <v>25.82</v>
      </c>
    </row>
    <row r="10" spans="3:22" x14ac:dyDescent="0.3">
      <c r="C10" s="34">
        <f>Consolidated!D19</f>
        <v>155</v>
      </c>
      <c r="D10" t="str">
        <f>Consolidated!B19</f>
        <v>09/12/2021</v>
      </c>
      <c r="F10">
        <f>Consolidated!D19</f>
        <v>155</v>
      </c>
      <c r="G10">
        <f>Consolidated!C19</f>
        <v>1144374</v>
      </c>
      <c r="I10">
        <f>Consolidated!D19</f>
        <v>155</v>
      </c>
      <c r="J10" s="90">
        <f>Consolidated!E19</f>
        <v>2.56</v>
      </c>
      <c r="L10">
        <f>Consolidated!D19</f>
        <v>155</v>
      </c>
      <c r="M10">
        <f>Consolidated!F19</f>
        <v>9.8000000000000007</v>
      </c>
      <c r="O10">
        <f>Consolidated!D19</f>
        <v>155</v>
      </c>
      <c r="P10">
        <f>Consolidated!G19</f>
        <v>3.2</v>
      </c>
      <c r="R10">
        <f>Consolidated!D19</f>
        <v>155</v>
      </c>
      <c r="S10">
        <f>Consolidated!H19</f>
        <v>20.2</v>
      </c>
      <c r="U10">
        <f>Consolidated!D19</f>
        <v>155</v>
      </c>
      <c r="V10" s="90">
        <f>Consolidated!K19</f>
        <v>23.8</v>
      </c>
    </row>
    <row r="11" spans="3:22" x14ac:dyDescent="0.3">
      <c r="C11" s="34">
        <f>Consolidated!D20</f>
        <v>156</v>
      </c>
      <c r="D11" t="str">
        <f>Consolidated!B20</f>
        <v>09/12/2021</v>
      </c>
      <c r="F11">
        <f>Consolidated!D20</f>
        <v>156</v>
      </c>
      <c r="G11">
        <f>Consolidated!C20</f>
        <v>1144375</v>
      </c>
      <c r="I11">
        <f>Consolidated!D20</f>
        <v>156</v>
      </c>
      <c r="J11" s="90">
        <f>Consolidated!E20</f>
        <v>5</v>
      </c>
      <c r="L11">
        <f>Consolidated!D20</f>
        <v>156</v>
      </c>
      <c r="M11">
        <f>Consolidated!F20</f>
        <v>8.8000000000000007</v>
      </c>
      <c r="O11">
        <f>Consolidated!D20</f>
        <v>156</v>
      </c>
      <c r="P11">
        <f>Consolidated!G20</f>
        <v>3.5</v>
      </c>
      <c r="R11">
        <f>Consolidated!D20</f>
        <v>156</v>
      </c>
      <c r="S11">
        <f>Consolidated!H20</f>
        <v>18.399999999999999</v>
      </c>
      <c r="U11">
        <f>Consolidated!D20</f>
        <v>156</v>
      </c>
      <c r="V11" s="90">
        <f>Consolidated!K20</f>
        <v>24.65</v>
      </c>
    </row>
    <row r="12" spans="3:22" x14ac:dyDescent="0.3">
      <c r="C12" s="34">
        <f>Consolidated!D21</f>
        <v>159</v>
      </c>
      <c r="D12" t="str">
        <f>Consolidated!B21</f>
        <v>09/12/2021</v>
      </c>
      <c r="F12">
        <f>Consolidated!D21</f>
        <v>159</v>
      </c>
      <c r="G12">
        <f>Consolidated!C21</f>
        <v>1144376</v>
      </c>
      <c r="I12">
        <f>Consolidated!D21</f>
        <v>159</v>
      </c>
      <c r="J12" s="90">
        <f>Consolidated!E21</f>
        <v>5.92</v>
      </c>
      <c r="L12">
        <f>Consolidated!D21</f>
        <v>159</v>
      </c>
      <c r="M12">
        <f>Consolidated!F21</f>
        <v>8.8000000000000007</v>
      </c>
      <c r="O12">
        <f>Consolidated!D21</f>
        <v>159</v>
      </c>
      <c r="P12">
        <f>Consolidated!G21</f>
        <v>3.5</v>
      </c>
      <c r="R12">
        <f>Consolidated!D21</f>
        <v>159</v>
      </c>
      <c r="S12">
        <f>Consolidated!H21</f>
        <v>17.7</v>
      </c>
      <c r="U12">
        <f>Consolidated!D21</f>
        <v>159</v>
      </c>
      <c r="V12" s="90">
        <f>Consolidated!K21</f>
        <v>24.62</v>
      </c>
    </row>
    <row r="13" spans="3:22" x14ac:dyDescent="0.3">
      <c r="C13" s="34">
        <f>Consolidated!D22</f>
        <v>162</v>
      </c>
      <c r="D13" t="str">
        <f>Consolidated!B22</f>
        <v>09/12/2021</v>
      </c>
      <c r="F13">
        <f>Consolidated!D22</f>
        <v>162</v>
      </c>
      <c r="G13">
        <f>Consolidated!C22</f>
        <v>1144377</v>
      </c>
      <c r="I13">
        <f>Consolidated!D22</f>
        <v>162</v>
      </c>
      <c r="J13" s="90">
        <f>Consolidated!E22</f>
        <v>5.36</v>
      </c>
      <c r="L13">
        <f>Consolidated!D22</f>
        <v>162</v>
      </c>
      <c r="M13">
        <f>Consolidated!F22</f>
        <v>8.6</v>
      </c>
      <c r="O13">
        <f>Consolidated!D22</f>
        <v>162</v>
      </c>
      <c r="P13">
        <f>Consolidated!G22</f>
        <v>3.4</v>
      </c>
      <c r="R13">
        <f>Consolidated!D22</f>
        <v>162</v>
      </c>
      <c r="S13">
        <f>Consolidated!H22</f>
        <v>16.399999999999999</v>
      </c>
      <c r="U13">
        <f>Consolidated!D22</f>
        <v>162</v>
      </c>
      <c r="V13" s="90">
        <f>Consolidated!K22</f>
        <v>25.33</v>
      </c>
    </row>
    <row r="14" spans="3:22" x14ac:dyDescent="0.3">
      <c r="C14" s="34">
        <f>Consolidated!D23</f>
        <v>165</v>
      </c>
      <c r="D14" t="str">
        <f>Consolidated!B23</f>
        <v>09/12/2021</v>
      </c>
      <c r="F14">
        <f>Consolidated!D23</f>
        <v>165</v>
      </c>
      <c r="G14">
        <f>Consolidated!C23</f>
        <v>1144378</v>
      </c>
      <c r="I14">
        <f>Consolidated!D23</f>
        <v>165</v>
      </c>
      <c r="J14" s="90">
        <f>Consolidated!E23</f>
        <v>2.74</v>
      </c>
      <c r="L14">
        <f>Consolidated!D23</f>
        <v>165</v>
      </c>
      <c r="M14">
        <f>Consolidated!F23</f>
        <v>9.1999999999999993</v>
      </c>
      <c r="O14">
        <f>Consolidated!D23</f>
        <v>165</v>
      </c>
      <c r="P14">
        <f>Consolidated!G23</f>
        <v>3.5</v>
      </c>
      <c r="R14">
        <f>Consolidated!D23</f>
        <v>165</v>
      </c>
      <c r="S14">
        <f>Consolidated!H23</f>
        <v>15.5</v>
      </c>
      <c r="U14">
        <f>Consolidated!D23</f>
        <v>165</v>
      </c>
      <c r="V14" s="90">
        <f>Consolidated!K23</f>
        <v>25.64</v>
      </c>
    </row>
    <row r="15" spans="3:22" x14ac:dyDescent="0.3">
      <c r="C15" s="34">
        <f>Consolidated!D24</f>
        <v>183</v>
      </c>
      <c r="D15" t="str">
        <f>Consolidated!B24</f>
        <v>09/12/2021</v>
      </c>
      <c r="F15">
        <f>Consolidated!D24</f>
        <v>183</v>
      </c>
      <c r="G15">
        <f>Consolidated!C24</f>
        <v>1144379</v>
      </c>
      <c r="I15">
        <f>Consolidated!D24</f>
        <v>183</v>
      </c>
      <c r="J15" s="90">
        <f>Consolidated!E24</f>
        <v>5.74</v>
      </c>
      <c r="L15">
        <f>Consolidated!D24</f>
        <v>183</v>
      </c>
      <c r="M15">
        <f>Consolidated!F24</f>
        <v>8.8000000000000007</v>
      </c>
      <c r="O15">
        <f>Consolidated!D24</f>
        <v>183</v>
      </c>
      <c r="P15">
        <f>Consolidated!G24</f>
        <v>3.4</v>
      </c>
      <c r="R15">
        <f>Consolidated!D24</f>
        <v>183</v>
      </c>
      <c r="S15">
        <f>Consolidated!H24</f>
        <v>17.2</v>
      </c>
      <c r="U15">
        <f>Consolidated!D24</f>
        <v>183</v>
      </c>
      <c r="V15" s="90">
        <f>Consolidated!K24</f>
        <v>25.01</v>
      </c>
    </row>
    <row r="16" spans="3:22" x14ac:dyDescent="0.3">
      <c r="C16" s="34">
        <f>Consolidated!D25</f>
        <v>187</v>
      </c>
      <c r="D16" t="str">
        <f>Consolidated!B25</f>
        <v>09/12/2021</v>
      </c>
      <c r="F16">
        <f>Consolidated!D25</f>
        <v>187</v>
      </c>
      <c r="G16">
        <f>Consolidated!C25</f>
        <v>1144380</v>
      </c>
      <c r="I16">
        <f>Consolidated!D25</f>
        <v>187</v>
      </c>
      <c r="J16" s="90">
        <f>Consolidated!E25</f>
        <v>3.12</v>
      </c>
      <c r="L16">
        <f>Consolidated!D25</f>
        <v>187</v>
      </c>
      <c r="M16">
        <f>Consolidated!F25</f>
        <v>9.6</v>
      </c>
      <c r="O16">
        <f>Consolidated!D25</f>
        <v>187</v>
      </c>
      <c r="P16">
        <f>Consolidated!G25</f>
        <v>3.6</v>
      </c>
      <c r="R16">
        <f>Consolidated!D25</f>
        <v>187</v>
      </c>
      <c r="S16">
        <f>Consolidated!H25</f>
        <v>19.399999999999999</v>
      </c>
      <c r="U16">
        <f>Consolidated!D25</f>
        <v>187</v>
      </c>
      <c r="V16" s="90">
        <f>Consolidated!K25</f>
        <v>24.3</v>
      </c>
    </row>
    <row r="17" spans="3:22" x14ac:dyDescent="0.3">
      <c r="C17" s="34">
        <f>Consolidated!D26</f>
        <v>190</v>
      </c>
      <c r="D17" t="str">
        <f>Consolidated!B26</f>
        <v>09/12/2021</v>
      </c>
      <c r="F17">
        <f>Consolidated!D26</f>
        <v>190</v>
      </c>
      <c r="G17">
        <f>Consolidated!C26</f>
        <v>1144381</v>
      </c>
      <c r="I17">
        <f>Consolidated!D26</f>
        <v>190</v>
      </c>
      <c r="J17" s="90">
        <f>Consolidated!E26</f>
        <v>2.06</v>
      </c>
      <c r="L17">
        <f>Consolidated!D26</f>
        <v>190</v>
      </c>
      <c r="M17">
        <f>Consolidated!F26</f>
        <v>9</v>
      </c>
      <c r="O17">
        <f>Consolidated!D26</f>
        <v>190</v>
      </c>
      <c r="P17">
        <f>Consolidated!G26</f>
        <v>3.7</v>
      </c>
      <c r="R17">
        <f>Consolidated!D26</f>
        <v>190</v>
      </c>
      <c r="S17">
        <f>Consolidated!H26</f>
        <v>21.2</v>
      </c>
      <c r="U17">
        <f>Consolidated!D26</f>
        <v>190</v>
      </c>
      <c r="V17" s="90">
        <f>Consolidated!K26</f>
        <v>23.58</v>
      </c>
    </row>
    <row r="18" spans="3:22" x14ac:dyDescent="0.3">
      <c r="C18" s="34">
        <f>Consolidated!D27</f>
        <v>113</v>
      </c>
      <c r="D18" t="str">
        <f>Consolidated!B27</f>
        <v>09/12/2021</v>
      </c>
      <c r="F18">
        <f>Consolidated!D27</f>
        <v>113</v>
      </c>
      <c r="G18">
        <f>Consolidated!C27</f>
        <v>1144382</v>
      </c>
      <c r="I18">
        <f>Consolidated!D27</f>
        <v>113</v>
      </c>
      <c r="J18" s="90">
        <f>Consolidated!E27</f>
        <v>5.0199999999999996</v>
      </c>
      <c r="L18">
        <f>Consolidated!D27</f>
        <v>113</v>
      </c>
      <c r="M18">
        <f>Consolidated!F27</f>
        <v>9.6999999999999993</v>
      </c>
      <c r="O18">
        <f>Consolidated!D27</f>
        <v>113</v>
      </c>
      <c r="P18">
        <f>Consolidated!G27</f>
        <v>4</v>
      </c>
      <c r="R18">
        <f>Consolidated!D27</f>
        <v>113</v>
      </c>
      <c r="S18">
        <f>Consolidated!H27</f>
        <v>20.100000000000001</v>
      </c>
      <c r="U18">
        <f>Consolidated!D27</f>
        <v>113</v>
      </c>
      <c r="V18" s="90">
        <f>Consolidated!K27</f>
        <v>23.76</v>
      </c>
    </row>
    <row r="19" spans="3:22" x14ac:dyDescent="0.3">
      <c r="C19" s="34">
        <f>Consolidated!D28</f>
        <v>114</v>
      </c>
      <c r="D19" t="str">
        <f>Consolidated!B28</f>
        <v>09/12/2021</v>
      </c>
      <c r="F19">
        <f>Consolidated!D28</f>
        <v>114</v>
      </c>
      <c r="G19">
        <f>Consolidated!C28</f>
        <v>1144383</v>
      </c>
      <c r="I19">
        <f>Consolidated!D28</f>
        <v>114</v>
      </c>
      <c r="J19" s="90">
        <f>Consolidated!E28</f>
        <v>3.36</v>
      </c>
      <c r="L19">
        <f>Consolidated!D28</f>
        <v>114</v>
      </c>
      <c r="M19">
        <f>Consolidated!F28</f>
        <v>9.6</v>
      </c>
      <c r="O19">
        <f>Consolidated!D28</f>
        <v>114</v>
      </c>
      <c r="P19">
        <f>Consolidated!G28</f>
        <v>3.8</v>
      </c>
      <c r="R19">
        <f>Consolidated!D28</f>
        <v>114</v>
      </c>
      <c r="S19">
        <f>Consolidated!H28</f>
        <v>19.2</v>
      </c>
      <c r="U19">
        <f>Consolidated!D28</f>
        <v>114</v>
      </c>
      <c r="V19" s="90">
        <f>Consolidated!K28</f>
        <v>23.63</v>
      </c>
    </row>
    <row r="20" spans="3:22" x14ac:dyDescent="0.3">
      <c r="C20" s="34">
        <f>Consolidated!D29</f>
        <v>116</v>
      </c>
      <c r="D20" t="str">
        <f>Consolidated!B29</f>
        <v>09/12/2021</v>
      </c>
      <c r="F20">
        <f>Consolidated!D29</f>
        <v>116</v>
      </c>
      <c r="G20">
        <f>Consolidated!C29</f>
        <v>1144384</v>
      </c>
      <c r="I20">
        <f>Consolidated!D29</f>
        <v>116</v>
      </c>
      <c r="J20" s="90">
        <f>Consolidated!E29</f>
        <v>4.54</v>
      </c>
      <c r="L20">
        <f>Consolidated!D29</f>
        <v>116</v>
      </c>
      <c r="M20">
        <f>Consolidated!F29</f>
        <v>8.6999999999999993</v>
      </c>
      <c r="O20">
        <f>Consolidated!D29</f>
        <v>116</v>
      </c>
      <c r="P20">
        <f>Consolidated!G29</f>
        <v>3.6</v>
      </c>
      <c r="R20">
        <f>Consolidated!D29</f>
        <v>116</v>
      </c>
      <c r="S20">
        <f>Consolidated!H29</f>
        <v>17.899999999999999</v>
      </c>
      <c r="U20">
        <f>Consolidated!D29</f>
        <v>116</v>
      </c>
      <c r="V20" s="90">
        <f>Consolidated!K29</f>
        <v>24.55</v>
      </c>
    </row>
    <row r="21" spans="3:22" x14ac:dyDescent="0.3">
      <c r="C21" s="34">
        <f>Consolidated!D30</f>
        <v>126</v>
      </c>
      <c r="D21" t="str">
        <f>Consolidated!B30</f>
        <v>09/12/2021</v>
      </c>
      <c r="F21">
        <f>Consolidated!D30</f>
        <v>126</v>
      </c>
      <c r="G21">
        <f>Consolidated!C30</f>
        <v>1144385</v>
      </c>
      <c r="I21">
        <f>Consolidated!D30</f>
        <v>126</v>
      </c>
      <c r="J21" s="90">
        <f>Consolidated!E30</f>
        <v>3.46</v>
      </c>
      <c r="L21">
        <f>Consolidated!D30</f>
        <v>126</v>
      </c>
      <c r="M21">
        <f>Consolidated!F30</f>
        <v>9.5</v>
      </c>
      <c r="O21">
        <f>Consolidated!D30</f>
        <v>126</v>
      </c>
      <c r="P21">
        <f>Consolidated!G30</f>
        <v>3.5</v>
      </c>
      <c r="R21">
        <f>Consolidated!D30</f>
        <v>126</v>
      </c>
      <c r="S21">
        <f>Consolidated!H30</f>
        <v>21</v>
      </c>
      <c r="U21">
        <f>Consolidated!D30</f>
        <v>126</v>
      </c>
      <c r="V21" s="90">
        <f>Consolidated!K30</f>
        <v>23.42</v>
      </c>
    </row>
    <row r="22" spans="3:22" x14ac:dyDescent="0.3">
      <c r="C22" s="34">
        <f>Consolidated!D31</f>
        <v>138</v>
      </c>
      <c r="D22" t="str">
        <f>Consolidated!B31</f>
        <v>09/12/2021</v>
      </c>
      <c r="F22">
        <f>Consolidated!D31</f>
        <v>138</v>
      </c>
      <c r="G22">
        <f>Consolidated!C31</f>
        <v>1144386</v>
      </c>
      <c r="I22">
        <f>Consolidated!D31</f>
        <v>138</v>
      </c>
      <c r="J22" s="90">
        <f>Consolidated!E31</f>
        <v>2.98</v>
      </c>
      <c r="L22">
        <f>Consolidated!D31</f>
        <v>138</v>
      </c>
      <c r="M22">
        <f>Consolidated!F31</f>
        <v>9.3000000000000007</v>
      </c>
      <c r="O22">
        <f>Consolidated!D31</f>
        <v>138</v>
      </c>
      <c r="P22">
        <f>Consolidated!G31</f>
        <v>3.9</v>
      </c>
      <c r="R22">
        <f>Consolidated!D31</f>
        <v>138</v>
      </c>
      <c r="S22">
        <f>Consolidated!H31</f>
        <v>19.899999999999999</v>
      </c>
      <c r="U22">
        <f>Consolidated!D31</f>
        <v>138</v>
      </c>
      <c r="V22" s="90">
        <f>Consolidated!K31</f>
        <v>23.91</v>
      </c>
    </row>
    <row r="23" spans="3:22" x14ac:dyDescent="0.3">
      <c r="C23" s="34">
        <f>Consolidated!D32</f>
        <v>140</v>
      </c>
      <c r="D23" t="str">
        <f>Consolidated!B32</f>
        <v>09/12/2021</v>
      </c>
      <c r="F23">
        <f>Consolidated!D32</f>
        <v>140</v>
      </c>
      <c r="G23">
        <f>Consolidated!C32</f>
        <v>1144387</v>
      </c>
      <c r="I23">
        <f>Consolidated!D32</f>
        <v>140</v>
      </c>
      <c r="J23" s="90">
        <f>Consolidated!E32</f>
        <v>3.98</v>
      </c>
      <c r="L23">
        <f>Consolidated!D32</f>
        <v>140</v>
      </c>
      <c r="M23">
        <f>Consolidated!F32</f>
        <v>9.5</v>
      </c>
      <c r="O23">
        <f>Consolidated!D32</f>
        <v>140</v>
      </c>
      <c r="P23">
        <f>Consolidated!G32</f>
        <v>3.7</v>
      </c>
      <c r="R23">
        <f>Consolidated!D32</f>
        <v>140</v>
      </c>
      <c r="S23">
        <f>Consolidated!H32</f>
        <v>19.8</v>
      </c>
      <c r="U23">
        <f>Consolidated!D32</f>
        <v>140</v>
      </c>
      <c r="V23" s="90">
        <f>Consolidated!K32</f>
        <v>23.93</v>
      </c>
    </row>
    <row r="24" spans="3:22" x14ac:dyDescent="0.3">
      <c r="C24" s="34">
        <f>Consolidated!D33</f>
        <v>147</v>
      </c>
      <c r="D24" t="str">
        <f>Consolidated!B33</f>
        <v>09/12/2021</v>
      </c>
      <c r="F24">
        <f>Consolidated!D33</f>
        <v>147</v>
      </c>
      <c r="G24">
        <f>Consolidated!C33</f>
        <v>1144388</v>
      </c>
      <c r="I24">
        <f>Consolidated!D33</f>
        <v>147</v>
      </c>
      <c r="J24" s="90">
        <f>Consolidated!E33</f>
        <v>4.82</v>
      </c>
      <c r="L24">
        <f>Consolidated!D33</f>
        <v>147</v>
      </c>
      <c r="M24">
        <f>Consolidated!F33</f>
        <v>8.6</v>
      </c>
      <c r="O24">
        <f>Consolidated!D33</f>
        <v>147</v>
      </c>
      <c r="P24">
        <f>Consolidated!G33</f>
        <v>3.8</v>
      </c>
      <c r="R24">
        <f>Consolidated!D33</f>
        <v>147</v>
      </c>
      <c r="S24">
        <f>Consolidated!H33</f>
        <v>17.7</v>
      </c>
      <c r="U24">
        <f>Consolidated!D33</f>
        <v>147</v>
      </c>
      <c r="V24" s="90">
        <f>Consolidated!K33</f>
        <v>24.75</v>
      </c>
    </row>
    <row r="25" spans="3:22" x14ac:dyDescent="0.3">
      <c r="C25" s="34">
        <f>Consolidated!D34</f>
        <v>151</v>
      </c>
      <c r="D25" t="str">
        <f>Consolidated!B34</f>
        <v>09/12/2021</v>
      </c>
      <c r="F25">
        <f>Consolidated!D34</f>
        <v>151</v>
      </c>
      <c r="G25">
        <f>Consolidated!C34</f>
        <v>1144389</v>
      </c>
      <c r="I25">
        <f>Consolidated!D34</f>
        <v>151</v>
      </c>
      <c r="J25" s="90">
        <f>Consolidated!E34</f>
        <v>5.7</v>
      </c>
      <c r="L25">
        <f>Consolidated!D34</f>
        <v>151</v>
      </c>
      <c r="M25">
        <f>Consolidated!F34</f>
        <v>8.8000000000000007</v>
      </c>
      <c r="O25">
        <f>Consolidated!D34</f>
        <v>151</v>
      </c>
      <c r="P25">
        <f>Consolidated!G34</f>
        <v>3.7</v>
      </c>
      <c r="R25">
        <f>Consolidated!D34</f>
        <v>151</v>
      </c>
      <c r="S25">
        <f>Consolidated!H34</f>
        <v>19.5</v>
      </c>
      <c r="U25">
        <f>Consolidated!D34</f>
        <v>151</v>
      </c>
      <c r="V25" s="90">
        <f>Consolidated!K34</f>
        <v>24</v>
      </c>
    </row>
    <row r="26" spans="3:22" x14ac:dyDescent="0.3">
      <c r="C26" s="34">
        <f>Consolidated!D35</f>
        <v>167</v>
      </c>
      <c r="D26" t="str">
        <f>Consolidated!B35</f>
        <v>09/12/2021</v>
      </c>
      <c r="F26">
        <f>Consolidated!D35</f>
        <v>167</v>
      </c>
      <c r="G26">
        <f>Consolidated!C35</f>
        <v>1144390</v>
      </c>
      <c r="I26">
        <f>Consolidated!D35</f>
        <v>167</v>
      </c>
      <c r="J26" s="90">
        <f>Consolidated!E35</f>
        <v>5.24</v>
      </c>
      <c r="L26">
        <f>Consolidated!D35</f>
        <v>167</v>
      </c>
      <c r="M26">
        <f>Consolidated!F35</f>
        <v>8.5</v>
      </c>
      <c r="O26">
        <f>Consolidated!D35</f>
        <v>167</v>
      </c>
      <c r="P26">
        <f>Consolidated!G35</f>
        <v>3.9</v>
      </c>
      <c r="R26">
        <f>Consolidated!D35</f>
        <v>167</v>
      </c>
      <c r="S26">
        <f>Consolidated!H35</f>
        <v>21</v>
      </c>
      <c r="U26">
        <f>Consolidated!D35</f>
        <v>167</v>
      </c>
      <c r="V26" s="90">
        <f>Consolidated!K35</f>
        <v>24.44</v>
      </c>
    </row>
    <row r="27" spans="3:22" x14ac:dyDescent="0.3">
      <c r="C27" s="34">
        <f>Consolidated!D36</f>
        <v>175</v>
      </c>
      <c r="D27" t="str">
        <f>Consolidated!B36</f>
        <v>09/12/2021</v>
      </c>
      <c r="F27">
        <f>Consolidated!D36</f>
        <v>175</v>
      </c>
      <c r="G27">
        <f>Consolidated!C36</f>
        <v>1144391</v>
      </c>
      <c r="I27">
        <f>Consolidated!D36</f>
        <v>175</v>
      </c>
      <c r="J27" s="90">
        <f>Consolidated!E36</f>
        <v>3.16</v>
      </c>
      <c r="L27">
        <f>Consolidated!D36</f>
        <v>175</v>
      </c>
      <c r="M27">
        <f>Consolidated!F36</f>
        <v>8.8000000000000007</v>
      </c>
      <c r="O27">
        <f>Consolidated!D36</f>
        <v>175</v>
      </c>
      <c r="P27">
        <f>Consolidated!G36</f>
        <v>3.6</v>
      </c>
      <c r="R27">
        <f>Consolidated!D36</f>
        <v>175</v>
      </c>
      <c r="S27">
        <f>Consolidated!H36</f>
        <v>17.8</v>
      </c>
      <c r="U27">
        <f>Consolidated!D36</f>
        <v>175</v>
      </c>
      <c r="V27" s="90">
        <f>Consolidated!K36</f>
        <v>24.54</v>
      </c>
    </row>
    <row r="28" spans="3:22" x14ac:dyDescent="0.3">
      <c r="C28" s="34">
        <f>Consolidated!D37</f>
        <v>179</v>
      </c>
      <c r="D28" t="str">
        <f>Consolidated!B37</f>
        <v>09/12/2021</v>
      </c>
      <c r="F28">
        <f>Consolidated!D37</f>
        <v>179</v>
      </c>
      <c r="G28">
        <f>Consolidated!C37</f>
        <v>1144392</v>
      </c>
      <c r="I28">
        <f>Consolidated!D37</f>
        <v>179</v>
      </c>
      <c r="J28" s="90">
        <f>Consolidated!E37</f>
        <v>5.66</v>
      </c>
      <c r="L28">
        <f>Consolidated!D37</f>
        <v>179</v>
      </c>
      <c r="M28">
        <f>Consolidated!F37</f>
        <v>8.5</v>
      </c>
      <c r="O28">
        <f>Consolidated!D37</f>
        <v>179</v>
      </c>
      <c r="P28">
        <f>Consolidated!G37</f>
        <v>3.9</v>
      </c>
      <c r="R28">
        <f>Consolidated!D37</f>
        <v>179</v>
      </c>
      <c r="S28">
        <f>Consolidated!H37</f>
        <v>20.100000000000001</v>
      </c>
      <c r="U28">
        <f>Consolidated!D37</f>
        <v>179</v>
      </c>
      <c r="V28" s="90">
        <f>Consolidated!K37</f>
        <v>23.96</v>
      </c>
    </row>
    <row r="29" spans="3:22" x14ac:dyDescent="0.3">
      <c r="C29" s="34">
        <f>Consolidated!D38</f>
        <v>180</v>
      </c>
      <c r="D29" t="str">
        <f>Consolidated!B38</f>
        <v>09/12/2021</v>
      </c>
      <c r="F29">
        <f>Consolidated!D38</f>
        <v>180</v>
      </c>
      <c r="G29">
        <f>Consolidated!C38</f>
        <v>1144393</v>
      </c>
      <c r="I29">
        <f>Consolidated!D38</f>
        <v>180</v>
      </c>
      <c r="J29" s="90">
        <f>Consolidated!E38</f>
        <v>2.72</v>
      </c>
      <c r="L29">
        <f>Consolidated!D38</f>
        <v>180</v>
      </c>
      <c r="M29">
        <f>Consolidated!F38</f>
        <v>8.9</v>
      </c>
      <c r="O29">
        <f>Consolidated!D38</f>
        <v>180</v>
      </c>
      <c r="P29">
        <f>Consolidated!G38</f>
        <v>3.9</v>
      </c>
      <c r="R29">
        <f>Consolidated!D38</f>
        <v>180</v>
      </c>
      <c r="S29">
        <f>Consolidated!H38</f>
        <v>20.7</v>
      </c>
      <c r="U29">
        <f>Consolidated!D38</f>
        <v>180</v>
      </c>
      <c r="V29" s="90">
        <f>Consolidated!K38</f>
        <v>23.58</v>
      </c>
    </row>
    <row r="30" spans="3:22" x14ac:dyDescent="0.3">
      <c r="C30" s="34">
        <f>Consolidated!D39</f>
        <v>109</v>
      </c>
      <c r="D30" t="str">
        <f>Consolidated!B39</f>
        <v>09/12/2021</v>
      </c>
      <c r="F30">
        <f>Consolidated!D39</f>
        <v>109</v>
      </c>
      <c r="G30">
        <f>Consolidated!C39</f>
        <v>1144394</v>
      </c>
      <c r="I30">
        <f>Consolidated!D39</f>
        <v>109</v>
      </c>
      <c r="J30" s="90">
        <f>Consolidated!E39</f>
        <v>4.3600000000000003</v>
      </c>
      <c r="L30">
        <f>Consolidated!D39</f>
        <v>109</v>
      </c>
      <c r="M30">
        <f>Consolidated!F39</f>
        <v>9</v>
      </c>
      <c r="O30">
        <f>Consolidated!D39</f>
        <v>109</v>
      </c>
      <c r="P30">
        <f>Consolidated!G39</f>
        <v>3.7</v>
      </c>
      <c r="R30">
        <f>Consolidated!D39</f>
        <v>109</v>
      </c>
      <c r="S30">
        <f>Consolidated!H39</f>
        <v>19.100000000000001</v>
      </c>
      <c r="U30">
        <f>Consolidated!D39</f>
        <v>109</v>
      </c>
      <c r="V30" s="90">
        <f>Consolidated!K39</f>
        <v>23.63</v>
      </c>
    </row>
    <row r="31" spans="3:22" x14ac:dyDescent="0.3">
      <c r="C31" s="34">
        <f>Consolidated!D40</f>
        <v>110</v>
      </c>
      <c r="D31" t="str">
        <f>Consolidated!B40</f>
        <v>09/12/2021</v>
      </c>
      <c r="F31">
        <f>Consolidated!D40</f>
        <v>110</v>
      </c>
      <c r="G31">
        <f>Consolidated!C40</f>
        <v>1144395</v>
      </c>
      <c r="I31">
        <f>Consolidated!D40</f>
        <v>110</v>
      </c>
      <c r="J31" s="90">
        <f>Consolidated!E40</f>
        <v>3.24</v>
      </c>
      <c r="L31">
        <f>Consolidated!D40</f>
        <v>110</v>
      </c>
      <c r="M31">
        <f>Consolidated!F40</f>
        <v>8.6999999999999993</v>
      </c>
      <c r="O31">
        <f>Consolidated!D40</f>
        <v>110</v>
      </c>
      <c r="P31">
        <f>Consolidated!G40</f>
        <v>4</v>
      </c>
      <c r="R31">
        <f>Consolidated!D40</f>
        <v>110</v>
      </c>
      <c r="S31">
        <f>Consolidated!H40</f>
        <v>21.8</v>
      </c>
      <c r="U31">
        <f>Consolidated!D40</f>
        <v>110</v>
      </c>
      <c r="V31" s="90">
        <f>Consolidated!K40</f>
        <v>22.71</v>
      </c>
    </row>
    <row r="32" spans="3:22" x14ac:dyDescent="0.3">
      <c r="C32" s="34">
        <f>Consolidated!D41</f>
        <v>112</v>
      </c>
      <c r="D32" t="str">
        <f>Consolidated!B41</f>
        <v>09/12/2021</v>
      </c>
      <c r="F32">
        <f>Consolidated!D41</f>
        <v>112</v>
      </c>
      <c r="G32">
        <f>Consolidated!C41</f>
        <v>1144396</v>
      </c>
      <c r="I32">
        <f>Consolidated!D41</f>
        <v>112</v>
      </c>
      <c r="J32" s="90">
        <f>Consolidated!E41</f>
        <v>2.66</v>
      </c>
      <c r="L32">
        <f>Consolidated!D41</f>
        <v>112</v>
      </c>
      <c r="M32">
        <f>Consolidated!F41</f>
        <v>8.8000000000000007</v>
      </c>
      <c r="O32">
        <f>Consolidated!D41</f>
        <v>112</v>
      </c>
      <c r="P32">
        <f>Consolidated!G41</f>
        <v>4.3</v>
      </c>
      <c r="R32">
        <f>Consolidated!D41</f>
        <v>112</v>
      </c>
      <c r="S32">
        <f>Consolidated!H41</f>
        <v>18.2</v>
      </c>
      <c r="U32">
        <f>Consolidated!D41</f>
        <v>112</v>
      </c>
      <c r="V32" s="90">
        <f>Consolidated!K41</f>
        <v>24.27</v>
      </c>
    </row>
    <row r="33" spans="3:22" x14ac:dyDescent="0.3">
      <c r="C33" s="34">
        <f>Consolidated!D42</f>
        <v>117</v>
      </c>
      <c r="D33" t="str">
        <f>Consolidated!B42</f>
        <v>09/12/2021</v>
      </c>
      <c r="F33">
        <f>Consolidated!D42</f>
        <v>117</v>
      </c>
      <c r="G33">
        <f>Consolidated!C42</f>
        <v>1144397</v>
      </c>
      <c r="I33">
        <f>Consolidated!D42</f>
        <v>117</v>
      </c>
      <c r="J33" s="90">
        <f>Consolidated!E42</f>
        <v>3.82</v>
      </c>
      <c r="L33">
        <f>Consolidated!D42</f>
        <v>117</v>
      </c>
      <c r="M33">
        <f>Consolidated!F42</f>
        <v>8.8000000000000007</v>
      </c>
      <c r="O33">
        <f>Consolidated!D42</f>
        <v>117</v>
      </c>
      <c r="P33">
        <f>Consolidated!G42</f>
        <v>4.0999999999999996</v>
      </c>
      <c r="R33">
        <f>Consolidated!D42</f>
        <v>117</v>
      </c>
      <c r="S33">
        <f>Consolidated!H42</f>
        <v>17.7</v>
      </c>
      <c r="U33">
        <f>Consolidated!D42</f>
        <v>117</v>
      </c>
      <c r="V33" s="90">
        <f>Consolidated!K42</f>
        <v>24.25</v>
      </c>
    </row>
    <row r="34" spans="3:22" x14ac:dyDescent="0.3">
      <c r="C34" s="34">
        <f>Consolidated!D43</f>
        <v>133</v>
      </c>
      <c r="D34" t="str">
        <f>Consolidated!B43</f>
        <v>09/12/2021</v>
      </c>
      <c r="F34">
        <f>Consolidated!D43</f>
        <v>133</v>
      </c>
      <c r="G34">
        <f>Consolidated!C43</f>
        <v>1144398</v>
      </c>
      <c r="I34">
        <f>Consolidated!D43</f>
        <v>133</v>
      </c>
      <c r="J34" s="90">
        <f>Consolidated!E43</f>
        <v>4.24</v>
      </c>
      <c r="L34">
        <f>Consolidated!D43</f>
        <v>133</v>
      </c>
      <c r="M34">
        <f>Consolidated!F43</f>
        <v>8.9</v>
      </c>
      <c r="O34">
        <f>Consolidated!D43</f>
        <v>133</v>
      </c>
      <c r="P34">
        <f>Consolidated!G43</f>
        <v>4.4000000000000004</v>
      </c>
      <c r="R34">
        <f>Consolidated!D43</f>
        <v>133</v>
      </c>
      <c r="S34">
        <f>Consolidated!H43</f>
        <v>20.3</v>
      </c>
      <c r="U34">
        <f>Consolidated!D43</f>
        <v>133</v>
      </c>
      <c r="V34" s="90">
        <f>Consolidated!K43</f>
        <v>23.46</v>
      </c>
    </row>
    <row r="35" spans="3:22" x14ac:dyDescent="0.3">
      <c r="C35" s="34">
        <f>Consolidated!D44</f>
        <v>137</v>
      </c>
      <c r="D35" t="str">
        <f>Consolidated!B44</f>
        <v>09/12/2021</v>
      </c>
      <c r="F35">
        <f>Consolidated!D44</f>
        <v>137</v>
      </c>
      <c r="G35">
        <f>Consolidated!C44</f>
        <v>1144399</v>
      </c>
      <c r="I35">
        <f>Consolidated!D44</f>
        <v>137</v>
      </c>
      <c r="J35" s="90">
        <f>Consolidated!E44</f>
        <v>4.92</v>
      </c>
      <c r="L35">
        <f>Consolidated!D44</f>
        <v>137</v>
      </c>
      <c r="M35">
        <f>Consolidated!F44</f>
        <v>8.6</v>
      </c>
      <c r="O35">
        <f>Consolidated!D44</f>
        <v>137</v>
      </c>
      <c r="P35">
        <f>Consolidated!G44</f>
        <v>4.5</v>
      </c>
      <c r="R35">
        <f>Consolidated!D44</f>
        <v>137</v>
      </c>
      <c r="S35">
        <f>Consolidated!H44</f>
        <v>17.7</v>
      </c>
      <c r="U35">
        <f>Consolidated!D44</f>
        <v>137</v>
      </c>
      <c r="V35" s="90">
        <f>Consolidated!K44</f>
        <v>24.44</v>
      </c>
    </row>
    <row r="36" spans="3:22" x14ac:dyDescent="0.3">
      <c r="C36" s="34">
        <f>Consolidated!D45</f>
        <v>146</v>
      </c>
      <c r="D36" t="str">
        <f>Consolidated!B45</f>
        <v>09/12/2021</v>
      </c>
      <c r="F36">
        <f>Consolidated!D45</f>
        <v>146</v>
      </c>
      <c r="G36">
        <f>Consolidated!C45</f>
        <v>1144400</v>
      </c>
      <c r="I36">
        <f>Consolidated!D45</f>
        <v>146</v>
      </c>
      <c r="J36" s="90">
        <f>Consolidated!E45</f>
        <v>5.7</v>
      </c>
      <c r="L36">
        <f>Consolidated!D45</f>
        <v>146</v>
      </c>
      <c r="M36">
        <f>Consolidated!F45</f>
        <v>9.1</v>
      </c>
      <c r="O36">
        <f>Consolidated!D45</f>
        <v>146</v>
      </c>
      <c r="P36">
        <f>Consolidated!G45</f>
        <v>4.4000000000000004</v>
      </c>
      <c r="R36">
        <f>Consolidated!D45</f>
        <v>146</v>
      </c>
      <c r="S36">
        <f>Consolidated!H45</f>
        <v>20.100000000000001</v>
      </c>
      <c r="U36">
        <f>Consolidated!D45</f>
        <v>146</v>
      </c>
      <c r="V36" s="90">
        <f>Consolidated!K45</f>
        <v>23.57</v>
      </c>
    </row>
    <row r="37" spans="3:22" x14ac:dyDescent="0.3">
      <c r="C37" s="34">
        <f>Consolidated!D46</f>
        <v>152</v>
      </c>
      <c r="D37" t="str">
        <f>Consolidated!B46</f>
        <v>09/12/2021</v>
      </c>
      <c r="F37">
        <f>Consolidated!D46</f>
        <v>152</v>
      </c>
      <c r="G37">
        <f>Consolidated!C46</f>
        <v>1144401</v>
      </c>
      <c r="I37">
        <f>Consolidated!D46</f>
        <v>152</v>
      </c>
      <c r="J37" s="90">
        <f>Consolidated!E46</f>
        <v>4.42</v>
      </c>
      <c r="L37">
        <f>Consolidated!D46</f>
        <v>152</v>
      </c>
      <c r="M37">
        <f>Consolidated!F46</f>
        <v>8.9</v>
      </c>
      <c r="O37">
        <f>Consolidated!D46</f>
        <v>152</v>
      </c>
      <c r="P37">
        <f>Consolidated!G46</f>
        <v>3.5</v>
      </c>
      <c r="R37">
        <f>Consolidated!D46</f>
        <v>152</v>
      </c>
      <c r="S37">
        <f>Consolidated!H46</f>
        <v>19.600000000000001</v>
      </c>
      <c r="U37">
        <f>Consolidated!D46</f>
        <v>152</v>
      </c>
      <c r="V37" s="90">
        <f>Consolidated!K46</f>
        <v>23.71</v>
      </c>
    </row>
    <row r="38" spans="3:22" x14ac:dyDescent="0.3">
      <c r="C38" s="34">
        <f>Consolidated!D47</f>
        <v>153</v>
      </c>
      <c r="D38" t="str">
        <f>Consolidated!B47</f>
        <v>09/12/2021</v>
      </c>
      <c r="F38">
        <f>Consolidated!D47</f>
        <v>153</v>
      </c>
      <c r="G38">
        <f>Consolidated!C47</f>
        <v>1144402</v>
      </c>
      <c r="I38">
        <f>Consolidated!D47</f>
        <v>153</v>
      </c>
      <c r="J38" s="90">
        <f>Consolidated!E47</f>
        <v>6.48</v>
      </c>
      <c r="L38">
        <f>Consolidated!D47</f>
        <v>153</v>
      </c>
      <c r="M38">
        <f>Consolidated!F47</f>
        <v>8.8000000000000007</v>
      </c>
      <c r="O38">
        <f>Consolidated!D47</f>
        <v>153</v>
      </c>
      <c r="P38">
        <f>Consolidated!G47</f>
        <v>3.8</v>
      </c>
      <c r="R38">
        <f>Consolidated!D47</f>
        <v>153</v>
      </c>
      <c r="S38">
        <f>Consolidated!H47</f>
        <v>17.600000000000001</v>
      </c>
      <c r="U38">
        <f>Consolidated!D47</f>
        <v>153</v>
      </c>
      <c r="V38" s="90">
        <f>Consolidated!K47</f>
        <v>24.64</v>
      </c>
    </row>
    <row r="39" spans="3:22" x14ac:dyDescent="0.3">
      <c r="C39" s="34">
        <f>Consolidated!D48</f>
        <v>166</v>
      </c>
      <c r="D39" t="str">
        <f>Consolidated!B48</f>
        <v>09/12/2021</v>
      </c>
      <c r="F39">
        <f>Consolidated!D48</f>
        <v>166</v>
      </c>
      <c r="G39">
        <f>Consolidated!C48</f>
        <v>1144403</v>
      </c>
      <c r="I39">
        <f>Consolidated!D48</f>
        <v>166</v>
      </c>
      <c r="J39" s="90">
        <f>Consolidated!E48</f>
        <v>4.0999999999999996</v>
      </c>
      <c r="L39">
        <f>Consolidated!D48</f>
        <v>166</v>
      </c>
      <c r="M39">
        <f>Consolidated!F48</f>
        <v>9</v>
      </c>
      <c r="O39">
        <f>Consolidated!D48</f>
        <v>166</v>
      </c>
      <c r="P39">
        <f>Consolidated!G48</f>
        <v>3.8</v>
      </c>
      <c r="R39">
        <f>Consolidated!D48</f>
        <v>166</v>
      </c>
      <c r="S39">
        <f>Consolidated!H48</f>
        <v>19.5</v>
      </c>
      <c r="U39">
        <f>Consolidated!D48</f>
        <v>166</v>
      </c>
      <c r="V39" s="90">
        <f>Consolidated!K48</f>
        <v>23.85</v>
      </c>
    </row>
    <row r="40" spans="3:22" x14ac:dyDescent="0.3">
      <c r="C40" s="34">
        <f>Consolidated!D49</f>
        <v>168</v>
      </c>
      <c r="D40" t="str">
        <f>Consolidated!B49</f>
        <v>09/12/2021</v>
      </c>
      <c r="F40">
        <f>Consolidated!D49</f>
        <v>168</v>
      </c>
      <c r="G40">
        <f>Consolidated!C49</f>
        <v>1144404</v>
      </c>
      <c r="I40">
        <f>Consolidated!D49</f>
        <v>168</v>
      </c>
      <c r="J40" s="90">
        <f>Consolidated!E49</f>
        <v>3.26</v>
      </c>
      <c r="L40">
        <f>Consolidated!D49</f>
        <v>168</v>
      </c>
      <c r="M40">
        <f>Consolidated!F49</f>
        <v>8.6</v>
      </c>
      <c r="O40">
        <f>Consolidated!D49</f>
        <v>168</v>
      </c>
      <c r="P40">
        <f>Consolidated!G49</f>
        <v>4.5</v>
      </c>
      <c r="R40">
        <f>Consolidated!D49</f>
        <v>168</v>
      </c>
      <c r="S40">
        <f>Consolidated!H49</f>
        <v>19.8</v>
      </c>
      <c r="U40">
        <f>Consolidated!D49</f>
        <v>168</v>
      </c>
      <c r="V40" s="90">
        <f>Consolidated!K49</f>
        <v>23.9</v>
      </c>
    </row>
    <row r="41" spans="3:22" x14ac:dyDescent="0.3">
      <c r="C41" s="34">
        <f>Consolidated!D50</f>
        <v>176</v>
      </c>
      <c r="D41" t="str">
        <f>Consolidated!B50</f>
        <v>09/12/2021</v>
      </c>
      <c r="F41">
        <f>Consolidated!D50</f>
        <v>176</v>
      </c>
      <c r="G41">
        <f>Consolidated!C50</f>
        <v>1144405</v>
      </c>
      <c r="I41">
        <f>Consolidated!D50</f>
        <v>176</v>
      </c>
      <c r="J41" s="90">
        <f>Consolidated!E50</f>
        <v>2.38</v>
      </c>
      <c r="L41">
        <f>Consolidated!D50</f>
        <v>176</v>
      </c>
      <c r="M41">
        <f>Consolidated!F50</f>
        <v>8.5</v>
      </c>
      <c r="O41">
        <f>Consolidated!D50</f>
        <v>176</v>
      </c>
      <c r="P41">
        <f>Consolidated!G50</f>
        <v>3.9</v>
      </c>
      <c r="R41">
        <f>Consolidated!D50</f>
        <v>176</v>
      </c>
      <c r="S41">
        <f>Consolidated!H50</f>
        <v>17.100000000000001</v>
      </c>
      <c r="U41">
        <f>Consolidated!D50</f>
        <v>176</v>
      </c>
      <c r="V41" s="90">
        <f>Consolidated!K50</f>
        <v>24.85</v>
      </c>
    </row>
    <row r="42" spans="3:22" x14ac:dyDescent="0.3">
      <c r="C42" s="34">
        <f>Consolidated!D51</f>
        <v>102</v>
      </c>
      <c r="D42" t="str">
        <f>Consolidated!B51</f>
        <v>09/12/2021</v>
      </c>
      <c r="F42">
        <f>Consolidated!D51</f>
        <v>102</v>
      </c>
      <c r="G42">
        <f>Consolidated!C51</f>
        <v>1144406</v>
      </c>
      <c r="I42">
        <f>Consolidated!D51</f>
        <v>102</v>
      </c>
      <c r="J42" s="90">
        <f>Consolidated!E51</f>
        <v>3.36</v>
      </c>
      <c r="L42">
        <f>Consolidated!D51</f>
        <v>102</v>
      </c>
      <c r="M42">
        <f>Consolidated!F51</f>
        <v>8.6</v>
      </c>
      <c r="O42">
        <f>Consolidated!D51</f>
        <v>102</v>
      </c>
      <c r="P42">
        <f>Consolidated!G51</f>
        <v>4.3</v>
      </c>
      <c r="R42">
        <f>Consolidated!D51</f>
        <v>102</v>
      </c>
      <c r="S42">
        <f>Consolidated!H51</f>
        <v>17.899999999999999</v>
      </c>
      <c r="U42">
        <f>Consolidated!D51</f>
        <v>102</v>
      </c>
      <c r="V42" s="90">
        <f>Consolidated!K51</f>
        <v>23.9</v>
      </c>
    </row>
    <row r="43" spans="3:22" x14ac:dyDescent="0.3">
      <c r="C43" s="34">
        <f>Consolidated!D52</f>
        <v>106</v>
      </c>
      <c r="D43" t="str">
        <f>Consolidated!B52</f>
        <v>09/12/2021</v>
      </c>
      <c r="F43">
        <f>Consolidated!D52</f>
        <v>106</v>
      </c>
      <c r="G43">
        <f>Consolidated!C52</f>
        <v>1144407</v>
      </c>
      <c r="I43">
        <f>Consolidated!D52</f>
        <v>106</v>
      </c>
      <c r="J43" s="90">
        <f>Consolidated!E52</f>
        <v>4.74</v>
      </c>
      <c r="L43">
        <f>Consolidated!D52</f>
        <v>106</v>
      </c>
      <c r="M43">
        <f>Consolidated!F52</f>
        <v>8.5</v>
      </c>
      <c r="O43">
        <f>Consolidated!D52</f>
        <v>106</v>
      </c>
      <c r="P43">
        <f>Consolidated!G52</f>
        <v>4.3</v>
      </c>
      <c r="R43">
        <f>Consolidated!D52</f>
        <v>106</v>
      </c>
      <c r="S43">
        <f>Consolidated!H52</f>
        <v>18.600000000000001</v>
      </c>
      <c r="U43">
        <f>Consolidated!D52</f>
        <v>106</v>
      </c>
      <c r="V43" s="90">
        <f>Consolidated!K52</f>
        <v>24.85</v>
      </c>
    </row>
    <row r="44" spans="3:22" x14ac:dyDescent="0.3">
      <c r="C44" s="34">
        <f>Consolidated!D53</f>
        <v>111</v>
      </c>
      <c r="D44" t="str">
        <f>Consolidated!B53</f>
        <v>09/12/2021</v>
      </c>
      <c r="F44">
        <f>Consolidated!D53</f>
        <v>111</v>
      </c>
      <c r="G44">
        <f>Consolidated!C53</f>
        <v>1144408</v>
      </c>
      <c r="I44">
        <f>Consolidated!D53</f>
        <v>111</v>
      </c>
      <c r="J44" s="90">
        <f>Consolidated!E53</f>
        <v>6.72</v>
      </c>
      <c r="L44">
        <f>Consolidated!D53</f>
        <v>111</v>
      </c>
      <c r="M44">
        <f>Consolidated!F53</f>
        <v>8.5</v>
      </c>
      <c r="O44">
        <f>Consolidated!D53</f>
        <v>111</v>
      </c>
      <c r="P44">
        <f>Consolidated!G53</f>
        <v>4.5</v>
      </c>
      <c r="R44">
        <f>Consolidated!D53</f>
        <v>111</v>
      </c>
      <c r="S44">
        <f>Consolidated!H53</f>
        <v>18.600000000000001</v>
      </c>
      <c r="U44">
        <f>Consolidated!D53</f>
        <v>111</v>
      </c>
      <c r="V44" s="90">
        <f>Consolidated!K53</f>
        <v>23.16</v>
      </c>
    </row>
    <row r="45" spans="3:22" x14ac:dyDescent="0.3">
      <c r="C45" s="34">
        <f>Consolidated!D54</f>
        <v>132</v>
      </c>
      <c r="D45" t="str">
        <f>Consolidated!B54</f>
        <v>09/12/2021</v>
      </c>
      <c r="F45">
        <f>Consolidated!D54</f>
        <v>132</v>
      </c>
      <c r="G45">
        <f>Consolidated!C54</f>
        <v>1144409</v>
      </c>
      <c r="I45">
        <f>Consolidated!D54</f>
        <v>132</v>
      </c>
      <c r="J45" s="90">
        <f>Consolidated!E54</f>
        <v>5.22</v>
      </c>
      <c r="L45">
        <f>Consolidated!D54</f>
        <v>132</v>
      </c>
      <c r="M45">
        <f>Consolidated!F54</f>
        <v>8.8000000000000007</v>
      </c>
      <c r="O45">
        <f>Consolidated!D54</f>
        <v>132</v>
      </c>
      <c r="P45">
        <f>Consolidated!G54</f>
        <v>4.3</v>
      </c>
      <c r="R45">
        <f>Consolidated!D54</f>
        <v>132</v>
      </c>
      <c r="S45">
        <f>Consolidated!H54</f>
        <v>18.399999999999999</v>
      </c>
      <c r="U45">
        <f>Consolidated!D54</f>
        <v>132</v>
      </c>
      <c r="V45" s="90">
        <f>Consolidated!K54</f>
        <v>24.31</v>
      </c>
    </row>
    <row r="46" spans="3:22" x14ac:dyDescent="0.3">
      <c r="C46" s="34">
        <f>Consolidated!D55</f>
        <v>143</v>
      </c>
      <c r="D46" t="str">
        <f>Consolidated!B55</f>
        <v>09/12/2021</v>
      </c>
      <c r="F46">
        <f>Consolidated!D55</f>
        <v>143</v>
      </c>
      <c r="G46">
        <f>Consolidated!C55</f>
        <v>1144410</v>
      </c>
      <c r="I46">
        <f>Consolidated!D55</f>
        <v>143</v>
      </c>
      <c r="J46" s="90">
        <f>Consolidated!E55</f>
        <v>6.98</v>
      </c>
      <c r="L46">
        <f>Consolidated!D55</f>
        <v>143</v>
      </c>
      <c r="M46">
        <f>Consolidated!F55</f>
        <v>8.9</v>
      </c>
      <c r="O46">
        <f>Consolidated!D55</f>
        <v>143</v>
      </c>
      <c r="P46">
        <f>Consolidated!G55</f>
        <v>4.5</v>
      </c>
      <c r="R46">
        <f>Consolidated!D55</f>
        <v>143</v>
      </c>
      <c r="S46">
        <f>Consolidated!H55</f>
        <v>18.600000000000001</v>
      </c>
      <c r="U46">
        <f>Consolidated!D55</f>
        <v>143</v>
      </c>
      <c r="V46" s="90">
        <f>Consolidated!K55</f>
        <v>24.71</v>
      </c>
    </row>
    <row r="47" spans="3:22" x14ac:dyDescent="0.3">
      <c r="C47" s="34">
        <f>Consolidated!D56</f>
        <v>149</v>
      </c>
      <c r="D47" t="str">
        <f>Consolidated!B56</f>
        <v>09/12/2021</v>
      </c>
      <c r="F47">
        <f>Consolidated!D56</f>
        <v>149</v>
      </c>
      <c r="G47">
        <f>Consolidated!C56</f>
        <v>1144411</v>
      </c>
      <c r="I47">
        <f>Consolidated!D56</f>
        <v>149</v>
      </c>
      <c r="J47" s="90">
        <f>Consolidated!E56</f>
        <v>3.9</v>
      </c>
      <c r="L47">
        <f>Consolidated!D56</f>
        <v>149</v>
      </c>
      <c r="M47">
        <f>Consolidated!F56</f>
        <v>9</v>
      </c>
      <c r="O47">
        <f>Consolidated!D56</f>
        <v>149</v>
      </c>
      <c r="P47">
        <f>Consolidated!G56</f>
        <v>4.3</v>
      </c>
      <c r="R47">
        <f>Consolidated!D56</f>
        <v>149</v>
      </c>
      <c r="S47">
        <f>Consolidated!H56</f>
        <v>18</v>
      </c>
      <c r="U47">
        <f>Consolidated!D56</f>
        <v>149</v>
      </c>
      <c r="V47" s="90">
        <f>Consolidated!K56</f>
        <v>24.11</v>
      </c>
    </row>
    <row r="48" spans="3:22" x14ac:dyDescent="0.3">
      <c r="C48" s="34">
        <f>Consolidated!D57</f>
        <v>164</v>
      </c>
      <c r="D48" t="str">
        <f>Consolidated!B57</f>
        <v>09/12/2021</v>
      </c>
      <c r="F48">
        <f>Consolidated!D57</f>
        <v>164</v>
      </c>
      <c r="G48">
        <f>Consolidated!C57</f>
        <v>1144412</v>
      </c>
      <c r="I48">
        <f>Consolidated!D57</f>
        <v>164</v>
      </c>
      <c r="J48" s="90">
        <f>Consolidated!E57</f>
        <v>5.5</v>
      </c>
      <c r="L48">
        <f>Consolidated!D57</f>
        <v>164</v>
      </c>
      <c r="M48">
        <f>Consolidated!F57</f>
        <v>9.1999999999999993</v>
      </c>
      <c r="O48">
        <f>Consolidated!D57</f>
        <v>164</v>
      </c>
      <c r="P48">
        <f>Consolidated!G57</f>
        <v>2.9</v>
      </c>
      <c r="R48">
        <f>Consolidated!D57</f>
        <v>164</v>
      </c>
      <c r="S48">
        <f>Consolidated!H57</f>
        <v>18.7</v>
      </c>
      <c r="U48">
        <f>Consolidated!D57</f>
        <v>164</v>
      </c>
      <c r="V48" s="90">
        <f>Consolidated!K57</f>
        <v>24.57</v>
      </c>
    </row>
    <row r="49" spans="3:22" x14ac:dyDescent="0.3">
      <c r="C49" s="34">
        <f>Consolidated!D58</f>
        <v>169</v>
      </c>
      <c r="D49" t="str">
        <f>Consolidated!B58</f>
        <v>09/12/2021</v>
      </c>
      <c r="F49">
        <f>Consolidated!D58</f>
        <v>169</v>
      </c>
      <c r="G49">
        <f>Consolidated!C58</f>
        <v>1144413</v>
      </c>
      <c r="I49">
        <f>Consolidated!D58</f>
        <v>169</v>
      </c>
      <c r="J49" s="90">
        <f>Consolidated!E58</f>
        <v>5.42</v>
      </c>
      <c r="L49">
        <f>Consolidated!D58</f>
        <v>169</v>
      </c>
      <c r="M49">
        <f>Consolidated!F58</f>
        <v>8.6999999999999993</v>
      </c>
      <c r="O49">
        <f>Consolidated!D58</f>
        <v>169</v>
      </c>
      <c r="P49">
        <f>Consolidated!G58</f>
        <v>4.0999999999999996</v>
      </c>
      <c r="R49">
        <f>Consolidated!D58</f>
        <v>169</v>
      </c>
      <c r="S49">
        <f>Consolidated!H58</f>
        <v>19</v>
      </c>
      <c r="U49">
        <f>Consolidated!D58</f>
        <v>169</v>
      </c>
      <c r="V49" s="90">
        <f>Consolidated!K58</f>
        <v>24.22</v>
      </c>
    </row>
    <row r="50" spans="3:22" x14ac:dyDescent="0.3">
      <c r="C50" s="34">
        <f>Consolidated!D59</f>
        <v>177</v>
      </c>
      <c r="D50" t="str">
        <f>Consolidated!B59</f>
        <v>09/12/2021</v>
      </c>
      <c r="F50">
        <f>Consolidated!D59</f>
        <v>177</v>
      </c>
      <c r="G50">
        <f>Consolidated!C59</f>
        <v>1144414</v>
      </c>
      <c r="I50">
        <f>Consolidated!D59</f>
        <v>177</v>
      </c>
      <c r="J50" s="90">
        <f>Consolidated!E59</f>
        <v>2.74</v>
      </c>
      <c r="L50">
        <f>Consolidated!D59</f>
        <v>177</v>
      </c>
      <c r="M50">
        <f>Consolidated!F59</f>
        <v>8.8000000000000007</v>
      </c>
      <c r="O50">
        <f>Consolidated!D59</f>
        <v>177</v>
      </c>
      <c r="P50">
        <f>Consolidated!G59</f>
        <v>4.2</v>
      </c>
      <c r="R50">
        <f>Consolidated!D59</f>
        <v>177</v>
      </c>
      <c r="S50">
        <f>Consolidated!H59</f>
        <v>18.899999999999999</v>
      </c>
      <c r="U50">
        <f>Consolidated!D59</f>
        <v>177</v>
      </c>
      <c r="V50" s="90">
        <f>Consolidated!K59</f>
        <v>24.08</v>
      </c>
    </row>
    <row r="51" spans="3:22" x14ac:dyDescent="0.3">
      <c r="C51" s="34">
        <f>Consolidated!D60</f>
        <v>181</v>
      </c>
      <c r="D51" t="str">
        <f>Consolidated!B60</f>
        <v>09/12/2021</v>
      </c>
      <c r="F51">
        <f>Consolidated!D60</f>
        <v>181</v>
      </c>
      <c r="G51">
        <f>Consolidated!C60</f>
        <v>1144415</v>
      </c>
      <c r="I51">
        <f>Consolidated!D60</f>
        <v>181</v>
      </c>
      <c r="J51" s="90">
        <f>Consolidated!E60</f>
        <v>6.08</v>
      </c>
      <c r="L51">
        <f>Consolidated!D60</f>
        <v>181</v>
      </c>
      <c r="M51">
        <f>Consolidated!F60</f>
        <v>8.6999999999999993</v>
      </c>
      <c r="O51">
        <f>Consolidated!D60</f>
        <v>181</v>
      </c>
      <c r="P51">
        <f>Consolidated!G60</f>
        <v>4</v>
      </c>
      <c r="R51">
        <f>Consolidated!D60</f>
        <v>181</v>
      </c>
      <c r="S51">
        <f>Consolidated!H60</f>
        <v>19</v>
      </c>
      <c r="U51">
        <f>Consolidated!D60</f>
        <v>181</v>
      </c>
      <c r="V51" s="90">
        <f>Consolidated!K60</f>
        <v>23.85</v>
      </c>
    </row>
    <row r="52" spans="3:22" x14ac:dyDescent="0.3">
      <c r="C52" s="34">
        <f>Consolidated!D61</f>
        <v>185</v>
      </c>
      <c r="D52" t="str">
        <f>Consolidated!B61</f>
        <v>09/12/2021</v>
      </c>
      <c r="F52">
        <f>Consolidated!D61</f>
        <v>185</v>
      </c>
      <c r="G52">
        <f>Consolidated!C61</f>
        <v>1144416</v>
      </c>
      <c r="I52">
        <f>Consolidated!D61</f>
        <v>185</v>
      </c>
      <c r="J52" s="90">
        <f>Consolidated!E61</f>
        <v>2.48</v>
      </c>
      <c r="L52">
        <f>Consolidated!D61</f>
        <v>185</v>
      </c>
      <c r="M52">
        <f>Consolidated!F61</f>
        <v>8.6</v>
      </c>
      <c r="O52">
        <f>Consolidated!D61</f>
        <v>185</v>
      </c>
      <c r="P52">
        <f>Consolidated!G61</f>
        <v>4.2</v>
      </c>
      <c r="R52">
        <f>Consolidated!D61</f>
        <v>185</v>
      </c>
      <c r="S52">
        <f>Consolidated!H61</f>
        <v>19</v>
      </c>
      <c r="U52">
        <f>Consolidated!D61</f>
        <v>185</v>
      </c>
      <c r="V52" s="90">
        <f>Consolidated!K61</f>
        <v>24.04</v>
      </c>
    </row>
    <row r="53" spans="3:22" x14ac:dyDescent="0.3">
      <c r="C53" s="34">
        <f>Consolidated!D62</f>
        <v>186</v>
      </c>
      <c r="D53" t="str">
        <f>Consolidated!B62</f>
        <v>09/12/2021</v>
      </c>
      <c r="F53">
        <f>Consolidated!D62</f>
        <v>186</v>
      </c>
      <c r="G53">
        <f>Consolidated!C62</f>
        <v>1144417</v>
      </c>
      <c r="I53">
        <f>Consolidated!D62</f>
        <v>186</v>
      </c>
      <c r="J53" s="90">
        <f>Consolidated!E62</f>
        <v>4.4800000000000004</v>
      </c>
      <c r="L53">
        <f>Consolidated!D62</f>
        <v>186</v>
      </c>
      <c r="M53">
        <f>Consolidated!F62</f>
        <v>8.8000000000000007</v>
      </c>
      <c r="O53">
        <f>Consolidated!D62</f>
        <v>186</v>
      </c>
      <c r="P53">
        <f>Consolidated!G62</f>
        <v>4.4000000000000004</v>
      </c>
      <c r="R53">
        <f>Consolidated!D62</f>
        <v>186</v>
      </c>
      <c r="S53">
        <f>Consolidated!H62</f>
        <v>19.2</v>
      </c>
      <c r="U53">
        <f>Consolidated!D62</f>
        <v>186</v>
      </c>
      <c r="V53" s="90">
        <f>Consolidated!K62</f>
        <v>23.73</v>
      </c>
    </row>
    <row r="54" spans="3:22" x14ac:dyDescent="0.3">
      <c r="C54" s="34">
        <f>Consolidated!D63</f>
        <v>100</v>
      </c>
      <c r="D54" t="str">
        <f>Consolidated!B63</f>
        <v>09/12/2021</v>
      </c>
      <c r="F54">
        <f>Consolidated!D63</f>
        <v>100</v>
      </c>
      <c r="G54">
        <f>Consolidated!C63</f>
        <v>1144418</v>
      </c>
      <c r="I54">
        <f>Consolidated!D63</f>
        <v>100</v>
      </c>
      <c r="J54" s="90">
        <f>Consolidated!E63</f>
        <v>7</v>
      </c>
      <c r="L54">
        <f>Consolidated!D63</f>
        <v>100</v>
      </c>
      <c r="M54">
        <f>Consolidated!F63</f>
        <v>8.4</v>
      </c>
      <c r="O54">
        <f>Consolidated!D63</f>
        <v>100</v>
      </c>
      <c r="P54">
        <f>Consolidated!G63</f>
        <v>4.7</v>
      </c>
      <c r="R54">
        <f>Consolidated!D63</f>
        <v>100</v>
      </c>
      <c r="S54">
        <f>Consolidated!H63</f>
        <v>18</v>
      </c>
      <c r="U54">
        <f>Consolidated!D63</f>
        <v>100</v>
      </c>
      <c r="V54" s="90">
        <f>Consolidated!K63</f>
        <v>23.62</v>
      </c>
    </row>
    <row r="55" spans="3:22" x14ac:dyDescent="0.3">
      <c r="C55" s="34">
        <f>Consolidated!D64</f>
        <v>108</v>
      </c>
      <c r="D55" t="str">
        <f>Consolidated!B64</f>
        <v>09/12/2021</v>
      </c>
      <c r="F55">
        <f>Consolidated!D64</f>
        <v>108</v>
      </c>
      <c r="G55">
        <f>Consolidated!C64</f>
        <v>1144419</v>
      </c>
      <c r="I55">
        <f>Consolidated!D64</f>
        <v>108</v>
      </c>
      <c r="J55" s="90">
        <f>Consolidated!E64</f>
        <v>4.1399999999999997</v>
      </c>
      <c r="L55">
        <f>Consolidated!D64</f>
        <v>108</v>
      </c>
      <c r="M55">
        <f>Consolidated!F64</f>
        <v>8.8000000000000007</v>
      </c>
      <c r="O55">
        <f>Consolidated!D64</f>
        <v>108</v>
      </c>
      <c r="P55">
        <f>Consolidated!G64</f>
        <v>4.7</v>
      </c>
      <c r="R55">
        <f>Consolidated!D64</f>
        <v>108</v>
      </c>
      <c r="S55">
        <f>Consolidated!H64</f>
        <v>18.100000000000001</v>
      </c>
      <c r="U55">
        <f>Consolidated!D64</f>
        <v>108</v>
      </c>
      <c r="V55" s="90">
        <f>Consolidated!K64</f>
        <v>23.31</v>
      </c>
    </row>
    <row r="56" spans="3:22" x14ac:dyDescent="0.3">
      <c r="C56" s="34">
        <f>Consolidated!D65</f>
        <v>121</v>
      </c>
      <c r="D56" t="str">
        <f>Consolidated!B65</f>
        <v>09/12/2021</v>
      </c>
      <c r="F56">
        <f>Consolidated!D65</f>
        <v>121</v>
      </c>
      <c r="G56">
        <f>Consolidated!C65</f>
        <v>1144420</v>
      </c>
      <c r="I56">
        <f>Consolidated!D65</f>
        <v>121</v>
      </c>
      <c r="J56" s="90">
        <f>Consolidated!E65</f>
        <v>2.12</v>
      </c>
      <c r="L56">
        <f>Consolidated!D65</f>
        <v>121</v>
      </c>
      <c r="M56">
        <f>Consolidated!F65</f>
        <v>8.4</v>
      </c>
      <c r="O56">
        <f>Consolidated!D65</f>
        <v>121</v>
      </c>
      <c r="P56">
        <f>Consolidated!G65</f>
        <v>4.7</v>
      </c>
      <c r="R56">
        <f>Consolidated!D65</f>
        <v>121</v>
      </c>
      <c r="S56">
        <f>Consolidated!H65</f>
        <v>19.2</v>
      </c>
      <c r="U56">
        <f>Consolidated!D65</f>
        <v>121</v>
      </c>
      <c r="V56" s="90">
        <f>Consolidated!K65</f>
        <v>24.09</v>
      </c>
    </row>
    <row r="57" spans="3:22" x14ac:dyDescent="0.3">
      <c r="C57" s="34">
        <f>Consolidated!D66</f>
        <v>122</v>
      </c>
      <c r="D57" t="str">
        <f>Consolidated!B66</f>
        <v>09/12/2021</v>
      </c>
      <c r="F57">
        <f>Consolidated!D66</f>
        <v>122</v>
      </c>
      <c r="G57">
        <f>Consolidated!C66</f>
        <v>1144421</v>
      </c>
      <c r="I57">
        <f>Consolidated!D66</f>
        <v>122</v>
      </c>
      <c r="J57" s="90">
        <f>Consolidated!E66</f>
        <v>2.42</v>
      </c>
      <c r="L57">
        <f>Consolidated!D66</f>
        <v>122</v>
      </c>
      <c r="M57">
        <f>Consolidated!F66</f>
        <v>8.8000000000000007</v>
      </c>
      <c r="O57">
        <f>Consolidated!D66</f>
        <v>122</v>
      </c>
      <c r="P57">
        <f>Consolidated!G66</f>
        <v>4.5999999999999996</v>
      </c>
      <c r="R57">
        <f>Consolidated!D66</f>
        <v>122</v>
      </c>
      <c r="S57">
        <f>Consolidated!H66</f>
        <v>18.3</v>
      </c>
      <c r="U57">
        <f>Consolidated!D66</f>
        <v>122</v>
      </c>
      <c r="V57" s="90">
        <f>Consolidated!K66</f>
        <v>23.74</v>
      </c>
    </row>
    <row r="58" spans="3:22" x14ac:dyDescent="0.3">
      <c r="C58" s="34">
        <f>Consolidated!D67</f>
        <v>123</v>
      </c>
      <c r="D58" t="str">
        <f>Consolidated!B67</f>
        <v>09/12/2021</v>
      </c>
      <c r="F58">
        <f>Consolidated!D67</f>
        <v>123</v>
      </c>
      <c r="G58">
        <f>Consolidated!C67</f>
        <v>1144422</v>
      </c>
      <c r="I58">
        <f>Consolidated!D67</f>
        <v>123</v>
      </c>
      <c r="J58" s="90">
        <f>Consolidated!E67</f>
        <v>2.56</v>
      </c>
      <c r="L58">
        <f>Consolidated!D67</f>
        <v>123</v>
      </c>
      <c r="M58">
        <f>Consolidated!F67</f>
        <v>8.5</v>
      </c>
      <c r="O58">
        <f>Consolidated!D67</f>
        <v>123</v>
      </c>
      <c r="P58">
        <f>Consolidated!G67</f>
        <v>4.4000000000000004</v>
      </c>
      <c r="R58">
        <f>Consolidated!D67</f>
        <v>123</v>
      </c>
      <c r="S58">
        <f>Consolidated!H67</f>
        <v>18.600000000000001</v>
      </c>
      <c r="U58">
        <f>Consolidated!D67</f>
        <v>123</v>
      </c>
      <c r="V58" s="90">
        <f>Consolidated!K67</f>
        <v>23.34</v>
      </c>
    </row>
    <row r="59" spans="3:22" x14ac:dyDescent="0.3">
      <c r="C59" s="34">
        <f>Consolidated!D68</f>
        <v>148</v>
      </c>
      <c r="D59" t="str">
        <f>Consolidated!B68</f>
        <v>09/12/2021</v>
      </c>
      <c r="F59">
        <f>Consolidated!D68</f>
        <v>148</v>
      </c>
      <c r="G59">
        <f>Consolidated!C68</f>
        <v>1144423</v>
      </c>
      <c r="I59">
        <f>Consolidated!D68</f>
        <v>148</v>
      </c>
      <c r="J59" s="90">
        <f>Consolidated!E68</f>
        <v>6.78</v>
      </c>
      <c r="L59">
        <f>Consolidated!D68</f>
        <v>148</v>
      </c>
      <c r="M59">
        <f>Consolidated!F68</f>
        <v>8.8000000000000007</v>
      </c>
      <c r="O59">
        <f>Consolidated!D68</f>
        <v>148</v>
      </c>
      <c r="P59">
        <f>Consolidated!G68</f>
        <v>4.4000000000000004</v>
      </c>
      <c r="R59">
        <f>Consolidated!D68</f>
        <v>148</v>
      </c>
      <c r="S59">
        <f>Consolidated!H68</f>
        <v>18.899999999999999</v>
      </c>
      <c r="U59">
        <f>Consolidated!D68</f>
        <v>148</v>
      </c>
      <c r="V59" s="90">
        <f>Consolidated!K68</f>
        <v>23.53</v>
      </c>
    </row>
    <row r="60" spans="3:22" x14ac:dyDescent="0.3">
      <c r="C60" s="34">
        <f>Consolidated!D69</f>
        <v>150</v>
      </c>
      <c r="D60" t="str">
        <f>Consolidated!B69</f>
        <v>09/12/2021</v>
      </c>
      <c r="F60">
        <f>Consolidated!D69</f>
        <v>150</v>
      </c>
      <c r="G60">
        <f>Consolidated!C69</f>
        <v>1144424</v>
      </c>
      <c r="I60">
        <f>Consolidated!D69</f>
        <v>150</v>
      </c>
      <c r="J60" s="90">
        <f>Consolidated!E69</f>
        <v>5.04</v>
      </c>
      <c r="L60">
        <f>Consolidated!D69</f>
        <v>150</v>
      </c>
      <c r="M60">
        <f>Consolidated!F69</f>
        <v>8.4</v>
      </c>
      <c r="O60">
        <f>Consolidated!D69</f>
        <v>150</v>
      </c>
      <c r="P60">
        <f>Consolidated!G69</f>
        <v>4.5</v>
      </c>
      <c r="R60">
        <f>Consolidated!D69</f>
        <v>150</v>
      </c>
      <c r="S60">
        <f>Consolidated!H69</f>
        <v>18.7</v>
      </c>
      <c r="U60">
        <f>Consolidated!D69</f>
        <v>150</v>
      </c>
      <c r="V60" s="90">
        <f>Consolidated!K69</f>
        <v>24.44</v>
      </c>
    </row>
    <row r="61" spans="3:22" x14ac:dyDescent="0.3">
      <c r="C61" s="34">
        <f>Consolidated!D70</f>
        <v>158</v>
      </c>
      <c r="D61" t="str">
        <f>Consolidated!B70</f>
        <v>09/12/2021</v>
      </c>
      <c r="F61">
        <f>Consolidated!D70</f>
        <v>158</v>
      </c>
      <c r="G61">
        <f>Consolidated!C70</f>
        <v>1144425</v>
      </c>
      <c r="I61">
        <f>Consolidated!D70</f>
        <v>158</v>
      </c>
      <c r="J61" s="90">
        <f>Consolidated!E70</f>
        <v>3.76</v>
      </c>
      <c r="L61">
        <f>Consolidated!D70</f>
        <v>158</v>
      </c>
      <c r="M61">
        <f>Consolidated!F70</f>
        <v>8.9</v>
      </c>
      <c r="O61">
        <f>Consolidated!D70</f>
        <v>158</v>
      </c>
      <c r="P61">
        <f>Consolidated!G70</f>
        <v>4.3</v>
      </c>
      <c r="R61">
        <f>Consolidated!D70</f>
        <v>158</v>
      </c>
      <c r="S61">
        <f>Consolidated!H70</f>
        <v>19</v>
      </c>
      <c r="U61">
        <f>Consolidated!D70</f>
        <v>158</v>
      </c>
      <c r="V61" s="90">
        <f>Consolidated!K70</f>
        <v>24.04</v>
      </c>
    </row>
    <row r="62" spans="3:22" x14ac:dyDescent="0.3">
      <c r="C62" s="34">
        <f>Consolidated!D71</f>
        <v>160</v>
      </c>
      <c r="D62" t="str">
        <f>Consolidated!B71</f>
        <v>09/12/2021</v>
      </c>
      <c r="F62">
        <f>Consolidated!D71</f>
        <v>160</v>
      </c>
      <c r="G62">
        <f>Consolidated!C71</f>
        <v>1144426</v>
      </c>
      <c r="I62">
        <f>Consolidated!D71</f>
        <v>160</v>
      </c>
      <c r="J62" s="90">
        <f>Consolidated!E71</f>
        <v>3.92</v>
      </c>
      <c r="L62">
        <f>Consolidated!D71</f>
        <v>160</v>
      </c>
      <c r="M62">
        <f>Consolidated!F71</f>
        <v>8.4</v>
      </c>
      <c r="O62">
        <f>Consolidated!D71</f>
        <v>160</v>
      </c>
      <c r="P62">
        <f>Consolidated!G71</f>
        <v>4.5999999999999996</v>
      </c>
      <c r="R62">
        <f>Consolidated!D71</f>
        <v>160</v>
      </c>
      <c r="S62">
        <f>Consolidated!H71</f>
        <v>18.7</v>
      </c>
      <c r="U62">
        <f>Consolidated!D71</f>
        <v>160</v>
      </c>
      <c r="V62" s="90">
        <f>Consolidated!K71</f>
        <v>24.34</v>
      </c>
    </row>
    <row r="63" spans="3:22" x14ac:dyDescent="0.3">
      <c r="C63" s="34">
        <f>Consolidated!D72</f>
        <v>172</v>
      </c>
      <c r="D63" t="str">
        <f>Consolidated!B72</f>
        <v>09/12/2021</v>
      </c>
      <c r="F63">
        <f>Consolidated!D72</f>
        <v>172</v>
      </c>
      <c r="G63">
        <f>Consolidated!C72</f>
        <v>1144427</v>
      </c>
      <c r="I63">
        <f>Consolidated!D72</f>
        <v>172</v>
      </c>
      <c r="J63" s="90">
        <f>Consolidated!E72</f>
        <v>4.62</v>
      </c>
      <c r="L63">
        <f>Consolidated!D72</f>
        <v>172</v>
      </c>
      <c r="M63">
        <f>Consolidated!F72</f>
        <v>9.6999999999999993</v>
      </c>
      <c r="O63">
        <f>Consolidated!D72</f>
        <v>172</v>
      </c>
      <c r="P63">
        <f>Consolidated!G72</f>
        <v>4.5</v>
      </c>
      <c r="R63">
        <f>Consolidated!D72</f>
        <v>172</v>
      </c>
      <c r="S63">
        <f>Consolidated!H72</f>
        <v>18.899999999999999</v>
      </c>
      <c r="U63">
        <f>Consolidated!D72</f>
        <v>172</v>
      </c>
      <c r="V63" s="90">
        <f>Consolidated!K72</f>
        <v>24</v>
      </c>
    </row>
    <row r="64" spans="3:22" x14ac:dyDescent="0.3">
      <c r="C64" s="34">
        <f>Consolidated!D73</f>
        <v>174</v>
      </c>
      <c r="D64" t="str">
        <f>Consolidated!B73</f>
        <v>09/12/2021</v>
      </c>
      <c r="F64">
        <f>Consolidated!D73</f>
        <v>174</v>
      </c>
      <c r="G64">
        <f>Consolidated!C73</f>
        <v>1144428</v>
      </c>
      <c r="I64">
        <f>Consolidated!D73</f>
        <v>174</v>
      </c>
      <c r="J64" s="90">
        <f>Consolidated!E73</f>
        <v>2.52</v>
      </c>
      <c r="L64">
        <f>Consolidated!D73</f>
        <v>174</v>
      </c>
      <c r="M64">
        <f>Consolidated!F73</f>
        <v>8.5</v>
      </c>
      <c r="O64">
        <f>Consolidated!D73</f>
        <v>174</v>
      </c>
      <c r="P64">
        <f>Consolidated!G73</f>
        <v>4.5</v>
      </c>
      <c r="R64">
        <f>Consolidated!D73</f>
        <v>174</v>
      </c>
      <c r="S64">
        <f>Consolidated!H73</f>
        <v>18.600000000000001</v>
      </c>
      <c r="U64">
        <f>Consolidated!D73</f>
        <v>174</v>
      </c>
      <c r="V64" s="90">
        <f>Consolidated!K73</f>
        <v>23.44</v>
      </c>
    </row>
    <row r="65" spans="3:22" x14ac:dyDescent="0.3">
      <c r="C65" s="34">
        <f>Consolidated!D74</f>
        <v>188</v>
      </c>
      <c r="D65" t="str">
        <f>Consolidated!B74</f>
        <v>09/12/2021</v>
      </c>
      <c r="F65">
        <f>Consolidated!D74</f>
        <v>188</v>
      </c>
      <c r="G65">
        <f>Consolidated!C74</f>
        <v>1144429</v>
      </c>
      <c r="I65">
        <f>Consolidated!D74</f>
        <v>188</v>
      </c>
      <c r="J65" s="90">
        <f>Consolidated!E74</f>
        <v>4.22</v>
      </c>
      <c r="L65">
        <f>Consolidated!D74</f>
        <v>188</v>
      </c>
      <c r="M65">
        <f>Consolidated!F74</f>
        <v>9</v>
      </c>
      <c r="O65">
        <f>Consolidated!D74</f>
        <v>188</v>
      </c>
      <c r="P65">
        <f>Consolidated!G74</f>
        <v>4.3</v>
      </c>
      <c r="R65">
        <f>Consolidated!D74</f>
        <v>188</v>
      </c>
      <c r="S65">
        <f>Consolidated!H74</f>
        <v>19</v>
      </c>
      <c r="U65">
        <f>Consolidated!D74</f>
        <v>188</v>
      </c>
      <c r="V65" s="90">
        <f>Consolidated!K74</f>
        <v>23.79</v>
      </c>
    </row>
    <row r="66" spans="3:22" x14ac:dyDescent="0.3">
      <c r="C66" s="34">
        <f>Consolidated!D75</f>
        <v>104</v>
      </c>
      <c r="D66" t="str">
        <f>Consolidated!B75</f>
        <v>09/12/2021</v>
      </c>
      <c r="F66">
        <f>Consolidated!D75</f>
        <v>104</v>
      </c>
      <c r="G66">
        <f>Consolidated!C75</f>
        <v>1144430</v>
      </c>
      <c r="I66">
        <f>Consolidated!D75</f>
        <v>104</v>
      </c>
      <c r="J66" s="90">
        <f>Consolidated!E75</f>
        <v>6.24</v>
      </c>
      <c r="L66">
        <f>Consolidated!D75</f>
        <v>104</v>
      </c>
      <c r="M66">
        <f>Consolidated!F75</f>
        <v>9.5</v>
      </c>
      <c r="O66">
        <f>Consolidated!D75</f>
        <v>104</v>
      </c>
      <c r="P66">
        <f>Consolidated!G75</f>
        <v>4.9000000000000004</v>
      </c>
      <c r="R66">
        <f>Consolidated!D75</f>
        <v>104</v>
      </c>
      <c r="S66">
        <f>Consolidated!H75</f>
        <v>20.2</v>
      </c>
      <c r="U66">
        <f>Consolidated!D75</f>
        <v>104</v>
      </c>
      <c r="V66" s="90">
        <f>Consolidated!K75</f>
        <v>23.41</v>
      </c>
    </row>
    <row r="67" spans="3:22" x14ac:dyDescent="0.3">
      <c r="C67" s="34">
        <f>Consolidated!D76</f>
        <v>119</v>
      </c>
      <c r="D67" t="str">
        <f>Consolidated!B76</f>
        <v>09/12/2021</v>
      </c>
      <c r="F67">
        <f>Consolidated!D76</f>
        <v>119</v>
      </c>
      <c r="G67">
        <f>Consolidated!C76</f>
        <v>1144431</v>
      </c>
      <c r="I67">
        <f>Consolidated!D76</f>
        <v>119</v>
      </c>
      <c r="J67" s="90">
        <f>Consolidated!E76</f>
        <v>4.96</v>
      </c>
      <c r="L67">
        <f>Consolidated!D76</f>
        <v>119</v>
      </c>
      <c r="M67">
        <f>Consolidated!F76</f>
        <v>9.4</v>
      </c>
      <c r="O67">
        <f>Consolidated!D76</f>
        <v>119</v>
      </c>
      <c r="P67">
        <f>Consolidated!G76</f>
        <v>4.9000000000000004</v>
      </c>
      <c r="R67">
        <f>Consolidated!D76</f>
        <v>119</v>
      </c>
      <c r="S67">
        <f>Consolidated!H76</f>
        <v>19.2</v>
      </c>
      <c r="U67">
        <f>Consolidated!D76</f>
        <v>119</v>
      </c>
      <c r="V67" s="90">
        <f>Consolidated!K76</f>
        <v>23.68</v>
      </c>
    </row>
    <row r="68" spans="3:22" x14ac:dyDescent="0.3">
      <c r="C68" s="34">
        <f>Consolidated!D77</f>
        <v>129</v>
      </c>
      <c r="D68" t="str">
        <f>Consolidated!B77</f>
        <v>09/12/2021</v>
      </c>
      <c r="F68">
        <f>Consolidated!D77</f>
        <v>129</v>
      </c>
      <c r="G68">
        <f>Consolidated!C77</f>
        <v>1144432</v>
      </c>
      <c r="I68">
        <f>Consolidated!D77</f>
        <v>129</v>
      </c>
      <c r="J68" s="90">
        <f>Consolidated!E77</f>
        <v>2.52</v>
      </c>
      <c r="L68">
        <f>Consolidated!D77</f>
        <v>129</v>
      </c>
      <c r="M68">
        <f>Consolidated!F77</f>
        <v>9.6</v>
      </c>
      <c r="O68">
        <f>Consolidated!D77</f>
        <v>129</v>
      </c>
      <c r="P68">
        <f>Consolidated!G77</f>
        <v>4.9000000000000004</v>
      </c>
      <c r="R68">
        <f>Consolidated!D77</f>
        <v>129</v>
      </c>
      <c r="S68">
        <f>Consolidated!H77</f>
        <v>18.100000000000001</v>
      </c>
      <c r="U68">
        <f>Consolidated!D77</f>
        <v>129</v>
      </c>
      <c r="V68" s="90">
        <f>Consolidated!K77</f>
        <v>24.41</v>
      </c>
    </row>
    <row r="69" spans="3:22" x14ac:dyDescent="0.3">
      <c r="C69" s="34">
        <f>Consolidated!D78</f>
        <v>130</v>
      </c>
      <c r="D69" t="str">
        <f>Consolidated!B78</f>
        <v>09/12/2021</v>
      </c>
      <c r="F69">
        <f>Consolidated!D78</f>
        <v>130</v>
      </c>
      <c r="G69">
        <f>Consolidated!C78</f>
        <v>1144433</v>
      </c>
      <c r="I69">
        <f>Consolidated!D78</f>
        <v>130</v>
      </c>
      <c r="J69" s="90">
        <f>Consolidated!E78</f>
        <v>6.28</v>
      </c>
      <c r="L69">
        <f>Consolidated!D78</f>
        <v>130</v>
      </c>
      <c r="M69">
        <f>Consolidated!F78</f>
        <v>9.5</v>
      </c>
      <c r="O69">
        <f>Consolidated!D78</f>
        <v>130</v>
      </c>
      <c r="P69">
        <f>Consolidated!G78</f>
        <v>4.7</v>
      </c>
      <c r="R69">
        <f>Consolidated!D78</f>
        <v>130</v>
      </c>
      <c r="S69">
        <f>Consolidated!H78</f>
        <v>19.2</v>
      </c>
      <c r="U69">
        <f>Consolidated!D78</f>
        <v>130</v>
      </c>
      <c r="V69" s="90">
        <f>Consolidated!K78</f>
        <v>24.04</v>
      </c>
    </row>
    <row r="70" spans="3:22" x14ac:dyDescent="0.3">
      <c r="C70" s="34">
        <f>Consolidated!D79</f>
        <v>139</v>
      </c>
      <c r="D70" t="str">
        <f>Consolidated!B79</f>
        <v>09/12/2021</v>
      </c>
      <c r="F70">
        <f>Consolidated!D79</f>
        <v>139</v>
      </c>
      <c r="G70">
        <f>Consolidated!C79</f>
        <v>1144434</v>
      </c>
      <c r="I70">
        <f>Consolidated!D79</f>
        <v>139</v>
      </c>
      <c r="J70" s="90">
        <f>Consolidated!E79</f>
        <v>2.56</v>
      </c>
      <c r="L70">
        <f>Consolidated!D79</f>
        <v>139</v>
      </c>
      <c r="M70">
        <f>Consolidated!F79</f>
        <v>9.3000000000000007</v>
      </c>
      <c r="O70">
        <f>Consolidated!D79</f>
        <v>139</v>
      </c>
      <c r="P70">
        <f>Consolidated!G79</f>
        <v>4.5999999999999996</v>
      </c>
      <c r="R70">
        <f>Consolidated!D79</f>
        <v>139</v>
      </c>
      <c r="S70">
        <f>Consolidated!H79</f>
        <v>17.600000000000001</v>
      </c>
      <c r="U70">
        <f>Consolidated!D79</f>
        <v>139</v>
      </c>
      <c r="V70" s="90">
        <f>Consolidated!K79</f>
        <v>24.45</v>
      </c>
    </row>
    <row r="71" spans="3:22" x14ac:dyDescent="0.3">
      <c r="C71" s="34">
        <f>Consolidated!D80</f>
        <v>141</v>
      </c>
      <c r="D71" t="str">
        <f>Consolidated!B80</f>
        <v>09/12/2021</v>
      </c>
      <c r="F71">
        <f>Consolidated!D80</f>
        <v>141</v>
      </c>
      <c r="G71">
        <f>Consolidated!C80</f>
        <v>1144435</v>
      </c>
      <c r="I71">
        <f>Consolidated!D80</f>
        <v>141</v>
      </c>
      <c r="J71" s="90">
        <f>Consolidated!E80</f>
        <v>5.32</v>
      </c>
      <c r="L71">
        <f>Consolidated!D80</f>
        <v>141</v>
      </c>
      <c r="M71">
        <f>Consolidated!F80</f>
        <v>9.4</v>
      </c>
      <c r="O71">
        <f>Consolidated!D80</f>
        <v>141</v>
      </c>
      <c r="P71">
        <f>Consolidated!G80</f>
        <v>4.5999999999999996</v>
      </c>
      <c r="R71">
        <f>Consolidated!D80</f>
        <v>141</v>
      </c>
      <c r="S71">
        <f>Consolidated!H80</f>
        <v>18.399999999999999</v>
      </c>
      <c r="U71">
        <f>Consolidated!D80</f>
        <v>141</v>
      </c>
      <c r="V71" s="90">
        <f>Consolidated!K80</f>
        <v>23.98</v>
      </c>
    </row>
    <row r="72" spans="3:22" x14ac:dyDescent="0.3">
      <c r="C72" s="34">
        <f>Consolidated!D81</f>
        <v>154</v>
      </c>
      <c r="D72" t="str">
        <f>Consolidated!B81</f>
        <v>09/12/2021</v>
      </c>
      <c r="F72">
        <f>Consolidated!D81</f>
        <v>154</v>
      </c>
      <c r="G72">
        <f>Consolidated!C81</f>
        <v>1144436</v>
      </c>
      <c r="I72">
        <f>Consolidated!D81</f>
        <v>154</v>
      </c>
      <c r="J72" s="90">
        <f>Consolidated!E81</f>
        <v>2.4</v>
      </c>
      <c r="L72">
        <f>Consolidated!D81</f>
        <v>154</v>
      </c>
      <c r="M72">
        <f>Consolidated!F81</f>
        <v>9</v>
      </c>
      <c r="O72">
        <f>Consolidated!D81</f>
        <v>154</v>
      </c>
      <c r="P72">
        <f>Consolidated!G81</f>
        <v>4.5999999999999996</v>
      </c>
      <c r="R72">
        <f>Consolidated!D81</f>
        <v>154</v>
      </c>
      <c r="S72">
        <f>Consolidated!H81</f>
        <v>18.3</v>
      </c>
      <c r="U72">
        <f>Consolidated!D81</f>
        <v>154</v>
      </c>
      <c r="V72" s="90">
        <f>Consolidated!K81</f>
        <v>24.25</v>
      </c>
    </row>
    <row r="73" spans="3:22" x14ac:dyDescent="0.3">
      <c r="C73" s="34">
        <f>Consolidated!D82</f>
        <v>161</v>
      </c>
      <c r="D73" t="str">
        <f>Consolidated!B82</f>
        <v>09/12/2021</v>
      </c>
      <c r="F73">
        <f>Consolidated!D82</f>
        <v>161</v>
      </c>
      <c r="G73">
        <f>Consolidated!C82</f>
        <v>1144437</v>
      </c>
      <c r="I73">
        <f>Consolidated!D82</f>
        <v>161</v>
      </c>
      <c r="J73" s="90">
        <f>Consolidated!E82</f>
        <v>4.5199999999999996</v>
      </c>
      <c r="L73">
        <f>Consolidated!D82</f>
        <v>161</v>
      </c>
      <c r="M73">
        <f>Consolidated!F82</f>
        <v>9.3000000000000007</v>
      </c>
      <c r="O73">
        <f>Consolidated!D82</f>
        <v>161</v>
      </c>
      <c r="P73">
        <f>Consolidated!G82</f>
        <v>4.3</v>
      </c>
      <c r="R73">
        <f>Consolidated!D82</f>
        <v>161</v>
      </c>
      <c r="S73">
        <f>Consolidated!H82</f>
        <v>19.600000000000001</v>
      </c>
      <c r="U73">
        <f>Consolidated!D82</f>
        <v>161</v>
      </c>
      <c r="V73" s="90">
        <f>Consolidated!K82</f>
        <v>23.89</v>
      </c>
    </row>
    <row r="74" spans="3:22" x14ac:dyDescent="0.3">
      <c r="C74" s="34">
        <f>Consolidated!D83</f>
        <v>163</v>
      </c>
      <c r="D74" t="str">
        <f>Consolidated!B83</f>
        <v>09/12/2021</v>
      </c>
      <c r="F74">
        <f>Consolidated!D83</f>
        <v>163</v>
      </c>
      <c r="G74">
        <f>Consolidated!C83</f>
        <v>1144438</v>
      </c>
      <c r="I74">
        <f>Consolidated!D83</f>
        <v>163</v>
      </c>
      <c r="J74" s="90">
        <f>Consolidated!E83</f>
        <v>5.28</v>
      </c>
      <c r="L74">
        <f>Consolidated!D83</f>
        <v>163</v>
      </c>
      <c r="M74">
        <f>Consolidated!F83</f>
        <v>9.4</v>
      </c>
      <c r="O74">
        <f>Consolidated!D83</f>
        <v>163</v>
      </c>
      <c r="P74">
        <f>Consolidated!G83</f>
        <v>4.5999999999999996</v>
      </c>
      <c r="R74">
        <f>Consolidated!D83</f>
        <v>163</v>
      </c>
      <c r="S74">
        <f>Consolidated!H83</f>
        <v>18.2</v>
      </c>
      <c r="U74">
        <f>Consolidated!D83</f>
        <v>163</v>
      </c>
      <c r="V74" s="90">
        <f>Consolidated!K83</f>
        <v>24.46</v>
      </c>
    </row>
    <row r="75" spans="3:22" x14ac:dyDescent="0.3">
      <c r="C75" s="34">
        <f>Consolidated!D84</f>
        <v>173</v>
      </c>
      <c r="D75" t="str">
        <f>Consolidated!B84</f>
        <v>09/12/2021</v>
      </c>
      <c r="F75">
        <f>Consolidated!D84</f>
        <v>173</v>
      </c>
      <c r="G75">
        <f>Consolidated!C84</f>
        <v>1144439</v>
      </c>
      <c r="I75">
        <f>Consolidated!D84</f>
        <v>173</v>
      </c>
      <c r="J75" s="90">
        <f>Consolidated!E84</f>
        <v>4.26</v>
      </c>
      <c r="L75">
        <f>Consolidated!D84</f>
        <v>173</v>
      </c>
      <c r="M75">
        <f>Consolidated!F84</f>
        <v>9.6999999999999993</v>
      </c>
      <c r="O75">
        <f>Consolidated!D84</f>
        <v>173</v>
      </c>
      <c r="P75">
        <f>Consolidated!G84</f>
        <v>4.7</v>
      </c>
      <c r="R75">
        <f>Consolidated!D84</f>
        <v>173</v>
      </c>
      <c r="S75">
        <f>Consolidated!H84</f>
        <v>20.7</v>
      </c>
      <c r="U75">
        <f>Consolidated!D84</f>
        <v>173</v>
      </c>
      <c r="V75" s="90">
        <f>Consolidated!K84</f>
        <v>23.37</v>
      </c>
    </row>
    <row r="76" spans="3:22" x14ac:dyDescent="0.3">
      <c r="C76" s="34">
        <f>Consolidated!D85</f>
        <v>184</v>
      </c>
      <c r="D76" t="str">
        <f>Consolidated!B85</f>
        <v>09/12/2021</v>
      </c>
      <c r="F76">
        <f>Consolidated!D85</f>
        <v>184</v>
      </c>
      <c r="G76">
        <f>Consolidated!C85</f>
        <v>1144440</v>
      </c>
      <c r="I76">
        <f>Consolidated!D85</f>
        <v>184</v>
      </c>
      <c r="J76" s="90">
        <f>Consolidated!E85</f>
        <v>5</v>
      </c>
      <c r="L76">
        <f>Consolidated!D85</f>
        <v>184</v>
      </c>
      <c r="M76">
        <f>Consolidated!F85</f>
        <v>9.5</v>
      </c>
      <c r="O76">
        <f>Consolidated!D85</f>
        <v>184</v>
      </c>
      <c r="P76">
        <f>Consolidated!G85</f>
        <v>4.7</v>
      </c>
      <c r="R76">
        <f>Consolidated!D85</f>
        <v>184</v>
      </c>
      <c r="S76">
        <f>Consolidated!H85</f>
        <v>20.6</v>
      </c>
      <c r="U76">
        <f>Consolidated!D85</f>
        <v>184</v>
      </c>
      <c r="V76" s="90">
        <f>Consolidated!K85</f>
        <v>23.62</v>
      </c>
    </row>
    <row r="77" spans="3:22" x14ac:dyDescent="0.3">
      <c r="C77" s="34">
        <f>Consolidated!D86</f>
        <v>189</v>
      </c>
      <c r="D77" t="str">
        <f>Consolidated!B86</f>
        <v>09/12/2021</v>
      </c>
      <c r="F77">
        <f>Consolidated!D86</f>
        <v>189</v>
      </c>
      <c r="G77">
        <f>Consolidated!C86</f>
        <v>1144441</v>
      </c>
      <c r="I77">
        <f>Consolidated!D86</f>
        <v>189</v>
      </c>
      <c r="J77" s="90">
        <f>Consolidated!E86</f>
        <v>4.8600000000000003</v>
      </c>
      <c r="L77">
        <f>Consolidated!D86</f>
        <v>189</v>
      </c>
      <c r="M77">
        <f>Consolidated!F86</f>
        <v>9</v>
      </c>
      <c r="O77">
        <f>Consolidated!D86</f>
        <v>189</v>
      </c>
      <c r="P77">
        <f>Consolidated!G86</f>
        <v>4.7</v>
      </c>
      <c r="R77">
        <f>Consolidated!D86</f>
        <v>189</v>
      </c>
      <c r="S77">
        <f>Consolidated!H86</f>
        <v>18.3</v>
      </c>
      <c r="U77">
        <f>Consolidated!D86</f>
        <v>189</v>
      </c>
      <c r="V77" s="90">
        <f>Consolidated!K86</f>
        <v>24.34</v>
      </c>
    </row>
    <row r="78" spans="3:22" x14ac:dyDescent="0.3">
      <c r="C78" s="34">
        <f>Consolidated!D87</f>
        <v>101</v>
      </c>
      <c r="D78" t="str">
        <f>Consolidated!B87</f>
        <v>09/12/2021</v>
      </c>
      <c r="F78">
        <f>Consolidated!D87</f>
        <v>101</v>
      </c>
      <c r="G78">
        <f>Consolidated!C87</f>
        <v>1144442</v>
      </c>
      <c r="I78">
        <f>Consolidated!D87</f>
        <v>101</v>
      </c>
      <c r="J78" s="90">
        <f>Consolidated!E87</f>
        <v>5.74</v>
      </c>
      <c r="L78">
        <f>Consolidated!D87</f>
        <v>101</v>
      </c>
      <c r="M78">
        <f>Consolidated!F87</f>
        <v>9</v>
      </c>
      <c r="O78">
        <f>Consolidated!D87</f>
        <v>101</v>
      </c>
      <c r="P78">
        <f>Consolidated!G87</f>
        <v>4.8</v>
      </c>
      <c r="R78">
        <f>Consolidated!D87</f>
        <v>101</v>
      </c>
      <c r="S78">
        <f>Consolidated!H87</f>
        <v>17.3</v>
      </c>
      <c r="U78">
        <f>Consolidated!D87</f>
        <v>101</v>
      </c>
      <c r="V78" s="90">
        <f>Consolidated!K87</f>
        <v>24.22</v>
      </c>
    </row>
    <row r="79" spans="3:22" x14ac:dyDescent="0.3">
      <c r="C79" s="34">
        <f>Consolidated!D88</f>
        <v>107</v>
      </c>
      <c r="D79" t="str">
        <f>Consolidated!B88</f>
        <v>09/12/2021</v>
      </c>
      <c r="F79">
        <f>Consolidated!D88</f>
        <v>107</v>
      </c>
      <c r="G79">
        <f>Consolidated!C88</f>
        <v>1144443</v>
      </c>
      <c r="I79">
        <f>Consolidated!D88</f>
        <v>107</v>
      </c>
      <c r="J79" s="90">
        <f>Consolidated!E88</f>
        <v>3.26</v>
      </c>
      <c r="L79">
        <f>Consolidated!D88</f>
        <v>107</v>
      </c>
      <c r="M79">
        <f>Consolidated!F88</f>
        <v>8.9</v>
      </c>
      <c r="O79">
        <f>Consolidated!D88</f>
        <v>107</v>
      </c>
      <c r="P79">
        <f>Consolidated!G88</f>
        <v>4.9000000000000004</v>
      </c>
      <c r="R79">
        <f>Consolidated!D88</f>
        <v>107</v>
      </c>
      <c r="S79">
        <f>Consolidated!H88</f>
        <v>16.7</v>
      </c>
      <c r="U79">
        <f>Consolidated!D88</f>
        <v>107</v>
      </c>
      <c r="V79" s="90">
        <f>Consolidated!K88</f>
        <v>23.81</v>
      </c>
    </row>
    <row r="80" spans="3:22" x14ac:dyDescent="0.3">
      <c r="C80" s="34">
        <f>Consolidated!D89</f>
        <v>118</v>
      </c>
      <c r="D80" t="str">
        <f>Consolidated!B89</f>
        <v>09/12/2021</v>
      </c>
      <c r="F80">
        <f>Consolidated!D89</f>
        <v>118</v>
      </c>
      <c r="G80">
        <f>Consolidated!C89</f>
        <v>1144444</v>
      </c>
      <c r="I80">
        <f>Consolidated!D89</f>
        <v>118</v>
      </c>
      <c r="J80" s="90">
        <f>Consolidated!E89</f>
        <v>3.14</v>
      </c>
      <c r="L80">
        <f>Consolidated!D89</f>
        <v>118</v>
      </c>
      <c r="M80">
        <f>Consolidated!F89</f>
        <v>8.3000000000000007</v>
      </c>
      <c r="O80">
        <f>Consolidated!D89</f>
        <v>118</v>
      </c>
      <c r="P80">
        <f>Consolidated!G89</f>
        <v>4.8</v>
      </c>
      <c r="R80">
        <f>Consolidated!D89</f>
        <v>118</v>
      </c>
      <c r="S80">
        <f>Consolidated!H89</f>
        <v>17.5</v>
      </c>
      <c r="U80">
        <f>Consolidated!D89</f>
        <v>118</v>
      </c>
      <c r="V80" s="90">
        <f>Consolidated!K89</f>
        <v>24.75</v>
      </c>
    </row>
    <row r="81" spans="3:22" x14ac:dyDescent="0.3">
      <c r="C81" s="34">
        <f>Consolidated!D90</f>
        <v>120</v>
      </c>
      <c r="D81" t="str">
        <f>Consolidated!B90</f>
        <v>09/12/2021</v>
      </c>
      <c r="F81">
        <f>Consolidated!D90</f>
        <v>120</v>
      </c>
      <c r="G81">
        <f>Consolidated!C90</f>
        <v>1144445</v>
      </c>
      <c r="I81">
        <f>Consolidated!D90</f>
        <v>120</v>
      </c>
      <c r="J81" s="90">
        <f>Consolidated!E90</f>
        <v>4.6399999999999997</v>
      </c>
      <c r="L81">
        <f>Consolidated!D90</f>
        <v>120</v>
      </c>
      <c r="M81">
        <f>Consolidated!F90</f>
        <v>8.9</v>
      </c>
      <c r="O81">
        <f>Consolidated!D90</f>
        <v>120</v>
      </c>
      <c r="P81">
        <f>Consolidated!G90</f>
        <v>4.5</v>
      </c>
      <c r="R81">
        <f>Consolidated!D90</f>
        <v>120</v>
      </c>
      <c r="S81">
        <f>Consolidated!H90</f>
        <v>18.3</v>
      </c>
      <c r="U81">
        <f>Consolidated!D90</f>
        <v>120</v>
      </c>
      <c r="V81" s="90">
        <f>Consolidated!K90</f>
        <v>24.3</v>
      </c>
    </row>
    <row r="82" spans="3:22" x14ac:dyDescent="0.3">
      <c r="C82" s="34">
        <f>Consolidated!D91</f>
        <v>125</v>
      </c>
      <c r="D82" t="str">
        <f>Consolidated!B91</f>
        <v>09/12/2021</v>
      </c>
      <c r="F82">
        <f>Consolidated!D91</f>
        <v>125</v>
      </c>
      <c r="G82">
        <f>Consolidated!C91</f>
        <v>1144446</v>
      </c>
      <c r="I82">
        <f>Consolidated!D91</f>
        <v>125</v>
      </c>
      <c r="J82" s="90">
        <f>Consolidated!E91</f>
        <v>2.44</v>
      </c>
      <c r="L82">
        <f>Consolidated!D91</f>
        <v>125</v>
      </c>
      <c r="M82">
        <f>Consolidated!F91</f>
        <v>9.6999999999999993</v>
      </c>
      <c r="O82">
        <f>Consolidated!D91</f>
        <v>125</v>
      </c>
      <c r="P82">
        <f>Consolidated!G91</f>
        <v>4.5999999999999996</v>
      </c>
      <c r="R82">
        <f>Consolidated!D91</f>
        <v>125</v>
      </c>
      <c r="S82">
        <f>Consolidated!H91</f>
        <v>19.7</v>
      </c>
      <c r="U82">
        <f>Consolidated!D91</f>
        <v>125</v>
      </c>
      <c r="V82" s="90">
        <f>Consolidated!K91</f>
        <v>23.68</v>
      </c>
    </row>
    <row r="83" spans="3:22" x14ac:dyDescent="0.3">
      <c r="C83" s="34">
        <f>Consolidated!D92</f>
        <v>128</v>
      </c>
      <c r="D83" t="str">
        <f>Consolidated!B92</f>
        <v>09/12/2021</v>
      </c>
      <c r="F83">
        <f>Consolidated!D92</f>
        <v>128</v>
      </c>
      <c r="G83">
        <f>Consolidated!C92</f>
        <v>1144447</v>
      </c>
      <c r="I83">
        <f>Consolidated!D92</f>
        <v>128</v>
      </c>
      <c r="J83" s="90">
        <f>Consolidated!E92</f>
        <v>5.36</v>
      </c>
      <c r="L83">
        <f>Consolidated!D92</f>
        <v>128</v>
      </c>
      <c r="M83">
        <f>Consolidated!F92</f>
        <v>8.6</v>
      </c>
      <c r="O83">
        <f>Consolidated!D92</f>
        <v>128</v>
      </c>
      <c r="P83">
        <f>Consolidated!G92</f>
        <v>4.5</v>
      </c>
      <c r="R83">
        <f>Consolidated!D92</f>
        <v>128</v>
      </c>
      <c r="S83">
        <f>Consolidated!H92</f>
        <v>17.899999999999999</v>
      </c>
      <c r="U83">
        <f>Consolidated!D92</f>
        <v>128</v>
      </c>
      <c r="V83" s="90">
        <f>Consolidated!K92</f>
        <v>23.89</v>
      </c>
    </row>
    <row r="84" spans="3:22" x14ac:dyDescent="0.3">
      <c r="C84" s="34">
        <f>Consolidated!D93</f>
        <v>131</v>
      </c>
      <c r="D84" t="str">
        <f>Consolidated!B93</f>
        <v>09/12/2021</v>
      </c>
      <c r="F84">
        <f>Consolidated!D93</f>
        <v>131</v>
      </c>
      <c r="G84">
        <f>Consolidated!C93</f>
        <v>1144448</v>
      </c>
      <c r="I84">
        <f>Consolidated!D93</f>
        <v>131</v>
      </c>
      <c r="J84" s="90">
        <f>Consolidated!E93</f>
        <v>4.26</v>
      </c>
      <c r="L84">
        <f>Consolidated!D93</f>
        <v>131</v>
      </c>
      <c r="M84">
        <f>Consolidated!F93</f>
        <v>8.6999999999999993</v>
      </c>
      <c r="O84">
        <f>Consolidated!D93</f>
        <v>131</v>
      </c>
      <c r="P84">
        <f>Consolidated!G93</f>
        <v>4.7</v>
      </c>
      <c r="R84">
        <f>Consolidated!D93</f>
        <v>131</v>
      </c>
      <c r="S84">
        <f>Consolidated!H93</f>
        <v>19.399999999999999</v>
      </c>
      <c r="U84">
        <f>Consolidated!D93</f>
        <v>131</v>
      </c>
      <c r="V84" s="90">
        <f>Consolidated!K93</f>
        <v>23.4</v>
      </c>
    </row>
    <row r="85" spans="3:22" x14ac:dyDescent="0.3">
      <c r="C85" s="34">
        <f>Consolidated!D94</f>
        <v>134</v>
      </c>
      <c r="D85" t="str">
        <f>Consolidated!B94</f>
        <v>09/12/2021</v>
      </c>
      <c r="F85">
        <f>Consolidated!D94</f>
        <v>134</v>
      </c>
      <c r="G85">
        <f>Consolidated!C94</f>
        <v>1144449</v>
      </c>
      <c r="I85">
        <f>Consolidated!D94</f>
        <v>134</v>
      </c>
      <c r="J85" s="90">
        <f>Consolidated!E94</f>
        <v>5.0999999999999996</v>
      </c>
      <c r="L85">
        <f>Consolidated!D94</f>
        <v>134</v>
      </c>
      <c r="M85">
        <f>Consolidated!F94</f>
        <v>8.4</v>
      </c>
      <c r="O85">
        <f>Consolidated!D94</f>
        <v>134</v>
      </c>
      <c r="P85">
        <f>Consolidated!G94</f>
        <v>4.7</v>
      </c>
      <c r="R85">
        <f>Consolidated!D94</f>
        <v>134</v>
      </c>
      <c r="S85">
        <f>Consolidated!H94</f>
        <v>19.600000000000001</v>
      </c>
      <c r="U85">
        <f>Consolidated!D94</f>
        <v>134</v>
      </c>
      <c r="V85" s="90">
        <f>Consolidated!K94</f>
        <v>23.74</v>
      </c>
    </row>
    <row r="86" spans="3:22" x14ac:dyDescent="0.3">
      <c r="C86" s="34">
        <f>Consolidated!D105</f>
        <v>145</v>
      </c>
      <c r="D86" t="str">
        <f>Consolidated!B105</f>
        <v>09/12/2021</v>
      </c>
      <c r="F86">
        <f>Consolidated!D105</f>
        <v>145</v>
      </c>
      <c r="G86">
        <f>Consolidated!C105</f>
        <v>1144450</v>
      </c>
      <c r="I86">
        <f>Consolidated!D105</f>
        <v>145</v>
      </c>
      <c r="J86" s="90">
        <f>Consolidated!E105</f>
        <v>4.8</v>
      </c>
      <c r="L86">
        <f>Consolidated!D105</f>
        <v>145</v>
      </c>
      <c r="M86">
        <f>Consolidated!F105</f>
        <v>8.8000000000000007</v>
      </c>
      <c r="O86">
        <f>Consolidated!D105</f>
        <v>145</v>
      </c>
      <c r="P86">
        <f>Consolidated!G105</f>
        <v>4.7</v>
      </c>
      <c r="R86">
        <f>Consolidated!D105</f>
        <v>145</v>
      </c>
      <c r="S86">
        <f>Consolidated!H105</f>
        <v>18.5</v>
      </c>
      <c r="U86">
        <f>Consolidated!D105</f>
        <v>145</v>
      </c>
      <c r="V86" s="90">
        <f>Consolidated!K105</f>
        <v>24.04</v>
      </c>
    </row>
    <row r="87" spans="3:22" x14ac:dyDescent="0.3">
      <c r="C87" s="34">
        <f>Consolidated!D106</f>
        <v>157</v>
      </c>
      <c r="D87" t="str">
        <f>Consolidated!B106</f>
        <v>09/12/2021</v>
      </c>
      <c r="F87">
        <f>Consolidated!D106</f>
        <v>157</v>
      </c>
      <c r="G87">
        <f>Consolidated!C106</f>
        <v>1144451</v>
      </c>
      <c r="I87">
        <f>Consolidated!D106</f>
        <v>157</v>
      </c>
      <c r="J87" s="90">
        <f>Consolidated!E106</f>
        <v>4.04</v>
      </c>
      <c r="L87">
        <f>Consolidated!D106</f>
        <v>157</v>
      </c>
      <c r="M87">
        <f>Consolidated!F106</f>
        <v>8.6999999999999993</v>
      </c>
      <c r="O87">
        <f>Consolidated!D106</f>
        <v>157</v>
      </c>
      <c r="P87">
        <f>Consolidated!G106</f>
        <v>4.7</v>
      </c>
      <c r="R87">
        <f>Consolidated!D106</f>
        <v>157</v>
      </c>
      <c r="S87">
        <f>Consolidated!H106</f>
        <v>19.2</v>
      </c>
      <c r="U87">
        <f>Consolidated!D106</f>
        <v>157</v>
      </c>
      <c r="V87" s="90">
        <f>Consolidated!K106</f>
        <v>24.17</v>
      </c>
    </row>
    <row r="88" spans="3:22" x14ac:dyDescent="0.3">
      <c r="C88" s="34">
        <f>Consolidated!D107</f>
        <v>171</v>
      </c>
      <c r="D88" t="str">
        <f>Consolidated!B107</f>
        <v>09/12/2021</v>
      </c>
      <c r="F88">
        <f>Consolidated!D107</f>
        <v>171</v>
      </c>
      <c r="G88">
        <f>Consolidated!C107</f>
        <v>1144452</v>
      </c>
      <c r="I88">
        <f>Consolidated!D107</f>
        <v>171</v>
      </c>
      <c r="J88" s="90">
        <f>Consolidated!E107</f>
        <v>5.42</v>
      </c>
      <c r="L88">
        <f>Consolidated!D107</f>
        <v>171</v>
      </c>
      <c r="M88">
        <f>Consolidated!F107</f>
        <v>8.6</v>
      </c>
      <c r="O88">
        <f>Consolidated!D107</f>
        <v>171</v>
      </c>
      <c r="P88">
        <f>Consolidated!G107</f>
        <v>4</v>
      </c>
      <c r="R88">
        <f>Consolidated!D107</f>
        <v>171</v>
      </c>
      <c r="S88">
        <f>Consolidated!H107</f>
        <v>19.899999999999999</v>
      </c>
      <c r="U88">
        <f>Consolidated!D107</f>
        <v>171</v>
      </c>
      <c r="V88" s="90">
        <f>Consolidated!K107</f>
        <v>23.78</v>
      </c>
    </row>
    <row r="89" spans="3:22" x14ac:dyDescent="0.3">
      <c r="C89" s="34">
        <f>Consolidated!D108</f>
        <v>178</v>
      </c>
      <c r="D89" t="str">
        <f>Consolidated!B108</f>
        <v>09/12/2021</v>
      </c>
      <c r="F89">
        <f>Consolidated!D108</f>
        <v>178</v>
      </c>
      <c r="G89">
        <f>Consolidated!C108</f>
        <v>1144453</v>
      </c>
      <c r="I89">
        <f>Consolidated!D108</f>
        <v>178</v>
      </c>
      <c r="J89" s="90">
        <f>Consolidated!E108</f>
        <v>2.2400000000000002</v>
      </c>
      <c r="L89">
        <f>Consolidated!D108</f>
        <v>178</v>
      </c>
      <c r="M89">
        <f>Consolidated!F108</f>
        <v>8.6999999999999993</v>
      </c>
      <c r="O89">
        <f>Consolidated!D108</f>
        <v>178</v>
      </c>
      <c r="P89">
        <f>Consolidated!G108</f>
        <v>4.7</v>
      </c>
      <c r="R89">
        <f>Consolidated!D108</f>
        <v>178</v>
      </c>
      <c r="S89">
        <f>Consolidated!H108</f>
        <v>20</v>
      </c>
      <c r="U89">
        <f>Consolidated!D108</f>
        <v>178</v>
      </c>
      <c r="V89" s="90">
        <f>Consolidated!K108</f>
        <v>23.22</v>
      </c>
    </row>
    <row r="90" spans="3:22" x14ac:dyDescent="0.3">
      <c r="C90" s="34">
        <f>Consolidated!D109</f>
        <v>105</v>
      </c>
      <c r="D90" t="str">
        <f>Consolidated!B109</f>
        <v>09/12/2021</v>
      </c>
      <c r="F90">
        <f>Consolidated!D109</f>
        <v>105</v>
      </c>
      <c r="G90">
        <f>Consolidated!C109</f>
        <v>1144454</v>
      </c>
      <c r="I90">
        <f>Consolidated!D109</f>
        <v>105</v>
      </c>
      <c r="J90" s="90">
        <f>Consolidated!E109</f>
        <v>7</v>
      </c>
      <c r="L90">
        <f>Consolidated!D109</f>
        <v>105</v>
      </c>
      <c r="M90">
        <f>Consolidated!F109</f>
        <v>8.5</v>
      </c>
      <c r="O90">
        <f>Consolidated!D109</f>
        <v>105</v>
      </c>
      <c r="P90">
        <f>Consolidated!G109</f>
        <v>4.5</v>
      </c>
      <c r="R90">
        <f>Consolidated!D109</f>
        <v>105</v>
      </c>
      <c r="S90">
        <f>Consolidated!H109</f>
        <v>18.3</v>
      </c>
      <c r="U90">
        <f>Consolidated!D109</f>
        <v>105</v>
      </c>
      <c r="V90" s="90">
        <f>Consolidated!K109</f>
        <v>24.26</v>
      </c>
    </row>
    <row r="91" spans="3:22" x14ac:dyDescent="0.3">
      <c r="C91" s="34">
        <f>Consolidated!D110</f>
        <v>124</v>
      </c>
      <c r="D91" t="str">
        <f>Consolidated!B110</f>
        <v>09/12/2021</v>
      </c>
      <c r="F91">
        <f>Consolidated!D110</f>
        <v>124</v>
      </c>
      <c r="G91">
        <f>Consolidated!C110</f>
        <v>1144455</v>
      </c>
      <c r="I91">
        <f>Consolidated!D110</f>
        <v>124</v>
      </c>
      <c r="J91" s="90">
        <f>Consolidated!E110</f>
        <v>6.08</v>
      </c>
      <c r="L91">
        <f>Consolidated!D110</f>
        <v>124</v>
      </c>
      <c r="M91">
        <f>Consolidated!F110</f>
        <v>8.4</v>
      </c>
      <c r="O91">
        <f>Consolidated!D110</f>
        <v>124</v>
      </c>
      <c r="P91">
        <f>Consolidated!G110</f>
        <v>4.7</v>
      </c>
      <c r="R91">
        <f>Consolidated!D110</f>
        <v>124</v>
      </c>
      <c r="S91">
        <f>Consolidated!H110</f>
        <v>16.7</v>
      </c>
      <c r="U91">
        <f>Consolidated!D110</f>
        <v>124</v>
      </c>
      <c r="V91" s="90">
        <f>Consolidated!K110</f>
        <v>24.61</v>
      </c>
    </row>
    <row r="92" spans="3:22" x14ac:dyDescent="0.3">
      <c r="C92" s="34">
        <f>Consolidated!D111</f>
        <v>127</v>
      </c>
      <c r="D92" t="str">
        <f>Consolidated!B111</f>
        <v>09/12/2021</v>
      </c>
      <c r="F92">
        <f>Consolidated!D111</f>
        <v>127</v>
      </c>
      <c r="G92">
        <f>Consolidated!C111</f>
        <v>1144456</v>
      </c>
      <c r="I92">
        <f>Consolidated!D111</f>
        <v>127</v>
      </c>
      <c r="J92" s="90">
        <f>Consolidated!E111</f>
        <v>6.82</v>
      </c>
      <c r="L92">
        <f>Consolidated!D111</f>
        <v>127</v>
      </c>
      <c r="M92">
        <f>Consolidated!F111</f>
        <v>9.6</v>
      </c>
      <c r="O92">
        <f>Consolidated!D111</f>
        <v>127</v>
      </c>
      <c r="P92">
        <f>Consolidated!G111</f>
        <v>4.4000000000000004</v>
      </c>
      <c r="R92">
        <f>Consolidated!D111</f>
        <v>127</v>
      </c>
      <c r="S92">
        <f>Consolidated!H111</f>
        <v>17.8</v>
      </c>
      <c r="U92">
        <f>Consolidated!D111</f>
        <v>127</v>
      </c>
      <c r="V92" s="90">
        <f>Consolidated!K111</f>
        <v>24.37</v>
      </c>
    </row>
    <row r="93" spans="3:22" x14ac:dyDescent="0.3">
      <c r="C93" s="34">
        <f>Consolidated!D112</f>
        <v>142</v>
      </c>
      <c r="D93" t="str">
        <f>Consolidated!B112</f>
        <v>09/12/2021</v>
      </c>
      <c r="F93">
        <f>Consolidated!D112</f>
        <v>142</v>
      </c>
      <c r="G93">
        <f>Consolidated!C112</f>
        <v>1144457</v>
      </c>
      <c r="I93">
        <f>Consolidated!D112</f>
        <v>142</v>
      </c>
      <c r="J93" s="90">
        <f>Consolidated!E112</f>
        <v>3.06</v>
      </c>
      <c r="L93">
        <f>Consolidated!D112</f>
        <v>142</v>
      </c>
      <c r="M93">
        <f>Consolidated!F112</f>
        <v>9.6999999999999993</v>
      </c>
      <c r="O93">
        <f>Consolidated!D112</f>
        <v>142</v>
      </c>
      <c r="P93">
        <f>Consolidated!G112</f>
        <v>4.4000000000000004</v>
      </c>
      <c r="R93">
        <f>Consolidated!D112</f>
        <v>142</v>
      </c>
      <c r="S93">
        <f>Consolidated!H112</f>
        <v>17</v>
      </c>
      <c r="U93">
        <f>Consolidated!D112</f>
        <v>142</v>
      </c>
      <c r="V93" s="90">
        <f>Consolidated!K112</f>
        <v>24.51</v>
      </c>
    </row>
    <row r="94" spans="3:22" x14ac:dyDescent="0.3">
      <c r="C94" s="34">
        <f>Consolidated!D113</f>
        <v>170</v>
      </c>
      <c r="D94" t="str">
        <f>Consolidated!B113</f>
        <v>09/12/2021</v>
      </c>
      <c r="F94">
        <f>Consolidated!D113</f>
        <v>170</v>
      </c>
      <c r="G94">
        <f>Consolidated!C113</f>
        <v>1144458</v>
      </c>
      <c r="I94">
        <f>Consolidated!D113</f>
        <v>170</v>
      </c>
      <c r="J94" s="90">
        <f>Consolidated!E113</f>
        <v>6.52</v>
      </c>
      <c r="L94">
        <f>Consolidated!D113</f>
        <v>170</v>
      </c>
      <c r="M94">
        <f>Consolidated!F113</f>
        <v>8.5</v>
      </c>
      <c r="O94">
        <f>Consolidated!D113</f>
        <v>170</v>
      </c>
      <c r="P94">
        <f>Consolidated!G113</f>
        <v>4.5</v>
      </c>
      <c r="R94">
        <f>Consolidated!D113</f>
        <v>170</v>
      </c>
      <c r="S94">
        <f>Consolidated!H113</f>
        <v>17.600000000000001</v>
      </c>
      <c r="U94">
        <f>Consolidated!D113</f>
        <v>170</v>
      </c>
      <c r="V94" s="90">
        <f>Consolidated!K113</f>
        <v>24.19</v>
      </c>
    </row>
    <row r="95" spans="3:22" x14ac:dyDescent="0.3">
      <c r="C95" s="34">
        <f>Consolidated!D114</f>
        <v>182</v>
      </c>
      <c r="D95" t="str">
        <f>Consolidated!B114</f>
        <v>09/12/2021</v>
      </c>
      <c r="F95">
        <f>Consolidated!D114</f>
        <v>182</v>
      </c>
      <c r="G95">
        <f>Consolidated!C114</f>
        <v>1144459</v>
      </c>
      <c r="I95">
        <f>Consolidated!D114</f>
        <v>182</v>
      </c>
      <c r="J95" s="90">
        <f>Consolidated!E114</f>
        <v>2.1800000000000002</v>
      </c>
      <c r="L95">
        <f>Consolidated!D114</f>
        <v>182</v>
      </c>
      <c r="M95">
        <f>Consolidated!F114</f>
        <v>8.5</v>
      </c>
      <c r="O95">
        <f>Consolidated!D114</f>
        <v>182</v>
      </c>
      <c r="P95">
        <f>Consolidated!G114</f>
        <v>4.5</v>
      </c>
      <c r="R95">
        <f>Consolidated!D114</f>
        <v>182</v>
      </c>
      <c r="S95">
        <f>Consolidated!H114</f>
        <v>17.899999999999999</v>
      </c>
      <c r="U95">
        <f>Consolidated!D114</f>
        <v>182</v>
      </c>
      <c r="V95" s="90">
        <f>Consolidated!K114</f>
        <v>24.13</v>
      </c>
    </row>
    <row r="96" spans="3:22" x14ac:dyDescent="0.3">
      <c r="C96" s="34">
        <f>Consolidated!D115</f>
        <v>1</v>
      </c>
      <c r="D96">
        <f>Consolidated!B115</f>
        <v>0</v>
      </c>
      <c r="F96">
        <f>Consolidated!D115</f>
        <v>1</v>
      </c>
      <c r="G96">
        <f>Consolidated!C115</f>
        <v>0</v>
      </c>
      <c r="I96">
        <f>Consolidated!D115</f>
        <v>1</v>
      </c>
      <c r="J96" s="90">
        <f>Consolidated!E115</f>
        <v>0</v>
      </c>
      <c r="L96">
        <f>Consolidated!D115</f>
        <v>1</v>
      </c>
      <c r="M96">
        <f>Consolidated!F115</f>
        <v>0</v>
      </c>
      <c r="O96">
        <f>Consolidated!D115</f>
        <v>1</v>
      </c>
      <c r="P96">
        <f>Consolidated!G115</f>
        <v>0</v>
      </c>
      <c r="R96">
        <f>Consolidated!D115</f>
        <v>1</v>
      </c>
      <c r="S96">
        <f>Consolidated!H115</f>
        <v>0</v>
      </c>
      <c r="U96">
        <f>Consolidated!D115</f>
        <v>1</v>
      </c>
      <c r="V96" s="90">
        <f>Consolidated!K115</f>
        <v>0</v>
      </c>
    </row>
    <row r="97" spans="3:22" x14ac:dyDescent="0.3">
      <c r="C97" s="34">
        <f>Consolidated!D116</f>
        <v>2</v>
      </c>
      <c r="D97">
        <f>Consolidated!B116</f>
        <v>0</v>
      </c>
      <c r="F97">
        <f>Consolidated!D116</f>
        <v>2</v>
      </c>
      <c r="G97">
        <f>Consolidated!C116</f>
        <v>0</v>
      </c>
      <c r="I97">
        <f>Consolidated!D116</f>
        <v>2</v>
      </c>
      <c r="J97" s="90">
        <f>Consolidated!E116</f>
        <v>0</v>
      </c>
      <c r="L97">
        <f>Consolidated!D116</f>
        <v>2</v>
      </c>
      <c r="M97">
        <f>Consolidated!F116</f>
        <v>0</v>
      </c>
      <c r="O97">
        <f>Consolidated!D116</f>
        <v>2</v>
      </c>
      <c r="P97">
        <f>Consolidated!G116</f>
        <v>0</v>
      </c>
      <c r="R97">
        <f>Consolidated!D116</f>
        <v>2</v>
      </c>
      <c r="S97">
        <f>Consolidated!H116</f>
        <v>0</v>
      </c>
      <c r="U97">
        <f>Consolidated!D116</f>
        <v>2</v>
      </c>
      <c r="V97" s="90">
        <f>Consolidated!K116</f>
        <v>0</v>
      </c>
    </row>
    <row r="98" spans="3:22" x14ac:dyDescent="0.3">
      <c r="C98" s="34">
        <f>Consolidated!D117</f>
        <v>3</v>
      </c>
      <c r="D98">
        <f>Consolidated!B117</f>
        <v>0</v>
      </c>
      <c r="F98">
        <f>Consolidated!D117</f>
        <v>3</v>
      </c>
      <c r="G98">
        <f>Consolidated!C117</f>
        <v>0</v>
      </c>
      <c r="I98">
        <f>Consolidated!D117</f>
        <v>3</v>
      </c>
      <c r="J98" s="90">
        <f>Consolidated!E117</f>
        <v>0</v>
      </c>
      <c r="L98">
        <f>Consolidated!D117</f>
        <v>3</v>
      </c>
      <c r="M98">
        <f>Consolidated!F117</f>
        <v>0</v>
      </c>
      <c r="O98">
        <f>Consolidated!D117</f>
        <v>3</v>
      </c>
      <c r="P98">
        <f>Consolidated!G117</f>
        <v>0</v>
      </c>
      <c r="R98">
        <f>Consolidated!D117</f>
        <v>3</v>
      </c>
      <c r="S98">
        <f>Consolidated!H117</f>
        <v>0</v>
      </c>
      <c r="U98">
        <f>Consolidated!D117</f>
        <v>3</v>
      </c>
      <c r="V98" s="90">
        <f>Consolidated!K117</f>
        <v>0</v>
      </c>
    </row>
    <row r="99" spans="3:22" x14ac:dyDescent="0.3">
      <c r="C99" s="34">
        <f>Consolidated!D118</f>
        <v>4</v>
      </c>
      <c r="D99">
        <f>Consolidated!B118</f>
        <v>0</v>
      </c>
      <c r="F99">
        <f>Consolidated!D118</f>
        <v>4</v>
      </c>
      <c r="G99">
        <f>Consolidated!C118</f>
        <v>0</v>
      </c>
      <c r="I99">
        <f>Consolidated!D118</f>
        <v>4</v>
      </c>
      <c r="J99" s="90">
        <f>Consolidated!E118</f>
        <v>0</v>
      </c>
      <c r="L99">
        <f>Consolidated!D118</f>
        <v>4</v>
      </c>
      <c r="M99">
        <f>Consolidated!F118</f>
        <v>0</v>
      </c>
      <c r="O99">
        <f>Consolidated!D118</f>
        <v>4</v>
      </c>
      <c r="P99">
        <f>Consolidated!G118</f>
        <v>0</v>
      </c>
      <c r="R99">
        <f>Consolidated!D118</f>
        <v>4</v>
      </c>
      <c r="S99">
        <f>Consolidated!H118</f>
        <v>0</v>
      </c>
      <c r="U99">
        <f>Consolidated!D118</f>
        <v>4</v>
      </c>
      <c r="V99" s="90">
        <f>Consolidated!K118</f>
        <v>0</v>
      </c>
    </row>
    <row r="100" spans="3:22" x14ac:dyDescent="0.3">
      <c r="C100" s="34">
        <f>Consolidated!D119</f>
        <v>5</v>
      </c>
      <c r="D100">
        <f>Consolidated!B119</f>
        <v>0</v>
      </c>
      <c r="F100">
        <f>Consolidated!D119</f>
        <v>5</v>
      </c>
      <c r="G100">
        <f>Consolidated!C119</f>
        <v>0</v>
      </c>
      <c r="I100">
        <f>Consolidated!D119</f>
        <v>5</v>
      </c>
      <c r="J100" s="90">
        <f>Consolidated!E119</f>
        <v>0</v>
      </c>
      <c r="L100">
        <f>Consolidated!D119</f>
        <v>5</v>
      </c>
      <c r="M100">
        <f>Consolidated!F119</f>
        <v>0</v>
      </c>
      <c r="O100">
        <f>Consolidated!D119</f>
        <v>5</v>
      </c>
      <c r="P100">
        <f>Consolidated!G119</f>
        <v>0</v>
      </c>
      <c r="R100">
        <f>Consolidated!D119</f>
        <v>5</v>
      </c>
      <c r="S100">
        <f>Consolidated!H119</f>
        <v>0</v>
      </c>
      <c r="U100">
        <f>Consolidated!D119</f>
        <v>5</v>
      </c>
      <c r="V100" s="90">
        <f>Consolidated!K119</f>
        <v>0</v>
      </c>
    </row>
    <row r="101" spans="3:22" x14ac:dyDescent="0.3">
      <c r="C101" s="34">
        <f>Consolidated!D120</f>
        <v>6</v>
      </c>
      <c r="D101">
        <f>Consolidated!B120</f>
        <v>0</v>
      </c>
      <c r="F101">
        <f>Consolidated!D120</f>
        <v>6</v>
      </c>
      <c r="G101">
        <f>Consolidated!C120</f>
        <v>0</v>
      </c>
      <c r="I101">
        <f>Consolidated!D120</f>
        <v>6</v>
      </c>
      <c r="J101" s="90">
        <f>Consolidated!E120</f>
        <v>0</v>
      </c>
      <c r="L101">
        <f>Consolidated!D120</f>
        <v>6</v>
      </c>
      <c r="M101">
        <f>Consolidated!F120</f>
        <v>0</v>
      </c>
      <c r="O101">
        <f>Consolidated!D120</f>
        <v>6</v>
      </c>
      <c r="P101">
        <f>Consolidated!G120</f>
        <v>0</v>
      </c>
      <c r="R101">
        <f>Consolidated!D120</f>
        <v>6</v>
      </c>
      <c r="S101">
        <f>Consolidated!H120</f>
        <v>0</v>
      </c>
      <c r="U101">
        <f>Consolidated!D120</f>
        <v>6</v>
      </c>
      <c r="V101" s="90">
        <f>Consolidated!K120</f>
        <v>0</v>
      </c>
    </row>
    <row r="102" spans="3:22" x14ac:dyDescent="0.3">
      <c r="C102" s="34">
        <f>Consolidated!D121</f>
        <v>7</v>
      </c>
      <c r="D102">
        <f>Consolidated!B121</f>
        <v>0</v>
      </c>
      <c r="F102">
        <f>Consolidated!D121</f>
        <v>7</v>
      </c>
      <c r="G102">
        <f>Consolidated!C121</f>
        <v>0</v>
      </c>
      <c r="I102">
        <f>Consolidated!D121</f>
        <v>7</v>
      </c>
      <c r="J102" s="90">
        <f>Consolidated!E121</f>
        <v>0</v>
      </c>
      <c r="L102">
        <f>Consolidated!D121</f>
        <v>7</v>
      </c>
      <c r="M102">
        <f>Consolidated!F121</f>
        <v>0</v>
      </c>
      <c r="O102">
        <f>Consolidated!D121</f>
        <v>7</v>
      </c>
      <c r="P102">
        <f>Consolidated!G121</f>
        <v>0</v>
      </c>
      <c r="R102">
        <f>Consolidated!D121</f>
        <v>7</v>
      </c>
      <c r="S102">
        <f>Consolidated!H121</f>
        <v>0</v>
      </c>
      <c r="U102">
        <f>Consolidated!D121</f>
        <v>7</v>
      </c>
      <c r="V102" s="90">
        <f>Consolidated!K121</f>
        <v>0</v>
      </c>
    </row>
    <row r="103" spans="3:22" x14ac:dyDescent="0.3">
      <c r="C103" s="34">
        <f>Consolidated!D122</f>
        <v>8</v>
      </c>
      <c r="D103">
        <f>Consolidated!B122</f>
        <v>0</v>
      </c>
      <c r="F103">
        <f>Consolidated!D122</f>
        <v>8</v>
      </c>
      <c r="G103">
        <f>Consolidated!C122</f>
        <v>0</v>
      </c>
      <c r="I103">
        <f>Consolidated!D122</f>
        <v>8</v>
      </c>
      <c r="J103" s="90">
        <f>Consolidated!E122</f>
        <v>0</v>
      </c>
      <c r="L103">
        <f>Consolidated!D122</f>
        <v>8</v>
      </c>
      <c r="M103">
        <f>Consolidated!F122</f>
        <v>0</v>
      </c>
      <c r="O103">
        <f>Consolidated!D122</f>
        <v>8</v>
      </c>
      <c r="P103">
        <f>Consolidated!G122</f>
        <v>0</v>
      </c>
      <c r="R103">
        <f>Consolidated!D122</f>
        <v>8</v>
      </c>
      <c r="S103">
        <f>Consolidated!H122</f>
        <v>0</v>
      </c>
      <c r="U103">
        <f>Consolidated!D122</f>
        <v>8</v>
      </c>
      <c r="V103" s="90">
        <f>Consolidated!K122</f>
        <v>0</v>
      </c>
    </row>
    <row r="104" spans="3:22" x14ac:dyDescent="0.3">
      <c r="C104" s="34">
        <f>Consolidated!D123</f>
        <v>9</v>
      </c>
      <c r="D104">
        <f>Consolidated!B123</f>
        <v>0</v>
      </c>
      <c r="F104">
        <f>Consolidated!D123</f>
        <v>9</v>
      </c>
      <c r="G104">
        <f>Consolidated!C123</f>
        <v>0</v>
      </c>
      <c r="I104">
        <f>Consolidated!D123</f>
        <v>9</v>
      </c>
      <c r="J104" s="90">
        <f>Consolidated!E123</f>
        <v>0</v>
      </c>
      <c r="L104">
        <f>Consolidated!D123</f>
        <v>9</v>
      </c>
      <c r="M104">
        <f>Consolidated!F123</f>
        <v>0</v>
      </c>
      <c r="O104">
        <f>Consolidated!D123</f>
        <v>9</v>
      </c>
      <c r="P104">
        <f>Consolidated!G123</f>
        <v>0</v>
      </c>
      <c r="R104">
        <f>Consolidated!D123</f>
        <v>9</v>
      </c>
      <c r="S104">
        <f>Consolidated!H123</f>
        <v>0</v>
      </c>
      <c r="U104">
        <f>Consolidated!D123</f>
        <v>9</v>
      </c>
      <c r="V104" s="90">
        <f>Consolidated!K123</f>
        <v>0</v>
      </c>
    </row>
    <row r="105" spans="3:22" x14ac:dyDescent="0.3">
      <c r="C105" s="34">
        <f>Consolidated!D124</f>
        <v>10</v>
      </c>
      <c r="D105">
        <f>Consolidated!B124</f>
        <v>0</v>
      </c>
      <c r="F105">
        <f>Consolidated!D124</f>
        <v>10</v>
      </c>
      <c r="G105">
        <f>Consolidated!C124</f>
        <v>0</v>
      </c>
      <c r="I105">
        <f>Consolidated!D124</f>
        <v>10</v>
      </c>
      <c r="J105" s="90">
        <f>Consolidated!E124</f>
        <v>0</v>
      </c>
      <c r="L105">
        <f>Consolidated!D124</f>
        <v>10</v>
      </c>
      <c r="M105">
        <f>Consolidated!F124</f>
        <v>0</v>
      </c>
      <c r="O105">
        <f>Consolidated!D124</f>
        <v>10</v>
      </c>
      <c r="P105">
        <f>Consolidated!G124</f>
        <v>0</v>
      </c>
      <c r="R105">
        <f>Consolidated!D124</f>
        <v>10</v>
      </c>
      <c r="S105">
        <f>Consolidated!H124</f>
        <v>0</v>
      </c>
      <c r="U105">
        <f>Consolidated!D124</f>
        <v>10</v>
      </c>
      <c r="V105" s="90">
        <f>Consolidated!K124</f>
        <v>0</v>
      </c>
    </row>
    <row r="106" spans="3:22" x14ac:dyDescent="0.3">
      <c r="C106" s="34">
        <f>Consolidated!D125</f>
        <v>11</v>
      </c>
      <c r="D106">
        <f>Consolidated!B125</f>
        <v>0</v>
      </c>
      <c r="F106">
        <f>Consolidated!D125</f>
        <v>11</v>
      </c>
      <c r="G106">
        <f>Consolidated!C125</f>
        <v>0</v>
      </c>
      <c r="I106">
        <f>Consolidated!D125</f>
        <v>11</v>
      </c>
      <c r="J106" s="90">
        <f>Consolidated!E125</f>
        <v>0</v>
      </c>
      <c r="L106">
        <f>Consolidated!D125</f>
        <v>11</v>
      </c>
      <c r="M106">
        <f>Consolidated!F125</f>
        <v>0</v>
      </c>
      <c r="O106">
        <f>Consolidated!D125</f>
        <v>11</v>
      </c>
      <c r="P106">
        <f>Consolidated!G125</f>
        <v>0</v>
      </c>
      <c r="R106">
        <f>Consolidated!D125</f>
        <v>11</v>
      </c>
      <c r="S106">
        <f>Consolidated!H125</f>
        <v>0</v>
      </c>
      <c r="U106">
        <f>Consolidated!D125</f>
        <v>11</v>
      </c>
      <c r="V106" s="90">
        <f>Consolidated!K125</f>
        <v>0</v>
      </c>
    </row>
    <row r="107" spans="3:22" x14ac:dyDescent="0.3">
      <c r="C107" s="34">
        <f>Consolidated!D126</f>
        <v>12</v>
      </c>
      <c r="D107">
        <f>Consolidated!B126</f>
        <v>0</v>
      </c>
      <c r="F107">
        <f>Consolidated!D126</f>
        <v>12</v>
      </c>
      <c r="G107">
        <f>Consolidated!C126</f>
        <v>0</v>
      </c>
      <c r="I107">
        <f>Consolidated!D126</f>
        <v>12</v>
      </c>
      <c r="J107" s="90">
        <f>Consolidated!E126</f>
        <v>0</v>
      </c>
      <c r="L107">
        <f>Consolidated!D126</f>
        <v>12</v>
      </c>
      <c r="M107">
        <f>Consolidated!F126</f>
        <v>0</v>
      </c>
      <c r="O107">
        <f>Consolidated!D126</f>
        <v>12</v>
      </c>
      <c r="P107">
        <f>Consolidated!G126</f>
        <v>0</v>
      </c>
      <c r="R107">
        <f>Consolidated!D126</f>
        <v>12</v>
      </c>
      <c r="S107">
        <f>Consolidated!H126</f>
        <v>0</v>
      </c>
      <c r="U107">
        <f>Consolidated!D126</f>
        <v>12</v>
      </c>
      <c r="V107" s="90">
        <f>Consolidated!K126</f>
        <v>0</v>
      </c>
    </row>
    <row r="108" spans="3:22" x14ac:dyDescent="0.3">
      <c r="C108" s="34">
        <f>Consolidated!D127</f>
        <v>13</v>
      </c>
      <c r="D108">
        <f>Consolidated!B127</f>
        <v>0</v>
      </c>
      <c r="F108">
        <f>Consolidated!D127</f>
        <v>13</v>
      </c>
      <c r="G108">
        <f>Consolidated!C127</f>
        <v>0</v>
      </c>
      <c r="I108">
        <f>Consolidated!D127</f>
        <v>13</v>
      </c>
      <c r="J108" s="90">
        <f>Consolidated!E127</f>
        <v>0</v>
      </c>
      <c r="L108">
        <f>Consolidated!D127</f>
        <v>13</v>
      </c>
      <c r="M108">
        <f>Consolidated!F127</f>
        <v>0</v>
      </c>
      <c r="O108">
        <f>Consolidated!D127</f>
        <v>13</v>
      </c>
      <c r="P108">
        <f>Consolidated!G127</f>
        <v>0</v>
      </c>
      <c r="R108">
        <f>Consolidated!D127</f>
        <v>13</v>
      </c>
      <c r="S108">
        <f>Consolidated!H127</f>
        <v>0</v>
      </c>
      <c r="U108">
        <f>Consolidated!D127</f>
        <v>13</v>
      </c>
      <c r="V108" s="90">
        <f>Consolidated!K127</f>
        <v>0</v>
      </c>
    </row>
    <row r="109" spans="3:22" x14ac:dyDescent="0.3">
      <c r="C109" s="34">
        <f>Consolidated!D128</f>
        <v>14</v>
      </c>
      <c r="D109">
        <f>Consolidated!B128</f>
        <v>0</v>
      </c>
      <c r="F109">
        <f>Consolidated!D128</f>
        <v>14</v>
      </c>
      <c r="G109">
        <f>Consolidated!C128</f>
        <v>0</v>
      </c>
      <c r="I109">
        <f>Consolidated!D128</f>
        <v>14</v>
      </c>
      <c r="J109" s="90">
        <f>Consolidated!E128</f>
        <v>0</v>
      </c>
      <c r="L109">
        <f>Consolidated!D128</f>
        <v>14</v>
      </c>
      <c r="M109">
        <f>Consolidated!F128</f>
        <v>0</v>
      </c>
      <c r="O109">
        <f>Consolidated!D128</f>
        <v>14</v>
      </c>
      <c r="P109">
        <f>Consolidated!G128</f>
        <v>0</v>
      </c>
      <c r="R109">
        <f>Consolidated!D128</f>
        <v>14</v>
      </c>
      <c r="S109">
        <f>Consolidated!H128</f>
        <v>0</v>
      </c>
      <c r="U109">
        <f>Consolidated!D128</f>
        <v>14</v>
      </c>
      <c r="V109" s="90">
        <f>Consolidated!K128</f>
        <v>0</v>
      </c>
    </row>
    <row r="110" spans="3:22" x14ac:dyDescent="0.3">
      <c r="C110" s="34">
        <f>Consolidated!D129</f>
        <v>15</v>
      </c>
      <c r="D110">
        <f>Consolidated!B129</f>
        <v>0</v>
      </c>
      <c r="F110">
        <f>Consolidated!D129</f>
        <v>15</v>
      </c>
      <c r="G110">
        <f>Consolidated!C129</f>
        <v>0</v>
      </c>
      <c r="I110">
        <f>Consolidated!D129</f>
        <v>15</v>
      </c>
      <c r="J110" s="90">
        <f>Consolidated!E129</f>
        <v>0</v>
      </c>
      <c r="L110">
        <f>Consolidated!D129</f>
        <v>15</v>
      </c>
      <c r="M110">
        <f>Consolidated!F129</f>
        <v>0</v>
      </c>
      <c r="O110">
        <f>Consolidated!D129</f>
        <v>15</v>
      </c>
      <c r="P110">
        <f>Consolidated!G129</f>
        <v>0</v>
      </c>
      <c r="R110">
        <f>Consolidated!D129</f>
        <v>15</v>
      </c>
      <c r="S110">
        <f>Consolidated!H129</f>
        <v>0</v>
      </c>
      <c r="U110">
        <f>Consolidated!D129</f>
        <v>15</v>
      </c>
      <c r="V110" s="90">
        <f>Consolidated!K129</f>
        <v>0</v>
      </c>
    </row>
    <row r="111" spans="3:22" x14ac:dyDescent="0.3">
      <c r="C111" s="34">
        <f>Consolidated!D130</f>
        <v>16</v>
      </c>
      <c r="D111">
        <f>Consolidated!B130</f>
        <v>0</v>
      </c>
      <c r="F111">
        <f>Consolidated!D130</f>
        <v>16</v>
      </c>
      <c r="G111">
        <f>Consolidated!C130</f>
        <v>0</v>
      </c>
      <c r="I111">
        <f>Consolidated!D130</f>
        <v>16</v>
      </c>
      <c r="J111" s="90">
        <f>Consolidated!E130</f>
        <v>0</v>
      </c>
      <c r="L111">
        <f>Consolidated!D130</f>
        <v>16</v>
      </c>
      <c r="M111">
        <f>Consolidated!F130</f>
        <v>0</v>
      </c>
      <c r="O111">
        <f>Consolidated!D130</f>
        <v>16</v>
      </c>
      <c r="P111">
        <f>Consolidated!G130</f>
        <v>0</v>
      </c>
      <c r="R111">
        <f>Consolidated!D130</f>
        <v>16</v>
      </c>
      <c r="S111">
        <f>Consolidated!H130</f>
        <v>0</v>
      </c>
      <c r="U111">
        <f>Consolidated!D130</f>
        <v>16</v>
      </c>
      <c r="V111" s="90">
        <f>Consolidated!K130</f>
        <v>0</v>
      </c>
    </row>
    <row r="112" spans="3:22" x14ac:dyDescent="0.3">
      <c r="C112" s="34">
        <f>Consolidated!D131</f>
        <v>17</v>
      </c>
      <c r="D112">
        <f>Consolidated!B131</f>
        <v>0</v>
      </c>
      <c r="F112">
        <f>Consolidated!D131</f>
        <v>17</v>
      </c>
      <c r="G112">
        <f>Consolidated!C131</f>
        <v>0</v>
      </c>
      <c r="I112">
        <f>Consolidated!D131</f>
        <v>17</v>
      </c>
      <c r="J112" s="90">
        <f>Consolidated!E131</f>
        <v>0</v>
      </c>
      <c r="L112">
        <f>Consolidated!D131</f>
        <v>17</v>
      </c>
      <c r="M112">
        <f>Consolidated!F131</f>
        <v>0</v>
      </c>
      <c r="O112">
        <f>Consolidated!D131</f>
        <v>17</v>
      </c>
      <c r="P112">
        <f>Consolidated!G131</f>
        <v>0</v>
      </c>
      <c r="R112">
        <f>Consolidated!D131</f>
        <v>17</v>
      </c>
      <c r="S112">
        <f>Consolidated!H131</f>
        <v>0</v>
      </c>
      <c r="U112">
        <f>Consolidated!D131</f>
        <v>17</v>
      </c>
      <c r="V112" s="90">
        <f>Consolidated!K131</f>
        <v>0</v>
      </c>
    </row>
    <row r="113" spans="3:22" x14ac:dyDescent="0.3">
      <c r="C113" s="34">
        <f>Consolidated!D132</f>
        <v>18</v>
      </c>
      <c r="D113">
        <f>Consolidated!B132</f>
        <v>0</v>
      </c>
      <c r="F113">
        <f>Consolidated!D132</f>
        <v>18</v>
      </c>
      <c r="G113">
        <f>Consolidated!C132</f>
        <v>0</v>
      </c>
      <c r="I113">
        <f>Consolidated!D132</f>
        <v>18</v>
      </c>
      <c r="J113" s="90">
        <f>Consolidated!E132</f>
        <v>0</v>
      </c>
      <c r="L113">
        <f>Consolidated!D132</f>
        <v>18</v>
      </c>
      <c r="M113">
        <f>Consolidated!F132</f>
        <v>0</v>
      </c>
      <c r="O113">
        <f>Consolidated!D132</f>
        <v>18</v>
      </c>
      <c r="P113">
        <f>Consolidated!G132</f>
        <v>0</v>
      </c>
      <c r="R113">
        <f>Consolidated!D132</f>
        <v>18</v>
      </c>
      <c r="S113">
        <f>Consolidated!H132</f>
        <v>0</v>
      </c>
      <c r="U113">
        <f>Consolidated!D132</f>
        <v>18</v>
      </c>
      <c r="V113" s="90">
        <f>Consolidated!K132</f>
        <v>0</v>
      </c>
    </row>
    <row r="114" spans="3:22" x14ac:dyDescent="0.3">
      <c r="C114" s="34">
        <f>Consolidated!D133</f>
        <v>19</v>
      </c>
      <c r="D114">
        <f>Consolidated!B133</f>
        <v>0</v>
      </c>
      <c r="F114">
        <f>Consolidated!D133</f>
        <v>19</v>
      </c>
      <c r="G114">
        <f>Consolidated!C133</f>
        <v>0</v>
      </c>
      <c r="I114">
        <f>Consolidated!D133</f>
        <v>19</v>
      </c>
      <c r="J114" s="90">
        <f>Consolidated!E133</f>
        <v>0</v>
      </c>
      <c r="L114">
        <f>Consolidated!D133</f>
        <v>19</v>
      </c>
      <c r="M114">
        <f>Consolidated!F133</f>
        <v>0</v>
      </c>
      <c r="O114">
        <f>Consolidated!D133</f>
        <v>19</v>
      </c>
      <c r="P114">
        <f>Consolidated!G133</f>
        <v>0</v>
      </c>
      <c r="R114">
        <f>Consolidated!D133</f>
        <v>19</v>
      </c>
      <c r="S114">
        <f>Consolidated!H133</f>
        <v>0</v>
      </c>
      <c r="U114">
        <f>Consolidated!D133</f>
        <v>19</v>
      </c>
      <c r="V114" s="90">
        <f>Consolidated!K133</f>
        <v>0</v>
      </c>
    </row>
    <row r="115" spans="3:22" x14ac:dyDescent="0.3">
      <c r="C115" s="34">
        <f>Consolidated!D134</f>
        <v>20</v>
      </c>
      <c r="D115">
        <f>Consolidated!B134</f>
        <v>0</v>
      </c>
      <c r="F115">
        <f>Consolidated!D134</f>
        <v>20</v>
      </c>
      <c r="G115">
        <f>Consolidated!C134</f>
        <v>0</v>
      </c>
      <c r="I115">
        <f>Consolidated!D134</f>
        <v>20</v>
      </c>
      <c r="J115" s="90">
        <f>Consolidated!E134</f>
        <v>0</v>
      </c>
      <c r="L115">
        <f>Consolidated!D134</f>
        <v>20</v>
      </c>
      <c r="M115">
        <f>Consolidated!F134</f>
        <v>0</v>
      </c>
      <c r="O115">
        <f>Consolidated!D134</f>
        <v>20</v>
      </c>
      <c r="P115">
        <f>Consolidated!G134</f>
        <v>0</v>
      </c>
      <c r="R115">
        <f>Consolidated!D134</f>
        <v>20</v>
      </c>
      <c r="S115">
        <f>Consolidated!H134</f>
        <v>0</v>
      </c>
      <c r="U115">
        <f>Consolidated!D134</f>
        <v>20</v>
      </c>
      <c r="V115" s="90">
        <f>Consolidated!K134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U21"/>
  <sheetViews>
    <sheetView workbookViewId="0">
      <selection activeCell="C26" sqref="C26"/>
    </sheetView>
  </sheetViews>
  <sheetFormatPr defaultRowHeight="14.4" x14ac:dyDescent="0.3"/>
  <sheetData>
    <row r="2" spans="1:21" ht="15" thickBot="1" x14ac:dyDescent="0.35"/>
    <row r="3" spans="1:21" x14ac:dyDescent="0.3">
      <c r="A3" s="322" t="s">
        <v>76</v>
      </c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4"/>
    </row>
    <row r="4" spans="1:21" ht="15" thickBot="1" x14ac:dyDescent="0.35">
      <c r="A4" s="325"/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  <c r="U4" s="327"/>
    </row>
    <row r="9" spans="1:21" x14ac:dyDescent="0.3">
      <c r="A9">
        <v>1</v>
      </c>
      <c r="B9" t="s">
        <v>77</v>
      </c>
    </row>
    <row r="11" spans="1:21" x14ac:dyDescent="0.3">
      <c r="A11">
        <v>2</v>
      </c>
      <c r="B11" t="s">
        <v>78</v>
      </c>
    </row>
    <row r="13" spans="1:21" x14ac:dyDescent="0.3">
      <c r="A13">
        <v>3</v>
      </c>
      <c r="B13" t="s">
        <v>79</v>
      </c>
    </row>
    <row r="15" spans="1:21" x14ac:dyDescent="0.3">
      <c r="A15">
        <v>4</v>
      </c>
      <c r="B15" t="s">
        <v>80</v>
      </c>
    </row>
    <row r="17" spans="1:2" ht="16.2" x14ac:dyDescent="0.3">
      <c r="A17">
        <v>5</v>
      </c>
      <c r="B17" t="s">
        <v>81</v>
      </c>
    </row>
    <row r="19" spans="1:2" x14ac:dyDescent="0.3">
      <c r="A19">
        <v>6</v>
      </c>
      <c r="B19" t="s">
        <v>82</v>
      </c>
    </row>
    <row r="21" spans="1:2" x14ac:dyDescent="0.3">
      <c r="A21">
        <v>7</v>
      </c>
      <c r="B21" t="s">
        <v>83</v>
      </c>
    </row>
  </sheetData>
  <mergeCells count="1">
    <mergeCell ref="A3:U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U33"/>
  <sheetViews>
    <sheetView showGridLines="0" workbookViewId="0">
      <selection activeCell="B31" sqref="B31:J33"/>
    </sheetView>
  </sheetViews>
  <sheetFormatPr defaultRowHeight="14.4" x14ac:dyDescent="0.3"/>
  <sheetData>
    <row r="2" spans="1:21" ht="15" thickBot="1" x14ac:dyDescent="0.35"/>
    <row r="3" spans="1:21" x14ac:dyDescent="0.3">
      <c r="A3" s="322" t="s">
        <v>118</v>
      </c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3"/>
      <c r="S3" s="323"/>
      <c r="T3" s="323"/>
      <c r="U3" s="324"/>
    </row>
    <row r="4" spans="1:21" ht="15" thickBot="1" x14ac:dyDescent="0.35">
      <c r="A4" s="325"/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  <c r="U4" s="327"/>
    </row>
    <row r="9" spans="1:21" x14ac:dyDescent="0.3">
      <c r="A9" s="84">
        <v>1</v>
      </c>
      <c r="B9" s="328" t="s">
        <v>119</v>
      </c>
      <c r="C9" s="328"/>
      <c r="D9" s="328"/>
    </row>
    <row r="12" spans="1:21" x14ac:dyDescent="0.3">
      <c r="B12" t="e">
        <f>'Sample Diff &amp; Covariance'!S13</f>
        <v>#N/A</v>
      </c>
      <c r="C12" t="e">
        <f>'Sample Diff &amp; Covariance'!T13</f>
        <v>#N/A</v>
      </c>
      <c r="D12" t="e">
        <f>'Sample Diff &amp; Covariance'!U13</f>
        <v>#N/A</v>
      </c>
    </row>
    <row r="15" spans="1:21" x14ac:dyDescent="0.3">
      <c r="A15" s="84">
        <v>2</v>
      </c>
      <c r="B15" s="9" t="s">
        <v>120</v>
      </c>
      <c r="C15" s="9"/>
      <c r="D15" s="9"/>
    </row>
    <row r="17" spans="1:10" x14ac:dyDescent="0.3">
      <c r="B17" s="92" t="e">
        <f>'Sample Diff &amp; Covariance'!S19</f>
        <v>#N/A</v>
      </c>
      <c r="C17" s="92" t="e">
        <f>'Sample Diff &amp; Covariance'!T19</f>
        <v>#N/A</v>
      </c>
      <c r="D17" s="92" t="e">
        <f>'Sample Diff &amp; Covariance'!U19</f>
        <v>#N/A</v>
      </c>
    </row>
    <row r="18" spans="1:10" x14ac:dyDescent="0.3">
      <c r="B18" s="92"/>
      <c r="C18" s="92"/>
      <c r="D18" s="92"/>
    </row>
    <row r="19" spans="1:10" x14ac:dyDescent="0.3">
      <c r="B19" s="92" t="e">
        <f>'Sample Diff &amp; Covariance'!S21</f>
        <v>#N/A</v>
      </c>
      <c r="C19" s="92" t="e">
        <f>'Sample Diff &amp; Covariance'!T21</f>
        <v>#N/A</v>
      </c>
      <c r="D19" s="92" t="e">
        <f>'Sample Diff &amp; Covariance'!U21</f>
        <v>#N/A</v>
      </c>
    </row>
    <row r="20" spans="1:10" x14ac:dyDescent="0.3">
      <c r="B20" s="92"/>
      <c r="C20" s="92"/>
      <c r="D20" s="92"/>
    </row>
    <row r="21" spans="1:10" x14ac:dyDescent="0.3">
      <c r="B21" s="92" t="e">
        <f>'Sample Diff &amp; Covariance'!S23</f>
        <v>#N/A</v>
      </c>
      <c r="C21" s="92" t="e">
        <f>'Sample Diff &amp; Covariance'!T23</f>
        <v>#N/A</v>
      </c>
      <c r="D21" s="92" t="e">
        <f>'Sample Diff &amp; Covariance'!U23</f>
        <v>#N/A</v>
      </c>
    </row>
    <row r="24" spans="1:10" ht="16.2" x14ac:dyDescent="0.3">
      <c r="A24">
        <v>3</v>
      </c>
      <c r="B24" s="328" t="s">
        <v>121</v>
      </c>
      <c r="C24" s="328"/>
      <c r="D24" s="328"/>
    </row>
    <row r="26" spans="1:10" ht="16.2" x14ac:dyDescent="0.3">
      <c r="B26" t="s">
        <v>122</v>
      </c>
      <c r="C26" t="e">
        <f>'Hotelling''s T2'!$C$59</f>
        <v>#N/A</v>
      </c>
    </row>
    <row r="30" spans="1:10" ht="15" thickBot="1" x14ac:dyDescent="0.35">
      <c r="A30">
        <v>4</v>
      </c>
      <c r="B30" s="329" t="s">
        <v>117</v>
      </c>
      <c r="C30" s="329"/>
      <c r="D30" s="329"/>
      <c r="E30" s="329"/>
    </row>
    <row r="31" spans="1:10" x14ac:dyDescent="0.3">
      <c r="B31" s="330" t="e">
        <f>'Hotelling''s T2'!$B$65</f>
        <v>#N/A</v>
      </c>
      <c r="C31" s="331"/>
      <c r="D31" s="331"/>
      <c r="E31" s="331"/>
      <c r="F31" s="331"/>
      <c r="G31" s="331"/>
      <c r="H31" s="331"/>
      <c r="I31" s="331"/>
      <c r="J31" s="332"/>
    </row>
    <row r="32" spans="1:10" x14ac:dyDescent="0.3">
      <c r="B32" s="333"/>
      <c r="C32" s="334"/>
      <c r="D32" s="334"/>
      <c r="E32" s="334"/>
      <c r="F32" s="334"/>
      <c r="G32" s="334"/>
      <c r="H32" s="334"/>
      <c r="I32" s="334"/>
      <c r="J32" s="335"/>
    </row>
    <row r="33" spans="2:10" ht="15" thickBot="1" x14ac:dyDescent="0.35">
      <c r="B33" s="336"/>
      <c r="C33" s="337"/>
      <c r="D33" s="337"/>
      <c r="E33" s="337"/>
      <c r="F33" s="337"/>
      <c r="G33" s="337"/>
      <c r="H33" s="337"/>
      <c r="I33" s="337"/>
      <c r="J33" s="338"/>
    </row>
  </sheetData>
  <sheetProtection algorithmName="SHA-512" hashValue="SK5pf6DxovI2+FOw3MmyT08HrXWuQcxjvjCGrDtL2UjCDY5b6h35otLFXGl0PIQvD8NkN+gm3eM4qTkfsXicsQ==" saltValue="RqcwBuM34sRRNgv29YkFTA==" spinCount="100000" sheet="1" objects="1" scenarios="1"/>
  <mergeCells count="5">
    <mergeCell ref="A3:U4"/>
    <mergeCell ref="B9:D9"/>
    <mergeCell ref="B24:D24"/>
    <mergeCell ref="B30:E30"/>
    <mergeCell ref="B31:J33"/>
  </mergeCells>
  <conditionalFormatting sqref="B31:J33">
    <cfRule type="containsText" dxfId="1" priority="1" operator="containsText" text="SINCE T2 cal&gt; T2 3,9 THERE IS BIAS IN THE SYSTEM">
      <formula>NOT(ISERROR(SEARCH("SINCE T2 cal&gt; T2 3,9 THERE IS BIAS IN THE SYSTEM",B31)))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U48"/>
  <sheetViews>
    <sheetView workbookViewId="0">
      <selection activeCell="A47" sqref="A47"/>
    </sheetView>
  </sheetViews>
  <sheetFormatPr defaultRowHeight="14.4" x14ac:dyDescent="0.3"/>
  <cols>
    <col min="8" max="8" width="11" customWidth="1"/>
  </cols>
  <sheetData>
    <row r="1" spans="1:21" x14ac:dyDescent="0.3">
      <c r="A1" s="339" t="s">
        <v>84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</row>
    <row r="2" spans="1:21" x14ac:dyDescent="0.3">
      <c r="A2" s="33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</row>
    <row r="3" spans="1:21" ht="15" thickBot="1" x14ac:dyDescent="0.35"/>
    <row r="4" spans="1:21" ht="15" thickBot="1" x14ac:dyDescent="0.35">
      <c r="B4" s="30" t="s">
        <v>64</v>
      </c>
      <c r="C4" s="343">
        <f>COUNT(A7:A46)</f>
        <v>40</v>
      </c>
      <c r="D4" s="344"/>
      <c r="F4" s="30" t="s">
        <v>65</v>
      </c>
      <c r="G4" s="60">
        <f>C4-1</f>
        <v>39</v>
      </c>
    </row>
    <row r="5" spans="1:21" ht="15" thickBot="1" x14ac:dyDescent="0.35">
      <c r="B5" s="340" t="s">
        <v>37</v>
      </c>
      <c r="C5" s="341"/>
      <c r="D5" s="342"/>
      <c r="E5" s="340" t="s">
        <v>6</v>
      </c>
      <c r="F5" s="341"/>
      <c r="G5" s="342"/>
      <c r="H5" s="340" t="s">
        <v>7</v>
      </c>
      <c r="I5" s="341"/>
      <c r="J5" s="342"/>
      <c r="K5" s="341" t="s">
        <v>8</v>
      </c>
      <c r="L5" s="341"/>
      <c r="M5" s="342"/>
    </row>
    <row r="6" spans="1:21" ht="15" thickBot="1" x14ac:dyDescent="0.35">
      <c r="A6" s="8" t="s">
        <v>4</v>
      </c>
      <c r="B6" s="7" t="s">
        <v>5</v>
      </c>
      <c r="C6" s="7" t="s">
        <v>0</v>
      </c>
      <c r="D6" s="7" t="s">
        <v>1</v>
      </c>
      <c r="E6" s="8" t="s">
        <v>5</v>
      </c>
      <c r="F6" s="7" t="s">
        <v>0</v>
      </c>
      <c r="G6" s="7" t="s">
        <v>1</v>
      </c>
      <c r="H6" s="7" t="s">
        <v>2</v>
      </c>
      <c r="I6" s="7" t="s">
        <v>0</v>
      </c>
      <c r="J6" s="8" t="s">
        <v>1</v>
      </c>
      <c r="K6" s="7" t="s">
        <v>2</v>
      </c>
      <c r="L6" s="7" t="s">
        <v>0</v>
      </c>
      <c r="M6" s="7" t="s">
        <v>1</v>
      </c>
    </row>
    <row r="7" spans="1:21" x14ac:dyDescent="0.3">
      <c r="A7" s="79">
        <v>1</v>
      </c>
      <c r="B7" s="151">
        <f>P!E10</f>
        <v>3.06</v>
      </c>
      <c r="C7" s="117">
        <f>RA!E10</f>
        <v>6.82</v>
      </c>
      <c r="D7" s="111">
        <f>RB!E10</f>
        <v>7</v>
      </c>
      <c r="E7" s="153">
        <f>P!F10</f>
        <v>9.6999999999999993</v>
      </c>
      <c r="F7" s="119">
        <f>RA!F10</f>
        <v>9.6</v>
      </c>
      <c r="G7" s="119">
        <f>RB!F10</f>
        <v>8.5</v>
      </c>
      <c r="H7" s="138">
        <f>P!N10</f>
        <v>17.78242677824268</v>
      </c>
      <c r="I7" s="138">
        <f>RA!N10</f>
        <v>18.619246861924687</v>
      </c>
      <c r="J7" s="116">
        <f>RB!N10</f>
        <v>19.162303664921467</v>
      </c>
      <c r="K7" s="155">
        <f>P!Q10</f>
        <v>25.638075313807533</v>
      </c>
      <c r="L7" s="112">
        <f>RA!Q10</f>
        <v>25.49163179916318</v>
      </c>
      <c r="M7" s="113">
        <f>RB!Q10</f>
        <v>25.403141361256544</v>
      </c>
      <c r="O7" s="90"/>
      <c r="P7" s="90"/>
    </row>
    <row r="8" spans="1:21" x14ac:dyDescent="0.3">
      <c r="A8" s="79">
        <v>2</v>
      </c>
      <c r="B8" s="151">
        <f>P!E11</f>
        <v>3.26</v>
      </c>
      <c r="C8" s="117">
        <f>RA!E11</f>
        <v>5.74</v>
      </c>
      <c r="D8" s="83">
        <f>RB!E11</f>
        <v>5.36</v>
      </c>
      <c r="E8" s="154">
        <f>P!F11</f>
        <v>8.9</v>
      </c>
      <c r="F8" s="119">
        <f>RA!F11</f>
        <v>9</v>
      </c>
      <c r="G8" s="119">
        <f>RB!F11</f>
        <v>8.6</v>
      </c>
      <c r="H8" s="139">
        <f>P!N11</f>
        <v>17.560462670872766</v>
      </c>
      <c r="I8" s="140">
        <f>RA!N11</f>
        <v>18.172268907563026</v>
      </c>
      <c r="J8" s="114">
        <f>RB!N11</f>
        <v>18.743455497382197</v>
      </c>
      <c r="K8" s="156">
        <f>P!Q11</f>
        <v>25.036803364879077</v>
      </c>
      <c r="L8" s="115">
        <f>RA!Q11</f>
        <v>25.441176470588236</v>
      </c>
      <c r="M8" s="114">
        <f>RB!Q11</f>
        <v>25.015706806282722</v>
      </c>
      <c r="O8" s="90"/>
      <c r="P8" s="90"/>
    </row>
    <row r="9" spans="1:21" x14ac:dyDescent="0.3">
      <c r="A9" s="79">
        <v>3</v>
      </c>
      <c r="B9" s="151">
        <f>P!E12</f>
        <v>2.74</v>
      </c>
      <c r="C9" s="117">
        <f>RA!E12</f>
        <v>7.14</v>
      </c>
      <c r="D9" s="83">
        <f>RB!E12</f>
        <v>5.36</v>
      </c>
      <c r="E9" s="154">
        <f>P!F12</f>
        <v>9.1999999999999993</v>
      </c>
      <c r="F9" s="2">
        <f>RA!F12</f>
        <v>8.9</v>
      </c>
      <c r="G9" s="2">
        <f>RB!F12</f>
        <v>8.6</v>
      </c>
      <c r="H9" s="141">
        <f>P!N12</f>
        <v>16.062176165803109</v>
      </c>
      <c r="I9" s="138">
        <f>RA!N12</f>
        <v>15.942028985507248</v>
      </c>
      <c r="J9" s="116">
        <f>RB!N12</f>
        <v>16.977225672877847</v>
      </c>
      <c r="K9" s="156">
        <f>P!Q12</f>
        <v>26.569948186528496</v>
      </c>
      <c r="L9" s="112">
        <f>RA!Q12</f>
        <v>26.728778467908903</v>
      </c>
      <c r="M9" s="116">
        <f>RB!Q12</f>
        <v>26.221532091097309</v>
      </c>
      <c r="O9" s="90"/>
      <c r="P9" s="90"/>
    </row>
    <row r="10" spans="1:21" x14ac:dyDescent="0.3">
      <c r="A10" s="79">
        <v>4</v>
      </c>
      <c r="B10" s="152">
        <f>P!E13</f>
        <v>2.48</v>
      </c>
      <c r="C10" s="117">
        <f>RA!E13</f>
        <v>4.74</v>
      </c>
      <c r="D10" s="83">
        <f>RB!E13</f>
        <v>3.9</v>
      </c>
      <c r="E10" s="153">
        <f>P!F13</f>
        <v>8.6</v>
      </c>
      <c r="F10" s="2">
        <f>RA!F13</f>
        <v>8.5</v>
      </c>
      <c r="G10" s="2">
        <f>RB!F13</f>
        <v>9</v>
      </c>
      <c r="H10" s="139">
        <f>P!N13</f>
        <v>19.832985386221296</v>
      </c>
      <c r="I10" s="140">
        <f>RA!N13</f>
        <v>19.43573667711599</v>
      </c>
      <c r="J10" s="114">
        <f>RB!N13</f>
        <v>18.808777429467085</v>
      </c>
      <c r="K10" s="155">
        <f>P!Q13</f>
        <v>25.093945720250524</v>
      </c>
      <c r="L10" s="115">
        <f>RA!Q13</f>
        <v>25.966562173458723</v>
      </c>
      <c r="M10" s="114">
        <f>RB!Q13</f>
        <v>25.193312434691745</v>
      </c>
      <c r="O10" s="90"/>
      <c r="P10" s="143"/>
    </row>
    <row r="11" spans="1:21" x14ac:dyDescent="0.3">
      <c r="A11" s="79">
        <v>5</v>
      </c>
      <c r="B11" s="151">
        <f>P!E14</f>
        <v>2.38</v>
      </c>
      <c r="C11" s="117">
        <f>RA!E14</f>
        <v>6.48</v>
      </c>
      <c r="D11" s="83">
        <f>RB!E14</f>
        <v>4.92</v>
      </c>
      <c r="E11" s="154">
        <f>P!F14</f>
        <v>8.5</v>
      </c>
      <c r="F11" s="2">
        <f>RA!F14</f>
        <v>8.8000000000000007</v>
      </c>
      <c r="G11" s="2">
        <f>RB!F14</f>
        <v>8.6</v>
      </c>
      <c r="H11" s="141">
        <f>P!N14</f>
        <v>17.793964620187307</v>
      </c>
      <c r="I11" s="138">
        <f>RA!N14</f>
        <v>18.295218295218298</v>
      </c>
      <c r="J11" s="116">
        <f>RB!N14</f>
        <v>18.534031413612567</v>
      </c>
      <c r="K11" s="156">
        <f>P!Q14</f>
        <v>25.858480749219563</v>
      </c>
      <c r="L11" s="112">
        <f>RA!Q14</f>
        <v>25.613305613305613</v>
      </c>
      <c r="M11" s="116">
        <f>RB!Q14</f>
        <v>25.591623036649214</v>
      </c>
      <c r="O11" s="90"/>
      <c r="P11" s="90"/>
    </row>
    <row r="12" spans="1:21" x14ac:dyDescent="0.3">
      <c r="A12" s="79">
        <v>6</v>
      </c>
      <c r="B12" s="152">
        <f>P!E15</f>
        <v>2.1800000000000002</v>
      </c>
      <c r="C12" s="117">
        <f>RA!E15</f>
        <v>6.52</v>
      </c>
      <c r="D12" s="83">
        <f>RB!E15</f>
        <v>6.08</v>
      </c>
      <c r="E12" s="153">
        <f>P!F15</f>
        <v>8.5</v>
      </c>
      <c r="F12" s="119">
        <f>RA!F15</f>
        <v>8.5</v>
      </c>
      <c r="G12" s="119">
        <f>RB!F15</f>
        <v>8.4</v>
      </c>
      <c r="H12" s="139">
        <f>P!N15</f>
        <v>18.743455497382197</v>
      </c>
      <c r="I12" s="140">
        <f>RA!N15</f>
        <v>18.42931937172775</v>
      </c>
      <c r="J12" s="114">
        <f>RB!N15</f>
        <v>17.523609653725078</v>
      </c>
      <c r="K12" s="155">
        <f>P!Q15</f>
        <v>25.267015706806284</v>
      </c>
      <c r="L12" s="115">
        <f>RA!Q15</f>
        <v>25.329842931937172</v>
      </c>
      <c r="M12" s="114">
        <f>RB!Q15</f>
        <v>25.823714585519411</v>
      </c>
      <c r="O12" s="90"/>
      <c r="P12" s="90"/>
    </row>
    <row r="13" spans="1:21" x14ac:dyDescent="0.3">
      <c r="A13" s="79">
        <v>7</v>
      </c>
      <c r="B13" s="151">
        <f>P!E16</f>
        <v>3.14</v>
      </c>
      <c r="C13" s="117">
        <f>RA!E16</f>
        <v>5.42</v>
      </c>
      <c r="D13" s="83">
        <f>RB!E16</f>
        <v>4.6399999999999997</v>
      </c>
      <c r="E13" s="154">
        <f>P!F16</f>
        <v>8.3000000000000007</v>
      </c>
      <c r="F13" s="119">
        <f>RA!F16</f>
        <v>8.6</v>
      </c>
      <c r="G13" s="119">
        <f>RB!F16</f>
        <v>8.9</v>
      </c>
      <c r="H13" s="141">
        <f>P!N16</f>
        <v>18.382352941176471</v>
      </c>
      <c r="I13" s="138">
        <f>RA!N16</f>
        <v>20.729166666666664</v>
      </c>
      <c r="J13" s="116">
        <f>RB!N16</f>
        <v>19.162303664921467</v>
      </c>
      <c r="K13" s="156">
        <f>P!Q16</f>
        <v>25.997899159663866</v>
      </c>
      <c r="L13" s="112">
        <f>RA!Q16</f>
        <v>24.770833333333332</v>
      </c>
      <c r="M13" s="116">
        <f>RB!Q16</f>
        <v>25.445026178010473</v>
      </c>
      <c r="O13" s="90"/>
      <c r="P13" s="82"/>
      <c r="Q13" s="144"/>
    </row>
    <row r="14" spans="1:21" x14ac:dyDescent="0.3">
      <c r="A14" s="79">
        <v>8</v>
      </c>
      <c r="B14" s="151">
        <f>P!E17</f>
        <v>2.56</v>
      </c>
      <c r="C14" s="117">
        <f>RA!E17</f>
        <v>7</v>
      </c>
      <c r="D14" s="83">
        <f>RB!E17</f>
        <v>6.78</v>
      </c>
      <c r="E14" s="154">
        <f>P!F17</f>
        <v>8.5</v>
      </c>
      <c r="F14" s="2">
        <f>RA!F17</f>
        <v>8.4</v>
      </c>
      <c r="G14" s="2">
        <f>RB!F17</f>
        <v>8.8000000000000007</v>
      </c>
      <c r="H14" s="139">
        <f>P!N17</f>
        <v>19.456066945606697</v>
      </c>
      <c r="I14" s="140">
        <f>RA!N17</f>
        <v>18.887722980062961</v>
      </c>
      <c r="J14" s="114">
        <f>RB!N17</f>
        <v>19.769874476987447</v>
      </c>
      <c r="K14" s="156">
        <f>P!Q17</f>
        <v>24.414225941422597</v>
      </c>
      <c r="L14" s="115">
        <f>RA!Q17</f>
        <v>24.784889821615952</v>
      </c>
      <c r="M14" s="114">
        <f>RB!Q17</f>
        <v>24.612970711297073</v>
      </c>
      <c r="O14" s="90"/>
      <c r="P14" s="82"/>
      <c r="Q14" s="144"/>
    </row>
    <row r="15" spans="1:21" x14ac:dyDescent="0.3">
      <c r="A15" s="79">
        <v>9</v>
      </c>
      <c r="B15" s="152">
        <f>P!E18</f>
        <v>3.16</v>
      </c>
      <c r="C15" s="117">
        <f>RA!E18</f>
        <v>4.82</v>
      </c>
      <c r="D15" s="83">
        <f>RB!E18</f>
        <v>4.54</v>
      </c>
      <c r="E15" s="153">
        <f>P!F18</f>
        <v>8.8000000000000007</v>
      </c>
      <c r="F15" s="119">
        <f>RA!F18</f>
        <v>8.6</v>
      </c>
      <c r="G15" s="119">
        <f>RB!F18</f>
        <v>8.6999999999999993</v>
      </c>
      <c r="H15" s="141">
        <f>P!N18</f>
        <v>18.46473029045643</v>
      </c>
      <c r="I15" s="138">
        <f>RA!N18</f>
        <v>18.399168399168399</v>
      </c>
      <c r="J15" s="116">
        <f>RB!N18</f>
        <v>18.568464730290454</v>
      </c>
      <c r="K15" s="155">
        <f>P!Q18</f>
        <v>25.456431535269708</v>
      </c>
      <c r="L15" s="112">
        <f>RA!Q18</f>
        <v>25.727650727650726</v>
      </c>
      <c r="M15" s="116">
        <f>RB!Q18</f>
        <v>25.466804979253112</v>
      </c>
      <c r="O15" s="90"/>
      <c r="P15" s="82"/>
      <c r="Q15" s="144"/>
    </row>
    <row r="16" spans="1:21" x14ac:dyDescent="0.3">
      <c r="A16" s="79">
        <v>10</v>
      </c>
      <c r="B16" s="151">
        <f>P!E19</f>
        <v>3.36</v>
      </c>
      <c r="C16" s="117">
        <f>RA!E19</f>
        <v>6.98</v>
      </c>
      <c r="D16" s="83">
        <f>RB!E19</f>
        <v>6.72</v>
      </c>
      <c r="E16" s="154">
        <f>P!F19</f>
        <v>8.6</v>
      </c>
      <c r="F16" s="119">
        <f>RA!F19</f>
        <v>8.9</v>
      </c>
      <c r="G16" s="119">
        <f>RB!F19</f>
        <v>8.5</v>
      </c>
      <c r="H16" s="139">
        <f>P!N19</f>
        <v>18.704284221525597</v>
      </c>
      <c r="I16" s="140">
        <f>RA!N19</f>
        <v>19.47643979057592</v>
      </c>
      <c r="J16" s="114">
        <f>RB!N19</f>
        <v>19.47643979057592</v>
      </c>
      <c r="K16" s="156">
        <f>P!Q19</f>
        <v>24.973876698014628</v>
      </c>
      <c r="L16" s="115">
        <f>RA!Q19</f>
        <v>25.874345549738219</v>
      </c>
      <c r="M16" s="114">
        <f>RB!Q19</f>
        <v>24.251308900523561</v>
      </c>
      <c r="O16" s="90"/>
      <c r="P16" s="82"/>
      <c r="Q16" s="144"/>
    </row>
    <row r="17" spans="1:17" x14ac:dyDescent="0.3">
      <c r="A17" s="79">
        <v>11</v>
      </c>
      <c r="B17" s="151">
        <f>P!E20</f>
        <v>3.24</v>
      </c>
      <c r="C17" s="118">
        <f>RA!E20</f>
        <v>4.24</v>
      </c>
      <c r="D17" s="83">
        <f>RB!E20</f>
        <v>3.82</v>
      </c>
      <c r="E17" s="154">
        <f>P!F20</f>
        <v>8.6999999999999993</v>
      </c>
      <c r="F17" s="119">
        <f>RA!F20</f>
        <v>8.9</v>
      </c>
      <c r="G17" s="119">
        <f>RB!F20</f>
        <v>8.8000000000000007</v>
      </c>
      <c r="H17" s="141">
        <f>P!N20</f>
        <v>22.708333333333332</v>
      </c>
      <c r="I17" s="138">
        <f>RA!N20</f>
        <v>21.234309623430963</v>
      </c>
      <c r="J17" s="116">
        <f>RB!N20</f>
        <v>18.456725755995826</v>
      </c>
      <c r="K17" s="156">
        <f>P!Q20</f>
        <v>23.65625</v>
      </c>
      <c r="L17" s="112">
        <f>RA!Q20</f>
        <v>24.539748953974897</v>
      </c>
      <c r="M17" s="116">
        <f>RB!Q20</f>
        <v>25.286757038581854</v>
      </c>
      <c r="O17" s="90"/>
      <c r="P17" s="90"/>
      <c r="Q17" s="144"/>
    </row>
    <row r="18" spans="1:17" x14ac:dyDescent="0.3">
      <c r="A18" s="79">
        <v>12</v>
      </c>
      <c r="B18" s="152">
        <f>P!E21</f>
        <v>2.2999999999999998</v>
      </c>
      <c r="C18" s="118">
        <f>RA!E21</f>
        <v>5.74</v>
      </c>
      <c r="D18" s="83">
        <f>RB!E21</f>
        <v>5</v>
      </c>
      <c r="E18" s="154">
        <f>P!F21</f>
        <v>9.3000000000000007</v>
      </c>
      <c r="F18" s="119">
        <f>RA!F21</f>
        <v>8.8000000000000007</v>
      </c>
      <c r="G18" s="119">
        <f>RB!F21</f>
        <v>8.8000000000000007</v>
      </c>
      <c r="H18" s="139">
        <f>P!N21</f>
        <v>16.666666666666671</v>
      </c>
      <c r="I18" s="140">
        <f>RA!N21</f>
        <v>17.805383022774329</v>
      </c>
      <c r="J18" s="114">
        <f>RB!N21</f>
        <v>19.067357512953365</v>
      </c>
      <c r="K18" s="156">
        <f>P!Q21</f>
        <v>26.138716356107661</v>
      </c>
      <c r="L18" s="115">
        <f>RA!Q21</f>
        <v>25.890269151138718</v>
      </c>
      <c r="M18" s="114">
        <f>RB!Q21</f>
        <v>25.5440414507772</v>
      </c>
      <c r="O18" s="90"/>
      <c r="P18" s="90"/>
      <c r="Q18" s="144"/>
    </row>
    <row r="19" spans="1:17" x14ac:dyDescent="0.3">
      <c r="A19" s="79">
        <v>13</v>
      </c>
      <c r="B19" s="151">
        <f>P!E22</f>
        <v>2.42</v>
      </c>
      <c r="C19" s="118">
        <f>RA!E22</f>
        <v>5.04</v>
      </c>
      <c r="D19" s="83">
        <f>RB!E22</f>
        <v>3.92</v>
      </c>
      <c r="E19" s="154">
        <f>P!F22</f>
        <v>8.8000000000000007</v>
      </c>
      <c r="F19" s="119">
        <f>RA!F22</f>
        <v>8.4</v>
      </c>
      <c r="G19" s="119">
        <f>RB!F22</f>
        <v>8.4</v>
      </c>
      <c r="H19" s="141">
        <f>P!N22</f>
        <v>19.182389937106919</v>
      </c>
      <c r="I19" s="138">
        <f>RA!N22</f>
        <v>19.581151832460733</v>
      </c>
      <c r="J19" s="116">
        <f>RB!N22</f>
        <v>19.60167714884696</v>
      </c>
      <c r="K19" s="156">
        <f>P!Q22</f>
        <v>24.884696016771485</v>
      </c>
      <c r="L19" s="112">
        <f>RA!Q22</f>
        <v>25.591623036649214</v>
      </c>
      <c r="M19" s="116">
        <f>RB!Q22</f>
        <v>25.513626834381551</v>
      </c>
      <c r="O19" s="90"/>
      <c r="P19" s="90"/>
    </row>
    <row r="20" spans="1:17" x14ac:dyDescent="0.3">
      <c r="A20" s="79">
        <v>14</v>
      </c>
      <c r="B20" s="152">
        <f>P!E23</f>
        <v>2.74</v>
      </c>
      <c r="C20" s="118">
        <f>RA!E23</f>
        <v>5.5</v>
      </c>
      <c r="D20" s="83">
        <f>RB!E23</f>
        <v>5.42</v>
      </c>
      <c r="E20" s="154">
        <f>P!F23</f>
        <v>8.8000000000000007</v>
      </c>
      <c r="F20" s="119">
        <f>RA!F23</f>
        <v>9.1999999999999993</v>
      </c>
      <c r="G20" s="121">
        <f>RB!F23</f>
        <v>8.6999999999999993</v>
      </c>
      <c r="H20" s="139">
        <f>P!N23</f>
        <v>19.7286012526096</v>
      </c>
      <c r="I20" s="140">
        <f>RA!N23</f>
        <v>19.25849639546859</v>
      </c>
      <c r="J20" s="114">
        <f>RB!N23</f>
        <v>19.81230448383733</v>
      </c>
      <c r="K20" s="156">
        <f>P!Q23</f>
        <v>25.1356993736952</v>
      </c>
      <c r="L20" s="115">
        <f>RA!Q23</f>
        <v>25.303810504634399</v>
      </c>
      <c r="M20" s="114">
        <f>RB!Q23</f>
        <v>25.255474452554743</v>
      </c>
      <c r="O20" s="90"/>
      <c r="P20" s="90"/>
    </row>
    <row r="21" spans="1:17" x14ac:dyDescent="0.3">
      <c r="A21" s="79">
        <v>15</v>
      </c>
      <c r="B21" s="152">
        <f>P!E24</f>
        <v>2.4</v>
      </c>
      <c r="C21" s="118">
        <f>RA!E24</f>
        <v>4.26</v>
      </c>
      <c r="D21" s="83">
        <f>RB!E24</f>
        <v>4.5199999999999996</v>
      </c>
      <c r="E21" s="154">
        <f>P!F24</f>
        <v>9</v>
      </c>
      <c r="F21" s="121">
        <f>RA!F24</f>
        <v>9.6999999999999993</v>
      </c>
      <c r="G21" s="120">
        <f>RB!F24</f>
        <v>9.3000000000000007</v>
      </c>
      <c r="H21" s="141">
        <f>P!N24</f>
        <v>19.182389937106919</v>
      </c>
      <c r="I21" s="138">
        <f>RA!N24</f>
        <v>21.720881427072403</v>
      </c>
      <c r="J21" s="116">
        <f>RB!N24</f>
        <v>20.480668756530829</v>
      </c>
      <c r="K21" s="156">
        <f>P!Q24</f>
        <v>25.419287211740041</v>
      </c>
      <c r="L21" s="112">
        <f>RA!Q24</f>
        <v>24.522560335781744</v>
      </c>
      <c r="M21" s="116">
        <f>RB!Q24</f>
        <v>24.96342737722048</v>
      </c>
      <c r="O21" s="90"/>
      <c r="P21" s="90"/>
    </row>
    <row r="22" spans="1:17" x14ac:dyDescent="0.3">
      <c r="A22" s="79">
        <v>16</v>
      </c>
      <c r="B22" s="152">
        <f>P!E25</f>
        <v>2.56</v>
      </c>
      <c r="C22" s="118">
        <f>RA!E25</f>
        <v>5.98</v>
      </c>
      <c r="D22" s="83">
        <f>RB!E25</f>
        <v>5.92</v>
      </c>
      <c r="E22" s="154">
        <f>P!F25</f>
        <v>9.8000000000000007</v>
      </c>
      <c r="F22" s="120">
        <f>RA!F25</f>
        <v>9.1</v>
      </c>
      <c r="G22" s="120">
        <f>RB!F25</f>
        <v>8.8000000000000007</v>
      </c>
      <c r="H22" s="139">
        <f>P!N25</f>
        <v>20.867768595041323</v>
      </c>
      <c r="I22" s="140">
        <f>RA!N25</f>
        <v>20.020746887966805</v>
      </c>
      <c r="J22" s="114">
        <f>RB!N25</f>
        <v>18.3419689119171</v>
      </c>
      <c r="K22" s="156">
        <f>P!Q25</f>
        <v>24.586776859504134</v>
      </c>
      <c r="L22" s="115">
        <f>RA!Q25</f>
        <v>25.145228215767634</v>
      </c>
      <c r="M22" s="114">
        <f>RB!Q25</f>
        <v>25.512953367875646</v>
      </c>
      <c r="O22" s="90"/>
      <c r="P22" s="90"/>
    </row>
    <row r="23" spans="1:17" x14ac:dyDescent="0.3">
      <c r="A23" s="79">
        <v>17</v>
      </c>
      <c r="B23" s="152">
        <f>P!E26</f>
        <v>2.66</v>
      </c>
      <c r="C23" s="118">
        <f>RA!E26</f>
        <v>5.7</v>
      </c>
      <c r="D23" s="83">
        <f>RB!E26</f>
        <v>4.3600000000000003</v>
      </c>
      <c r="E23" s="154">
        <f>P!F26</f>
        <v>8.8000000000000007</v>
      </c>
      <c r="F23" s="120">
        <f>RA!F26</f>
        <v>9.1</v>
      </c>
      <c r="G23" s="120">
        <f>RB!F26</f>
        <v>9</v>
      </c>
      <c r="H23" s="141">
        <f>P!N26</f>
        <v>19.01776384535005</v>
      </c>
      <c r="I23" s="138">
        <f>RA!N26</f>
        <v>21.025104602510464</v>
      </c>
      <c r="J23" s="116">
        <f>RB!N26</f>
        <v>19.83385254413292</v>
      </c>
      <c r="K23" s="156">
        <f>P!Q26</f>
        <v>25.360501567398117</v>
      </c>
      <c r="L23" s="112">
        <f>RA!Q26</f>
        <v>24.654811715481173</v>
      </c>
      <c r="M23" s="116">
        <f>RB!Q26</f>
        <v>24.53790238836968</v>
      </c>
      <c r="O23" s="90"/>
      <c r="P23" s="90"/>
    </row>
    <row r="24" spans="1:17" x14ac:dyDescent="0.3">
      <c r="A24" s="79">
        <v>18</v>
      </c>
      <c r="B24" s="152">
        <f>P!E27</f>
        <v>2.2400000000000002</v>
      </c>
      <c r="C24" s="118">
        <f>RA!E27</f>
        <v>5.0999999999999996</v>
      </c>
      <c r="D24" s="83">
        <f>RB!E27</f>
        <v>4.8</v>
      </c>
      <c r="E24" s="154">
        <f>P!F27</f>
        <v>8.6999999999999993</v>
      </c>
      <c r="F24" s="120">
        <f>RA!F27</f>
        <v>8.4</v>
      </c>
      <c r="G24" s="119">
        <f>RB!F27</f>
        <v>8.8000000000000007</v>
      </c>
      <c r="H24" s="139">
        <f>P!N27</f>
        <v>20.986358866736623</v>
      </c>
      <c r="I24" s="140">
        <f>RA!N27</f>
        <v>20.566631689401891</v>
      </c>
      <c r="J24" s="114">
        <f>RB!N27</f>
        <v>19.412381951731376</v>
      </c>
      <c r="K24" s="156">
        <f>P!Q27</f>
        <v>24.365162644281217</v>
      </c>
      <c r="L24" s="115">
        <f>RA!Q27</f>
        <v>24.910807974816372</v>
      </c>
      <c r="M24" s="114">
        <f>RB!Q27</f>
        <v>25.22560335781742</v>
      </c>
      <c r="O24" s="90"/>
      <c r="P24" s="90"/>
    </row>
    <row r="25" spans="1:17" x14ac:dyDescent="0.3">
      <c r="A25" s="79">
        <v>19</v>
      </c>
      <c r="B25" s="152">
        <f>P!E28</f>
        <v>2.52</v>
      </c>
      <c r="C25" s="118">
        <f>RA!E28</f>
        <v>4.62</v>
      </c>
      <c r="D25" s="83">
        <f>RB!E28</f>
        <v>4.1399999999999997</v>
      </c>
      <c r="E25" s="154">
        <f>P!F28</f>
        <v>8.5</v>
      </c>
      <c r="F25" s="119">
        <f>RA!F28</f>
        <v>9.6999999999999993</v>
      </c>
      <c r="G25" s="119">
        <f>RB!F28</f>
        <v>8.8000000000000007</v>
      </c>
      <c r="H25" s="141">
        <f>P!N28</f>
        <v>19.47643979057592</v>
      </c>
      <c r="I25" s="138">
        <f>RA!N28</f>
        <v>19.790575916230363</v>
      </c>
      <c r="J25" s="116">
        <f>RB!N28</f>
        <v>18.992654774396645</v>
      </c>
      <c r="K25" s="156">
        <f>P!Q28</f>
        <v>24.544502617801047</v>
      </c>
      <c r="L25" s="112">
        <f>RA!Q28</f>
        <v>25.130890052356023</v>
      </c>
      <c r="M25" s="116">
        <f>RB!Q28</f>
        <v>24.459601259181532</v>
      </c>
      <c r="O25" s="90"/>
      <c r="P25" s="90"/>
    </row>
    <row r="26" spans="1:17" x14ac:dyDescent="0.3">
      <c r="A26" s="79">
        <v>20</v>
      </c>
      <c r="B26" s="152">
        <f>P!E29</f>
        <v>5</v>
      </c>
      <c r="C26" s="118">
        <f>RA!E29</f>
        <v>6.24</v>
      </c>
      <c r="D26" s="83">
        <f>RB!E29</f>
        <v>6.28</v>
      </c>
      <c r="E26" s="154">
        <f>P!F29</f>
        <v>9.5</v>
      </c>
      <c r="F26" s="120">
        <f>RA!F29</f>
        <v>9.5</v>
      </c>
      <c r="G26" s="121">
        <f>RB!F29</f>
        <v>9.5</v>
      </c>
      <c r="H26" s="139">
        <f>P!N29</f>
        <v>21.615949632738719</v>
      </c>
      <c r="I26" s="140">
        <f>RA!N29</f>
        <v>21.240799158780234</v>
      </c>
      <c r="J26" s="114">
        <f>RB!N29</f>
        <v>20.146904512067156</v>
      </c>
      <c r="K26" s="156">
        <f>P!Q29</f>
        <v>24.784889821615952</v>
      </c>
      <c r="L26" s="115">
        <f>RA!Q29</f>
        <v>24.616193480546794</v>
      </c>
      <c r="M26" s="114">
        <f>RB!Q29</f>
        <v>25.22560335781742</v>
      </c>
      <c r="O26" s="90"/>
      <c r="P26" s="90"/>
    </row>
    <row r="27" spans="1:17" x14ac:dyDescent="0.3">
      <c r="A27" s="79">
        <v>21</v>
      </c>
      <c r="B27" s="152" t="e">
        <f>P!E30</f>
        <v>#N/A</v>
      </c>
      <c r="C27" s="118" t="e">
        <f>RA!E30</f>
        <v>#N/A</v>
      </c>
      <c r="D27" s="83">
        <f>RB!E30</f>
        <v>6.28</v>
      </c>
      <c r="E27" s="154" t="e">
        <f>P!F30</f>
        <v>#N/A</v>
      </c>
      <c r="F27" s="120" t="e">
        <f>RA!F30</f>
        <v>#N/A</v>
      </c>
      <c r="G27" s="121">
        <f>RB!F30</f>
        <v>9.5</v>
      </c>
      <c r="H27" s="139" t="e">
        <f>P!N30</f>
        <v>#N/A</v>
      </c>
      <c r="I27" s="140" t="e">
        <f>RA!N30</f>
        <v>#N/A</v>
      </c>
      <c r="J27" s="114">
        <f>RB!N30</f>
        <v>20.146904512067156</v>
      </c>
      <c r="K27" s="156" t="e">
        <f>P!Q30</f>
        <v>#N/A</v>
      </c>
      <c r="L27" s="115" t="e">
        <f>RA!Q30</f>
        <v>#N/A</v>
      </c>
      <c r="M27" s="114">
        <f>RB!Q30</f>
        <v>25.22560335781742</v>
      </c>
      <c r="O27" s="90"/>
      <c r="P27" s="90"/>
    </row>
    <row r="28" spans="1:17" x14ac:dyDescent="0.3">
      <c r="A28" s="79">
        <v>22</v>
      </c>
      <c r="B28" s="152">
        <f>P!E31</f>
        <v>2.2999999999999998</v>
      </c>
      <c r="C28" s="118" t="e">
        <f>RA!E31</f>
        <v>#N/A</v>
      </c>
      <c r="D28" s="83">
        <f>RB!E31</f>
        <v>5.92</v>
      </c>
      <c r="E28" s="154">
        <f>P!F31</f>
        <v>9.3000000000000007</v>
      </c>
      <c r="F28" s="120" t="e">
        <f>RA!F31</f>
        <v>#N/A</v>
      </c>
      <c r="G28" s="121">
        <f>RB!F31</f>
        <v>8.8000000000000007</v>
      </c>
      <c r="H28" s="139">
        <f>P!N31</f>
        <v>16.666666666666671</v>
      </c>
      <c r="I28" s="140" t="e">
        <f>RA!N31</f>
        <v>#N/A</v>
      </c>
      <c r="J28" s="114">
        <f>RB!N31</f>
        <v>18.3419689119171</v>
      </c>
      <c r="K28" s="156">
        <f>P!Q31</f>
        <v>26.138716356107661</v>
      </c>
      <c r="L28" s="115" t="e">
        <f>RA!Q31</f>
        <v>#N/A</v>
      </c>
      <c r="M28" s="114">
        <f>RB!Q31</f>
        <v>25.512953367875646</v>
      </c>
      <c r="O28" s="90"/>
      <c r="P28" s="90"/>
    </row>
    <row r="29" spans="1:17" x14ac:dyDescent="0.3">
      <c r="A29" s="79">
        <v>23</v>
      </c>
      <c r="B29" s="152" t="e">
        <f>P!E32</f>
        <v>#N/A</v>
      </c>
      <c r="C29" s="118" t="e">
        <f>RA!E32</f>
        <v>#N/A</v>
      </c>
      <c r="D29" s="83" t="e">
        <f>RB!E32</f>
        <v>#N/A</v>
      </c>
      <c r="E29" s="154" t="e">
        <f>P!F32</f>
        <v>#N/A</v>
      </c>
      <c r="F29" s="120" t="e">
        <f>RA!F32</f>
        <v>#N/A</v>
      </c>
      <c r="G29" s="121" t="e">
        <f>RB!F32</f>
        <v>#N/A</v>
      </c>
      <c r="H29" s="139" t="e">
        <f>P!N32</f>
        <v>#N/A</v>
      </c>
      <c r="I29" s="140" t="e">
        <f>RA!N32</f>
        <v>#N/A</v>
      </c>
      <c r="J29" s="114" t="e">
        <f>RB!N32</f>
        <v>#N/A</v>
      </c>
      <c r="K29" s="156" t="e">
        <f>P!Q32</f>
        <v>#N/A</v>
      </c>
      <c r="L29" s="115" t="e">
        <f>RA!Q32</f>
        <v>#N/A</v>
      </c>
      <c r="M29" s="114" t="e">
        <f>RB!Q32</f>
        <v>#N/A</v>
      </c>
      <c r="O29" s="90"/>
      <c r="P29" s="90"/>
    </row>
    <row r="30" spans="1:17" x14ac:dyDescent="0.3">
      <c r="A30" s="79">
        <v>24</v>
      </c>
      <c r="B30" s="152" t="e">
        <f>P!E33</f>
        <v>#N/A</v>
      </c>
      <c r="C30" s="118" t="e">
        <f>RA!E33</f>
        <v>#N/A</v>
      </c>
      <c r="D30" s="83" t="e">
        <f>RB!E33</f>
        <v>#N/A</v>
      </c>
      <c r="E30" s="154" t="e">
        <f>P!F33</f>
        <v>#N/A</v>
      </c>
      <c r="F30" s="120" t="e">
        <f>RA!F33</f>
        <v>#N/A</v>
      </c>
      <c r="G30" s="121" t="e">
        <f>RB!F33</f>
        <v>#N/A</v>
      </c>
      <c r="H30" s="139" t="e">
        <f>P!N33</f>
        <v>#N/A</v>
      </c>
      <c r="I30" s="140" t="e">
        <f>RA!N33</f>
        <v>#N/A</v>
      </c>
      <c r="J30" s="114" t="e">
        <f>RB!N33</f>
        <v>#N/A</v>
      </c>
      <c r="K30" s="156" t="e">
        <f>P!Q33</f>
        <v>#N/A</v>
      </c>
      <c r="L30" s="115" t="e">
        <f>RA!Q33</f>
        <v>#N/A</v>
      </c>
      <c r="M30" s="114" t="e">
        <f>RB!Q33</f>
        <v>#N/A</v>
      </c>
      <c r="O30" s="90"/>
      <c r="P30" s="90"/>
    </row>
    <row r="31" spans="1:17" x14ac:dyDescent="0.3">
      <c r="A31" s="79">
        <v>25</v>
      </c>
      <c r="B31" s="152" t="e">
        <f>P!E34</f>
        <v>#N/A</v>
      </c>
      <c r="C31" s="118" t="e">
        <f>RA!E34</f>
        <v>#N/A</v>
      </c>
      <c r="D31" s="83" t="e">
        <f>RB!E34</f>
        <v>#N/A</v>
      </c>
      <c r="E31" s="154" t="e">
        <f>P!F34</f>
        <v>#N/A</v>
      </c>
      <c r="F31" s="120" t="e">
        <f>RA!F34</f>
        <v>#N/A</v>
      </c>
      <c r="G31" s="121" t="e">
        <f>RB!F34</f>
        <v>#N/A</v>
      </c>
      <c r="H31" s="139" t="e">
        <f>P!N34</f>
        <v>#N/A</v>
      </c>
      <c r="I31" s="140" t="e">
        <f>RA!N34</f>
        <v>#N/A</v>
      </c>
      <c r="J31" s="114" t="e">
        <f>RB!N34</f>
        <v>#N/A</v>
      </c>
      <c r="K31" s="156" t="e">
        <f>P!Q34</f>
        <v>#N/A</v>
      </c>
      <c r="L31" s="115" t="e">
        <f>RA!Q34</f>
        <v>#N/A</v>
      </c>
      <c r="M31" s="114" t="e">
        <f>RB!Q34</f>
        <v>#N/A</v>
      </c>
      <c r="O31" s="90"/>
      <c r="P31" s="90"/>
    </row>
    <row r="32" spans="1:17" x14ac:dyDescent="0.3">
      <c r="A32" s="79">
        <v>26</v>
      </c>
      <c r="B32" s="152" t="e">
        <f>P!E35</f>
        <v>#N/A</v>
      </c>
      <c r="C32" s="118" t="e">
        <f>RA!E35</f>
        <v>#N/A</v>
      </c>
      <c r="D32" s="83" t="e">
        <f>RB!E35</f>
        <v>#N/A</v>
      </c>
      <c r="E32" s="154" t="e">
        <f>P!F35</f>
        <v>#N/A</v>
      </c>
      <c r="F32" s="120" t="e">
        <f>RA!F35</f>
        <v>#N/A</v>
      </c>
      <c r="G32" s="121" t="e">
        <f>RB!F35</f>
        <v>#N/A</v>
      </c>
      <c r="H32" s="139" t="e">
        <f>P!N35</f>
        <v>#N/A</v>
      </c>
      <c r="I32" s="140" t="e">
        <f>RA!N35</f>
        <v>#N/A</v>
      </c>
      <c r="J32" s="114" t="e">
        <f>RB!N35</f>
        <v>#N/A</v>
      </c>
      <c r="K32" s="156" t="e">
        <f>P!Q35</f>
        <v>#N/A</v>
      </c>
      <c r="L32" s="115" t="e">
        <f>RA!Q35</f>
        <v>#N/A</v>
      </c>
      <c r="M32" s="114" t="e">
        <f>RB!Q35</f>
        <v>#N/A</v>
      </c>
      <c r="O32" s="90"/>
      <c r="P32" s="90"/>
    </row>
    <row r="33" spans="1:16" x14ac:dyDescent="0.3">
      <c r="A33" s="79">
        <v>27</v>
      </c>
      <c r="B33" s="152" t="e">
        <f>P!E36</f>
        <v>#N/A</v>
      </c>
      <c r="C33" s="118" t="e">
        <f>RA!E36</f>
        <v>#N/A</v>
      </c>
      <c r="D33" s="83" t="e">
        <f>RB!E36</f>
        <v>#N/A</v>
      </c>
      <c r="E33" s="154" t="e">
        <f>P!F36</f>
        <v>#N/A</v>
      </c>
      <c r="F33" s="120" t="e">
        <f>RA!F36</f>
        <v>#N/A</v>
      </c>
      <c r="G33" s="121" t="e">
        <f>RB!F36</f>
        <v>#N/A</v>
      </c>
      <c r="H33" s="139" t="e">
        <f>P!N36</f>
        <v>#N/A</v>
      </c>
      <c r="I33" s="140" t="e">
        <f>RA!N36</f>
        <v>#N/A</v>
      </c>
      <c r="J33" s="114" t="e">
        <f>RB!N36</f>
        <v>#N/A</v>
      </c>
      <c r="K33" s="156" t="e">
        <f>P!Q36</f>
        <v>#N/A</v>
      </c>
      <c r="L33" s="115" t="e">
        <f>RA!Q36</f>
        <v>#N/A</v>
      </c>
      <c r="M33" s="114" t="e">
        <f>RB!Q36</f>
        <v>#N/A</v>
      </c>
      <c r="O33" s="90"/>
      <c r="P33" s="90"/>
    </row>
    <row r="34" spans="1:16" x14ac:dyDescent="0.3">
      <c r="A34" s="79">
        <v>28</v>
      </c>
      <c r="B34" s="152" t="e">
        <f>P!E37</f>
        <v>#N/A</v>
      </c>
      <c r="C34" s="118" t="e">
        <f>RA!E37</f>
        <v>#N/A</v>
      </c>
      <c r="D34" s="83" t="e">
        <f>RB!E37</f>
        <v>#N/A</v>
      </c>
      <c r="E34" s="154" t="e">
        <f>P!F37</f>
        <v>#N/A</v>
      </c>
      <c r="F34" s="120" t="e">
        <f>RA!F37</f>
        <v>#N/A</v>
      </c>
      <c r="G34" s="121" t="e">
        <f>RB!F37</f>
        <v>#N/A</v>
      </c>
      <c r="H34" s="139" t="e">
        <f>P!N37</f>
        <v>#N/A</v>
      </c>
      <c r="I34" s="140" t="e">
        <f>RA!N37</f>
        <v>#N/A</v>
      </c>
      <c r="J34" s="114" t="e">
        <f>RB!N37</f>
        <v>#N/A</v>
      </c>
      <c r="K34" s="156" t="e">
        <f>P!Q37</f>
        <v>#N/A</v>
      </c>
      <c r="L34" s="115" t="e">
        <f>RA!Q37</f>
        <v>#N/A</v>
      </c>
      <c r="M34" s="114" t="e">
        <f>RB!Q37</f>
        <v>#N/A</v>
      </c>
      <c r="O34" s="90"/>
      <c r="P34" s="90"/>
    </row>
    <row r="35" spans="1:16" x14ac:dyDescent="0.3">
      <c r="A35" s="79">
        <v>29</v>
      </c>
      <c r="B35" s="152" t="e">
        <f>P!E38</f>
        <v>#N/A</v>
      </c>
      <c r="C35" s="118" t="e">
        <f>RA!E38</f>
        <v>#N/A</v>
      </c>
      <c r="D35" s="83" t="e">
        <f>RB!E38</f>
        <v>#N/A</v>
      </c>
      <c r="E35" s="154" t="e">
        <f>P!F38</f>
        <v>#N/A</v>
      </c>
      <c r="F35" s="120" t="e">
        <f>RA!F38</f>
        <v>#N/A</v>
      </c>
      <c r="G35" s="121" t="e">
        <f>RB!F38</f>
        <v>#N/A</v>
      </c>
      <c r="H35" s="139" t="e">
        <f>P!N38</f>
        <v>#N/A</v>
      </c>
      <c r="I35" s="140" t="e">
        <f>RA!N38</f>
        <v>#N/A</v>
      </c>
      <c r="J35" s="114" t="e">
        <f>RB!N38</f>
        <v>#N/A</v>
      </c>
      <c r="K35" s="156" t="e">
        <f>P!Q38</f>
        <v>#N/A</v>
      </c>
      <c r="L35" s="115" t="e">
        <f>RA!Q38</f>
        <v>#N/A</v>
      </c>
      <c r="M35" s="114" t="e">
        <f>RB!Q38</f>
        <v>#N/A</v>
      </c>
      <c r="O35" s="90"/>
      <c r="P35" s="90"/>
    </row>
    <row r="36" spans="1:16" x14ac:dyDescent="0.3">
      <c r="A36" s="79">
        <v>30</v>
      </c>
      <c r="B36" s="152" t="e">
        <f>P!E39</f>
        <v>#N/A</v>
      </c>
      <c r="C36" s="118" t="e">
        <f>RA!E39</f>
        <v>#N/A</v>
      </c>
      <c r="D36" s="83" t="e">
        <f>RB!E39</f>
        <v>#N/A</v>
      </c>
      <c r="E36" s="154" t="e">
        <f>P!F39</f>
        <v>#N/A</v>
      </c>
      <c r="F36" s="120" t="e">
        <f>RA!F39</f>
        <v>#N/A</v>
      </c>
      <c r="G36" s="121" t="e">
        <f>RB!F39</f>
        <v>#N/A</v>
      </c>
      <c r="H36" s="139" t="e">
        <f>P!N39</f>
        <v>#N/A</v>
      </c>
      <c r="I36" s="140" t="e">
        <f>RA!N39</f>
        <v>#N/A</v>
      </c>
      <c r="J36" s="114" t="e">
        <f>RB!N39</f>
        <v>#N/A</v>
      </c>
      <c r="K36" s="156" t="e">
        <f>P!Q39</f>
        <v>#N/A</v>
      </c>
      <c r="L36" s="115" t="e">
        <f>RA!Q39</f>
        <v>#N/A</v>
      </c>
      <c r="M36" s="114" t="e">
        <f>RB!Q39</f>
        <v>#N/A</v>
      </c>
      <c r="O36" s="90"/>
      <c r="P36" s="90"/>
    </row>
    <row r="37" spans="1:16" x14ac:dyDescent="0.3">
      <c r="A37" s="79">
        <v>31</v>
      </c>
      <c r="B37" s="152">
        <f>P!E40</f>
        <v>2.44</v>
      </c>
      <c r="C37" s="118">
        <f>RA!E40</f>
        <v>4.04</v>
      </c>
      <c r="D37" s="83">
        <f>RB!E40</f>
        <v>4.26</v>
      </c>
      <c r="E37" s="154">
        <f>P!F40</f>
        <v>9.6999999999999993</v>
      </c>
      <c r="F37" s="120">
        <f>RA!F40</f>
        <v>8.6999999999999993</v>
      </c>
      <c r="G37" s="121">
        <f>RB!F40</f>
        <v>8.6999999999999993</v>
      </c>
      <c r="H37" s="139">
        <f>P!N40</f>
        <v>20.649895178197063</v>
      </c>
      <c r="I37" s="140">
        <f>RA!N40</f>
        <v>20.146904512067156</v>
      </c>
      <c r="J37" s="114">
        <f>RB!N40</f>
        <v>20.35676810073452</v>
      </c>
      <c r="K37" s="156">
        <f>P!Q40</f>
        <v>24.821802935010481</v>
      </c>
      <c r="L37" s="115">
        <f>RA!Q40</f>
        <v>25.362014690451208</v>
      </c>
      <c r="M37" s="114">
        <f>RB!Q40</f>
        <v>24.554039874081848</v>
      </c>
      <c r="O37" s="90"/>
      <c r="P37" s="90"/>
    </row>
    <row r="38" spans="1:16" x14ac:dyDescent="0.3">
      <c r="A38" s="79">
        <v>32</v>
      </c>
      <c r="B38" s="152">
        <f>P!E41</f>
        <v>2.52</v>
      </c>
      <c r="C38" s="118">
        <f>RA!E41</f>
        <v>4.96</v>
      </c>
      <c r="D38" s="83">
        <f>RB!E41</f>
        <v>5.28</v>
      </c>
      <c r="E38" s="154">
        <f>P!F41</f>
        <v>9.6</v>
      </c>
      <c r="F38" s="120">
        <f>RA!F41</f>
        <v>9.4</v>
      </c>
      <c r="G38" s="121">
        <f>RB!F41</f>
        <v>9.4</v>
      </c>
      <c r="H38" s="139">
        <f>P!N41</f>
        <v>19.032597266035754</v>
      </c>
      <c r="I38" s="140">
        <f>RA!N41</f>
        <v>20.189274447949529</v>
      </c>
      <c r="J38" s="114">
        <f>RB!N41</f>
        <v>19.077568134171905</v>
      </c>
      <c r="K38" s="156">
        <f>P!Q41</f>
        <v>25.667718191377499</v>
      </c>
      <c r="L38" s="115">
        <f>RA!Q41</f>
        <v>24.900105152471085</v>
      </c>
      <c r="M38" s="114">
        <f>RB!Q41</f>
        <v>25.639412997903563</v>
      </c>
      <c r="O38" s="90"/>
      <c r="P38" s="90"/>
    </row>
    <row r="39" spans="1:16" x14ac:dyDescent="0.3">
      <c r="A39" s="79">
        <v>33</v>
      </c>
      <c r="B39" s="152">
        <f>P!E42</f>
        <v>2.98</v>
      </c>
      <c r="C39" s="118">
        <f>RA!E42</f>
        <v>3.98</v>
      </c>
      <c r="D39" s="83">
        <f>RB!E42</f>
        <v>3.46</v>
      </c>
      <c r="E39" s="154">
        <f>P!F42</f>
        <v>9.3000000000000007</v>
      </c>
      <c r="F39" s="120">
        <f>RA!F42</f>
        <v>9.5</v>
      </c>
      <c r="G39" s="121">
        <f>RB!F42</f>
        <v>9.5</v>
      </c>
      <c r="H39" s="139">
        <f>P!N42</f>
        <v>20.707596253902185</v>
      </c>
      <c r="I39" s="140">
        <f>RA!N42</f>
        <v>20.560747663551403</v>
      </c>
      <c r="J39" s="114">
        <f>RB!N42</f>
        <v>21.761658031088082</v>
      </c>
      <c r="K39" s="156">
        <f>P!Q42</f>
        <v>24.880332986472425</v>
      </c>
      <c r="L39" s="115">
        <f>RA!Q42</f>
        <v>24.849428868120459</v>
      </c>
      <c r="M39" s="114">
        <f>RB!Q42</f>
        <v>24.269430051813472</v>
      </c>
      <c r="O39" s="90"/>
      <c r="P39" s="90"/>
    </row>
    <row r="40" spans="1:16" x14ac:dyDescent="0.3">
      <c r="A40" s="79">
        <v>34</v>
      </c>
      <c r="B40" s="152">
        <f>P!E43</f>
        <v>2.56</v>
      </c>
      <c r="C40" s="118">
        <f>RA!E43</f>
        <v>5.32</v>
      </c>
      <c r="D40" s="83">
        <f>RB!E43</f>
        <v>4.8600000000000003</v>
      </c>
      <c r="E40" s="154">
        <f>P!F43</f>
        <v>9.3000000000000007</v>
      </c>
      <c r="F40" s="120">
        <f>RA!F43</f>
        <v>9.4</v>
      </c>
      <c r="G40" s="121">
        <f>RB!F43</f>
        <v>9</v>
      </c>
      <c r="H40" s="139">
        <f>P!N43</f>
        <v>18.448637316561847</v>
      </c>
      <c r="I40" s="140">
        <f>RA!N43</f>
        <v>19.287211740041926</v>
      </c>
      <c r="J40" s="114">
        <f>RB!N43</f>
        <v>19.202518363064009</v>
      </c>
      <c r="K40" s="156">
        <f>P!Q43</f>
        <v>25.628930817610062</v>
      </c>
      <c r="L40" s="115">
        <f>RA!Q43</f>
        <v>25.136268343815512</v>
      </c>
      <c r="M40" s="114">
        <f>RB!Q43</f>
        <v>25.540398740818468</v>
      </c>
      <c r="O40" s="90"/>
      <c r="P40" s="90"/>
    </row>
    <row r="41" spans="1:16" x14ac:dyDescent="0.3">
      <c r="A41" s="79">
        <v>35</v>
      </c>
      <c r="B41" s="152">
        <f>P!E44</f>
        <v>2.12</v>
      </c>
      <c r="C41" s="118">
        <f>RA!E44</f>
        <v>4.22</v>
      </c>
      <c r="D41" s="83">
        <f>RB!E44</f>
        <v>3.76</v>
      </c>
      <c r="E41" s="154">
        <f>P!F44</f>
        <v>8.4</v>
      </c>
      <c r="F41" s="120">
        <f>RA!F44</f>
        <v>9</v>
      </c>
      <c r="G41" s="121">
        <f>RB!F44</f>
        <v>8.9</v>
      </c>
      <c r="H41" s="139">
        <f>P!N44</f>
        <v>20.146904512067156</v>
      </c>
      <c r="I41" s="140">
        <f>RA!N44</f>
        <v>19.853709508881924</v>
      </c>
      <c r="J41" s="114">
        <f>RB!N44</f>
        <v>19.853709508881924</v>
      </c>
      <c r="K41" s="156">
        <f>P!Q44</f>
        <v>25.27806925498426</v>
      </c>
      <c r="L41" s="115">
        <f>RA!Q44</f>
        <v>24.858934169278996</v>
      </c>
      <c r="M41" s="114">
        <f>RB!Q44</f>
        <v>25.120167189132705</v>
      </c>
      <c r="O41" s="90"/>
      <c r="P41" s="90"/>
    </row>
    <row r="42" spans="1:16" x14ac:dyDescent="0.3">
      <c r="A42" s="79">
        <v>36</v>
      </c>
      <c r="B42" s="152">
        <f>P!E45</f>
        <v>4.4800000000000004</v>
      </c>
      <c r="C42" s="118">
        <f>RA!E45</f>
        <v>6.08</v>
      </c>
      <c r="D42" s="83">
        <f>RB!E45</f>
        <v>5.22</v>
      </c>
      <c r="E42" s="154">
        <f>P!F45</f>
        <v>8.8000000000000007</v>
      </c>
      <c r="F42" s="120">
        <f>RA!F45</f>
        <v>8.6999999999999993</v>
      </c>
      <c r="G42" s="121">
        <f>RB!F45</f>
        <v>8.8000000000000007</v>
      </c>
      <c r="H42" s="139">
        <f>P!N45</f>
        <v>20.083682008368203</v>
      </c>
      <c r="I42" s="140">
        <f>RA!N45</f>
        <v>19.791666666666668</v>
      </c>
      <c r="J42" s="114">
        <f>RB!N45</f>
        <v>19.226750261233018</v>
      </c>
      <c r="K42" s="156">
        <f>P!Q45</f>
        <v>24.822175732217573</v>
      </c>
      <c r="L42" s="115">
        <f>RA!Q45</f>
        <v>24.84375</v>
      </c>
      <c r="M42" s="114">
        <f>RB!Q45</f>
        <v>25.402298850574713</v>
      </c>
      <c r="O42" s="90"/>
      <c r="P42" s="90"/>
    </row>
    <row r="43" spans="1:16" x14ac:dyDescent="0.3">
      <c r="A43" s="79">
        <v>37</v>
      </c>
      <c r="B43" s="152">
        <f>P!E46</f>
        <v>2.06</v>
      </c>
      <c r="C43" s="118">
        <f>RA!E46</f>
        <v>3.12</v>
      </c>
      <c r="D43" s="83">
        <f>RB!E46</f>
        <v>4.0999999999999996</v>
      </c>
      <c r="E43" s="154">
        <f>P!F46</f>
        <v>9</v>
      </c>
      <c r="F43" s="120">
        <f>RA!F46</f>
        <v>9.6</v>
      </c>
      <c r="G43" s="121">
        <f>RB!F46</f>
        <v>9.6</v>
      </c>
      <c r="H43" s="139">
        <f>P!N46</f>
        <v>22.014537902388369</v>
      </c>
      <c r="I43" s="140">
        <f>RA!N46</f>
        <v>20.124481327800826</v>
      </c>
      <c r="J43" s="114">
        <f>RB!N46</f>
        <v>19.937694704049846</v>
      </c>
      <c r="K43" s="156">
        <f>P!Q46</f>
        <v>24.485981308411215</v>
      </c>
      <c r="L43" s="115">
        <f>RA!Q46</f>
        <v>25.207468879668049</v>
      </c>
      <c r="M43" s="114">
        <f>RB!Q46</f>
        <v>25.181723779854622</v>
      </c>
      <c r="O43" s="90"/>
      <c r="P43" s="90"/>
    </row>
    <row r="44" spans="1:16" x14ac:dyDescent="0.3">
      <c r="A44" s="79">
        <v>38</v>
      </c>
      <c r="B44" s="152">
        <f>P!E47</f>
        <v>2.72</v>
      </c>
      <c r="C44" s="118">
        <f>RA!E47</f>
        <v>5.7</v>
      </c>
      <c r="D44" s="83">
        <f>RB!E47</f>
        <v>5.24</v>
      </c>
      <c r="E44" s="154">
        <f>P!F47</f>
        <v>8.9</v>
      </c>
      <c r="F44" s="120">
        <f>RA!F47</f>
        <v>8.8000000000000007</v>
      </c>
      <c r="G44" s="121">
        <f>RB!F47</f>
        <v>8.5</v>
      </c>
      <c r="H44" s="139">
        <f>P!N47</f>
        <v>21.540062434963581</v>
      </c>
      <c r="I44" s="140">
        <f>RA!N47</f>
        <v>20.249221183800625</v>
      </c>
      <c r="J44" s="114">
        <f>RB!N47</f>
        <v>21.852237252861602</v>
      </c>
      <c r="K44" s="156">
        <f>P!Q47</f>
        <v>24.5369406867846</v>
      </c>
      <c r="L44" s="115">
        <f>RA!Q47</f>
        <v>24.922118380062305</v>
      </c>
      <c r="M44" s="114">
        <f>RB!Q47</f>
        <v>25.431841831425601</v>
      </c>
      <c r="O44" s="90"/>
      <c r="P44" s="90"/>
    </row>
    <row r="45" spans="1:16" x14ac:dyDescent="0.3">
      <c r="A45" s="79">
        <v>39</v>
      </c>
      <c r="B45" s="152">
        <f>P!E48</f>
        <v>3.26</v>
      </c>
      <c r="C45" s="118">
        <f>RA!E48</f>
        <v>4.42</v>
      </c>
      <c r="D45" s="83">
        <f>RB!E48</f>
        <v>4.0999999999999996</v>
      </c>
      <c r="E45" s="154">
        <f>P!F48</f>
        <v>8.6</v>
      </c>
      <c r="F45" s="120">
        <f>RA!F48</f>
        <v>8.9</v>
      </c>
      <c r="G45" s="121">
        <f>RB!F48</f>
        <v>9</v>
      </c>
      <c r="H45" s="139">
        <f>P!N48</f>
        <v>20.732984293193716</v>
      </c>
      <c r="I45" s="140">
        <f>RA!N48</f>
        <v>20.310880829015545</v>
      </c>
      <c r="J45" s="114">
        <f>RB!N48</f>
        <v>20.27027027027027</v>
      </c>
      <c r="K45" s="156">
        <f>P!Q48</f>
        <v>25.026178010471206</v>
      </c>
      <c r="L45" s="115">
        <f>RA!Q48</f>
        <v>24.569948186528496</v>
      </c>
      <c r="M45" s="114">
        <f>RB!Q48</f>
        <v>24.792099792099791</v>
      </c>
      <c r="O45" s="90"/>
      <c r="P45" s="90"/>
    </row>
    <row r="46" spans="1:16" ht="15" thickBot="1" x14ac:dyDescent="0.35">
      <c r="A46" s="80">
        <v>40</v>
      </c>
      <c r="B46" s="291">
        <f>P!E49</f>
        <v>3.36</v>
      </c>
      <c r="C46" s="132">
        <f>RA!E49</f>
        <v>5.66</v>
      </c>
      <c r="D46" s="133">
        <f>RB!E49</f>
        <v>5.0199999999999996</v>
      </c>
      <c r="E46" s="292">
        <f>P!F49</f>
        <v>9.6</v>
      </c>
      <c r="F46" s="134">
        <f>RA!F49</f>
        <v>8.5</v>
      </c>
      <c r="G46" s="293">
        <f>RB!F49</f>
        <v>9.6999999999999993</v>
      </c>
      <c r="H46" s="142">
        <f>P!N49</f>
        <v>19.95841995841996</v>
      </c>
      <c r="I46" s="294">
        <f>RA!N49</f>
        <v>20.915712799167537</v>
      </c>
      <c r="J46" s="295">
        <f>RB!N49</f>
        <v>20.937500000000004</v>
      </c>
      <c r="K46" s="257">
        <f>P!Q49</f>
        <v>24.563409563409564</v>
      </c>
      <c r="L46" s="296">
        <f>RA!Q49</f>
        <v>24.932362122788764</v>
      </c>
      <c r="M46" s="295">
        <f>RB!Q49</f>
        <v>24.75</v>
      </c>
      <c r="O46" s="90"/>
      <c r="P46" s="90"/>
    </row>
    <row r="47" spans="1:16" x14ac:dyDescent="0.3">
      <c r="E47" s="289"/>
      <c r="H47" s="289"/>
      <c r="K47" s="290"/>
    </row>
    <row r="48" spans="1:16" x14ac:dyDescent="0.3">
      <c r="E48" s="90"/>
      <c r="H48" s="91"/>
      <c r="K48" s="90"/>
    </row>
  </sheetData>
  <sheetProtection algorithmName="SHA-512" hashValue="HNKR0iaXsXCtw0G5bClVEKZHw5f9u33w1eGfWX9nUIgPEB3pIrfl8q3S+3QVHesLrlFJRSJ2zd/E4ugnFEVE0g==" saltValue="1jAQKDYAyiSXxOGE6A0Rxw==" spinCount="100000" sheet="1" objects="1" scenarios="1"/>
  <mergeCells count="6">
    <mergeCell ref="A1:U2"/>
    <mergeCell ref="B5:D5"/>
    <mergeCell ref="E5:G5"/>
    <mergeCell ref="H5:J5"/>
    <mergeCell ref="K5:M5"/>
    <mergeCell ref="C4:D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4:K48"/>
  <sheetViews>
    <sheetView workbookViewId="0">
      <selection activeCell="F8" sqref="F8"/>
    </sheetView>
  </sheetViews>
  <sheetFormatPr defaultRowHeight="14.4" x14ac:dyDescent="0.3"/>
  <cols>
    <col min="2" max="2" width="10.6640625" customWidth="1"/>
    <col min="3" max="3" width="11.33203125" customWidth="1"/>
    <col min="4" max="4" width="11.6640625" customWidth="1"/>
    <col min="5" max="5" width="11.109375" customWidth="1"/>
    <col min="6" max="6" width="12.5546875" customWidth="1"/>
    <col min="7" max="7" width="11.6640625" customWidth="1"/>
  </cols>
  <sheetData>
    <row r="4" spans="1:11" ht="15" thickBot="1" x14ac:dyDescent="0.35"/>
    <row r="5" spans="1:11" ht="15" thickBot="1" x14ac:dyDescent="0.35">
      <c r="B5" s="340" t="s">
        <v>36</v>
      </c>
      <c r="C5" s="341"/>
      <c r="D5" s="342"/>
      <c r="E5" s="341" t="s">
        <v>35</v>
      </c>
      <c r="F5" s="341"/>
      <c r="G5" s="342"/>
    </row>
    <row r="6" spans="1:11" ht="15" thickBot="1" x14ac:dyDescent="0.35">
      <c r="A6" s="10" t="s">
        <v>4</v>
      </c>
      <c r="B6" s="12" t="s">
        <v>30</v>
      </c>
      <c r="C6" s="12" t="s">
        <v>31</v>
      </c>
      <c r="D6" s="12" t="s">
        <v>29</v>
      </c>
      <c r="E6" s="12" t="s">
        <v>32</v>
      </c>
      <c r="F6" s="12" t="s">
        <v>33</v>
      </c>
      <c r="G6" s="12" t="s">
        <v>34</v>
      </c>
    </row>
    <row r="7" spans="1:11" x14ac:dyDescent="0.3">
      <c r="A7" s="34">
        <f>'Raw Data'!A7</f>
        <v>1</v>
      </c>
      <c r="B7" s="6">
        <f>'Raw Data'!C7</f>
        <v>6.82</v>
      </c>
      <c r="C7" s="6">
        <f>'Raw Data'!D7</f>
        <v>7</v>
      </c>
      <c r="D7" s="145">
        <f>SUM(B7:C7)</f>
        <v>13.82</v>
      </c>
      <c r="E7" s="147">
        <f>ROUND((B7/D7*'Raw Data'!F7)+(C7/D7*'Raw Data'!G7),2)</f>
        <v>9.0399999999999991</v>
      </c>
      <c r="F7" s="147">
        <f>ROUND((B7/D7*'Raw Data'!I7)+(C7/D7*'Raw Data'!J7),2)</f>
        <v>18.89</v>
      </c>
      <c r="G7" s="148">
        <f>ROUND((B7/D7*'Raw Data'!L7)+('Weighted Average'!C7/'Weighted Average'!D7*'Raw Data'!M7),2)</f>
        <v>25.45</v>
      </c>
      <c r="H7" s="90"/>
      <c r="I7" s="90"/>
      <c r="J7" s="90"/>
      <c r="K7" s="90"/>
    </row>
    <row r="8" spans="1:11" x14ac:dyDescent="0.3">
      <c r="A8" s="34">
        <f>'Raw Data'!A8</f>
        <v>2</v>
      </c>
      <c r="B8" s="2">
        <f>'Raw Data'!C8</f>
        <v>5.74</v>
      </c>
      <c r="C8" s="2">
        <f>'Raw Data'!D8</f>
        <v>5.36</v>
      </c>
      <c r="D8" s="145">
        <f t="shared" ref="D8:D46" si="0">SUM(B8:C8)</f>
        <v>11.100000000000001</v>
      </c>
      <c r="E8" s="94">
        <f>ROUND((B8/D8*'Raw Data'!F8)+(C8/D8*'Raw Data'!G8),2)</f>
        <v>8.81</v>
      </c>
      <c r="F8" s="94">
        <f>ROUND((B8/D8*'Raw Data'!I8)+(C8/D8*'Raw Data'!J8),2)</f>
        <v>18.45</v>
      </c>
      <c r="G8" s="88">
        <f>ROUND((B8/D8*'Raw Data'!L8)+('Weighted Average'!C8/'Weighted Average'!D8*'Raw Data'!M8),2)</f>
        <v>25.24</v>
      </c>
      <c r="H8" s="90"/>
      <c r="I8" s="90"/>
      <c r="J8" s="90"/>
      <c r="K8" s="90"/>
    </row>
    <row r="9" spans="1:11" x14ac:dyDescent="0.3">
      <c r="A9" s="34">
        <f>'Raw Data'!A9</f>
        <v>3</v>
      </c>
      <c r="B9" s="2">
        <f>'Raw Data'!C9</f>
        <v>7.14</v>
      </c>
      <c r="C9" s="2">
        <f>'Raw Data'!D9</f>
        <v>5.36</v>
      </c>
      <c r="D9" s="145">
        <f t="shared" si="0"/>
        <v>12.5</v>
      </c>
      <c r="E9" s="86">
        <f>ROUND((B9/D9*'Raw Data'!F9)+(C9/D9*'Raw Data'!G9),2)</f>
        <v>8.77</v>
      </c>
      <c r="F9" s="86">
        <f>ROUND((B9/D9*'Raw Data'!I9)+(C9/D9*'Raw Data'!J9),2)</f>
        <v>16.39</v>
      </c>
      <c r="G9" s="87">
        <f>ROUND((B9/D9*'Raw Data'!L9)+('Weighted Average'!C9/'Weighted Average'!D9*'Raw Data'!M9),2)</f>
        <v>26.51</v>
      </c>
      <c r="H9" s="90"/>
      <c r="I9" s="90"/>
      <c r="J9" s="90"/>
      <c r="K9" s="90"/>
    </row>
    <row r="10" spans="1:11" x14ac:dyDescent="0.3">
      <c r="A10" s="34">
        <f>'Raw Data'!A10</f>
        <v>4</v>
      </c>
      <c r="B10" s="2">
        <f>'Raw Data'!C10</f>
        <v>4.74</v>
      </c>
      <c r="C10" s="2">
        <f>'Raw Data'!D10</f>
        <v>3.9</v>
      </c>
      <c r="D10" s="145">
        <f t="shared" si="0"/>
        <v>8.64</v>
      </c>
      <c r="E10" s="94">
        <f>ROUND((B10/D10*'Raw Data'!F10)+(C10/D10*'Raw Data'!G10),2)</f>
        <v>8.73</v>
      </c>
      <c r="F10" s="94">
        <f>ROUND((B10/D10*'Raw Data'!I10)+(C10/D10*'Raw Data'!J10),2)</f>
        <v>19.149999999999999</v>
      </c>
      <c r="G10" s="88">
        <f>ROUND((B10/D10*'Raw Data'!L10)+('Weighted Average'!C10/'Weighted Average'!D10*'Raw Data'!M10),2)</f>
        <v>25.62</v>
      </c>
      <c r="H10" s="90"/>
      <c r="I10" s="90"/>
      <c r="J10" s="90"/>
      <c r="K10" s="90"/>
    </row>
    <row r="11" spans="1:11" x14ac:dyDescent="0.3">
      <c r="A11" s="34">
        <f>'Raw Data'!A11</f>
        <v>5</v>
      </c>
      <c r="B11" s="2">
        <f>'Raw Data'!C11</f>
        <v>6.48</v>
      </c>
      <c r="C11" s="2">
        <f>'Raw Data'!D11</f>
        <v>4.92</v>
      </c>
      <c r="D11" s="145">
        <f t="shared" si="0"/>
        <v>11.4</v>
      </c>
      <c r="E11" s="86">
        <f>ROUND((B11/D11*'Raw Data'!F11)+(C11/D11*'Raw Data'!G11),2)</f>
        <v>8.7100000000000009</v>
      </c>
      <c r="F11" s="86">
        <f>ROUND((B11/D11*'Raw Data'!I11)+(C11/D11*'Raw Data'!J11),2)</f>
        <v>18.399999999999999</v>
      </c>
      <c r="G11" s="87">
        <f>ROUND((B11/D11*'Raw Data'!L11)+('Weighted Average'!C11/'Weighted Average'!D11*'Raw Data'!M11),2)</f>
        <v>25.6</v>
      </c>
      <c r="H11" s="90"/>
      <c r="I11" s="90"/>
      <c r="J11" s="90"/>
      <c r="K11" s="90"/>
    </row>
    <row r="12" spans="1:11" x14ac:dyDescent="0.3">
      <c r="A12" s="34">
        <f>'Raw Data'!A12</f>
        <v>6</v>
      </c>
      <c r="B12" s="2">
        <f>'Raw Data'!C12</f>
        <v>6.52</v>
      </c>
      <c r="C12" s="2">
        <f>'Raw Data'!D12</f>
        <v>6.08</v>
      </c>
      <c r="D12" s="145">
        <f t="shared" si="0"/>
        <v>12.6</v>
      </c>
      <c r="E12" s="94">
        <f>ROUND((B12/D12*'Raw Data'!F12)+(C12/D12*'Raw Data'!G12),2)</f>
        <v>8.4499999999999993</v>
      </c>
      <c r="F12" s="94">
        <f>ROUND((B12/D12*'Raw Data'!I12)+(C12/D12*'Raw Data'!J12),2)</f>
        <v>17.989999999999998</v>
      </c>
      <c r="G12" s="88">
        <f>ROUND((B12/D12*'Raw Data'!L12)+('Weighted Average'!C12/'Weighted Average'!D12*'Raw Data'!M12),2)</f>
        <v>25.57</v>
      </c>
      <c r="H12" s="90"/>
      <c r="I12" s="90"/>
      <c r="J12" s="90"/>
      <c r="K12" s="90"/>
    </row>
    <row r="13" spans="1:11" x14ac:dyDescent="0.3">
      <c r="A13" s="34">
        <f>'Raw Data'!A13</f>
        <v>7</v>
      </c>
      <c r="B13" s="2">
        <f>'Raw Data'!C13</f>
        <v>5.42</v>
      </c>
      <c r="C13" s="2">
        <f>'Raw Data'!D13</f>
        <v>4.6399999999999997</v>
      </c>
      <c r="D13" s="145">
        <f t="shared" si="0"/>
        <v>10.059999999999999</v>
      </c>
      <c r="E13" s="86">
        <f>ROUND((B13/D13*'Raw Data'!F13)+(C13/D13*'Raw Data'!G13),2)</f>
        <v>8.74</v>
      </c>
      <c r="F13" s="86">
        <f>ROUND((B13/D13*'Raw Data'!I13)+(C13/D13*'Raw Data'!J13),2)</f>
        <v>20.010000000000002</v>
      </c>
      <c r="G13" s="87">
        <f>ROUND((B13/D13*'Raw Data'!L13)+('Weighted Average'!C13/'Weighted Average'!D13*'Raw Data'!M13),2)</f>
        <v>25.08</v>
      </c>
      <c r="H13" s="90"/>
      <c r="I13" s="90"/>
      <c r="J13" s="90"/>
      <c r="K13" s="90"/>
    </row>
    <row r="14" spans="1:11" x14ac:dyDescent="0.3">
      <c r="A14" s="34">
        <f>'Raw Data'!A14</f>
        <v>8</v>
      </c>
      <c r="B14" s="2">
        <f>'Raw Data'!C14</f>
        <v>7</v>
      </c>
      <c r="C14" s="2">
        <f>'Raw Data'!D14</f>
        <v>6.78</v>
      </c>
      <c r="D14" s="145">
        <f t="shared" si="0"/>
        <v>13.780000000000001</v>
      </c>
      <c r="E14" s="94">
        <f>ROUND((B14/D14*'Raw Data'!F14)+(C14/D14*'Raw Data'!G14),2)</f>
        <v>8.6</v>
      </c>
      <c r="F14" s="94">
        <f>ROUND((B14/D14*'Raw Data'!I14)+(C14/D14*'Raw Data'!J14),2)</f>
        <v>19.32</v>
      </c>
      <c r="G14" s="88">
        <f>ROUND((B14/D14*'Raw Data'!L14)+('Weighted Average'!C14/'Weighted Average'!D14*'Raw Data'!M14),2)</f>
        <v>24.7</v>
      </c>
      <c r="H14" s="90"/>
      <c r="I14" s="90"/>
      <c r="J14" s="90"/>
      <c r="K14" s="90"/>
    </row>
    <row r="15" spans="1:11" x14ac:dyDescent="0.3">
      <c r="A15" s="34">
        <f>'Raw Data'!A15</f>
        <v>9</v>
      </c>
      <c r="B15" s="2">
        <f>'Raw Data'!C15</f>
        <v>4.82</v>
      </c>
      <c r="C15" s="2">
        <f>'Raw Data'!D15</f>
        <v>4.54</v>
      </c>
      <c r="D15" s="145">
        <f t="shared" si="0"/>
        <v>9.36</v>
      </c>
      <c r="E15" s="86">
        <f>ROUND((B15/D15*'Raw Data'!F15)+(C15/D15*'Raw Data'!G15),2)</f>
        <v>8.65</v>
      </c>
      <c r="F15" s="86">
        <f>ROUND((B15/D15*'Raw Data'!I15)+(C15/D15*'Raw Data'!J15),2)</f>
        <v>18.48</v>
      </c>
      <c r="G15" s="87">
        <f>ROUND((B15/D15*'Raw Data'!L15)+('Weighted Average'!C15/'Weighted Average'!D15*'Raw Data'!M15),2)</f>
        <v>25.6</v>
      </c>
      <c r="H15" s="90"/>
      <c r="I15" s="90"/>
      <c r="J15" s="90"/>
      <c r="K15" s="90"/>
    </row>
    <row r="16" spans="1:11" x14ac:dyDescent="0.3">
      <c r="A16" s="34">
        <f>'Raw Data'!A16</f>
        <v>10</v>
      </c>
      <c r="B16" s="2">
        <f>'Raw Data'!C16</f>
        <v>6.98</v>
      </c>
      <c r="C16" s="2">
        <f>'Raw Data'!D16</f>
        <v>6.72</v>
      </c>
      <c r="D16" s="145">
        <f t="shared" si="0"/>
        <v>13.7</v>
      </c>
      <c r="E16" s="94">
        <f>ROUND((B16/D16*'Raw Data'!F16)+(C16/D16*'Raw Data'!G16),2)</f>
        <v>8.6999999999999993</v>
      </c>
      <c r="F16" s="94">
        <f>ROUND((B16/D16*'Raw Data'!I16)+(C16/D16*'Raw Data'!J16),2)</f>
        <v>19.48</v>
      </c>
      <c r="G16" s="88">
        <f>ROUND((B16/D16*'Raw Data'!L16)+('Weighted Average'!C16/'Weighted Average'!D16*'Raw Data'!M16),2)</f>
        <v>25.08</v>
      </c>
      <c r="H16" s="90"/>
      <c r="I16" s="90"/>
      <c r="J16" s="90"/>
      <c r="K16" s="90"/>
    </row>
    <row r="17" spans="1:11" x14ac:dyDescent="0.3">
      <c r="A17" s="34">
        <f>'Raw Data'!A17</f>
        <v>11</v>
      </c>
      <c r="B17" s="2">
        <f>'Raw Data'!C17</f>
        <v>4.24</v>
      </c>
      <c r="C17" s="2">
        <f>'Raw Data'!D17</f>
        <v>3.82</v>
      </c>
      <c r="D17" s="145">
        <f t="shared" si="0"/>
        <v>8.06</v>
      </c>
      <c r="E17" s="86">
        <f>ROUND((B17/D17*'Raw Data'!F17)+(C17/D17*'Raw Data'!G17),2)</f>
        <v>8.85</v>
      </c>
      <c r="F17" s="86">
        <f>ROUND((B17/D17*'Raw Data'!I17)+(C17/D17*'Raw Data'!J17),2)</f>
        <v>19.920000000000002</v>
      </c>
      <c r="G17" s="87">
        <f>ROUND((B17/D17*'Raw Data'!L17)+('Weighted Average'!C17/'Weighted Average'!D17*'Raw Data'!M17),2)</f>
        <v>24.89</v>
      </c>
      <c r="H17" s="90"/>
      <c r="I17" s="90"/>
      <c r="J17" s="90"/>
      <c r="K17" s="90"/>
    </row>
    <row r="18" spans="1:11" x14ac:dyDescent="0.3">
      <c r="A18" s="34">
        <f>'Raw Data'!A18</f>
        <v>12</v>
      </c>
      <c r="B18" s="2">
        <f>'Raw Data'!C18</f>
        <v>5.74</v>
      </c>
      <c r="C18" s="2">
        <f>'Raw Data'!D18</f>
        <v>5</v>
      </c>
      <c r="D18" s="145">
        <f t="shared" si="0"/>
        <v>10.74</v>
      </c>
      <c r="E18" s="94">
        <f>ROUND((B18/D18*'Raw Data'!F18)+(C18/D18*'Raw Data'!G18),2)</f>
        <v>8.8000000000000007</v>
      </c>
      <c r="F18" s="94">
        <f>ROUND((B18/D18*'Raw Data'!I18)+(C18/D18*'Raw Data'!J18),2)</f>
        <v>18.39</v>
      </c>
      <c r="G18" s="88">
        <f>ROUND((B18/D18*'Raw Data'!L18)+('Weighted Average'!C18/'Weighted Average'!D18*'Raw Data'!M18),2)</f>
        <v>25.73</v>
      </c>
      <c r="H18" s="90"/>
      <c r="I18" s="90"/>
      <c r="J18" s="90"/>
      <c r="K18" s="90"/>
    </row>
    <row r="19" spans="1:11" x14ac:dyDescent="0.3">
      <c r="A19" s="34">
        <f>'Raw Data'!A19</f>
        <v>13</v>
      </c>
      <c r="B19" s="2">
        <f>'Raw Data'!C19</f>
        <v>5.04</v>
      </c>
      <c r="C19" s="85">
        <f>'Raw Data'!D19</f>
        <v>3.92</v>
      </c>
      <c r="D19" s="145">
        <f t="shared" si="0"/>
        <v>8.9600000000000009</v>
      </c>
      <c r="E19" s="86">
        <f>ROUND((B19/D19*'Raw Data'!F19)+(C19/D19*'Raw Data'!G19),2)</f>
        <v>8.4</v>
      </c>
      <c r="F19" s="86">
        <f>ROUND((B19/D19*'Raw Data'!I19)+(C19/D19*'Raw Data'!J19),2)</f>
        <v>19.59</v>
      </c>
      <c r="G19" s="87">
        <f>ROUND((B19/D19*'Raw Data'!L19)+('Weighted Average'!C19/'Weighted Average'!D19*'Raw Data'!M19),2)</f>
        <v>25.56</v>
      </c>
      <c r="H19" s="90"/>
      <c r="I19" s="90"/>
      <c r="J19" s="90"/>
      <c r="K19" s="90"/>
    </row>
    <row r="20" spans="1:11" x14ac:dyDescent="0.3">
      <c r="A20" s="34">
        <f>'Raw Data'!A20</f>
        <v>14</v>
      </c>
      <c r="B20" s="2">
        <f>'Raw Data'!C20</f>
        <v>5.5</v>
      </c>
      <c r="C20" s="2">
        <f>'Raw Data'!D20</f>
        <v>5.42</v>
      </c>
      <c r="D20" s="145">
        <f t="shared" si="0"/>
        <v>10.92</v>
      </c>
      <c r="E20" s="94">
        <f>ROUND((B20/D20*'Raw Data'!F20)+(C20/D20*'Raw Data'!G20),2)</f>
        <v>8.9499999999999993</v>
      </c>
      <c r="F20" s="94">
        <f>ROUND((B20/D20*'Raw Data'!I20)+(C20/D20*'Raw Data'!J20),2)</f>
        <v>19.53</v>
      </c>
      <c r="G20" s="88">
        <f>ROUND((B20/D20*'Raw Data'!L20)+('Weighted Average'!C20/'Weighted Average'!D20*'Raw Data'!M20),2)</f>
        <v>25.28</v>
      </c>
      <c r="H20" s="90"/>
      <c r="I20" s="90"/>
      <c r="J20" s="90"/>
      <c r="K20" s="90"/>
    </row>
    <row r="21" spans="1:11" x14ac:dyDescent="0.3">
      <c r="A21" s="34">
        <f>'Raw Data'!A21</f>
        <v>15</v>
      </c>
      <c r="B21" s="2">
        <f>'Raw Data'!C21</f>
        <v>4.26</v>
      </c>
      <c r="C21" s="2">
        <f>'Raw Data'!D21</f>
        <v>4.5199999999999996</v>
      </c>
      <c r="D21" s="145">
        <f t="shared" si="0"/>
        <v>8.7799999999999994</v>
      </c>
      <c r="E21" s="86">
        <f>ROUND((B21/D21*'Raw Data'!F21)+(C21/D21*'Raw Data'!G21),2)</f>
        <v>9.49</v>
      </c>
      <c r="F21" s="86">
        <f>ROUND((B21/D21*'Raw Data'!I21)+(C21/D21*'Raw Data'!J21),2)</f>
        <v>21.08</v>
      </c>
      <c r="G21" s="87">
        <f>ROUND((B21/D21*'Raw Data'!L21)+('Weighted Average'!C21/'Weighted Average'!D21*'Raw Data'!M21),2)</f>
        <v>24.75</v>
      </c>
      <c r="H21" s="90"/>
      <c r="I21" s="90"/>
      <c r="J21" s="90"/>
      <c r="K21" s="90"/>
    </row>
    <row r="22" spans="1:11" x14ac:dyDescent="0.3">
      <c r="A22" s="34">
        <f>'Raw Data'!A22</f>
        <v>16</v>
      </c>
      <c r="B22" s="2">
        <f>'Raw Data'!C22</f>
        <v>5.98</v>
      </c>
      <c r="C22" s="2">
        <f>'Raw Data'!D22</f>
        <v>5.92</v>
      </c>
      <c r="D22" s="145">
        <f t="shared" si="0"/>
        <v>11.9</v>
      </c>
      <c r="E22" s="94">
        <f>ROUND((B22/D22*'Raw Data'!F22)+(C22/D22*'Raw Data'!G22),2)</f>
        <v>8.9499999999999993</v>
      </c>
      <c r="F22" s="94">
        <f>ROUND((B22/D22*'Raw Data'!I22)+(C22/D22*'Raw Data'!J22),2)</f>
        <v>19.190000000000001</v>
      </c>
      <c r="G22" s="88">
        <f>ROUND((B22/D22*'Raw Data'!L22)+('Weighted Average'!C22/'Weighted Average'!D22*'Raw Data'!M22),2)</f>
        <v>25.33</v>
      </c>
      <c r="H22" s="90"/>
      <c r="I22" s="90"/>
      <c r="J22" s="90"/>
      <c r="K22" s="90"/>
    </row>
    <row r="23" spans="1:11" x14ac:dyDescent="0.3">
      <c r="A23" s="34">
        <f>'Raw Data'!A23</f>
        <v>17</v>
      </c>
      <c r="B23" s="2">
        <f>'Raw Data'!C23</f>
        <v>5.7</v>
      </c>
      <c r="C23" s="3">
        <f>'Raw Data'!D23</f>
        <v>4.3600000000000003</v>
      </c>
      <c r="D23" s="145">
        <f t="shared" si="0"/>
        <v>10.06</v>
      </c>
      <c r="E23" s="86">
        <f>ROUND((B23/D23*'Raw Data'!F23)+(C23/D23*'Raw Data'!G23),2)</f>
        <v>9.06</v>
      </c>
      <c r="F23" s="86">
        <f>ROUND((B23/D23*'Raw Data'!I23)+(C23/D23*'Raw Data'!J23),2)</f>
        <v>20.51</v>
      </c>
      <c r="G23" s="87">
        <f>ROUND((B23/D23*'Raw Data'!L23)+('Weighted Average'!C23/'Weighted Average'!D23*'Raw Data'!M23),2)</f>
        <v>24.6</v>
      </c>
      <c r="H23" s="90"/>
      <c r="I23" s="90"/>
      <c r="J23" s="90"/>
      <c r="K23" s="90"/>
    </row>
    <row r="24" spans="1:11" x14ac:dyDescent="0.3">
      <c r="A24" s="34">
        <f>'Raw Data'!A24</f>
        <v>18</v>
      </c>
      <c r="B24" s="3">
        <f>'Raw Data'!C24</f>
        <v>5.0999999999999996</v>
      </c>
      <c r="C24" s="2">
        <f>'Raw Data'!D24</f>
        <v>4.8</v>
      </c>
      <c r="D24" s="145">
        <f t="shared" si="0"/>
        <v>9.8999999999999986</v>
      </c>
      <c r="E24" s="94">
        <f>ROUND((B24/D24*'Raw Data'!F24)+(C24/D24*'Raw Data'!G24),2)</f>
        <v>8.59</v>
      </c>
      <c r="F24" s="94">
        <f>ROUND((B24/D24*'Raw Data'!I24)+(C24/D24*'Raw Data'!J24),2)</f>
        <v>20.010000000000002</v>
      </c>
      <c r="G24" s="88">
        <f>ROUND((B24/D24*'Raw Data'!L24)+('Weighted Average'!C24/'Weighted Average'!D24*'Raw Data'!M24),2)</f>
        <v>25.06</v>
      </c>
      <c r="H24" s="90"/>
      <c r="I24" s="90"/>
      <c r="J24" s="90"/>
      <c r="K24" s="90"/>
    </row>
    <row r="25" spans="1:11" x14ac:dyDescent="0.3">
      <c r="A25" s="34">
        <f>'Raw Data'!A25</f>
        <v>19</v>
      </c>
      <c r="B25" s="2">
        <f>'Raw Data'!C25</f>
        <v>4.62</v>
      </c>
      <c r="C25" s="2">
        <f>'Raw Data'!D25</f>
        <v>4.1399999999999997</v>
      </c>
      <c r="D25" s="145">
        <f t="shared" si="0"/>
        <v>8.76</v>
      </c>
      <c r="E25" s="86">
        <f>ROUND((B25/D25*'Raw Data'!F25)+(C25/D25*'Raw Data'!G25),2)</f>
        <v>9.27</v>
      </c>
      <c r="F25" s="86">
        <f>ROUND((B25/D25*'Raw Data'!I25)+(C25/D25*'Raw Data'!J25),2)</f>
        <v>19.41</v>
      </c>
      <c r="G25" s="87">
        <f>ROUND((B25/D25*'Raw Data'!L25)+('Weighted Average'!C25/'Weighted Average'!D25*'Raw Data'!M25),2)</f>
        <v>24.81</v>
      </c>
      <c r="H25" s="90"/>
      <c r="I25" s="90"/>
      <c r="J25" s="90"/>
      <c r="K25" s="90"/>
    </row>
    <row r="26" spans="1:11" x14ac:dyDescent="0.3">
      <c r="A26" s="34">
        <f>'Raw Data'!A26</f>
        <v>20</v>
      </c>
      <c r="B26" s="2">
        <f>'Raw Data'!C26</f>
        <v>6.24</v>
      </c>
      <c r="C26" s="2">
        <f>'Raw Data'!D26</f>
        <v>6.28</v>
      </c>
      <c r="D26" s="145">
        <f t="shared" si="0"/>
        <v>12.52</v>
      </c>
      <c r="E26" s="94">
        <f>ROUND((B26/D26*'Raw Data'!F26)+(C26/D26*'Raw Data'!G26),2)</f>
        <v>9.5</v>
      </c>
      <c r="F26" s="94">
        <f>ROUND((B26/D26*'Raw Data'!I26)+(C26/D26*'Raw Data'!J26),2)</f>
        <v>20.69</v>
      </c>
      <c r="G26" s="88">
        <f>ROUND((B26/D26*'Raw Data'!L26)+('Weighted Average'!C26/'Weighted Average'!D26*'Raw Data'!M26),2)</f>
        <v>24.92</v>
      </c>
      <c r="H26" s="90"/>
      <c r="I26" s="90"/>
      <c r="J26" s="90"/>
      <c r="K26" s="90"/>
    </row>
    <row r="27" spans="1:11" x14ac:dyDescent="0.3">
      <c r="A27" s="34">
        <v>21</v>
      </c>
      <c r="B27" s="2" t="e">
        <f>'Raw Data'!C27</f>
        <v>#N/A</v>
      </c>
      <c r="C27" s="2">
        <f>'Raw Data'!D27</f>
        <v>6.28</v>
      </c>
      <c r="D27" s="145" t="e">
        <f t="shared" si="0"/>
        <v>#N/A</v>
      </c>
      <c r="E27" s="94" t="e">
        <f>ROUND((B27/D27*'Raw Data'!F27)+(C27/D27*'Raw Data'!G27),2)</f>
        <v>#N/A</v>
      </c>
      <c r="F27" s="94" t="e">
        <f>ROUND((B27/D27*'Raw Data'!I27)+(C27/D27*'Raw Data'!J27),2)</f>
        <v>#N/A</v>
      </c>
      <c r="G27" s="88" t="e">
        <f>ROUND((B27/D27*'Raw Data'!L27)+('Weighted Average'!C27/'Weighted Average'!D27*'Raw Data'!M27),2)</f>
        <v>#N/A</v>
      </c>
      <c r="H27" s="90"/>
      <c r="I27" s="90"/>
      <c r="J27" s="90"/>
      <c r="K27" s="90"/>
    </row>
    <row r="28" spans="1:11" x14ac:dyDescent="0.3">
      <c r="A28" s="34">
        <v>22</v>
      </c>
      <c r="B28" s="2" t="e">
        <f>'Raw Data'!C28</f>
        <v>#N/A</v>
      </c>
      <c r="C28" s="2">
        <f>'Raw Data'!D28</f>
        <v>5.92</v>
      </c>
      <c r="D28" s="145" t="e">
        <f t="shared" si="0"/>
        <v>#N/A</v>
      </c>
      <c r="E28" s="94" t="e">
        <f>ROUND((B28/D28*'Raw Data'!F28)+(C28/D28*'Raw Data'!G28),2)</f>
        <v>#N/A</v>
      </c>
      <c r="F28" s="94" t="e">
        <f>ROUND((B28/D28*'Raw Data'!I28)+(C28/D28*'Raw Data'!J28),2)</f>
        <v>#N/A</v>
      </c>
      <c r="G28" s="88" t="e">
        <f>ROUND((B28/D28*'Raw Data'!L28)+('Weighted Average'!C28/'Weighted Average'!D28*'Raw Data'!M28),2)</f>
        <v>#N/A</v>
      </c>
      <c r="H28" s="90"/>
      <c r="I28" s="90"/>
      <c r="J28" s="90"/>
      <c r="K28" s="90"/>
    </row>
    <row r="29" spans="1:11" x14ac:dyDescent="0.3">
      <c r="A29" s="34">
        <v>23</v>
      </c>
      <c r="B29" s="2" t="e">
        <f>'Raw Data'!C29</f>
        <v>#N/A</v>
      </c>
      <c r="C29" s="2" t="e">
        <f>'Raw Data'!D29</f>
        <v>#N/A</v>
      </c>
      <c r="D29" s="145" t="e">
        <f t="shared" si="0"/>
        <v>#N/A</v>
      </c>
      <c r="E29" s="94" t="e">
        <f>ROUND((B29/D29*'Raw Data'!F29)+(C29/D29*'Raw Data'!G29),2)</f>
        <v>#N/A</v>
      </c>
      <c r="F29" s="94" t="e">
        <f>ROUND((B29/D29*'Raw Data'!I29)+(C29/D29*'Raw Data'!J29),2)</f>
        <v>#N/A</v>
      </c>
      <c r="G29" s="88" t="e">
        <f>ROUND((B29/D29*'Raw Data'!L29)+('Weighted Average'!C29/'Weighted Average'!D29*'Raw Data'!M29),2)</f>
        <v>#N/A</v>
      </c>
      <c r="H29" s="90"/>
      <c r="I29" s="90"/>
      <c r="J29" s="90"/>
      <c r="K29" s="90"/>
    </row>
    <row r="30" spans="1:11" x14ac:dyDescent="0.3">
      <c r="A30" s="34">
        <v>24</v>
      </c>
      <c r="B30" s="2" t="e">
        <f>'Raw Data'!C30</f>
        <v>#N/A</v>
      </c>
      <c r="C30" s="2" t="e">
        <f>'Raw Data'!D30</f>
        <v>#N/A</v>
      </c>
      <c r="D30" s="145" t="e">
        <f t="shared" si="0"/>
        <v>#N/A</v>
      </c>
      <c r="E30" s="94" t="e">
        <f>ROUND((B30/D30*'Raw Data'!F30)+(C30/D30*'Raw Data'!G30),2)</f>
        <v>#N/A</v>
      </c>
      <c r="F30" s="94" t="e">
        <f>ROUND((B30/D30*'Raw Data'!I30)+(C30/D30*'Raw Data'!J30),2)</f>
        <v>#N/A</v>
      </c>
      <c r="G30" s="88" t="e">
        <f>ROUND((B30/D30*'Raw Data'!L30)+('Weighted Average'!C30/'Weighted Average'!D30*'Raw Data'!M30),2)</f>
        <v>#N/A</v>
      </c>
      <c r="H30" s="90"/>
      <c r="I30" s="90"/>
      <c r="J30" s="90"/>
      <c r="K30" s="90"/>
    </row>
    <row r="31" spans="1:11" x14ac:dyDescent="0.3">
      <c r="A31" s="34">
        <v>25</v>
      </c>
      <c r="B31" s="2" t="e">
        <f>'Raw Data'!C31</f>
        <v>#N/A</v>
      </c>
      <c r="C31" s="2" t="e">
        <f>'Raw Data'!D31</f>
        <v>#N/A</v>
      </c>
      <c r="D31" s="145" t="e">
        <f t="shared" si="0"/>
        <v>#N/A</v>
      </c>
      <c r="E31" s="94" t="e">
        <f>ROUND((B31/D31*'Raw Data'!F31)+(C31/D31*'Raw Data'!G31),2)</f>
        <v>#N/A</v>
      </c>
      <c r="F31" s="94" t="e">
        <f>ROUND((B31/D31*'Raw Data'!I31)+(C31/D31*'Raw Data'!J31),2)</f>
        <v>#N/A</v>
      </c>
      <c r="G31" s="88" t="e">
        <f>ROUND((B31/D31*'Raw Data'!L31)+('Weighted Average'!C31/'Weighted Average'!D31*'Raw Data'!M31),2)</f>
        <v>#N/A</v>
      </c>
      <c r="H31" s="90"/>
      <c r="I31" s="90"/>
      <c r="J31" s="90"/>
      <c r="K31" s="90"/>
    </row>
    <row r="32" spans="1:11" x14ac:dyDescent="0.3">
      <c r="A32" s="34">
        <v>26</v>
      </c>
      <c r="B32" s="2" t="e">
        <f>'Raw Data'!C32</f>
        <v>#N/A</v>
      </c>
      <c r="C32" s="2" t="e">
        <f>'Raw Data'!D32</f>
        <v>#N/A</v>
      </c>
      <c r="D32" s="145" t="e">
        <f t="shared" si="0"/>
        <v>#N/A</v>
      </c>
      <c r="E32" s="94" t="e">
        <f>ROUND((B32/D32*'Raw Data'!F32)+(C32/D32*'Raw Data'!G32),2)</f>
        <v>#N/A</v>
      </c>
      <c r="F32" s="94" t="e">
        <f>ROUND((B32/D32*'Raw Data'!I32)+(C32/D32*'Raw Data'!J32),2)</f>
        <v>#N/A</v>
      </c>
      <c r="G32" s="88" t="e">
        <f>ROUND((B32/D32*'Raw Data'!L32)+('Weighted Average'!C32/'Weighted Average'!D32*'Raw Data'!M32),2)</f>
        <v>#N/A</v>
      </c>
      <c r="H32" s="90"/>
      <c r="I32" s="90"/>
      <c r="J32" s="90"/>
      <c r="K32" s="90"/>
    </row>
    <row r="33" spans="1:11" x14ac:dyDescent="0.3">
      <c r="A33" s="34">
        <v>27</v>
      </c>
      <c r="B33" s="2" t="e">
        <f>'Raw Data'!C33</f>
        <v>#N/A</v>
      </c>
      <c r="C33" s="2" t="e">
        <f>'Raw Data'!D33</f>
        <v>#N/A</v>
      </c>
      <c r="D33" s="145" t="e">
        <f t="shared" si="0"/>
        <v>#N/A</v>
      </c>
      <c r="E33" s="94" t="e">
        <f>ROUND((B33/D33*'Raw Data'!F33)+(C33/D33*'Raw Data'!G33),2)</f>
        <v>#N/A</v>
      </c>
      <c r="F33" s="94" t="e">
        <f>ROUND((B33/D33*'Raw Data'!I33)+(C33/D33*'Raw Data'!J33),2)</f>
        <v>#N/A</v>
      </c>
      <c r="G33" s="88" t="e">
        <f>ROUND((B33/D33*'Raw Data'!L33)+('Weighted Average'!C33/'Weighted Average'!D33*'Raw Data'!M33),2)</f>
        <v>#N/A</v>
      </c>
      <c r="H33" s="90"/>
      <c r="I33" s="90"/>
      <c r="J33" s="90"/>
      <c r="K33" s="90"/>
    </row>
    <row r="34" spans="1:11" x14ac:dyDescent="0.3">
      <c r="A34" s="34">
        <v>28</v>
      </c>
      <c r="B34" s="2" t="e">
        <f>'Raw Data'!C34</f>
        <v>#N/A</v>
      </c>
      <c r="C34" s="2" t="e">
        <f>'Raw Data'!D34</f>
        <v>#N/A</v>
      </c>
      <c r="D34" s="145" t="e">
        <f t="shared" si="0"/>
        <v>#N/A</v>
      </c>
      <c r="E34" s="94" t="e">
        <f>ROUND((B34/D34*'Raw Data'!F34)+(C34/D34*'Raw Data'!G34),2)</f>
        <v>#N/A</v>
      </c>
      <c r="F34" s="94" t="e">
        <f>ROUND((B34/D34*'Raw Data'!I34)+(C34/D34*'Raw Data'!J34),2)</f>
        <v>#N/A</v>
      </c>
      <c r="G34" s="88" t="e">
        <f>ROUND((B34/D34*'Raw Data'!L34)+('Weighted Average'!C34/'Weighted Average'!D34*'Raw Data'!M34),2)</f>
        <v>#N/A</v>
      </c>
      <c r="H34" s="90"/>
      <c r="I34" s="90"/>
      <c r="J34" s="90"/>
      <c r="K34" s="90"/>
    </row>
    <row r="35" spans="1:11" x14ac:dyDescent="0.3">
      <c r="A35" s="34">
        <v>29</v>
      </c>
      <c r="B35" s="2" t="e">
        <f>'Raw Data'!C35</f>
        <v>#N/A</v>
      </c>
      <c r="C35" s="2" t="e">
        <f>'Raw Data'!D35</f>
        <v>#N/A</v>
      </c>
      <c r="D35" s="145" t="e">
        <f t="shared" si="0"/>
        <v>#N/A</v>
      </c>
      <c r="E35" s="94" t="e">
        <f>ROUND((B35/D35*'Raw Data'!F35)+(C35/D35*'Raw Data'!G35),2)</f>
        <v>#N/A</v>
      </c>
      <c r="F35" s="94" t="e">
        <f>ROUND((B35/D35*'Raw Data'!I35)+(C35/D35*'Raw Data'!J35),2)</f>
        <v>#N/A</v>
      </c>
      <c r="G35" s="88" t="e">
        <f>ROUND((B35/D35*'Raw Data'!L35)+('Weighted Average'!C35/'Weighted Average'!D35*'Raw Data'!M35),2)</f>
        <v>#N/A</v>
      </c>
      <c r="H35" s="90"/>
      <c r="I35" s="90"/>
      <c r="J35" s="90"/>
      <c r="K35" s="90"/>
    </row>
    <row r="36" spans="1:11" x14ac:dyDescent="0.3">
      <c r="A36" s="34">
        <v>30</v>
      </c>
      <c r="B36" s="2" t="e">
        <f>'Raw Data'!C36</f>
        <v>#N/A</v>
      </c>
      <c r="C36" s="2" t="e">
        <f>'Raw Data'!D36</f>
        <v>#N/A</v>
      </c>
      <c r="D36" s="145" t="e">
        <f t="shared" si="0"/>
        <v>#N/A</v>
      </c>
      <c r="E36" s="94" t="e">
        <f>ROUND((B36/D36*'Raw Data'!F36)+(C36/D36*'Raw Data'!G36),2)</f>
        <v>#N/A</v>
      </c>
      <c r="F36" s="94" t="e">
        <f>ROUND((B36/D36*'Raw Data'!I36)+(C36/D36*'Raw Data'!J36),2)</f>
        <v>#N/A</v>
      </c>
      <c r="G36" s="88" t="e">
        <f>ROUND((B36/D36*'Raw Data'!L36)+('Weighted Average'!C36/'Weighted Average'!D36*'Raw Data'!M36),2)</f>
        <v>#N/A</v>
      </c>
      <c r="H36" s="90"/>
      <c r="I36" s="90"/>
      <c r="J36" s="90"/>
      <c r="K36" s="90"/>
    </row>
    <row r="37" spans="1:11" x14ac:dyDescent="0.3">
      <c r="A37" s="34">
        <f>'Raw Data'!A37</f>
        <v>31</v>
      </c>
      <c r="B37" s="2">
        <f>'Raw Data'!C37</f>
        <v>4.04</v>
      </c>
      <c r="C37" s="2">
        <f>'Raw Data'!D37</f>
        <v>4.26</v>
      </c>
      <c r="D37" s="145">
        <f t="shared" si="0"/>
        <v>8.3000000000000007</v>
      </c>
      <c r="E37" s="94">
        <f>ROUND((B37/D37*'Raw Data'!F37)+(C37/D37*'Raw Data'!G37),2)</f>
        <v>8.6999999999999993</v>
      </c>
      <c r="F37" s="94">
        <f>ROUND((B37/D37*'Raw Data'!I37)+(C37/D37*'Raw Data'!J37),2)</f>
        <v>20.25</v>
      </c>
      <c r="G37" s="88">
        <f>ROUND((B37/D37*'Raw Data'!L37)+('Weighted Average'!C37/'Weighted Average'!D37*'Raw Data'!M37),2)</f>
        <v>24.95</v>
      </c>
      <c r="H37" s="90"/>
      <c r="I37" s="90"/>
      <c r="J37" s="90"/>
      <c r="K37" s="90"/>
    </row>
    <row r="38" spans="1:11" x14ac:dyDescent="0.3">
      <c r="A38" s="34">
        <f>'Raw Data'!A38</f>
        <v>32</v>
      </c>
      <c r="B38" s="2">
        <f>'Raw Data'!C38</f>
        <v>4.96</v>
      </c>
      <c r="C38" s="2">
        <f>'Raw Data'!D38</f>
        <v>5.28</v>
      </c>
      <c r="D38" s="145">
        <f t="shared" si="0"/>
        <v>10.24</v>
      </c>
      <c r="E38" s="94">
        <f>ROUND((B38/D38*'Raw Data'!F38)+(C38/D38*'Raw Data'!G38),2)</f>
        <v>9.4</v>
      </c>
      <c r="F38" s="94">
        <f>ROUND((B38/D38*'Raw Data'!I38)+(C38/D38*'Raw Data'!J38),2)</f>
        <v>19.62</v>
      </c>
      <c r="G38" s="88">
        <f>ROUND((B38/D38*'Raw Data'!L38)+('Weighted Average'!C38/'Weighted Average'!D38*'Raw Data'!M38),2)</f>
        <v>25.28</v>
      </c>
      <c r="H38" s="90"/>
      <c r="I38" s="90"/>
      <c r="J38" s="90"/>
      <c r="K38" s="90"/>
    </row>
    <row r="39" spans="1:11" x14ac:dyDescent="0.3">
      <c r="A39" s="34">
        <f>'Raw Data'!A39</f>
        <v>33</v>
      </c>
      <c r="B39" s="2">
        <f>'Raw Data'!C39</f>
        <v>3.98</v>
      </c>
      <c r="C39" s="2">
        <f>'Raw Data'!D39</f>
        <v>3.46</v>
      </c>
      <c r="D39" s="145">
        <f t="shared" si="0"/>
        <v>7.4399999999999995</v>
      </c>
      <c r="E39" s="94">
        <f>ROUND((B39/D39*'Raw Data'!F39)+(C39/D39*'Raw Data'!G39),2)</f>
        <v>9.5</v>
      </c>
      <c r="F39" s="94">
        <f>ROUND((B39/D39*'Raw Data'!I39)+(C39/D39*'Raw Data'!J39),2)</f>
        <v>21.12</v>
      </c>
      <c r="G39" s="88">
        <f>ROUND((B39/D39*'Raw Data'!L39)+('Weighted Average'!C39/'Weighted Average'!D39*'Raw Data'!M39),2)</f>
        <v>24.58</v>
      </c>
      <c r="H39" s="90"/>
      <c r="I39" s="90"/>
      <c r="J39" s="90"/>
      <c r="K39" s="90"/>
    </row>
    <row r="40" spans="1:11" x14ac:dyDescent="0.3">
      <c r="A40" s="34">
        <f>'Raw Data'!A40</f>
        <v>34</v>
      </c>
      <c r="B40" s="2">
        <f>'Raw Data'!C40</f>
        <v>5.32</v>
      </c>
      <c r="C40" s="2">
        <f>'Raw Data'!D40</f>
        <v>4.8600000000000003</v>
      </c>
      <c r="D40" s="145">
        <f t="shared" si="0"/>
        <v>10.18</v>
      </c>
      <c r="E40" s="94">
        <f>ROUND((B40/D40*'Raw Data'!F40)+(C40/D40*'Raw Data'!G40),2)</f>
        <v>9.2100000000000009</v>
      </c>
      <c r="F40" s="94">
        <f>ROUND((B40/D40*'Raw Data'!I40)+(C40/D40*'Raw Data'!J40),2)</f>
        <v>19.25</v>
      </c>
      <c r="G40" s="88">
        <f>ROUND((B40/D40*'Raw Data'!L40)+('Weighted Average'!C40/'Weighted Average'!D40*'Raw Data'!M40),2)</f>
        <v>25.33</v>
      </c>
      <c r="H40" s="90"/>
      <c r="I40" s="90"/>
      <c r="J40" s="90"/>
      <c r="K40" s="90"/>
    </row>
    <row r="41" spans="1:11" x14ac:dyDescent="0.3">
      <c r="A41" s="34">
        <f>'Raw Data'!A41</f>
        <v>35</v>
      </c>
      <c r="B41" s="2">
        <f>'Raw Data'!C41</f>
        <v>4.22</v>
      </c>
      <c r="C41" s="2">
        <f>'Raw Data'!D41</f>
        <v>3.76</v>
      </c>
      <c r="D41" s="145">
        <f t="shared" si="0"/>
        <v>7.9799999999999995</v>
      </c>
      <c r="E41" s="94">
        <f>ROUND((B41/D41*'Raw Data'!F41)+(C41/D41*'Raw Data'!G41),2)</f>
        <v>8.9499999999999993</v>
      </c>
      <c r="F41" s="94">
        <f>ROUND((B41/D41*'Raw Data'!I41)+(C41/D41*'Raw Data'!J41),2)</f>
        <v>19.850000000000001</v>
      </c>
      <c r="G41" s="88">
        <f>ROUND((B41/D41*'Raw Data'!L41)+('Weighted Average'!C41/'Weighted Average'!D41*'Raw Data'!M41),2)</f>
        <v>24.98</v>
      </c>
      <c r="H41" s="90"/>
      <c r="I41" s="90"/>
      <c r="J41" s="90"/>
      <c r="K41" s="90"/>
    </row>
    <row r="42" spans="1:11" x14ac:dyDescent="0.3">
      <c r="A42" s="34">
        <f>'Raw Data'!A42</f>
        <v>36</v>
      </c>
      <c r="B42" s="2">
        <f>'Raw Data'!C42</f>
        <v>6.08</v>
      </c>
      <c r="C42" s="2">
        <f>'Raw Data'!D42</f>
        <v>5.22</v>
      </c>
      <c r="D42" s="145">
        <f t="shared" si="0"/>
        <v>11.3</v>
      </c>
      <c r="E42" s="94">
        <f>ROUND((B42/D42*'Raw Data'!F42)+(C42/D42*'Raw Data'!G42),2)</f>
        <v>8.75</v>
      </c>
      <c r="F42" s="94">
        <f>ROUND((B42/D42*'Raw Data'!I42)+(C42/D42*'Raw Data'!J42),2)</f>
        <v>19.53</v>
      </c>
      <c r="G42" s="88">
        <f>ROUND((B42/D42*'Raw Data'!L42)+('Weighted Average'!C42/'Weighted Average'!D42*'Raw Data'!M42),2)</f>
        <v>25.1</v>
      </c>
      <c r="H42" s="90"/>
      <c r="I42" s="90"/>
      <c r="J42" s="90"/>
      <c r="K42" s="90"/>
    </row>
    <row r="43" spans="1:11" x14ac:dyDescent="0.3">
      <c r="A43" s="34">
        <f>'Raw Data'!A43</f>
        <v>37</v>
      </c>
      <c r="B43" s="2">
        <f>'Raw Data'!C43</f>
        <v>3.12</v>
      </c>
      <c r="C43" s="2">
        <f>'Raw Data'!D43</f>
        <v>4.0999999999999996</v>
      </c>
      <c r="D43" s="145">
        <f t="shared" si="0"/>
        <v>7.22</v>
      </c>
      <c r="E43" s="94">
        <f>ROUND((B43/D43*'Raw Data'!F43)+(C43/D43*'Raw Data'!G43),2)</f>
        <v>9.6</v>
      </c>
      <c r="F43" s="94">
        <f>ROUND((B43/D43*'Raw Data'!I43)+(C43/D43*'Raw Data'!J43),2)</f>
        <v>20.02</v>
      </c>
      <c r="G43" s="88">
        <f>ROUND((B43/D43*'Raw Data'!L43)+('Weighted Average'!C43/'Weighted Average'!D43*'Raw Data'!M43),2)</f>
        <v>25.19</v>
      </c>
      <c r="H43" s="90"/>
      <c r="I43" s="90"/>
      <c r="J43" s="90"/>
      <c r="K43" s="90"/>
    </row>
    <row r="44" spans="1:11" x14ac:dyDescent="0.3">
      <c r="A44" s="34">
        <f>'Raw Data'!A44</f>
        <v>38</v>
      </c>
      <c r="B44" s="2">
        <f>'Raw Data'!C44</f>
        <v>5.7</v>
      </c>
      <c r="C44" s="2">
        <f>'Raw Data'!D44</f>
        <v>5.24</v>
      </c>
      <c r="D44" s="145">
        <f t="shared" si="0"/>
        <v>10.940000000000001</v>
      </c>
      <c r="E44" s="94">
        <f>ROUND((B44/D44*'Raw Data'!F44)+(C44/D44*'Raw Data'!G44),2)</f>
        <v>8.66</v>
      </c>
      <c r="F44" s="94">
        <f>ROUND((B44/D44*'Raw Data'!I44)+(C44/D44*'Raw Data'!J44),2)</f>
        <v>21.02</v>
      </c>
      <c r="G44" s="88">
        <f>ROUND((B44/D44*'Raw Data'!L44)+('Weighted Average'!C44/'Weighted Average'!D44*'Raw Data'!M44),2)</f>
        <v>25.17</v>
      </c>
      <c r="H44" s="90"/>
      <c r="I44" s="90"/>
      <c r="J44" s="90"/>
      <c r="K44" s="90"/>
    </row>
    <row r="45" spans="1:11" x14ac:dyDescent="0.3">
      <c r="A45" s="34">
        <f>'Raw Data'!A45</f>
        <v>39</v>
      </c>
      <c r="B45" s="2">
        <f>'Raw Data'!C45</f>
        <v>4.42</v>
      </c>
      <c r="C45" s="2">
        <f>'Raw Data'!D45</f>
        <v>4.0999999999999996</v>
      </c>
      <c r="D45" s="145">
        <f t="shared" si="0"/>
        <v>8.52</v>
      </c>
      <c r="E45" s="94">
        <f>ROUND((B45/D45*'Raw Data'!F45)+(C45/D45*'Raw Data'!G45),2)</f>
        <v>8.9499999999999993</v>
      </c>
      <c r="F45" s="94">
        <f>ROUND((B45/D45*'Raw Data'!I45)+(C45/D45*'Raw Data'!J45),2)</f>
        <v>20.29</v>
      </c>
      <c r="G45" s="88">
        <f>ROUND((B45/D45*'Raw Data'!L45)+('Weighted Average'!C45/'Weighted Average'!D45*'Raw Data'!M45),2)</f>
        <v>24.68</v>
      </c>
      <c r="H45" s="90"/>
      <c r="I45" s="90"/>
      <c r="J45" s="90"/>
      <c r="K45" s="90"/>
    </row>
    <row r="46" spans="1:11" ht="15" thickBot="1" x14ac:dyDescent="0.35">
      <c r="A46" s="25">
        <f>'Raw Data'!A46</f>
        <v>40</v>
      </c>
      <c r="B46" s="5">
        <f>'Raw Data'!C46</f>
        <v>5.66</v>
      </c>
      <c r="C46" s="5">
        <f>'Raw Data'!D46</f>
        <v>5.0199999999999996</v>
      </c>
      <c r="D46" s="146">
        <f t="shared" si="0"/>
        <v>10.68</v>
      </c>
      <c r="E46" s="297">
        <f>ROUND((B46/D46*'Raw Data'!F46)+(C46/D46*'Raw Data'!G46),2)</f>
        <v>9.06</v>
      </c>
      <c r="F46" s="297">
        <f>ROUND((B46/D46*'Raw Data'!I46)+(C46/D46*'Raw Data'!J46),2)</f>
        <v>20.93</v>
      </c>
      <c r="G46" s="149">
        <f>ROUND((B46/D46*'Raw Data'!L46)+('Weighted Average'!C46/'Weighted Average'!D46*'Raw Data'!M46),2)</f>
        <v>24.85</v>
      </c>
      <c r="H46" s="90"/>
      <c r="I46" s="90"/>
      <c r="J46" s="90"/>
      <c r="K46" s="90"/>
    </row>
    <row r="47" spans="1:11" x14ac:dyDescent="0.3">
      <c r="E47" s="90"/>
      <c r="F47" s="90"/>
      <c r="G47" s="90"/>
      <c r="K47" s="90"/>
    </row>
    <row r="48" spans="1:11" x14ac:dyDescent="0.3">
      <c r="E48" s="90"/>
      <c r="F48" s="90"/>
      <c r="G48" s="90"/>
    </row>
  </sheetData>
  <sheetProtection algorithmName="SHA-512" hashValue="I51TMhc9/ECmA3BZa9O/wj4axK7uMhkBzsdDfCgjEq2k5jit6dDJsqZQ2i5guTD+kjGdhebTZVTGkxcxAI0XRw==" saltValue="ElTJvneeNbH6y8BeUGW1RQ==" spinCount="100000" sheet="1" objects="1" scenarios="1"/>
  <mergeCells count="2">
    <mergeCell ref="B5:D5"/>
    <mergeCell ref="E5:G5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5:H63"/>
  <sheetViews>
    <sheetView showGridLines="0" workbookViewId="0">
      <selection activeCell="J48" sqref="J48"/>
    </sheetView>
  </sheetViews>
  <sheetFormatPr defaultRowHeight="14.4" x14ac:dyDescent="0.3"/>
  <cols>
    <col min="2" max="2" width="17.33203125" customWidth="1"/>
    <col min="3" max="3" width="13" customWidth="1"/>
    <col min="4" max="4" width="15.33203125" customWidth="1"/>
    <col min="5" max="5" width="13.44140625" customWidth="1"/>
    <col min="6" max="6" width="14.109375" customWidth="1"/>
    <col min="7" max="7" width="14.6640625" customWidth="1"/>
    <col min="8" max="8" width="17.33203125" customWidth="1"/>
  </cols>
  <sheetData>
    <row r="5" spans="2:8" x14ac:dyDescent="0.3">
      <c r="C5" t="s">
        <v>3</v>
      </c>
    </row>
    <row r="7" spans="2:8" ht="16.8" x14ac:dyDescent="0.35">
      <c r="C7" t="s">
        <v>13</v>
      </c>
      <c r="E7" s="13"/>
    </row>
    <row r="8" spans="2:8" ht="16.2" x14ac:dyDescent="0.3">
      <c r="E8" s="1" t="s">
        <v>14</v>
      </c>
    </row>
    <row r="10" spans="2:8" ht="15.6" x14ac:dyDescent="0.35">
      <c r="C10" t="s">
        <v>15</v>
      </c>
    </row>
    <row r="12" spans="2:8" ht="16.2" x14ac:dyDescent="0.3">
      <c r="C12" s="1" t="s">
        <v>14</v>
      </c>
      <c r="D12" t="s">
        <v>16</v>
      </c>
    </row>
    <row r="14" spans="2:8" ht="15" thickBot="1" x14ac:dyDescent="0.35"/>
    <row r="15" spans="2:8" ht="16.8" thickBot="1" x14ac:dyDescent="0.35">
      <c r="C15" s="340" t="s">
        <v>17</v>
      </c>
      <c r="D15" s="341"/>
      <c r="E15" s="342"/>
      <c r="F15" s="340" t="s">
        <v>46</v>
      </c>
      <c r="G15" s="341"/>
      <c r="H15" s="342"/>
    </row>
    <row r="16" spans="2:8" ht="15" thickBot="1" x14ac:dyDescent="0.35">
      <c r="B16" s="9"/>
      <c r="C16" s="40" t="s">
        <v>12</v>
      </c>
      <c r="D16" s="33" t="s">
        <v>44</v>
      </c>
      <c r="E16" s="10" t="s">
        <v>45</v>
      </c>
      <c r="F16" s="40" t="s">
        <v>12</v>
      </c>
      <c r="G16" s="33" t="s">
        <v>44</v>
      </c>
      <c r="H16" s="10" t="s">
        <v>45</v>
      </c>
    </row>
    <row r="17" spans="2:8" ht="15" thickBot="1" x14ac:dyDescent="0.35">
      <c r="B17" s="10" t="s">
        <v>9</v>
      </c>
      <c r="C17" s="10" t="s">
        <v>10</v>
      </c>
      <c r="D17" s="11" t="s">
        <v>11</v>
      </c>
      <c r="E17" s="10" t="s">
        <v>10</v>
      </c>
      <c r="F17" s="10" t="s">
        <v>10</v>
      </c>
      <c r="G17" s="10" t="s">
        <v>11</v>
      </c>
      <c r="H17" s="12" t="s">
        <v>10</v>
      </c>
    </row>
    <row r="18" spans="2:8" x14ac:dyDescent="0.3">
      <c r="B18" s="158">
        <f>'Raw Data'!A7</f>
        <v>1</v>
      </c>
      <c r="C18" s="41">
        <f>ABS('Sample Diff &amp; Covariance'!C7-'Weighted Average'!E7)</f>
        <v>0.66000000000000014</v>
      </c>
      <c r="D18" s="14">
        <f>ABS('Sample Diff &amp; Covariance'!D7-'Weighted Average'!F7)</f>
        <v>1.1075732217573204</v>
      </c>
      <c r="E18" s="15">
        <f>ABS('Sample Diff &amp; Covariance'!E7-'Weighted Average'!G7)</f>
        <v>0.18807531380753417</v>
      </c>
      <c r="F18" s="41">
        <f>C18^2</f>
        <v>0.43560000000000021</v>
      </c>
      <c r="G18" s="87">
        <f>D18^2</f>
        <v>1.2267184415538905</v>
      </c>
      <c r="H18" s="301">
        <f>E18^2</f>
        <v>3.5372323663802455E-2</v>
      </c>
    </row>
    <row r="19" spans="2:8" x14ac:dyDescent="0.3">
      <c r="B19" s="159">
        <f>'Raw Data'!A8</f>
        <v>2</v>
      </c>
      <c r="C19" s="19">
        <f>ABS('Sample Diff &amp; Covariance'!C8-'Weighted Average'!E8)</f>
        <v>8.9999999999999858E-2</v>
      </c>
      <c r="D19" s="17">
        <f>ABS('Sample Diff &amp; Covariance'!D8-'Weighted Average'!F8)</f>
        <v>0.88953732912723282</v>
      </c>
      <c r="E19" s="18">
        <f>ABS('Sample Diff &amp; Covariance'!E8-'Weighted Average'!G8)</f>
        <v>0.20319663512092134</v>
      </c>
      <c r="F19" s="19">
        <f t="shared" ref="F19:F57" si="0">C19^2</f>
        <v>8.0999999999999753E-3</v>
      </c>
      <c r="G19" s="88">
        <f t="shared" ref="G19:G57" si="1">D19^2</f>
        <v>0.79127665991081098</v>
      </c>
      <c r="H19" s="298">
        <f t="shared" ref="H19:H57" si="2">E19^2</f>
        <v>4.1288872524464844E-2</v>
      </c>
    </row>
    <row r="20" spans="2:8" x14ac:dyDescent="0.3">
      <c r="B20" s="159">
        <f>'Raw Data'!A9</f>
        <v>3</v>
      </c>
      <c r="C20" s="16">
        <f>ABS('Sample Diff &amp; Covariance'!C9-'Weighted Average'!E9)</f>
        <v>0.42999999999999972</v>
      </c>
      <c r="D20" s="14">
        <f>ABS('Sample Diff &amp; Covariance'!D9-'Weighted Average'!F9)</f>
        <v>0.32782383419689154</v>
      </c>
      <c r="E20" s="15">
        <f>ABS('Sample Diff &amp; Covariance'!E9-'Weighted Average'!G9)</f>
        <v>5.9948186528494318E-2</v>
      </c>
      <c r="F20" s="16">
        <f t="shared" si="0"/>
        <v>0.18489999999999976</v>
      </c>
      <c r="G20" s="87">
        <f t="shared" si="1"/>
        <v>0.10746846626755104</v>
      </c>
      <c r="H20" s="301">
        <f t="shared" si="2"/>
        <v>3.5937850680551478E-3</v>
      </c>
    </row>
    <row r="21" spans="2:8" x14ac:dyDescent="0.3">
      <c r="B21" s="160">
        <f>'Raw Data'!A10</f>
        <v>4</v>
      </c>
      <c r="C21" s="19">
        <f>ABS('Sample Diff &amp; Covariance'!C10-'Weighted Average'!E10)</f>
        <v>0.13000000000000078</v>
      </c>
      <c r="D21" s="17">
        <f>ABS('Sample Diff &amp; Covariance'!D10-'Weighted Average'!F10)</f>
        <v>0.68298538622129712</v>
      </c>
      <c r="E21" s="18">
        <f>ABS('Sample Diff &amp; Covariance'!E10-'Weighted Average'!G10)</f>
        <v>0.52605427974947716</v>
      </c>
      <c r="F21" s="19">
        <f t="shared" si="0"/>
        <v>1.6900000000000203E-2</v>
      </c>
      <c r="G21" s="88">
        <f t="shared" si="1"/>
        <v>0.46646903779185439</v>
      </c>
      <c r="H21" s="298">
        <f t="shared" si="2"/>
        <v>0.2767331052427412</v>
      </c>
    </row>
    <row r="22" spans="2:8" x14ac:dyDescent="0.3">
      <c r="B22" s="159">
        <f>'Raw Data'!A11</f>
        <v>5</v>
      </c>
      <c r="C22" s="16">
        <f>ABS('Sample Diff &amp; Covariance'!C11-'Weighted Average'!E11)</f>
        <v>0.21000000000000085</v>
      </c>
      <c r="D22" s="14">
        <f>ABS('Sample Diff &amp; Covariance'!D11-'Weighted Average'!F11)</f>
        <v>0.60603537981269184</v>
      </c>
      <c r="E22" s="15">
        <f>ABS('Sample Diff &amp; Covariance'!E11-'Weighted Average'!G11)</f>
        <v>0.25848074921956155</v>
      </c>
      <c r="F22" s="16">
        <f t="shared" si="0"/>
        <v>4.4100000000000361E-2</v>
      </c>
      <c r="G22" s="87">
        <f t="shared" si="1"/>
        <v>0.36727888158471367</v>
      </c>
      <c r="H22" s="301">
        <f t="shared" si="2"/>
        <v>6.6812297717105867E-2</v>
      </c>
    </row>
    <row r="23" spans="2:8" x14ac:dyDescent="0.3">
      <c r="B23" s="159">
        <f>'Raw Data'!A12</f>
        <v>6</v>
      </c>
      <c r="C23" s="19">
        <f>ABS('Sample Diff &amp; Covariance'!C12-'Weighted Average'!E12)</f>
        <v>5.0000000000000711E-2</v>
      </c>
      <c r="D23" s="17">
        <f>ABS('Sample Diff &amp; Covariance'!D12-'Weighted Average'!F12)</f>
        <v>0.7534554973821983</v>
      </c>
      <c r="E23" s="18">
        <f>ABS('Sample Diff &amp; Covariance'!E12-'Weighted Average'!G12)</f>
        <v>0.30298429319371678</v>
      </c>
      <c r="F23" s="19">
        <f t="shared" si="0"/>
        <v>2.5000000000000712E-3</v>
      </c>
      <c r="G23" s="88">
        <f t="shared" si="1"/>
        <v>0.56769518653545581</v>
      </c>
      <c r="H23" s="298">
        <f t="shared" si="2"/>
        <v>9.1799481922096138E-2</v>
      </c>
    </row>
    <row r="24" spans="2:8" x14ac:dyDescent="0.3">
      <c r="B24" s="161">
        <f>'Raw Data'!A13</f>
        <v>7</v>
      </c>
      <c r="C24" s="16">
        <f>ABS('Sample Diff &amp; Covariance'!C13-'Weighted Average'!E13)</f>
        <v>0.4399999999999995</v>
      </c>
      <c r="D24" s="14">
        <f>ABS('Sample Diff &amp; Covariance'!D13-'Weighted Average'!F13)</f>
        <v>1.6276470588235306</v>
      </c>
      <c r="E24" s="15">
        <f>ABS('Sample Diff &amp; Covariance'!E13-'Weighted Average'!G13)</f>
        <v>0.91789915966386815</v>
      </c>
      <c r="F24" s="16">
        <f t="shared" si="0"/>
        <v>0.19359999999999955</v>
      </c>
      <c r="G24" s="87">
        <f t="shared" si="1"/>
        <v>2.6492349480968898</v>
      </c>
      <c r="H24" s="301">
        <f t="shared" si="2"/>
        <v>0.8425388673116353</v>
      </c>
    </row>
    <row r="25" spans="2:8" x14ac:dyDescent="0.3">
      <c r="B25" s="160">
        <f>'Raw Data'!A14</f>
        <v>8</v>
      </c>
      <c r="C25" s="19">
        <f>ABS('Sample Diff &amp; Covariance'!C14-'Weighted Average'!E14)</f>
        <v>9.9999999999999645E-2</v>
      </c>
      <c r="D25" s="17">
        <f>ABS('Sample Diff &amp; Covariance'!D14-'Weighted Average'!F14)</f>
        <v>0.13606694560669652</v>
      </c>
      <c r="E25" s="18">
        <f>ABS('Sample Diff &amp; Covariance'!E14-'Weighted Average'!G14)</f>
        <v>0.28577405857740246</v>
      </c>
      <c r="F25" s="19">
        <f t="shared" si="0"/>
        <v>9.9999999999999291E-3</v>
      </c>
      <c r="G25" s="88">
        <f t="shared" si="1"/>
        <v>1.8514213686735708E-2</v>
      </c>
      <c r="H25" s="298">
        <f t="shared" si="2"/>
        <v>8.1666812555800647E-2</v>
      </c>
    </row>
    <row r="26" spans="2:8" x14ac:dyDescent="0.3">
      <c r="B26" s="159">
        <f>'Raw Data'!A15</f>
        <v>9</v>
      </c>
      <c r="C26" s="16">
        <f>ABS('Sample Diff &amp; Covariance'!C15-'Weighted Average'!E15)</f>
        <v>0.15000000000000036</v>
      </c>
      <c r="D26" s="14">
        <f>ABS('Sample Diff &amp; Covariance'!D15-'Weighted Average'!F15)</f>
        <v>1.5269709543570542E-2</v>
      </c>
      <c r="E26" s="15">
        <f>ABS('Sample Diff &amp; Covariance'!E15-'Weighted Average'!G15)</f>
        <v>0.1435684647302935</v>
      </c>
      <c r="F26" s="16">
        <f t="shared" si="0"/>
        <v>2.2500000000000107E-2</v>
      </c>
      <c r="G26" s="87">
        <f t="shared" si="1"/>
        <v>2.3316402954500929E-4</v>
      </c>
      <c r="H26" s="301">
        <f t="shared" si="2"/>
        <v>2.061190406501353E-2</v>
      </c>
    </row>
    <row r="27" spans="2:8" x14ac:dyDescent="0.3">
      <c r="B27" s="160">
        <f>'Raw Data'!A16</f>
        <v>10</v>
      </c>
      <c r="C27" s="19">
        <f>ABS('Sample Diff &amp; Covariance'!C16-'Weighted Average'!E16)</f>
        <v>9.9999999999999645E-2</v>
      </c>
      <c r="D27" s="17">
        <f>ABS('Sample Diff &amp; Covariance'!D16-'Weighted Average'!F16)</f>
        <v>0.77571577847440309</v>
      </c>
      <c r="E27" s="18">
        <f>ABS('Sample Diff &amp; Covariance'!E16-'Weighted Average'!G16)</f>
        <v>0.10612330198537023</v>
      </c>
      <c r="F27" s="19">
        <f t="shared" si="0"/>
        <v>9.9999999999999291E-3</v>
      </c>
      <c r="G27" s="88">
        <f t="shared" si="1"/>
        <v>0.60173496897414924</v>
      </c>
      <c r="H27" s="298">
        <f t="shared" si="2"/>
        <v>1.1262155224278085E-2</v>
      </c>
    </row>
    <row r="28" spans="2:8" x14ac:dyDescent="0.3">
      <c r="B28" s="159">
        <f>'Raw Data'!A17</f>
        <v>11</v>
      </c>
      <c r="C28" s="16">
        <f>ABS('Sample Diff &amp; Covariance'!C17-'Weighted Average'!E17)</f>
        <v>0.15000000000000036</v>
      </c>
      <c r="D28" s="14">
        <f>ABS('Sample Diff &amp; Covariance'!D17-'Weighted Average'!F17)</f>
        <v>2.7883333333333304</v>
      </c>
      <c r="E28" s="15">
        <f>ABS('Sample Diff &amp; Covariance'!E17-'Weighted Average'!G17)</f>
        <v>1.2337500000000006</v>
      </c>
      <c r="F28" s="16">
        <f t="shared" si="0"/>
        <v>2.2500000000000107E-2</v>
      </c>
      <c r="G28" s="87">
        <f t="shared" si="1"/>
        <v>7.7748027777777615</v>
      </c>
      <c r="H28" s="301">
        <f t="shared" si="2"/>
        <v>1.5221390625000013</v>
      </c>
    </row>
    <row r="29" spans="2:8" x14ac:dyDescent="0.3">
      <c r="B29" s="159">
        <f>'Raw Data'!A18</f>
        <v>12</v>
      </c>
      <c r="C29" s="19">
        <f>ABS('Sample Diff &amp; Covariance'!C18-'Weighted Average'!E18)</f>
        <v>0.5</v>
      </c>
      <c r="D29" s="17">
        <f>ABS('Sample Diff &amp; Covariance'!D18-'Weighted Average'!F18)</f>
        <v>1.7233333333333292</v>
      </c>
      <c r="E29" s="18">
        <f>ABS('Sample Diff &amp; Covariance'!E18-'Weighted Average'!G18)</f>
        <v>0.40871635610766077</v>
      </c>
      <c r="F29" s="19">
        <f t="shared" si="0"/>
        <v>0.25</v>
      </c>
      <c r="G29" s="88">
        <f t="shared" si="1"/>
        <v>2.9698777777777634</v>
      </c>
      <c r="H29" s="298">
        <f t="shared" si="2"/>
        <v>0.16704905974992418</v>
      </c>
    </row>
    <row r="30" spans="2:8" x14ac:dyDescent="0.3">
      <c r="B30" s="159">
        <f>'Raw Data'!A19</f>
        <v>13</v>
      </c>
      <c r="C30" s="16">
        <f>ABS('Sample Diff &amp; Covariance'!C19-'Weighted Average'!E19)</f>
        <v>0.40000000000000036</v>
      </c>
      <c r="D30" s="14">
        <f>ABS('Sample Diff &amp; Covariance'!D19-'Weighted Average'!F19)</f>
        <v>0.40761006289308099</v>
      </c>
      <c r="E30" s="15">
        <f>ABS('Sample Diff &amp; Covariance'!E19-'Weighted Average'!G19)</f>
        <v>0.67530398322851326</v>
      </c>
      <c r="F30" s="16">
        <f t="shared" si="0"/>
        <v>0.16000000000000028</v>
      </c>
      <c r="G30" s="87">
        <f t="shared" si="1"/>
        <v>0.16614596337170146</v>
      </c>
      <c r="H30" s="301">
        <f t="shared" si="2"/>
        <v>0.4560354697642961</v>
      </c>
    </row>
    <row r="31" spans="2:8" x14ac:dyDescent="0.3">
      <c r="B31" s="160">
        <f>'Raw Data'!A20</f>
        <v>14</v>
      </c>
      <c r="C31" s="19">
        <f>ABS('Sample Diff &amp; Covariance'!C20-'Weighted Average'!E20)</f>
        <v>0.14999999999999858</v>
      </c>
      <c r="D31" s="17">
        <f>ABS('Sample Diff &amp; Covariance'!D20-'Weighted Average'!F20)</f>
        <v>0.19860125260959904</v>
      </c>
      <c r="E31" s="18">
        <f>ABS('Sample Diff &amp; Covariance'!E20-'Weighted Average'!G20)</f>
        <v>0.14430062630480123</v>
      </c>
      <c r="F31" s="19">
        <f t="shared" si="0"/>
        <v>2.2499999999999572E-2</v>
      </c>
      <c r="G31" s="88">
        <f t="shared" si="1"/>
        <v>3.9442457538101772E-2</v>
      </c>
      <c r="H31" s="298">
        <f t="shared" si="2"/>
        <v>2.0822670751957893E-2</v>
      </c>
    </row>
    <row r="32" spans="2:8" x14ac:dyDescent="0.3">
      <c r="B32" s="159">
        <f>'Raw Data'!A21</f>
        <v>15</v>
      </c>
      <c r="C32" s="16">
        <f>ABS('Sample Diff &amp; Covariance'!C21-'Weighted Average'!E21)</f>
        <v>0.49000000000000021</v>
      </c>
      <c r="D32" s="14">
        <f>ABS('Sample Diff &amp; Covariance'!D21-'Weighted Average'!F21)</f>
        <v>1.8976100628930794</v>
      </c>
      <c r="E32" s="15">
        <f>ABS('Sample Diff &amp; Covariance'!E21-'Weighted Average'!G21)</f>
        <v>0.66928721174004124</v>
      </c>
      <c r="F32" s="16">
        <f t="shared" si="0"/>
        <v>0.2401000000000002</v>
      </c>
      <c r="G32" s="87">
        <f t="shared" si="1"/>
        <v>3.600923950793077</v>
      </c>
      <c r="H32" s="301">
        <f t="shared" si="2"/>
        <v>0.44794537179875882</v>
      </c>
    </row>
    <row r="33" spans="1:8" x14ac:dyDescent="0.3">
      <c r="B33" s="160">
        <f>'Raw Data'!A22</f>
        <v>16</v>
      </c>
      <c r="C33" s="19">
        <f>ABS('Sample Diff &amp; Covariance'!C22-'Weighted Average'!E22)</f>
        <v>0.85000000000000142</v>
      </c>
      <c r="D33" s="17">
        <f>ABS('Sample Diff &amp; Covariance'!D22-'Weighted Average'!F22)</f>
        <v>1.6777685950413215</v>
      </c>
      <c r="E33" s="18">
        <f>ABS('Sample Diff &amp; Covariance'!E22-'Weighted Average'!G22)</f>
        <v>0.74322314049586424</v>
      </c>
      <c r="F33" s="19">
        <f t="shared" si="0"/>
        <v>0.72250000000000236</v>
      </c>
      <c r="G33" s="88">
        <f t="shared" si="1"/>
        <v>2.8149074585069296</v>
      </c>
      <c r="H33" s="298">
        <f t="shared" si="2"/>
        <v>0.5523806365685352</v>
      </c>
    </row>
    <row r="34" spans="1:8" x14ac:dyDescent="0.3">
      <c r="B34" s="159">
        <f>'Raw Data'!A23</f>
        <v>17</v>
      </c>
      <c r="C34" s="19">
        <f>ABS('Sample Diff &amp; Covariance'!C23-'Weighted Average'!E23)</f>
        <v>0.25999999999999979</v>
      </c>
      <c r="D34" s="17">
        <f>ABS('Sample Diff &amp; Covariance'!D23-'Weighted Average'!F23)</f>
        <v>1.4922361546499516</v>
      </c>
      <c r="E34" s="18">
        <f>ABS('Sample Diff &amp; Covariance'!E23-'Weighted Average'!G23)</f>
        <v>0.7605015673981157</v>
      </c>
      <c r="F34" s="19">
        <f t="shared" si="0"/>
        <v>6.7599999999999882E-2</v>
      </c>
      <c r="G34" s="88">
        <f t="shared" si="1"/>
        <v>2.2267687412444745</v>
      </c>
      <c r="H34" s="298">
        <f t="shared" si="2"/>
        <v>0.57836263401499066</v>
      </c>
    </row>
    <row r="35" spans="1:8" x14ac:dyDescent="0.3">
      <c r="B35" s="159">
        <f>'Raw Data'!A24</f>
        <v>18</v>
      </c>
      <c r="C35" s="16">
        <f>ABS('Sample Diff &amp; Covariance'!C24-'Weighted Average'!E24)</f>
        <v>0.10999999999999943</v>
      </c>
      <c r="D35" s="14">
        <f>ABS('Sample Diff &amp; Covariance'!D24-'Weighted Average'!F24)</f>
        <v>0.97635886673662142</v>
      </c>
      <c r="E35" s="15">
        <f>ABS('Sample Diff &amp; Covariance'!E24-'Weighted Average'!G24)</f>
        <v>0.69483735571878213</v>
      </c>
      <c r="F35" s="16">
        <f t="shared" si="0"/>
        <v>1.2099999999999875E-2</v>
      </c>
      <c r="G35" s="87">
        <f t="shared" si="1"/>
        <v>0.95327663665521967</v>
      </c>
      <c r="H35" s="301">
        <f t="shared" si="2"/>
        <v>0.48279895090226937</v>
      </c>
    </row>
    <row r="36" spans="1:8" x14ac:dyDescent="0.3">
      <c r="B36" s="161">
        <f>'Raw Data'!A25</f>
        <v>19</v>
      </c>
      <c r="C36" s="19">
        <f>ABS('Sample Diff &amp; Covariance'!C25-'Weighted Average'!E25)</f>
        <v>0.76999999999999957</v>
      </c>
      <c r="D36" s="17">
        <f>ABS('Sample Diff &amp; Covariance'!D25-'Weighted Average'!F25)</f>
        <v>6.6439790575920199E-2</v>
      </c>
      <c r="E36" s="18">
        <f>ABS('Sample Diff &amp; Covariance'!E25-'Weighted Average'!G25)</f>
        <v>0.26549738219895147</v>
      </c>
      <c r="F36" s="19">
        <f t="shared" si="0"/>
        <v>0.59289999999999932</v>
      </c>
      <c r="G36" s="88">
        <f t="shared" si="1"/>
        <v>4.4142457717721347E-3</v>
      </c>
      <c r="H36" s="298">
        <f>E36^2</f>
        <v>7.0488859954496108E-2</v>
      </c>
    </row>
    <row r="37" spans="1:8" x14ac:dyDescent="0.3">
      <c r="B37" s="159">
        <f>'Raw Data'!A26</f>
        <v>20</v>
      </c>
      <c r="C37" s="19">
        <f>ABS('Sample Diff &amp; Covariance'!C26-'Weighted Average'!E26)</f>
        <v>0</v>
      </c>
      <c r="D37" s="17">
        <f>ABS('Sample Diff &amp; Covariance'!D26-'Weighted Average'!F26)</f>
        <v>0.92594963273871755</v>
      </c>
      <c r="E37" s="18">
        <f>ABS('Sample Diff &amp; Covariance'!E26-'Weighted Average'!G26)</f>
        <v>0.13511017838404982</v>
      </c>
      <c r="F37" s="19">
        <f t="shared" si="0"/>
        <v>0</v>
      </c>
      <c r="G37" s="88">
        <f t="shared" si="1"/>
        <v>0.85738272236896595</v>
      </c>
      <c r="H37" s="298">
        <f t="shared" si="2"/>
        <v>1.8254760302969762E-2</v>
      </c>
    </row>
    <row r="38" spans="1:8" x14ac:dyDescent="0.3">
      <c r="B38" s="160">
        <f>'Raw Data'!A27</f>
        <v>21</v>
      </c>
      <c r="C38" s="16" t="e">
        <f>ABS('Sample Diff &amp; Covariance'!C37-'Weighted Average'!E27)</f>
        <v>#N/A</v>
      </c>
      <c r="D38" s="14" t="e">
        <f>ABS('Sample Diff &amp; Covariance'!D37-'Weighted Average'!F27)</f>
        <v>#N/A</v>
      </c>
      <c r="E38" s="15" t="e">
        <f>ABS('Sample Diff &amp; Covariance'!E37-'Weighted Average'!G27)</f>
        <v>#N/A</v>
      </c>
      <c r="F38" s="16" t="e">
        <f t="shared" si="0"/>
        <v>#N/A</v>
      </c>
      <c r="G38" s="87" t="e">
        <f t="shared" si="1"/>
        <v>#N/A</v>
      </c>
      <c r="H38" s="298" t="e">
        <f t="shared" si="2"/>
        <v>#N/A</v>
      </c>
    </row>
    <row r="39" spans="1:8" x14ac:dyDescent="0.3">
      <c r="B39" s="283">
        <f>'Raw Data'!A28</f>
        <v>22</v>
      </c>
      <c r="C39" s="19" t="e">
        <f>ABS('Sample Diff &amp; Covariance'!C38-'Weighted Average'!E28)</f>
        <v>#N/A</v>
      </c>
      <c r="D39" s="17" t="e">
        <f>ABS('Sample Diff &amp; Covariance'!D38-'Weighted Average'!F28)</f>
        <v>#N/A</v>
      </c>
      <c r="E39" s="18" t="e">
        <f>ABS('Sample Diff &amp; Covariance'!E38-'Weighted Average'!G28)</f>
        <v>#N/A</v>
      </c>
      <c r="F39" s="19" t="e">
        <f t="shared" si="0"/>
        <v>#N/A</v>
      </c>
      <c r="G39" s="88" t="e">
        <f t="shared" si="1"/>
        <v>#N/A</v>
      </c>
      <c r="H39" s="298" t="e">
        <f t="shared" si="2"/>
        <v>#N/A</v>
      </c>
    </row>
    <row r="40" spans="1:8" x14ac:dyDescent="0.3">
      <c r="B40" s="160">
        <f>'Raw Data'!A29</f>
        <v>23</v>
      </c>
      <c r="C40" s="16" t="e">
        <f>ABS('Sample Diff &amp; Covariance'!C39-'Weighted Average'!E29)</f>
        <v>#N/A</v>
      </c>
      <c r="D40" s="14" t="e">
        <f>ABS('Sample Diff &amp; Covariance'!D39-'Weighted Average'!F29)</f>
        <v>#N/A</v>
      </c>
      <c r="E40" s="15" t="e">
        <f>ABS('Sample Diff &amp; Covariance'!E39-'Weighted Average'!G29)</f>
        <v>#N/A</v>
      </c>
      <c r="F40" s="16" t="e">
        <f t="shared" si="0"/>
        <v>#N/A</v>
      </c>
      <c r="G40" s="87" t="e">
        <f t="shared" si="1"/>
        <v>#N/A</v>
      </c>
      <c r="H40" s="298" t="e">
        <f t="shared" si="2"/>
        <v>#N/A</v>
      </c>
    </row>
    <row r="41" spans="1:8" x14ac:dyDescent="0.3">
      <c r="A41" s="124"/>
      <c r="B41" s="277">
        <f>'Raw Data'!A30</f>
        <v>24</v>
      </c>
      <c r="C41" s="19" t="e">
        <f>ABS('Sample Diff &amp; Covariance'!C40-'Weighted Average'!E30)</f>
        <v>#N/A</v>
      </c>
      <c r="D41" s="17" t="e">
        <f>ABS('Sample Diff &amp; Covariance'!D40-'Weighted Average'!F30)</f>
        <v>#N/A</v>
      </c>
      <c r="E41" s="18" t="e">
        <f>ABS('Sample Diff &amp; Covariance'!E40-'Weighted Average'!G30)</f>
        <v>#N/A</v>
      </c>
      <c r="F41" s="19" t="e">
        <f t="shared" si="0"/>
        <v>#N/A</v>
      </c>
      <c r="G41" s="88" t="e">
        <f t="shared" si="1"/>
        <v>#N/A</v>
      </c>
      <c r="H41" s="298" t="e">
        <f t="shared" si="2"/>
        <v>#N/A</v>
      </c>
    </row>
    <row r="42" spans="1:8" x14ac:dyDescent="0.3">
      <c r="A42" s="124"/>
      <c r="B42" s="279">
        <f>'Raw Data'!A31</f>
        <v>25</v>
      </c>
      <c r="C42" s="16" t="e">
        <f>ABS('Sample Diff &amp; Covariance'!C41-'Weighted Average'!E31)</f>
        <v>#N/A</v>
      </c>
      <c r="D42" s="14" t="e">
        <f>ABS('Sample Diff &amp; Covariance'!D41-'Weighted Average'!F31)</f>
        <v>#N/A</v>
      </c>
      <c r="E42" s="15" t="e">
        <f>ABS('Sample Diff &amp; Covariance'!E41-'Weighted Average'!G31)</f>
        <v>#N/A</v>
      </c>
      <c r="F42" s="16" t="e">
        <f t="shared" si="0"/>
        <v>#N/A</v>
      </c>
      <c r="G42" s="87" t="e">
        <f t="shared" si="1"/>
        <v>#N/A</v>
      </c>
      <c r="H42" s="298" t="e">
        <f t="shared" si="2"/>
        <v>#N/A</v>
      </c>
    </row>
    <row r="43" spans="1:8" x14ac:dyDescent="0.3">
      <c r="A43" s="124"/>
      <c r="B43" s="277">
        <f>'Raw Data'!A32</f>
        <v>26</v>
      </c>
      <c r="C43" s="19" t="e">
        <f>ABS('Sample Diff &amp; Covariance'!C42-'Weighted Average'!E32)</f>
        <v>#N/A</v>
      </c>
      <c r="D43" s="17" t="e">
        <f>ABS('Sample Diff &amp; Covariance'!D42-'Weighted Average'!F32)</f>
        <v>#N/A</v>
      </c>
      <c r="E43" s="18" t="e">
        <f>ABS('Sample Diff &amp; Covariance'!E42-'Weighted Average'!G32)</f>
        <v>#N/A</v>
      </c>
      <c r="F43" s="19" t="e">
        <f t="shared" si="0"/>
        <v>#N/A</v>
      </c>
      <c r="G43" s="88" t="e">
        <f t="shared" si="1"/>
        <v>#N/A</v>
      </c>
      <c r="H43" s="298" t="e">
        <f t="shared" si="2"/>
        <v>#N/A</v>
      </c>
    </row>
    <row r="44" spans="1:8" x14ac:dyDescent="0.3">
      <c r="A44" s="124"/>
      <c r="B44" s="279">
        <f>'Raw Data'!A33</f>
        <v>27</v>
      </c>
      <c r="C44" s="16" t="e">
        <f>ABS('Sample Diff &amp; Covariance'!C43-'Weighted Average'!E33)</f>
        <v>#N/A</v>
      </c>
      <c r="D44" s="14" t="e">
        <f>ABS('Sample Diff &amp; Covariance'!D43-'Weighted Average'!F33)</f>
        <v>#N/A</v>
      </c>
      <c r="E44" s="15" t="e">
        <f>ABS('Sample Diff &amp; Covariance'!E43-'Weighted Average'!G33)</f>
        <v>#N/A</v>
      </c>
      <c r="F44" s="16" t="e">
        <f t="shared" si="0"/>
        <v>#N/A</v>
      </c>
      <c r="G44" s="87" t="e">
        <f t="shared" si="1"/>
        <v>#N/A</v>
      </c>
      <c r="H44" s="298" t="e">
        <f t="shared" si="2"/>
        <v>#N/A</v>
      </c>
    </row>
    <row r="45" spans="1:8" x14ac:dyDescent="0.3">
      <c r="A45" s="124"/>
      <c r="B45" s="277">
        <f>'Raw Data'!A34</f>
        <v>28</v>
      </c>
      <c r="C45" s="19" t="e">
        <f>ABS('Sample Diff &amp; Covariance'!C44-'Weighted Average'!E34)</f>
        <v>#N/A</v>
      </c>
      <c r="D45" s="17" t="e">
        <f>ABS('Sample Diff &amp; Covariance'!D44-'Weighted Average'!F34)</f>
        <v>#N/A</v>
      </c>
      <c r="E45" s="18" t="e">
        <f>ABS('Sample Diff &amp; Covariance'!E44-'Weighted Average'!G34)</f>
        <v>#N/A</v>
      </c>
      <c r="F45" s="19" t="e">
        <f t="shared" si="0"/>
        <v>#N/A</v>
      </c>
      <c r="G45" s="88" t="e">
        <f t="shared" si="1"/>
        <v>#N/A</v>
      </c>
      <c r="H45" s="298" t="e">
        <f t="shared" si="2"/>
        <v>#N/A</v>
      </c>
    </row>
    <row r="46" spans="1:8" x14ac:dyDescent="0.3">
      <c r="A46" s="124"/>
      <c r="B46" s="279">
        <f>'Raw Data'!A35</f>
        <v>29</v>
      </c>
      <c r="C46" s="16" t="e">
        <f>ABS('Sample Diff &amp; Covariance'!C45-'Weighted Average'!E35)</f>
        <v>#N/A</v>
      </c>
      <c r="D46" s="14" t="e">
        <f>ABS('Sample Diff &amp; Covariance'!D45-'Weighted Average'!F35)</f>
        <v>#N/A</v>
      </c>
      <c r="E46" s="15" t="e">
        <f>ABS('Sample Diff &amp; Covariance'!E45-'Weighted Average'!G35)</f>
        <v>#N/A</v>
      </c>
      <c r="F46" s="16" t="e">
        <f t="shared" si="0"/>
        <v>#N/A</v>
      </c>
      <c r="G46" s="87" t="e">
        <f t="shared" si="1"/>
        <v>#N/A</v>
      </c>
      <c r="H46" s="298" t="e">
        <f t="shared" si="2"/>
        <v>#N/A</v>
      </c>
    </row>
    <row r="47" spans="1:8" x14ac:dyDescent="0.3">
      <c r="A47" s="124"/>
      <c r="B47" s="277">
        <f>'Raw Data'!A36</f>
        <v>30</v>
      </c>
      <c r="C47" s="19" t="e">
        <f>ABS('Sample Diff &amp; Covariance'!C46-'Weighted Average'!E36)</f>
        <v>#N/A</v>
      </c>
      <c r="D47" s="17" t="e">
        <f>ABS('Sample Diff &amp; Covariance'!D46-'Weighted Average'!F36)</f>
        <v>#N/A</v>
      </c>
      <c r="E47" s="18" t="e">
        <f>ABS('Sample Diff &amp; Covariance'!E46-'Weighted Average'!G36)</f>
        <v>#N/A</v>
      </c>
      <c r="F47" s="19" t="e">
        <f t="shared" si="0"/>
        <v>#N/A</v>
      </c>
      <c r="G47" s="88" t="e">
        <f t="shared" si="1"/>
        <v>#N/A</v>
      </c>
      <c r="H47" s="298" t="e">
        <f t="shared" si="2"/>
        <v>#N/A</v>
      </c>
    </row>
    <row r="48" spans="1:8" x14ac:dyDescent="0.3">
      <c r="A48" s="124"/>
      <c r="B48" s="279">
        <f>'Raw Data'!A37</f>
        <v>31</v>
      </c>
      <c r="C48" s="16">
        <f>ABS('Sample Diff &amp; Covariance'!C47-'Weighted Average'!E37)</f>
        <v>8.6999999999999993</v>
      </c>
      <c r="D48" s="14">
        <f>ABS('Sample Diff &amp; Covariance'!D47-'Weighted Average'!F37)</f>
        <v>20.25</v>
      </c>
      <c r="E48" s="15" t="e">
        <f>ABS('Sample Diff &amp; Covariance'!E47-'Weighted Average'!G37)</f>
        <v>#VALUE!</v>
      </c>
      <c r="F48" s="16">
        <f t="shared" si="0"/>
        <v>75.689999999999984</v>
      </c>
      <c r="G48" s="87">
        <f t="shared" si="1"/>
        <v>410.0625</v>
      </c>
      <c r="H48" s="277" t="e">
        <f t="shared" si="2"/>
        <v>#VALUE!</v>
      </c>
    </row>
    <row r="49" spans="1:8" x14ac:dyDescent="0.3">
      <c r="A49" s="124"/>
      <c r="B49" s="277">
        <f>'Raw Data'!A38</f>
        <v>32</v>
      </c>
      <c r="C49" s="19">
        <f>ABS('Sample Diff &amp; Covariance'!C48-'Weighted Average'!E38)</f>
        <v>9.4</v>
      </c>
      <c r="D49" s="17">
        <f>ABS('Sample Diff &amp; Covariance'!D48-'Weighted Average'!F38)</f>
        <v>19.62</v>
      </c>
      <c r="E49" s="18" t="e">
        <f>ABS('Sample Diff &amp; Covariance'!E48-'Weighted Average'!G38)</f>
        <v>#VALUE!</v>
      </c>
      <c r="F49" s="19">
        <f t="shared" si="0"/>
        <v>88.360000000000014</v>
      </c>
      <c r="G49" s="88">
        <f t="shared" si="1"/>
        <v>384.94440000000003</v>
      </c>
      <c r="H49" s="277" t="e">
        <f t="shared" si="2"/>
        <v>#VALUE!</v>
      </c>
    </row>
    <row r="50" spans="1:8" x14ac:dyDescent="0.3">
      <c r="A50" s="124"/>
      <c r="B50" s="279">
        <f>'Raw Data'!A39</f>
        <v>33</v>
      </c>
      <c r="C50" s="16">
        <f>ABS('Sample Diff &amp; Covariance'!C49-'Weighted Average'!E39)</f>
        <v>9.5</v>
      </c>
      <c r="D50" s="14">
        <f>ABS('Sample Diff &amp; Covariance'!D49-'Weighted Average'!F39)</f>
        <v>21.12</v>
      </c>
      <c r="E50" s="15">
        <f>ABS('Sample Diff &amp; Covariance'!E49-'Weighted Average'!G39)</f>
        <v>24.58</v>
      </c>
      <c r="F50" s="16">
        <f t="shared" si="0"/>
        <v>90.25</v>
      </c>
      <c r="G50" s="87">
        <f t="shared" si="1"/>
        <v>446.05440000000004</v>
      </c>
      <c r="H50" s="298">
        <f t="shared" si="2"/>
        <v>604.17639999999994</v>
      </c>
    </row>
    <row r="51" spans="1:8" x14ac:dyDescent="0.3">
      <c r="A51" s="124"/>
      <c r="B51" s="277">
        <f>'Raw Data'!A40</f>
        <v>34</v>
      </c>
      <c r="C51" s="19">
        <f>ABS('Sample Diff &amp; Covariance'!C50-'Weighted Average'!E40)</f>
        <v>9.2100000000000009</v>
      </c>
      <c r="D51" s="17">
        <f>ABS('Sample Diff &amp; Covariance'!D50-'Weighted Average'!F40)</f>
        <v>19.25</v>
      </c>
      <c r="E51" s="18">
        <f>ABS('Sample Diff &amp; Covariance'!E50-'Weighted Average'!G40)</f>
        <v>25.33</v>
      </c>
      <c r="F51" s="19">
        <f t="shared" si="0"/>
        <v>84.824100000000016</v>
      </c>
      <c r="G51" s="88">
        <f t="shared" si="1"/>
        <v>370.5625</v>
      </c>
      <c r="H51" s="298">
        <f t="shared" si="2"/>
        <v>641.60889999999995</v>
      </c>
    </row>
    <row r="52" spans="1:8" x14ac:dyDescent="0.3">
      <c r="A52" s="124"/>
      <c r="B52" s="279">
        <f>'Raw Data'!A41</f>
        <v>35</v>
      </c>
      <c r="C52" s="16">
        <f>ABS('Sample Diff &amp; Covariance'!C51-'Weighted Average'!E41)</f>
        <v>8.9499999999999993</v>
      </c>
      <c r="D52" s="14">
        <f>ABS('Sample Diff &amp; Covariance'!D51-'Weighted Average'!F41)</f>
        <v>19.850000000000001</v>
      </c>
      <c r="E52" s="15">
        <f>ABS('Sample Diff &amp; Covariance'!E51-'Weighted Average'!G41)</f>
        <v>24.98</v>
      </c>
      <c r="F52" s="16">
        <f t="shared" si="0"/>
        <v>80.102499999999992</v>
      </c>
      <c r="G52" s="87">
        <f t="shared" si="1"/>
        <v>394.02250000000004</v>
      </c>
      <c r="H52" s="298">
        <f t="shared" si="2"/>
        <v>624.00040000000001</v>
      </c>
    </row>
    <row r="53" spans="1:8" ht="15.75" customHeight="1" x14ac:dyDescent="0.3">
      <c r="A53" s="124"/>
      <c r="B53" s="277">
        <f>'Raw Data'!A42</f>
        <v>36</v>
      </c>
      <c r="C53" s="19">
        <f>ABS('Sample Diff &amp; Covariance'!C52-'Weighted Average'!E42)</f>
        <v>8.75</v>
      </c>
      <c r="D53" s="17">
        <f>ABS('Sample Diff &amp; Covariance'!D52-'Weighted Average'!F42)</f>
        <v>19.53</v>
      </c>
      <c r="E53" s="18">
        <f>ABS('Sample Diff &amp; Covariance'!E52-'Weighted Average'!G42)</f>
        <v>25.1</v>
      </c>
      <c r="F53" s="19">
        <f t="shared" si="0"/>
        <v>76.5625</v>
      </c>
      <c r="G53" s="88">
        <f t="shared" si="1"/>
        <v>381.42090000000002</v>
      </c>
      <c r="H53" s="298">
        <f t="shared" si="2"/>
        <v>630.0100000000001</v>
      </c>
    </row>
    <row r="54" spans="1:8" x14ac:dyDescent="0.3">
      <c r="A54" s="124"/>
      <c r="B54" s="279">
        <f>'Raw Data'!A43</f>
        <v>37</v>
      </c>
      <c r="C54" s="16">
        <f>ABS('Sample Diff &amp; Covariance'!C53-'Weighted Average'!E43)</f>
        <v>9.6</v>
      </c>
      <c r="D54" s="14">
        <f>ABS('Sample Diff &amp; Covariance'!D53-'Weighted Average'!F43)</f>
        <v>20.02</v>
      </c>
      <c r="E54" s="15">
        <f>ABS('Sample Diff &amp; Covariance'!E53-'Weighted Average'!G43)</f>
        <v>25.19</v>
      </c>
      <c r="F54" s="16">
        <f t="shared" si="0"/>
        <v>92.16</v>
      </c>
      <c r="G54" s="87">
        <f t="shared" si="1"/>
        <v>400.80039999999997</v>
      </c>
      <c r="H54" s="299">
        <f t="shared" si="2"/>
        <v>634.53610000000003</v>
      </c>
    </row>
    <row r="55" spans="1:8" x14ac:dyDescent="0.3">
      <c r="A55" s="124"/>
      <c r="B55" s="277">
        <f>'Raw Data'!A44</f>
        <v>38</v>
      </c>
      <c r="C55" s="19">
        <f>ABS('Sample Diff &amp; Covariance'!C54-'Weighted Average'!E44)</f>
        <v>8.66</v>
      </c>
      <c r="D55" s="17">
        <f>ABS('Sample Diff &amp; Covariance'!D54-'Weighted Average'!F44)</f>
        <v>21.02</v>
      </c>
      <c r="E55" s="18">
        <f>ABS('Sample Diff &amp; Covariance'!E54-'Weighted Average'!G44)</f>
        <v>25.17</v>
      </c>
      <c r="F55" s="19">
        <f t="shared" si="0"/>
        <v>74.995599999999996</v>
      </c>
      <c r="G55" s="88">
        <f t="shared" si="1"/>
        <v>441.84039999999999</v>
      </c>
      <c r="H55" s="18">
        <f t="shared" si="2"/>
        <v>633.52890000000014</v>
      </c>
    </row>
    <row r="56" spans="1:8" x14ac:dyDescent="0.3">
      <c r="A56" s="124"/>
      <c r="B56" s="277">
        <f>'Raw Data'!A45</f>
        <v>39</v>
      </c>
      <c r="C56" s="19">
        <f>ABS('Sample Diff &amp; Covariance'!C55-'Weighted Average'!E45)</f>
        <v>8.9499999999999993</v>
      </c>
      <c r="D56" s="17">
        <f>ABS('Sample Diff &amp; Covariance'!D55-'Weighted Average'!F45)</f>
        <v>20.29</v>
      </c>
      <c r="E56" s="18">
        <f>ABS('Sample Diff &amp; Covariance'!E55-'Weighted Average'!G45)</f>
        <v>24.68</v>
      </c>
      <c r="F56" s="19">
        <f t="shared" si="0"/>
        <v>80.102499999999992</v>
      </c>
      <c r="G56" s="88">
        <f t="shared" si="1"/>
        <v>411.68409999999994</v>
      </c>
      <c r="H56" s="300">
        <f t="shared" si="2"/>
        <v>609.10239999999999</v>
      </c>
    </row>
    <row r="57" spans="1:8" ht="15" thickBot="1" x14ac:dyDescent="0.35">
      <c r="B57" s="160">
        <f>'Raw Data'!A46</f>
        <v>40</v>
      </c>
      <c r="C57" s="16">
        <f>ABS('Sample Diff &amp; Covariance'!C56-'Weighted Average'!E46)</f>
        <v>9.06</v>
      </c>
      <c r="D57" s="14">
        <f>ABS('Sample Diff &amp; Covariance'!D56-'Weighted Average'!F46)</f>
        <v>20.93</v>
      </c>
      <c r="E57" s="15">
        <f>ABS('Sample Diff &amp; Covariance'!E56-'Weighted Average'!G46)</f>
        <v>24.85</v>
      </c>
      <c r="F57" s="16">
        <f t="shared" si="0"/>
        <v>82.083600000000004</v>
      </c>
      <c r="G57" s="89">
        <f t="shared" si="1"/>
        <v>438.06489999999997</v>
      </c>
      <c r="H57" s="298">
        <f t="shared" si="2"/>
        <v>617.52250000000004</v>
      </c>
    </row>
    <row r="58" spans="1:8" ht="16.2" thickBot="1" x14ac:dyDescent="0.4">
      <c r="B58" s="22" t="s">
        <v>18</v>
      </c>
      <c r="C58" s="20" t="e">
        <f>MAX(C18:C57)</f>
        <v>#N/A</v>
      </c>
      <c r="D58" s="20" t="e">
        <f>MAX(D18:D57)</f>
        <v>#N/A</v>
      </c>
      <c r="E58" s="20" t="e">
        <f>MAX(E18:E57)</f>
        <v>#N/A</v>
      </c>
      <c r="F58" s="44" t="s">
        <v>23</v>
      </c>
      <c r="G58" s="44" t="s">
        <v>23</v>
      </c>
      <c r="H58" s="44" t="s">
        <v>23</v>
      </c>
    </row>
    <row r="59" spans="1:8" ht="16.8" thickBot="1" x14ac:dyDescent="0.35">
      <c r="B59" s="22" t="s">
        <v>19</v>
      </c>
      <c r="C59" s="44" t="s">
        <v>23</v>
      </c>
      <c r="D59" s="45" t="s">
        <v>23</v>
      </c>
      <c r="E59" s="45" t="s">
        <v>23</v>
      </c>
      <c r="F59" s="20" t="e">
        <f>MAX(F18:F57)</f>
        <v>#N/A</v>
      </c>
      <c r="G59" s="20" t="e">
        <f>MAX(G18:G57)</f>
        <v>#N/A</v>
      </c>
      <c r="H59" s="20" t="e">
        <f>MAX(H18:H57)</f>
        <v>#N/A</v>
      </c>
    </row>
    <row r="60" spans="1:8" ht="16.8" thickBot="1" x14ac:dyDescent="0.35">
      <c r="B60" s="23" t="s">
        <v>14</v>
      </c>
      <c r="C60" s="46" t="s">
        <v>23</v>
      </c>
      <c r="D60" s="47" t="s">
        <v>23</v>
      </c>
      <c r="E60" s="47" t="s">
        <v>23</v>
      </c>
      <c r="F60" s="21" t="e">
        <f>SUM(F18:F57)</f>
        <v>#N/A</v>
      </c>
      <c r="G60" s="21" t="e">
        <f>SUM(G18:G57)</f>
        <v>#N/A</v>
      </c>
      <c r="H60" s="21" t="e">
        <f>SUM(H18:H57)</f>
        <v>#N/A</v>
      </c>
    </row>
    <row r="61" spans="1:8" ht="17.399999999999999" thickBot="1" x14ac:dyDescent="0.4">
      <c r="B61" s="163" t="s">
        <v>20</v>
      </c>
      <c r="C61" s="48" t="s">
        <v>23</v>
      </c>
      <c r="D61" s="49" t="s">
        <v>23</v>
      </c>
      <c r="E61" s="48" t="s">
        <v>23</v>
      </c>
      <c r="F61" s="24" t="e">
        <f>F59/F60</f>
        <v>#N/A</v>
      </c>
      <c r="G61" s="24" t="e">
        <f>G59/G60</f>
        <v>#N/A</v>
      </c>
      <c r="H61" s="24" t="e">
        <f>H59/H60</f>
        <v>#N/A</v>
      </c>
    </row>
    <row r="62" spans="1:8" ht="15" thickBot="1" x14ac:dyDescent="0.35">
      <c r="B62" s="26" t="s">
        <v>21</v>
      </c>
      <c r="C62" s="81" t="s">
        <v>23</v>
      </c>
      <c r="D62" s="81" t="s">
        <v>23</v>
      </c>
      <c r="E62" s="81" t="s">
        <v>23</v>
      </c>
      <c r="F62" s="81">
        <v>0.36299999999999999</v>
      </c>
      <c r="G62" s="81">
        <v>0.36299999999999999</v>
      </c>
      <c r="H62" s="81">
        <v>0.36299999999999999</v>
      </c>
    </row>
    <row r="63" spans="1:8" ht="15" thickBot="1" x14ac:dyDescent="0.35">
      <c r="B63" s="27" t="s">
        <v>22</v>
      </c>
      <c r="C63" s="50" t="s">
        <v>47</v>
      </c>
      <c r="D63" s="51" t="s">
        <v>47</v>
      </c>
      <c r="E63" s="51" t="s">
        <v>47</v>
      </c>
      <c r="F63" s="42" t="e">
        <f>IF(F61&gt;F62,"Fail","Pass")</f>
        <v>#N/A</v>
      </c>
      <c r="G63" s="43" t="e">
        <f>IF(G61&gt;G62,"Fail","Pass")</f>
        <v>#N/A</v>
      </c>
      <c r="H63" s="43" t="e">
        <f>IF(H61&gt;H62,"Fail","Pass")</f>
        <v>#N/A</v>
      </c>
    </row>
  </sheetData>
  <sheetProtection algorithmName="SHA-512" hashValue="nD5OiSzPNNh5gRpdKDg0qDFlEJEYkV/YiggNYNNfvk/W2lS6v8DGaHNyV8xiU9GMTzOzLpRamHOnlsv3knY+Tw==" saltValue="ek1qQKvgt8En2qnTkPax0g==" spinCount="100000" sheet="1" objects="1" scenarios="1"/>
  <mergeCells count="2">
    <mergeCell ref="C15:E15"/>
    <mergeCell ref="F15:H15"/>
  </mergeCells>
  <conditionalFormatting sqref="F63:H63">
    <cfRule type="containsText" dxfId="0" priority="1" operator="containsText" text="Fail">
      <formula>NOT(ISERROR(SEARCH("Fail",F63)))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4:AC50"/>
  <sheetViews>
    <sheetView workbookViewId="0">
      <selection activeCell="O49" sqref="O49"/>
    </sheetView>
  </sheetViews>
  <sheetFormatPr defaultRowHeight="14.4" x14ac:dyDescent="0.3"/>
  <cols>
    <col min="3" max="3" width="10.6640625" customWidth="1"/>
    <col min="4" max="4" width="11.33203125" customWidth="1"/>
    <col min="5" max="5" width="11.6640625" customWidth="1"/>
    <col min="6" max="6" width="11.109375" customWidth="1"/>
    <col min="7" max="7" width="12.5546875" customWidth="1"/>
    <col min="8" max="8" width="11.6640625" customWidth="1"/>
    <col min="9" max="9" width="12.33203125" customWidth="1"/>
    <col min="10" max="10" width="13.33203125" customWidth="1"/>
    <col min="11" max="11" width="11.88671875" customWidth="1"/>
    <col min="12" max="12" width="13" customWidth="1"/>
    <col min="13" max="13" width="13.44140625" customWidth="1"/>
    <col min="14" max="14" width="12.5546875" customWidth="1"/>
    <col min="15" max="15" width="16" customWidth="1"/>
    <col min="16" max="16" width="16.5546875" customWidth="1"/>
    <col min="17" max="17" width="16.44140625" customWidth="1"/>
    <col min="18" max="18" width="6.88671875" customWidth="1"/>
    <col min="19" max="19" width="18.44140625" customWidth="1"/>
    <col min="20" max="20" width="17.5546875" customWidth="1"/>
    <col min="21" max="21" width="16.44140625" bestFit="1" customWidth="1"/>
    <col min="28" max="28" width="31.88671875" customWidth="1"/>
    <col min="29" max="29" width="0.33203125" customWidth="1"/>
  </cols>
  <sheetData>
    <row r="4" spans="2:29" ht="15" thickBot="1" x14ac:dyDescent="0.35">
      <c r="K4" s="4"/>
      <c r="L4" s="4"/>
      <c r="M4" s="4"/>
      <c r="N4" s="4"/>
    </row>
    <row r="5" spans="2:29" ht="15" thickBot="1" x14ac:dyDescent="0.35">
      <c r="C5" s="340" t="s">
        <v>38</v>
      </c>
      <c r="D5" s="341"/>
      <c r="E5" s="342"/>
      <c r="F5" s="340" t="s">
        <v>39</v>
      </c>
      <c r="G5" s="341"/>
      <c r="H5" s="342"/>
      <c r="I5" s="341" t="s">
        <v>39</v>
      </c>
      <c r="J5" s="341"/>
      <c r="K5" s="346"/>
      <c r="O5" s="35"/>
      <c r="P5" s="36"/>
      <c r="Q5" s="7"/>
    </row>
    <row r="6" spans="2:29" ht="16.2" thickBot="1" x14ac:dyDescent="0.4">
      <c r="B6" s="10" t="s">
        <v>4</v>
      </c>
      <c r="C6" s="32" t="s">
        <v>40</v>
      </c>
      <c r="D6" s="32" t="s">
        <v>28</v>
      </c>
      <c r="E6" s="32" t="s">
        <v>41</v>
      </c>
      <c r="F6" s="32" t="s">
        <v>40</v>
      </c>
      <c r="G6" s="32" t="s">
        <v>28</v>
      </c>
      <c r="H6" s="22" t="s">
        <v>41</v>
      </c>
      <c r="I6" s="32" t="s">
        <v>56</v>
      </c>
      <c r="J6" s="22" t="s">
        <v>54</v>
      </c>
      <c r="K6" s="22" t="s">
        <v>55</v>
      </c>
      <c r="L6" s="22" t="s">
        <v>57</v>
      </c>
      <c r="M6" s="22" t="s">
        <v>58</v>
      </c>
      <c r="N6" s="22" t="s">
        <v>59</v>
      </c>
      <c r="O6" s="10" t="s">
        <v>60</v>
      </c>
      <c r="P6" s="10" t="s">
        <v>61</v>
      </c>
      <c r="Q6" s="10" t="s">
        <v>62</v>
      </c>
      <c r="R6" s="340" t="s">
        <v>68</v>
      </c>
      <c r="S6" s="341"/>
      <c r="T6" s="341"/>
      <c r="U6" s="341"/>
      <c r="V6" s="341"/>
      <c r="W6" s="341"/>
      <c r="X6" s="341"/>
      <c r="Y6" s="340" t="s">
        <v>71</v>
      </c>
      <c r="Z6" s="341"/>
      <c r="AA6" s="341"/>
      <c r="AB6" s="341"/>
      <c r="AC6" s="7"/>
    </row>
    <row r="7" spans="2:29" x14ac:dyDescent="0.3">
      <c r="B7" s="160">
        <v>1</v>
      </c>
      <c r="C7" s="6">
        <f>'Raw Data'!E7</f>
        <v>9.6999999999999993</v>
      </c>
      <c r="D7" s="6">
        <f>'Raw Data'!H7</f>
        <v>17.78242677824268</v>
      </c>
      <c r="E7" s="6">
        <f>'Raw Data'!K7</f>
        <v>25.638075313807533</v>
      </c>
      <c r="F7" s="147">
        <f>C7-'Weighted Average'!E7</f>
        <v>0.66000000000000014</v>
      </c>
      <c r="G7" s="135">
        <f>D7-'Weighted Average'!F7</f>
        <v>-1.1075732217573204</v>
      </c>
      <c r="H7" s="136">
        <f>E7-'Weighted Average'!G7</f>
        <v>0.18807531380753417</v>
      </c>
      <c r="I7" s="100" t="e">
        <f t="shared" ref="I7:I26" si="0">$F$47</f>
        <v>#N/A</v>
      </c>
      <c r="J7" s="95" t="e">
        <f t="shared" ref="J7:J26" si="1">$G$47</f>
        <v>#N/A</v>
      </c>
      <c r="K7" s="96" t="e">
        <f t="shared" ref="K7:K26" si="2">$H$47</f>
        <v>#N/A</v>
      </c>
      <c r="L7" s="52" t="e">
        <f>F7-I7</f>
        <v>#N/A</v>
      </c>
      <c r="M7" s="52" t="e">
        <f>G7-J7</f>
        <v>#N/A</v>
      </c>
      <c r="N7" s="53" t="e">
        <f>H7-K7</f>
        <v>#N/A</v>
      </c>
      <c r="O7" s="52" t="e">
        <f>L7*M7</f>
        <v>#N/A</v>
      </c>
      <c r="P7" s="52" t="e">
        <f>L7*N7</f>
        <v>#N/A</v>
      </c>
      <c r="Q7" s="53" t="e">
        <f>M7*N7</f>
        <v>#N/A</v>
      </c>
      <c r="Y7" s="65"/>
      <c r="Z7" s="66"/>
      <c r="AA7" s="66"/>
      <c r="AB7" s="66"/>
      <c r="AC7" s="67"/>
    </row>
    <row r="8" spans="2:29" ht="15" thickBot="1" x14ac:dyDescent="0.35">
      <c r="B8" s="160">
        <v>2</v>
      </c>
      <c r="C8" s="2">
        <f>'Raw Data'!E8</f>
        <v>8.9</v>
      </c>
      <c r="D8" s="2">
        <f>'Raw Data'!H8</f>
        <v>17.560462670872766</v>
      </c>
      <c r="E8" s="2">
        <f>'Raw Data'!K8</f>
        <v>25.036803364879077</v>
      </c>
      <c r="F8" s="3">
        <f>C8-'Weighted Average'!E8</f>
        <v>8.9999999999999858E-2</v>
      </c>
      <c r="G8" s="86">
        <f>D8-'Weighted Average'!F8</f>
        <v>-0.88953732912723282</v>
      </c>
      <c r="H8" s="87">
        <f>E8-'Weighted Average'!G8</f>
        <v>-0.20319663512092134</v>
      </c>
      <c r="I8" s="97" t="e">
        <f t="shared" si="0"/>
        <v>#N/A</v>
      </c>
      <c r="J8" s="98" t="e">
        <f t="shared" si="1"/>
        <v>#N/A</v>
      </c>
      <c r="K8" s="99" t="e">
        <f t="shared" si="2"/>
        <v>#N/A</v>
      </c>
      <c r="L8" s="54" t="e">
        <f t="shared" ref="L8:L46" si="3">F8-I8</f>
        <v>#N/A</v>
      </c>
      <c r="M8" s="55" t="e">
        <f t="shared" ref="M8:M46" si="4">G8-J8</f>
        <v>#N/A</v>
      </c>
      <c r="N8" s="56" t="e">
        <f t="shared" ref="N8:N46" si="5">H8-K8</f>
        <v>#N/A</v>
      </c>
      <c r="O8" s="54" t="e">
        <f t="shared" ref="O8:O46" si="6">L8*M8</f>
        <v>#N/A</v>
      </c>
      <c r="P8" s="55" t="e">
        <f t="shared" ref="P8:P46" si="7">L8*N8</f>
        <v>#N/A</v>
      </c>
      <c r="Q8" s="56" t="e">
        <f t="shared" ref="Q8:Q46" si="8">M8*N8</f>
        <v>#N/A</v>
      </c>
      <c r="Y8" s="65"/>
      <c r="Z8" s="66"/>
      <c r="AA8" s="66"/>
      <c r="AB8" s="66"/>
      <c r="AC8" s="67"/>
    </row>
    <row r="9" spans="2:29" ht="15" thickBot="1" x14ac:dyDescent="0.35">
      <c r="B9" s="160">
        <v>3</v>
      </c>
      <c r="C9" s="2">
        <f>'Raw Data'!E9</f>
        <v>9.1999999999999993</v>
      </c>
      <c r="D9" s="2">
        <f>'Raw Data'!H9</f>
        <v>16.062176165803109</v>
      </c>
      <c r="E9" s="6">
        <f>'Raw Data'!K9</f>
        <v>26.569948186528496</v>
      </c>
      <c r="F9" s="3">
        <f>C9-'Weighted Average'!E9</f>
        <v>0.42999999999999972</v>
      </c>
      <c r="G9" s="94">
        <f>D9-'Weighted Average'!F9</f>
        <v>-0.32782383419689154</v>
      </c>
      <c r="H9" s="88">
        <f>E9-'Weighted Average'!G9</f>
        <v>5.9948186528494318E-2</v>
      </c>
      <c r="I9" s="100" t="e">
        <f t="shared" si="0"/>
        <v>#N/A</v>
      </c>
      <c r="J9" s="95" t="e">
        <f t="shared" si="1"/>
        <v>#N/A</v>
      </c>
      <c r="K9" s="96" t="e">
        <f t="shared" si="2"/>
        <v>#N/A</v>
      </c>
      <c r="L9" s="37" t="e">
        <f t="shared" si="3"/>
        <v>#N/A</v>
      </c>
      <c r="M9" s="52" t="e">
        <f t="shared" si="4"/>
        <v>#N/A</v>
      </c>
      <c r="N9" s="53" t="e">
        <f t="shared" si="5"/>
        <v>#N/A</v>
      </c>
      <c r="O9" s="37" t="e">
        <f t="shared" si="6"/>
        <v>#N/A</v>
      </c>
      <c r="P9" s="52" t="e">
        <f t="shared" si="7"/>
        <v>#N/A</v>
      </c>
      <c r="Q9" s="53" t="e">
        <f t="shared" si="8"/>
        <v>#N/A</v>
      </c>
      <c r="R9" s="64"/>
      <c r="S9" s="347" t="s">
        <v>69</v>
      </c>
      <c r="T9" s="348"/>
      <c r="U9" s="348"/>
      <c r="V9" s="348"/>
      <c r="W9" s="348"/>
      <c r="X9" s="36"/>
      <c r="Y9" s="65"/>
      <c r="Z9" s="68"/>
      <c r="AA9" s="68"/>
      <c r="AB9" s="69"/>
      <c r="AC9" s="67"/>
    </row>
    <row r="10" spans="2:29" x14ac:dyDescent="0.3">
      <c r="B10" s="160">
        <v>4</v>
      </c>
      <c r="C10" s="2">
        <f>'Raw Data'!E10</f>
        <v>8.6</v>
      </c>
      <c r="D10" s="2">
        <f>'Raw Data'!H10</f>
        <v>19.832985386221296</v>
      </c>
      <c r="E10" s="6">
        <f>'Raw Data'!K10</f>
        <v>25.093945720250524</v>
      </c>
      <c r="F10" s="3">
        <f>C10-'Weighted Average'!E10</f>
        <v>-0.13000000000000078</v>
      </c>
      <c r="G10" s="86">
        <f>D10-'Weighted Average'!F10</f>
        <v>0.68298538622129712</v>
      </c>
      <c r="H10" s="87">
        <f>E10-'Weighted Average'!G10</f>
        <v>-0.52605427974947716</v>
      </c>
      <c r="I10" s="97" t="e">
        <f t="shared" si="0"/>
        <v>#N/A</v>
      </c>
      <c r="J10" s="98" t="e">
        <f t="shared" si="1"/>
        <v>#N/A</v>
      </c>
      <c r="K10" s="99" t="e">
        <f t="shared" si="2"/>
        <v>#N/A</v>
      </c>
      <c r="L10" s="54" t="e">
        <f t="shared" si="3"/>
        <v>#N/A</v>
      </c>
      <c r="M10" s="55" t="e">
        <f t="shared" si="4"/>
        <v>#N/A</v>
      </c>
      <c r="N10" s="56" t="e">
        <f t="shared" si="5"/>
        <v>#N/A</v>
      </c>
      <c r="O10" s="54" t="e">
        <f t="shared" si="6"/>
        <v>#N/A</v>
      </c>
      <c r="P10" s="55" t="e">
        <f t="shared" si="7"/>
        <v>#N/A</v>
      </c>
      <c r="Q10" s="56" t="e">
        <f t="shared" si="8"/>
        <v>#N/A</v>
      </c>
      <c r="R10" s="37"/>
      <c r="S10" s="37"/>
      <c r="Y10" s="65"/>
      <c r="Z10" s="66"/>
      <c r="AA10" s="68"/>
      <c r="AB10" s="68"/>
      <c r="AC10" s="70"/>
    </row>
    <row r="11" spans="2:29" x14ac:dyDescent="0.3">
      <c r="B11" s="160">
        <v>5</v>
      </c>
      <c r="C11" s="2">
        <f>'Raw Data'!E11</f>
        <v>8.5</v>
      </c>
      <c r="D11" s="2">
        <f>'Raw Data'!H11</f>
        <v>17.793964620187307</v>
      </c>
      <c r="E11" s="6">
        <f>'Raw Data'!K11</f>
        <v>25.858480749219563</v>
      </c>
      <c r="F11" s="3">
        <f>C11-'Weighted Average'!E11</f>
        <v>-0.21000000000000085</v>
      </c>
      <c r="G11" s="94">
        <f>D11-'Weighted Average'!F11</f>
        <v>-0.60603537981269184</v>
      </c>
      <c r="H11" s="88">
        <f>E11-'Weighted Average'!G11</f>
        <v>0.25848074921956155</v>
      </c>
      <c r="I11" s="100" t="e">
        <f t="shared" si="0"/>
        <v>#N/A</v>
      </c>
      <c r="J11" s="95" t="e">
        <f t="shared" si="1"/>
        <v>#N/A</v>
      </c>
      <c r="K11" s="96" t="e">
        <f t="shared" si="2"/>
        <v>#N/A</v>
      </c>
      <c r="L11" s="37" t="e">
        <f t="shared" si="3"/>
        <v>#N/A</v>
      </c>
      <c r="M11" s="52" t="e">
        <f t="shared" si="4"/>
        <v>#N/A</v>
      </c>
      <c r="N11" s="53" t="e">
        <f t="shared" si="5"/>
        <v>#N/A</v>
      </c>
      <c r="O11" s="37" t="e">
        <f t="shared" si="6"/>
        <v>#N/A</v>
      </c>
      <c r="P11" s="52" t="e">
        <f t="shared" si="7"/>
        <v>#N/A</v>
      </c>
      <c r="Q11" s="53" t="e">
        <f t="shared" si="8"/>
        <v>#N/A</v>
      </c>
      <c r="Y11" s="65"/>
      <c r="Z11" s="66"/>
      <c r="AA11" s="66"/>
      <c r="AB11" s="66"/>
      <c r="AC11" s="67"/>
    </row>
    <row r="12" spans="2:29" x14ac:dyDescent="0.3">
      <c r="B12" s="160">
        <v>6</v>
      </c>
      <c r="C12" s="2">
        <f>'Raw Data'!E12</f>
        <v>8.5</v>
      </c>
      <c r="D12" s="2">
        <f>'Raw Data'!H12</f>
        <v>18.743455497382197</v>
      </c>
      <c r="E12" s="6">
        <f>'Raw Data'!K12</f>
        <v>25.267015706806284</v>
      </c>
      <c r="F12" s="3">
        <f>C12-'Weighted Average'!E12</f>
        <v>5.0000000000000711E-2</v>
      </c>
      <c r="G12" s="86">
        <f>D12-'Weighted Average'!F12</f>
        <v>0.7534554973821983</v>
      </c>
      <c r="H12" s="87">
        <f>E12-'Weighted Average'!G12</f>
        <v>-0.30298429319371678</v>
      </c>
      <c r="I12" s="97" t="e">
        <f t="shared" si="0"/>
        <v>#N/A</v>
      </c>
      <c r="J12" s="98" t="e">
        <f t="shared" si="1"/>
        <v>#N/A</v>
      </c>
      <c r="K12" s="99" t="e">
        <f t="shared" si="2"/>
        <v>#N/A</v>
      </c>
      <c r="L12" s="54" t="e">
        <f t="shared" si="3"/>
        <v>#N/A</v>
      </c>
      <c r="M12" s="55" t="e">
        <f t="shared" si="4"/>
        <v>#N/A</v>
      </c>
      <c r="N12" s="56" t="e">
        <f t="shared" si="5"/>
        <v>#N/A</v>
      </c>
      <c r="O12" s="54" t="e">
        <f t="shared" si="6"/>
        <v>#N/A</v>
      </c>
      <c r="P12" s="55" t="e">
        <f t="shared" si="7"/>
        <v>#N/A</v>
      </c>
      <c r="Q12" s="56" t="e">
        <f t="shared" si="8"/>
        <v>#N/A</v>
      </c>
      <c r="Y12" s="65"/>
      <c r="Z12" s="66"/>
      <c r="AA12" s="66"/>
      <c r="AB12" s="66"/>
      <c r="AC12" s="67"/>
    </row>
    <row r="13" spans="2:29" x14ac:dyDescent="0.3">
      <c r="B13" s="160">
        <v>7</v>
      </c>
      <c r="C13" s="2">
        <f>'Raw Data'!E13</f>
        <v>8.3000000000000007</v>
      </c>
      <c r="D13" s="2">
        <f>'Raw Data'!H13</f>
        <v>18.382352941176471</v>
      </c>
      <c r="E13" s="6">
        <f>'Raw Data'!K13</f>
        <v>25.997899159663866</v>
      </c>
      <c r="F13" s="3">
        <f>C13-'Weighted Average'!E13</f>
        <v>-0.4399999999999995</v>
      </c>
      <c r="G13" s="94">
        <f>D13-'Weighted Average'!F13</f>
        <v>-1.6276470588235306</v>
      </c>
      <c r="H13" s="88">
        <f>E13-'Weighted Average'!G13</f>
        <v>0.91789915966386815</v>
      </c>
      <c r="I13" s="100" t="e">
        <f t="shared" si="0"/>
        <v>#N/A</v>
      </c>
      <c r="J13" s="95" t="e">
        <f t="shared" si="1"/>
        <v>#N/A</v>
      </c>
      <c r="K13" s="96" t="e">
        <f t="shared" si="2"/>
        <v>#N/A</v>
      </c>
      <c r="L13" s="37" t="e">
        <f t="shared" si="3"/>
        <v>#N/A</v>
      </c>
      <c r="M13" s="52" t="e">
        <f t="shared" si="4"/>
        <v>#N/A</v>
      </c>
      <c r="N13" s="53" t="e">
        <f t="shared" si="5"/>
        <v>#N/A</v>
      </c>
      <c r="O13" s="37" t="e">
        <f t="shared" si="6"/>
        <v>#N/A</v>
      </c>
      <c r="P13" s="52" t="e">
        <f t="shared" si="7"/>
        <v>#N/A</v>
      </c>
      <c r="Q13" s="53" t="e">
        <f t="shared" si="8"/>
        <v>#N/A</v>
      </c>
      <c r="R13" s="9"/>
      <c r="S13" s="102" t="e">
        <f>F47</f>
        <v>#N/A</v>
      </c>
      <c r="T13" s="100" t="e">
        <f>G47</f>
        <v>#N/A</v>
      </c>
      <c r="U13" s="100" t="e">
        <f>H47</f>
        <v>#N/A</v>
      </c>
      <c r="Y13" s="349" t="s">
        <v>48</v>
      </c>
      <c r="Z13" s="350"/>
      <c r="AA13" s="350"/>
      <c r="AB13" s="350"/>
      <c r="AC13" s="351"/>
    </row>
    <row r="14" spans="2:29" x14ac:dyDescent="0.3">
      <c r="B14" s="160">
        <v>8</v>
      </c>
      <c r="C14" s="2">
        <f>'Raw Data'!E14</f>
        <v>8.5</v>
      </c>
      <c r="D14" s="2">
        <f>'Raw Data'!H14</f>
        <v>19.456066945606697</v>
      </c>
      <c r="E14" s="6">
        <f>'Raw Data'!K14</f>
        <v>24.414225941422597</v>
      </c>
      <c r="F14" s="88">
        <f>C14-'Weighted Average'!E14</f>
        <v>-9.9999999999999645E-2</v>
      </c>
      <c r="G14" s="86">
        <f>D14-'Weighted Average'!F14</f>
        <v>0.13606694560669652</v>
      </c>
      <c r="H14" s="87">
        <f>E14-'Weighted Average'!G14</f>
        <v>-0.28577405857740246</v>
      </c>
      <c r="I14" s="97" t="e">
        <f t="shared" si="0"/>
        <v>#N/A</v>
      </c>
      <c r="J14" s="98" t="e">
        <f t="shared" si="1"/>
        <v>#N/A</v>
      </c>
      <c r="K14" s="99" t="e">
        <f t="shared" si="2"/>
        <v>#N/A</v>
      </c>
      <c r="L14" s="54" t="e">
        <f t="shared" si="3"/>
        <v>#N/A</v>
      </c>
      <c r="M14" s="55" t="e">
        <f t="shared" si="4"/>
        <v>#N/A</v>
      </c>
      <c r="N14" s="56" t="e">
        <f t="shared" si="5"/>
        <v>#N/A</v>
      </c>
      <c r="O14" s="54" t="e">
        <f t="shared" si="6"/>
        <v>#N/A</v>
      </c>
      <c r="P14" s="55" t="e">
        <f t="shared" si="7"/>
        <v>#N/A</v>
      </c>
      <c r="Q14" s="56" t="e">
        <f t="shared" si="8"/>
        <v>#N/A</v>
      </c>
      <c r="Y14" s="65"/>
      <c r="Z14" s="66"/>
      <c r="AA14" s="66"/>
      <c r="AB14" s="66"/>
      <c r="AC14" s="67"/>
    </row>
    <row r="15" spans="2:29" x14ac:dyDescent="0.3">
      <c r="B15" s="160">
        <v>9</v>
      </c>
      <c r="C15" s="2">
        <f>'Raw Data'!E15</f>
        <v>8.8000000000000007</v>
      </c>
      <c r="D15" s="2">
        <f>'Raw Data'!H15</f>
        <v>18.46473029045643</v>
      </c>
      <c r="E15" s="6">
        <f>'Raw Data'!K15</f>
        <v>25.456431535269708</v>
      </c>
      <c r="F15" s="150">
        <f>C15-'Weighted Average'!E15</f>
        <v>0.15000000000000036</v>
      </c>
      <c r="G15" s="94">
        <f>D15-'Weighted Average'!F15</f>
        <v>-1.5269709543570542E-2</v>
      </c>
      <c r="H15" s="88">
        <f>E15-'Weighted Average'!G15</f>
        <v>-0.1435684647302935</v>
      </c>
      <c r="I15" s="100" t="e">
        <f t="shared" si="0"/>
        <v>#N/A</v>
      </c>
      <c r="J15" s="95" t="e">
        <f t="shared" si="1"/>
        <v>#N/A</v>
      </c>
      <c r="K15" s="96" t="e">
        <f t="shared" si="2"/>
        <v>#N/A</v>
      </c>
      <c r="L15" s="37" t="e">
        <f t="shared" si="3"/>
        <v>#N/A</v>
      </c>
      <c r="M15" s="52" t="e">
        <f t="shared" si="4"/>
        <v>#N/A</v>
      </c>
      <c r="N15" s="53" t="e">
        <f t="shared" si="5"/>
        <v>#N/A</v>
      </c>
      <c r="O15" s="37" t="e">
        <f t="shared" si="6"/>
        <v>#N/A</v>
      </c>
      <c r="P15" s="52" t="e">
        <f t="shared" si="7"/>
        <v>#N/A</v>
      </c>
      <c r="Q15" s="53" t="e">
        <f t="shared" si="8"/>
        <v>#N/A</v>
      </c>
      <c r="Y15" s="65"/>
      <c r="Z15" s="66"/>
      <c r="AA15" s="66"/>
      <c r="AB15" s="66"/>
      <c r="AC15" s="67"/>
    </row>
    <row r="16" spans="2:29" ht="18.75" customHeight="1" thickBot="1" x14ac:dyDescent="0.4">
      <c r="B16" s="160">
        <v>10</v>
      </c>
      <c r="C16" s="2">
        <f>'Raw Data'!E16</f>
        <v>8.6</v>
      </c>
      <c r="D16" s="2">
        <f>'Raw Data'!H16</f>
        <v>18.704284221525597</v>
      </c>
      <c r="E16" s="6">
        <f>'Raw Data'!K16</f>
        <v>24.973876698014628</v>
      </c>
      <c r="F16" s="88">
        <f>C16-'Weighted Average'!E16</f>
        <v>-9.9999999999999645E-2</v>
      </c>
      <c r="G16" s="94">
        <f>D16-'Weighted Average'!F16</f>
        <v>-0.77571577847440309</v>
      </c>
      <c r="H16" s="88">
        <f>E16-'Weighted Average'!G16</f>
        <v>-0.10612330198537023</v>
      </c>
      <c r="I16" s="97" t="e">
        <f t="shared" si="0"/>
        <v>#N/A</v>
      </c>
      <c r="J16" s="98" t="e">
        <f t="shared" si="1"/>
        <v>#N/A</v>
      </c>
      <c r="K16" s="99" t="e">
        <f t="shared" si="2"/>
        <v>#N/A</v>
      </c>
      <c r="L16" s="54" t="e">
        <f t="shared" si="3"/>
        <v>#N/A</v>
      </c>
      <c r="M16" s="55" t="e">
        <f t="shared" si="4"/>
        <v>#N/A</v>
      </c>
      <c r="N16" s="56" t="e">
        <f t="shared" si="5"/>
        <v>#N/A</v>
      </c>
      <c r="O16" s="54" t="e">
        <f t="shared" si="6"/>
        <v>#N/A</v>
      </c>
      <c r="P16" s="55" t="e">
        <f t="shared" si="7"/>
        <v>#N/A</v>
      </c>
      <c r="Q16" s="56" t="e">
        <f t="shared" si="8"/>
        <v>#N/A</v>
      </c>
      <c r="R16" s="57"/>
      <c r="Y16" s="65"/>
      <c r="Z16" s="66" t="s">
        <v>24</v>
      </c>
      <c r="AA16" s="71">
        <v>1</v>
      </c>
      <c r="AB16" s="352" t="s">
        <v>26</v>
      </c>
      <c r="AC16" s="67"/>
    </row>
    <row r="17" spans="2:29" ht="15" customHeight="1" x14ac:dyDescent="0.3">
      <c r="B17" s="160">
        <v>11</v>
      </c>
      <c r="C17" s="2">
        <f>'Raw Data'!E17</f>
        <v>8.6999999999999993</v>
      </c>
      <c r="D17" s="2">
        <f>'Raw Data'!H17</f>
        <v>22.708333333333332</v>
      </c>
      <c r="E17" s="6">
        <f>'Raw Data'!K17</f>
        <v>23.65625</v>
      </c>
      <c r="F17" s="86">
        <f>C17-'Weighted Average'!E17</f>
        <v>-0.15000000000000036</v>
      </c>
      <c r="G17" s="86">
        <f>D17-'Weighted Average'!F17</f>
        <v>2.7883333333333304</v>
      </c>
      <c r="H17" s="87">
        <f>E17-'Weighted Average'!G17</f>
        <v>-1.2337500000000006</v>
      </c>
      <c r="I17" s="100" t="e">
        <f t="shared" si="0"/>
        <v>#N/A</v>
      </c>
      <c r="J17" s="95" t="e">
        <f t="shared" si="1"/>
        <v>#N/A</v>
      </c>
      <c r="K17" s="96" t="e">
        <f t="shared" si="2"/>
        <v>#N/A</v>
      </c>
      <c r="L17" s="37" t="e">
        <f t="shared" si="3"/>
        <v>#N/A</v>
      </c>
      <c r="M17" s="52" t="e">
        <f t="shared" si="4"/>
        <v>#N/A</v>
      </c>
      <c r="N17" s="53" t="e">
        <f t="shared" si="5"/>
        <v>#N/A</v>
      </c>
      <c r="O17" s="37" t="e">
        <f t="shared" si="6"/>
        <v>#N/A</v>
      </c>
      <c r="P17" s="52" t="e">
        <f t="shared" si="7"/>
        <v>#N/A</v>
      </c>
      <c r="Q17" s="53" t="e">
        <f t="shared" si="8"/>
        <v>#N/A</v>
      </c>
      <c r="R17" s="58"/>
      <c r="Y17" s="65"/>
      <c r="Z17" s="66"/>
      <c r="AA17" s="72" t="s">
        <v>25</v>
      </c>
      <c r="AB17" s="353"/>
      <c r="AC17" s="67"/>
    </row>
    <row r="18" spans="2:29" ht="15" customHeight="1" x14ac:dyDescent="0.3">
      <c r="B18" s="160">
        <v>12</v>
      </c>
      <c r="C18" s="2">
        <f>'Raw Data'!E18</f>
        <v>9.3000000000000007</v>
      </c>
      <c r="D18" s="2">
        <f>'Raw Data'!H18</f>
        <v>16.666666666666671</v>
      </c>
      <c r="E18" s="6">
        <f>'Raw Data'!K18</f>
        <v>26.138716356107661</v>
      </c>
      <c r="F18" s="3">
        <f>C18-'Weighted Average'!E18</f>
        <v>0.5</v>
      </c>
      <c r="G18" s="94">
        <f>D18-'Weighted Average'!F18</f>
        <v>-1.7233333333333292</v>
      </c>
      <c r="H18" s="88">
        <f>E18-'Weighted Average'!G18</f>
        <v>0.40871635610766077</v>
      </c>
      <c r="I18" s="97" t="e">
        <f t="shared" si="0"/>
        <v>#N/A</v>
      </c>
      <c r="J18" s="98" t="e">
        <f t="shared" si="1"/>
        <v>#N/A</v>
      </c>
      <c r="K18" s="99" t="e">
        <f t="shared" si="2"/>
        <v>#N/A</v>
      </c>
      <c r="L18" s="54" t="e">
        <f t="shared" si="3"/>
        <v>#N/A</v>
      </c>
      <c r="M18" s="55" t="e">
        <f t="shared" si="4"/>
        <v>#N/A</v>
      </c>
      <c r="N18" s="56" t="e">
        <f t="shared" si="5"/>
        <v>#N/A</v>
      </c>
      <c r="O18" s="54" t="e">
        <f t="shared" si="6"/>
        <v>#N/A</v>
      </c>
      <c r="P18" s="55" t="e">
        <f t="shared" si="7"/>
        <v>#N/A</v>
      </c>
      <c r="Q18" s="56" t="e">
        <f t="shared" si="8"/>
        <v>#N/A</v>
      </c>
      <c r="R18" s="29"/>
      <c r="Y18" s="65"/>
      <c r="Z18" s="66"/>
      <c r="AA18" s="66"/>
      <c r="AB18" s="73" t="s">
        <v>27</v>
      </c>
      <c r="AC18" s="67"/>
    </row>
    <row r="19" spans="2:29" x14ac:dyDescent="0.3">
      <c r="B19" s="160">
        <v>13</v>
      </c>
      <c r="C19" s="2">
        <f>'Raw Data'!E19</f>
        <v>8.8000000000000007</v>
      </c>
      <c r="D19" s="85">
        <f>'Raw Data'!H19</f>
        <v>19.182389937106919</v>
      </c>
      <c r="E19" s="6">
        <f>'Raw Data'!K19</f>
        <v>24.884696016771485</v>
      </c>
      <c r="F19" s="3">
        <f>C19-'Weighted Average'!E19</f>
        <v>0.40000000000000036</v>
      </c>
      <c r="G19" s="86">
        <f>D19-'Weighted Average'!F19</f>
        <v>-0.40761006289308099</v>
      </c>
      <c r="H19" s="87">
        <f>E19-'Weighted Average'!G19</f>
        <v>-0.67530398322851326</v>
      </c>
      <c r="I19" s="100" t="e">
        <f t="shared" si="0"/>
        <v>#N/A</v>
      </c>
      <c r="J19" s="95" t="e">
        <f t="shared" si="1"/>
        <v>#N/A</v>
      </c>
      <c r="K19" s="96" t="e">
        <f t="shared" si="2"/>
        <v>#N/A</v>
      </c>
      <c r="L19" s="37" t="e">
        <f t="shared" si="3"/>
        <v>#N/A</v>
      </c>
      <c r="M19" s="52" t="e">
        <f t="shared" si="4"/>
        <v>#N/A</v>
      </c>
      <c r="N19" s="53" t="e">
        <f t="shared" si="5"/>
        <v>#N/A</v>
      </c>
      <c r="O19" s="37" t="e">
        <f t="shared" si="6"/>
        <v>#N/A</v>
      </c>
      <c r="P19" s="52" t="e">
        <f t="shared" si="7"/>
        <v>#N/A</v>
      </c>
      <c r="Q19" s="53" t="e">
        <f t="shared" si="8"/>
        <v>#N/A</v>
      </c>
      <c r="S19" s="106" t="e">
        <f>$F$48</f>
        <v>#N/A</v>
      </c>
      <c r="T19" s="106" t="e">
        <f>$O$49</f>
        <v>#N/A</v>
      </c>
      <c r="U19" s="106" t="e">
        <f>$P$49</f>
        <v>#N/A</v>
      </c>
      <c r="Y19" s="65"/>
      <c r="Z19" s="66"/>
      <c r="AA19" s="66"/>
      <c r="AB19" s="66"/>
      <c r="AC19" s="67"/>
    </row>
    <row r="20" spans="2:29" ht="15.6" x14ac:dyDescent="0.35">
      <c r="B20" s="160">
        <v>14</v>
      </c>
      <c r="C20" s="2">
        <f>'Raw Data'!E20</f>
        <v>8.8000000000000007</v>
      </c>
      <c r="D20" s="2">
        <f>'Raw Data'!H20</f>
        <v>19.7286012526096</v>
      </c>
      <c r="E20" s="6">
        <f>'Raw Data'!K20</f>
        <v>25.1356993736952</v>
      </c>
      <c r="F20" s="3">
        <f>C20-'Weighted Average'!E20</f>
        <v>-0.14999999999999858</v>
      </c>
      <c r="G20" s="94">
        <f>D20-'Weighted Average'!F20</f>
        <v>0.19860125260959904</v>
      </c>
      <c r="H20" s="88">
        <f>E20-'Weighted Average'!G20</f>
        <v>-0.14430062630480123</v>
      </c>
      <c r="I20" s="97" t="e">
        <f t="shared" si="0"/>
        <v>#N/A</v>
      </c>
      <c r="J20" s="98" t="e">
        <f t="shared" si="1"/>
        <v>#N/A</v>
      </c>
      <c r="K20" s="99" t="e">
        <f t="shared" si="2"/>
        <v>#N/A</v>
      </c>
      <c r="L20" s="54" t="e">
        <f t="shared" si="3"/>
        <v>#N/A</v>
      </c>
      <c r="M20" s="55" t="e">
        <f t="shared" si="4"/>
        <v>#N/A</v>
      </c>
      <c r="N20" s="56" t="e">
        <f t="shared" si="5"/>
        <v>#N/A</v>
      </c>
      <c r="O20" s="54" t="e">
        <f t="shared" si="6"/>
        <v>#N/A</v>
      </c>
      <c r="P20" s="55" t="e">
        <f t="shared" si="7"/>
        <v>#N/A</v>
      </c>
      <c r="Q20" s="56" t="e">
        <f t="shared" si="8"/>
        <v>#N/A</v>
      </c>
      <c r="R20" s="31" t="s">
        <v>70</v>
      </c>
      <c r="S20" s="105"/>
      <c r="T20" s="105"/>
      <c r="U20" s="105"/>
      <c r="Y20" s="65"/>
      <c r="Z20" s="74" t="s">
        <v>50</v>
      </c>
      <c r="AA20" s="74" t="s">
        <v>49</v>
      </c>
      <c r="AB20" s="74"/>
      <c r="AC20" s="67"/>
    </row>
    <row r="21" spans="2:29" x14ac:dyDescent="0.3">
      <c r="B21" s="160">
        <v>15</v>
      </c>
      <c r="C21" s="2">
        <f>'Raw Data'!E21</f>
        <v>9</v>
      </c>
      <c r="D21" s="2">
        <f>'Raw Data'!H21</f>
        <v>19.182389937106919</v>
      </c>
      <c r="E21" s="6">
        <f>'Raw Data'!K21</f>
        <v>25.419287211740041</v>
      </c>
      <c r="F21" s="3">
        <f>C21-'Weighted Average'!E21</f>
        <v>-0.49000000000000021</v>
      </c>
      <c r="G21" s="86">
        <f>D21-'Weighted Average'!F21</f>
        <v>-1.8976100628930794</v>
      </c>
      <c r="H21" s="87">
        <f>E21-'Weighted Average'!G21</f>
        <v>0.66928721174004124</v>
      </c>
      <c r="I21" s="100" t="e">
        <f t="shared" si="0"/>
        <v>#N/A</v>
      </c>
      <c r="J21" s="95" t="e">
        <f t="shared" si="1"/>
        <v>#N/A</v>
      </c>
      <c r="K21" s="96" t="e">
        <f t="shared" si="2"/>
        <v>#N/A</v>
      </c>
      <c r="L21" s="37" t="e">
        <f t="shared" si="3"/>
        <v>#N/A</v>
      </c>
      <c r="M21" s="52" t="e">
        <f t="shared" si="4"/>
        <v>#N/A</v>
      </c>
      <c r="N21" s="53" t="e">
        <f t="shared" si="5"/>
        <v>#N/A</v>
      </c>
      <c r="O21" s="37" t="e">
        <f t="shared" si="6"/>
        <v>#N/A</v>
      </c>
      <c r="P21" s="52" t="e">
        <f t="shared" si="7"/>
        <v>#N/A</v>
      </c>
      <c r="Q21" s="53" t="e">
        <f t="shared" si="8"/>
        <v>#N/A</v>
      </c>
      <c r="S21" s="106" t="e">
        <f>$O$49</f>
        <v>#N/A</v>
      </c>
      <c r="T21" s="106" t="e">
        <f>$G$48</f>
        <v>#N/A</v>
      </c>
      <c r="U21" s="106" t="e">
        <f>$Q$49</f>
        <v>#N/A</v>
      </c>
      <c r="Y21" s="65"/>
      <c r="Z21" s="66"/>
      <c r="AA21" s="66"/>
      <c r="AB21" s="66"/>
      <c r="AC21" s="67"/>
    </row>
    <row r="22" spans="2:29" x14ac:dyDescent="0.3">
      <c r="B22" s="160">
        <v>16</v>
      </c>
      <c r="C22" s="2">
        <f>'Raw Data'!E22</f>
        <v>9.8000000000000007</v>
      </c>
      <c r="D22" s="2">
        <f>'Raw Data'!H22</f>
        <v>20.867768595041323</v>
      </c>
      <c r="E22" s="6">
        <f>'Raw Data'!K22</f>
        <v>24.586776859504134</v>
      </c>
      <c r="F22" s="3">
        <f>C22-'Weighted Average'!E22</f>
        <v>0.85000000000000142</v>
      </c>
      <c r="G22" s="94">
        <f>D22-'Weighted Average'!F22</f>
        <v>1.6777685950413215</v>
      </c>
      <c r="H22" s="88">
        <f>E22-'Weighted Average'!G22</f>
        <v>-0.74322314049586424</v>
      </c>
      <c r="I22" s="97" t="e">
        <f t="shared" si="0"/>
        <v>#N/A</v>
      </c>
      <c r="J22" s="98" t="e">
        <f t="shared" si="1"/>
        <v>#N/A</v>
      </c>
      <c r="K22" s="99" t="e">
        <f t="shared" si="2"/>
        <v>#N/A</v>
      </c>
      <c r="L22" s="54" t="e">
        <f t="shared" si="3"/>
        <v>#N/A</v>
      </c>
      <c r="M22" s="55" t="e">
        <f t="shared" si="4"/>
        <v>#N/A</v>
      </c>
      <c r="N22" s="56" t="e">
        <f t="shared" si="5"/>
        <v>#N/A</v>
      </c>
      <c r="O22" s="54" t="e">
        <f t="shared" si="6"/>
        <v>#N/A</v>
      </c>
      <c r="P22" s="55" t="e">
        <f t="shared" si="7"/>
        <v>#N/A</v>
      </c>
      <c r="Q22" s="56" t="e">
        <f t="shared" si="8"/>
        <v>#N/A</v>
      </c>
      <c r="R22" s="59"/>
      <c r="S22" s="105"/>
      <c r="T22" s="105"/>
      <c r="U22" s="105"/>
      <c r="Y22" s="65"/>
      <c r="Z22" s="354" t="s">
        <v>52</v>
      </c>
      <c r="AA22" s="354" t="s">
        <v>51</v>
      </c>
      <c r="AB22" s="355" t="s">
        <v>53</v>
      </c>
      <c r="AC22" s="67"/>
    </row>
    <row r="23" spans="2:29" ht="18" customHeight="1" x14ac:dyDescent="0.3">
      <c r="B23" s="160">
        <v>17</v>
      </c>
      <c r="C23" s="2">
        <f>'Raw Data'!E23</f>
        <v>8.8000000000000007</v>
      </c>
      <c r="D23" s="3">
        <f>'Raw Data'!H23</f>
        <v>19.01776384535005</v>
      </c>
      <c r="E23" s="6">
        <f>'Raw Data'!K23</f>
        <v>25.360501567398117</v>
      </c>
      <c r="F23" s="3">
        <f>C23-'Weighted Average'!E23</f>
        <v>-0.25999999999999979</v>
      </c>
      <c r="G23" s="86">
        <f>D23-'Weighted Average'!F23</f>
        <v>-1.4922361546499516</v>
      </c>
      <c r="H23" s="87">
        <f>E23-'Weighted Average'!G23</f>
        <v>0.7605015673981157</v>
      </c>
      <c r="I23" s="100" t="e">
        <f t="shared" si="0"/>
        <v>#N/A</v>
      </c>
      <c r="J23" s="95" t="e">
        <f t="shared" si="1"/>
        <v>#N/A</v>
      </c>
      <c r="K23" s="96" t="e">
        <f t="shared" si="2"/>
        <v>#N/A</v>
      </c>
      <c r="L23" s="37" t="e">
        <f t="shared" si="3"/>
        <v>#N/A</v>
      </c>
      <c r="M23" s="52" t="e">
        <f t="shared" si="4"/>
        <v>#N/A</v>
      </c>
      <c r="N23" s="53" t="e">
        <f t="shared" si="5"/>
        <v>#N/A</v>
      </c>
      <c r="O23" s="37" t="e">
        <f t="shared" si="6"/>
        <v>#N/A</v>
      </c>
      <c r="P23" s="52" t="e">
        <f t="shared" si="7"/>
        <v>#N/A</v>
      </c>
      <c r="Q23" s="53" t="e">
        <f t="shared" si="8"/>
        <v>#N/A</v>
      </c>
      <c r="R23" s="59"/>
      <c r="S23" s="106" t="e">
        <f>$P$49</f>
        <v>#N/A</v>
      </c>
      <c r="T23" s="106" t="e">
        <f>$Q$49</f>
        <v>#N/A</v>
      </c>
      <c r="U23" s="106" t="e">
        <f>$H$48</f>
        <v>#N/A</v>
      </c>
      <c r="Y23" s="65"/>
      <c r="Z23" s="354"/>
      <c r="AA23" s="354"/>
      <c r="AB23" s="355"/>
      <c r="AC23" s="67"/>
    </row>
    <row r="24" spans="2:29" x14ac:dyDescent="0.3">
      <c r="B24" s="160">
        <v>18</v>
      </c>
      <c r="C24" s="3">
        <f>'Raw Data'!E24</f>
        <v>8.6999999999999993</v>
      </c>
      <c r="D24" s="2">
        <f>'Raw Data'!H24</f>
        <v>20.986358866736623</v>
      </c>
      <c r="E24" s="6">
        <f>'Raw Data'!K24</f>
        <v>24.365162644281217</v>
      </c>
      <c r="F24" s="88">
        <f>C24-'Weighted Average'!E24</f>
        <v>0.10999999999999943</v>
      </c>
      <c r="G24" s="94">
        <f>D24-'Weighted Average'!F24</f>
        <v>0.97635886673662142</v>
      </c>
      <c r="H24" s="88">
        <f>E24-'Weighted Average'!G24</f>
        <v>-0.69483735571878213</v>
      </c>
      <c r="I24" s="97" t="e">
        <f t="shared" si="0"/>
        <v>#N/A</v>
      </c>
      <c r="J24" s="98" t="e">
        <f t="shared" si="1"/>
        <v>#N/A</v>
      </c>
      <c r="K24" s="99" t="e">
        <f t="shared" si="2"/>
        <v>#N/A</v>
      </c>
      <c r="L24" s="54" t="e">
        <f t="shared" si="3"/>
        <v>#N/A</v>
      </c>
      <c r="M24" s="55" t="e">
        <f t="shared" si="4"/>
        <v>#N/A</v>
      </c>
      <c r="N24" s="56" t="e">
        <f t="shared" si="5"/>
        <v>#N/A</v>
      </c>
      <c r="O24" s="54" t="e">
        <f t="shared" si="6"/>
        <v>#N/A</v>
      </c>
      <c r="P24" s="55" t="e">
        <f t="shared" si="7"/>
        <v>#N/A</v>
      </c>
      <c r="Q24" s="56" t="e">
        <f t="shared" si="8"/>
        <v>#N/A</v>
      </c>
      <c r="T24" s="92"/>
      <c r="Y24" s="65"/>
      <c r="Z24" s="66"/>
      <c r="AA24" s="66"/>
      <c r="AB24" s="66"/>
      <c r="AC24" s="67"/>
    </row>
    <row r="25" spans="2:29" ht="15" thickBot="1" x14ac:dyDescent="0.35">
      <c r="B25" s="160">
        <v>19</v>
      </c>
      <c r="C25" s="2">
        <f>'Raw Data'!E25</f>
        <v>8.5</v>
      </c>
      <c r="D25" s="2">
        <f>'Raw Data'!H25</f>
        <v>19.47643979057592</v>
      </c>
      <c r="E25" s="6">
        <f>'Raw Data'!K25</f>
        <v>24.544502617801047</v>
      </c>
      <c r="F25" s="86">
        <f>C25-'Weighted Average'!E25</f>
        <v>-0.76999999999999957</v>
      </c>
      <c r="G25" s="86">
        <f>D25-'Weighted Average'!F25</f>
        <v>6.6439790575920199E-2</v>
      </c>
      <c r="H25" s="87">
        <f>E25-'Weighted Average'!G25</f>
        <v>-0.26549738219895147</v>
      </c>
      <c r="I25" s="100" t="e">
        <f t="shared" si="0"/>
        <v>#N/A</v>
      </c>
      <c r="J25" s="95" t="e">
        <f t="shared" si="1"/>
        <v>#N/A</v>
      </c>
      <c r="K25" s="96" t="e">
        <f t="shared" si="2"/>
        <v>#N/A</v>
      </c>
      <c r="L25" s="37" t="e">
        <f t="shared" si="3"/>
        <v>#N/A</v>
      </c>
      <c r="M25" s="52" t="e">
        <f t="shared" si="4"/>
        <v>#N/A</v>
      </c>
      <c r="N25" s="53" t="e">
        <f t="shared" si="5"/>
        <v>#N/A</v>
      </c>
      <c r="O25" s="37" t="e">
        <f t="shared" si="6"/>
        <v>#N/A</v>
      </c>
      <c r="P25" s="52" t="e">
        <f t="shared" si="7"/>
        <v>#N/A</v>
      </c>
      <c r="Q25" s="53" t="e">
        <f t="shared" si="8"/>
        <v>#N/A</v>
      </c>
      <c r="Y25" s="75"/>
      <c r="Z25" s="76"/>
      <c r="AA25" s="76"/>
      <c r="AB25" s="76"/>
      <c r="AC25" s="77"/>
    </row>
    <row r="26" spans="2:29" x14ac:dyDescent="0.3">
      <c r="B26" s="160">
        <v>20</v>
      </c>
      <c r="C26" s="2">
        <f>'Raw Data'!E26</f>
        <v>9.5</v>
      </c>
      <c r="D26" s="2">
        <f>'Raw Data'!H26</f>
        <v>21.615949632738719</v>
      </c>
      <c r="E26" s="6">
        <f>'Raw Data'!K26</f>
        <v>24.784889821615952</v>
      </c>
      <c r="F26" s="3">
        <f>C26-'Weighted Average'!E26</f>
        <v>0</v>
      </c>
      <c r="G26" s="94">
        <f>D26-'Weighted Average'!F26</f>
        <v>0.92594963273871755</v>
      </c>
      <c r="H26" s="88">
        <f>E26-'Weighted Average'!G26</f>
        <v>-0.13511017838404982</v>
      </c>
      <c r="I26" s="97" t="e">
        <f t="shared" si="0"/>
        <v>#N/A</v>
      </c>
      <c r="J26" s="98" t="e">
        <f t="shared" si="1"/>
        <v>#N/A</v>
      </c>
      <c r="K26" s="99" t="e">
        <f t="shared" si="2"/>
        <v>#N/A</v>
      </c>
      <c r="L26" s="54" t="e">
        <f t="shared" si="3"/>
        <v>#N/A</v>
      </c>
      <c r="M26" s="55" t="e">
        <f t="shared" si="4"/>
        <v>#N/A</v>
      </c>
      <c r="N26" s="56" t="e">
        <f t="shared" si="5"/>
        <v>#N/A</v>
      </c>
      <c r="O26" s="54" t="e">
        <f t="shared" si="6"/>
        <v>#N/A</v>
      </c>
      <c r="P26" s="55" t="e">
        <f t="shared" si="7"/>
        <v>#N/A</v>
      </c>
      <c r="Q26" s="56" t="e">
        <f t="shared" si="8"/>
        <v>#N/A</v>
      </c>
    </row>
    <row r="27" spans="2:29" x14ac:dyDescent="0.3">
      <c r="B27" s="160">
        <v>21</v>
      </c>
      <c r="C27" s="2" t="e">
        <f>'Raw Data'!E27</f>
        <v>#N/A</v>
      </c>
      <c r="D27" s="2" t="e">
        <f>'Raw Data'!H27</f>
        <v>#N/A</v>
      </c>
      <c r="E27" s="6" t="e">
        <f>'Raw Data'!K27</f>
        <v>#N/A</v>
      </c>
      <c r="F27" s="3" t="e">
        <f>C27-'Weighted Average'!E27</f>
        <v>#N/A</v>
      </c>
      <c r="G27" s="94" t="e">
        <f>D27-'Weighted Average'!F27</f>
        <v>#N/A</v>
      </c>
      <c r="H27" s="88" t="e">
        <f>E27-'Weighted Average'!G27</f>
        <v>#N/A</v>
      </c>
      <c r="I27" s="97" t="e">
        <f t="shared" ref="I27:I46" si="9">$F$47</f>
        <v>#N/A</v>
      </c>
      <c r="J27" s="98" t="e">
        <f t="shared" ref="J27:J46" si="10">$G$47</f>
        <v>#N/A</v>
      </c>
      <c r="K27" s="99" t="e">
        <f t="shared" ref="K27:K46" si="11">$H$47</f>
        <v>#N/A</v>
      </c>
      <c r="L27" s="54" t="e">
        <f t="shared" si="3"/>
        <v>#N/A</v>
      </c>
      <c r="M27" s="55" t="e">
        <f t="shared" si="4"/>
        <v>#N/A</v>
      </c>
      <c r="N27" s="56" t="e">
        <f t="shared" si="5"/>
        <v>#N/A</v>
      </c>
      <c r="O27" s="54" t="e">
        <f t="shared" si="6"/>
        <v>#N/A</v>
      </c>
      <c r="P27" s="55" t="e">
        <f t="shared" si="7"/>
        <v>#N/A</v>
      </c>
      <c r="Q27" s="56" t="e">
        <f t="shared" si="8"/>
        <v>#N/A</v>
      </c>
    </row>
    <row r="28" spans="2:29" x14ac:dyDescent="0.3">
      <c r="B28" s="160">
        <v>22</v>
      </c>
      <c r="C28" s="2">
        <f>'Raw Data'!E28</f>
        <v>9.3000000000000007</v>
      </c>
      <c r="D28" s="2">
        <f>'Raw Data'!H28</f>
        <v>16.666666666666671</v>
      </c>
      <c r="E28" s="6">
        <f>'Raw Data'!K28</f>
        <v>26.138716356107661</v>
      </c>
      <c r="F28" s="3" t="e">
        <f>C28-'Weighted Average'!E28</f>
        <v>#N/A</v>
      </c>
      <c r="G28" s="94" t="e">
        <f>D28-'Weighted Average'!F28</f>
        <v>#N/A</v>
      </c>
      <c r="H28" s="88" t="e">
        <f>E28-'Weighted Average'!G28</f>
        <v>#N/A</v>
      </c>
      <c r="I28" s="97" t="e">
        <f t="shared" si="9"/>
        <v>#N/A</v>
      </c>
      <c r="J28" s="98" t="e">
        <f t="shared" si="10"/>
        <v>#N/A</v>
      </c>
      <c r="K28" s="99" t="e">
        <f t="shared" si="11"/>
        <v>#N/A</v>
      </c>
      <c r="L28" s="54" t="e">
        <f t="shared" si="3"/>
        <v>#N/A</v>
      </c>
      <c r="M28" s="55" t="e">
        <f t="shared" si="4"/>
        <v>#N/A</v>
      </c>
      <c r="N28" s="56" t="e">
        <f t="shared" si="5"/>
        <v>#N/A</v>
      </c>
      <c r="O28" s="54" t="e">
        <f t="shared" si="6"/>
        <v>#N/A</v>
      </c>
      <c r="P28" s="55" t="e">
        <f t="shared" si="7"/>
        <v>#N/A</v>
      </c>
      <c r="Q28" s="56" t="e">
        <f t="shared" si="8"/>
        <v>#N/A</v>
      </c>
    </row>
    <row r="29" spans="2:29" x14ac:dyDescent="0.3">
      <c r="B29" s="160">
        <v>23</v>
      </c>
      <c r="C29" s="2" t="e">
        <f>'Raw Data'!E29</f>
        <v>#N/A</v>
      </c>
      <c r="D29" s="2" t="e">
        <f>'Raw Data'!H29</f>
        <v>#N/A</v>
      </c>
      <c r="E29" s="6" t="e">
        <f>'Raw Data'!K29</f>
        <v>#N/A</v>
      </c>
      <c r="F29" s="3" t="e">
        <f>C29-'Weighted Average'!E29</f>
        <v>#N/A</v>
      </c>
      <c r="G29" s="94" t="e">
        <f>D29-'Weighted Average'!F29</f>
        <v>#N/A</v>
      </c>
      <c r="H29" s="88" t="e">
        <f>E29-'Weighted Average'!G29</f>
        <v>#N/A</v>
      </c>
      <c r="I29" s="97" t="e">
        <f t="shared" si="9"/>
        <v>#N/A</v>
      </c>
      <c r="J29" s="98" t="e">
        <f t="shared" si="10"/>
        <v>#N/A</v>
      </c>
      <c r="K29" s="99" t="e">
        <f t="shared" si="11"/>
        <v>#N/A</v>
      </c>
      <c r="L29" s="54" t="e">
        <f t="shared" si="3"/>
        <v>#N/A</v>
      </c>
      <c r="M29" s="55" t="e">
        <f t="shared" si="4"/>
        <v>#N/A</v>
      </c>
      <c r="N29" s="56" t="e">
        <f t="shared" si="5"/>
        <v>#N/A</v>
      </c>
      <c r="O29" s="54" t="e">
        <f t="shared" si="6"/>
        <v>#N/A</v>
      </c>
      <c r="P29" s="55" t="e">
        <f t="shared" si="7"/>
        <v>#N/A</v>
      </c>
      <c r="Q29" s="56" t="e">
        <f t="shared" si="8"/>
        <v>#N/A</v>
      </c>
    </row>
    <row r="30" spans="2:29" x14ac:dyDescent="0.3">
      <c r="B30" s="160">
        <v>24</v>
      </c>
      <c r="C30" s="2" t="e">
        <f>'Raw Data'!E30</f>
        <v>#N/A</v>
      </c>
      <c r="D30" s="2" t="e">
        <f>'Raw Data'!H30</f>
        <v>#N/A</v>
      </c>
      <c r="E30" s="6" t="e">
        <f>'Raw Data'!K30</f>
        <v>#N/A</v>
      </c>
      <c r="F30" s="3" t="e">
        <f>C30-'Weighted Average'!E30</f>
        <v>#N/A</v>
      </c>
      <c r="G30" s="94" t="e">
        <f>D30-'Weighted Average'!F30</f>
        <v>#N/A</v>
      </c>
      <c r="H30" s="88" t="e">
        <f>E30-'Weighted Average'!G30</f>
        <v>#N/A</v>
      </c>
      <c r="I30" s="97" t="e">
        <f t="shared" si="9"/>
        <v>#N/A</v>
      </c>
      <c r="J30" s="98" t="e">
        <f t="shared" si="10"/>
        <v>#N/A</v>
      </c>
      <c r="K30" s="99" t="e">
        <f t="shared" si="11"/>
        <v>#N/A</v>
      </c>
      <c r="L30" s="54" t="e">
        <f t="shared" si="3"/>
        <v>#N/A</v>
      </c>
      <c r="M30" s="55" t="e">
        <f t="shared" si="4"/>
        <v>#N/A</v>
      </c>
      <c r="N30" s="56" t="e">
        <f t="shared" si="5"/>
        <v>#N/A</v>
      </c>
      <c r="O30" s="54" t="e">
        <f t="shared" si="6"/>
        <v>#N/A</v>
      </c>
      <c r="P30" s="55" t="e">
        <f t="shared" si="7"/>
        <v>#N/A</v>
      </c>
      <c r="Q30" s="56" t="e">
        <f t="shared" si="8"/>
        <v>#N/A</v>
      </c>
    </row>
    <row r="31" spans="2:29" x14ac:dyDescent="0.3">
      <c r="B31" s="160">
        <v>25</v>
      </c>
      <c r="C31" s="2" t="e">
        <f>'Raw Data'!E31</f>
        <v>#N/A</v>
      </c>
      <c r="D31" s="2" t="e">
        <f>'Raw Data'!H31</f>
        <v>#N/A</v>
      </c>
      <c r="E31" s="6" t="e">
        <f>'Raw Data'!K31</f>
        <v>#N/A</v>
      </c>
      <c r="F31" s="3" t="e">
        <f>C31-'Weighted Average'!E31</f>
        <v>#N/A</v>
      </c>
      <c r="G31" s="94" t="e">
        <f>D31-'Weighted Average'!F31</f>
        <v>#N/A</v>
      </c>
      <c r="H31" s="88" t="e">
        <f>E31-'Weighted Average'!G31</f>
        <v>#N/A</v>
      </c>
      <c r="I31" s="97" t="e">
        <f t="shared" si="9"/>
        <v>#N/A</v>
      </c>
      <c r="J31" s="98" t="e">
        <f t="shared" si="10"/>
        <v>#N/A</v>
      </c>
      <c r="K31" s="99" t="e">
        <f t="shared" si="11"/>
        <v>#N/A</v>
      </c>
      <c r="L31" s="54" t="e">
        <f t="shared" si="3"/>
        <v>#N/A</v>
      </c>
      <c r="M31" s="55" t="e">
        <f t="shared" si="4"/>
        <v>#N/A</v>
      </c>
      <c r="N31" s="56" t="e">
        <f t="shared" si="5"/>
        <v>#N/A</v>
      </c>
      <c r="O31" s="54" t="e">
        <f t="shared" si="6"/>
        <v>#N/A</v>
      </c>
      <c r="P31" s="55" t="e">
        <f t="shared" si="7"/>
        <v>#N/A</v>
      </c>
      <c r="Q31" s="56" t="e">
        <f t="shared" si="8"/>
        <v>#N/A</v>
      </c>
    </row>
    <row r="32" spans="2:29" x14ac:dyDescent="0.3">
      <c r="B32" s="160">
        <v>26</v>
      </c>
      <c r="C32" s="2" t="e">
        <f>'Raw Data'!E32</f>
        <v>#N/A</v>
      </c>
      <c r="D32" s="2" t="e">
        <f>'Raw Data'!H32</f>
        <v>#N/A</v>
      </c>
      <c r="E32" s="6" t="e">
        <f>'Raw Data'!K32</f>
        <v>#N/A</v>
      </c>
      <c r="F32" s="3" t="e">
        <f>C32-'Weighted Average'!E32</f>
        <v>#N/A</v>
      </c>
      <c r="G32" s="94" t="e">
        <f>D32-'Weighted Average'!F32</f>
        <v>#N/A</v>
      </c>
      <c r="H32" s="88" t="e">
        <f>E32-'Weighted Average'!G32</f>
        <v>#N/A</v>
      </c>
      <c r="I32" s="97" t="e">
        <f t="shared" si="9"/>
        <v>#N/A</v>
      </c>
      <c r="J32" s="98" t="e">
        <f t="shared" si="10"/>
        <v>#N/A</v>
      </c>
      <c r="K32" s="99" t="e">
        <f t="shared" si="11"/>
        <v>#N/A</v>
      </c>
      <c r="L32" s="54" t="e">
        <f t="shared" si="3"/>
        <v>#N/A</v>
      </c>
      <c r="M32" s="55" t="e">
        <f t="shared" si="4"/>
        <v>#N/A</v>
      </c>
      <c r="N32" s="56" t="e">
        <f t="shared" si="5"/>
        <v>#N/A</v>
      </c>
      <c r="O32" s="54" t="e">
        <f t="shared" si="6"/>
        <v>#N/A</v>
      </c>
      <c r="P32" s="55" t="e">
        <f t="shared" si="7"/>
        <v>#N/A</v>
      </c>
      <c r="Q32" s="56" t="e">
        <f t="shared" si="8"/>
        <v>#N/A</v>
      </c>
    </row>
    <row r="33" spans="2:26" x14ac:dyDescent="0.3">
      <c r="B33" s="160">
        <v>27</v>
      </c>
      <c r="C33" s="2" t="e">
        <f>'Raw Data'!E33</f>
        <v>#N/A</v>
      </c>
      <c r="D33" s="2" t="e">
        <f>'Raw Data'!H33</f>
        <v>#N/A</v>
      </c>
      <c r="E33" s="6" t="e">
        <f>'Raw Data'!K33</f>
        <v>#N/A</v>
      </c>
      <c r="F33" s="3" t="e">
        <f>C33-'Weighted Average'!E33</f>
        <v>#N/A</v>
      </c>
      <c r="G33" s="94" t="e">
        <f>D33-'Weighted Average'!F33</f>
        <v>#N/A</v>
      </c>
      <c r="H33" s="88" t="e">
        <f>E33-'Weighted Average'!G33</f>
        <v>#N/A</v>
      </c>
      <c r="I33" s="97" t="e">
        <f t="shared" si="9"/>
        <v>#N/A</v>
      </c>
      <c r="J33" s="98" t="e">
        <f t="shared" si="10"/>
        <v>#N/A</v>
      </c>
      <c r="K33" s="99" t="e">
        <f t="shared" si="11"/>
        <v>#N/A</v>
      </c>
      <c r="L33" s="54" t="e">
        <f t="shared" si="3"/>
        <v>#N/A</v>
      </c>
      <c r="M33" s="55" t="e">
        <f t="shared" si="4"/>
        <v>#N/A</v>
      </c>
      <c r="N33" s="56" t="e">
        <f t="shared" si="5"/>
        <v>#N/A</v>
      </c>
      <c r="O33" s="54" t="e">
        <f t="shared" si="6"/>
        <v>#N/A</v>
      </c>
      <c r="P33" s="55" t="e">
        <f t="shared" si="7"/>
        <v>#N/A</v>
      </c>
      <c r="Q33" s="56" t="e">
        <f t="shared" si="8"/>
        <v>#N/A</v>
      </c>
    </row>
    <row r="34" spans="2:26" x14ac:dyDescent="0.3">
      <c r="B34" s="160">
        <v>28</v>
      </c>
      <c r="C34" s="2" t="e">
        <f>'Raw Data'!E34</f>
        <v>#N/A</v>
      </c>
      <c r="D34" s="2" t="e">
        <f>'Raw Data'!H34</f>
        <v>#N/A</v>
      </c>
      <c r="E34" s="6" t="e">
        <f>'Raw Data'!K34</f>
        <v>#N/A</v>
      </c>
      <c r="F34" s="3" t="e">
        <f>C34-'Weighted Average'!E34</f>
        <v>#N/A</v>
      </c>
      <c r="G34" s="94" t="e">
        <f>D34-'Weighted Average'!F34</f>
        <v>#N/A</v>
      </c>
      <c r="H34" s="88" t="e">
        <f>E34-'Weighted Average'!G34</f>
        <v>#N/A</v>
      </c>
      <c r="I34" s="97" t="e">
        <f t="shared" si="9"/>
        <v>#N/A</v>
      </c>
      <c r="J34" s="98" t="e">
        <f t="shared" si="10"/>
        <v>#N/A</v>
      </c>
      <c r="K34" s="99" t="e">
        <f t="shared" si="11"/>
        <v>#N/A</v>
      </c>
      <c r="L34" s="54" t="e">
        <f t="shared" si="3"/>
        <v>#N/A</v>
      </c>
      <c r="M34" s="55" t="e">
        <f t="shared" si="4"/>
        <v>#N/A</v>
      </c>
      <c r="N34" s="56" t="e">
        <f t="shared" si="5"/>
        <v>#N/A</v>
      </c>
      <c r="O34" s="54" t="e">
        <f t="shared" si="6"/>
        <v>#N/A</v>
      </c>
      <c r="P34" s="55" t="e">
        <f t="shared" si="7"/>
        <v>#N/A</v>
      </c>
      <c r="Q34" s="56" t="e">
        <f t="shared" si="8"/>
        <v>#N/A</v>
      </c>
    </row>
    <row r="35" spans="2:26" x14ac:dyDescent="0.3">
      <c r="B35" s="160">
        <v>29</v>
      </c>
      <c r="C35" s="2" t="e">
        <f>'Raw Data'!E35</f>
        <v>#N/A</v>
      </c>
      <c r="D35" s="2" t="e">
        <f>'Raw Data'!H35</f>
        <v>#N/A</v>
      </c>
      <c r="E35" s="6" t="e">
        <f>'Raw Data'!K35</f>
        <v>#N/A</v>
      </c>
      <c r="F35" s="3" t="e">
        <f>C35-'Weighted Average'!E35</f>
        <v>#N/A</v>
      </c>
      <c r="G35" s="94" t="e">
        <f>D35-'Weighted Average'!F35</f>
        <v>#N/A</v>
      </c>
      <c r="H35" s="88" t="e">
        <f>E35-'Weighted Average'!G35</f>
        <v>#N/A</v>
      </c>
      <c r="I35" s="97" t="e">
        <f t="shared" si="9"/>
        <v>#N/A</v>
      </c>
      <c r="J35" s="98" t="e">
        <f t="shared" si="10"/>
        <v>#N/A</v>
      </c>
      <c r="K35" s="99" t="e">
        <f t="shared" si="11"/>
        <v>#N/A</v>
      </c>
      <c r="L35" s="54" t="e">
        <f t="shared" si="3"/>
        <v>#N/A</v>
      </c>
      <c r="M35" s="55" t="e">
        <f t="shared" si="4"/>
        <v>#N/A</v>
      </c>
      <c r="N35" s="56" t="e">
        <f t="shared" si="5"/>
        <v>#N/A</v>
      </c>
      <c r="O35" s="54" t="e">
        <f t="shared" si="6"/>
        <v>#N/A</v>
      </c>
      <c r="P35" s="55" t="e">
        <f t="shared" si="7"/>
        <v>#N/A</v>
      </c>
      <c r="Q35" s="56" t="e">
        <f t="shared" si="8"/>
        <v>#N/A</v>
      </c>
    </row>
    <row r="36" spans="2:26" x14ac:dyDescent="0.3">
      <c r="B36" s="160">
        <v>30</v>
      </c>
      <c r="C36" s="2" t="e">
        <f>'Raw Data'!E36</f>
        <v>#N/A</v>
      </c>
      <c r="D36" s="2" t="e">
        <f>'Raw Data'!H36</f>
        <v>#N/A</v>
      </c>
      <c r="E36" s="6" t="e">
        <f>'Raw Data'!K36</f>
        <v>#N/A</v>
      </c>
      <c r="F36" s="3" t="e">
        <f>C36-'Weighted Average'!E36</f>
        <v>#N/A</v>
      </c>
      <c r="G36" s="94" t="e">
        <f>D36-'Weighted Average'!F36</f>
        <v>#N/A</v>
      </c>
      <c r="H36" s="88" t="e">
        <f>E36-'Weighted Average'!G36</f>
        <v>#N/A</v>
      </c>
      <c r="I36" s="97" t="e">
        <f t="shared" si="9"/>
        <v>#N/A</v>
      </c>
      <c r="J36" s="98" t="e">
        <f t="shared" si="10"/>
        <v>#N/A</v>
      </c>
      <c r="K36" s="99" t="e">
        <f t="shared" si="11"/>
        <v>#N/A</v>
      </c>
      <c r="L36" s="54" t="e">
        <f t="shared" si="3"/>
        <v>#N/A</v>
      </c>
      <c r="M36" s="55" t="e">
        <f t="shared" si="4"/>
        <v>#N/A</v>
      </c>
      <c r="N36" s="56" t="e">
        <f t="shared" si="5"/>
        <v>#N/A</v>
      </c>
      <c r="O36" s="54" t="e">
        <f t="shared" si="6"/>
        <v>#N/A</v>
      </c>
      <c r="P36" s="55" t="e">
        <f t="shared" si="7"/>
        <v>#N/A</v>
      </c>
      <c r="Q36" s="56" t="e">
        <f t="shared" si="8"/>
        <v>#N/A</v>
      </c>
    </row>
    <row r="37" spans="2:26" x14ac:dyDescent="0.3">
      <c r="B37" s="160">
        <v>31</v>
      </c>
      <c r="C37" s="2">
        <f>'Raw Data'!E37</f>
        <v>9.6999999999999993</v>
      </c>
      <c r="D37" s="2">
        <f>'Raw Data'!H37</f>
        <v>20.649895178197063</v>
      </c>
      <c r="E37" s="6">
        <f>'Raw Data'!K37</f>
        <v>24.821802935010481</v>
      </c>
      <c r="F37" s="3">
        <f>C37-'Weighted Average'!E37</f>
        <v>1</v>
      </c>
      <c r="G37" s="94">
        <f>D37-'Weighted Average'!F37</f>
        <v>0.39989517819706322</v>
      </c>
      <c r="H37" s="88">
        <f>E37-'Weighted Average'!G37</f>
        <v>-0.12819706498951788</v>
      </c>
      <c r="I37" s="97" t="e">
        <f t="shared" si="9"/>
        <v>#N/A</v>
      </c>
      <c r="J37" s="98" t="e">
        <f t="shared" si="10"/>
        <v>#N/A</v>
      </c>
      <c r="K37" s="99" t="e">
        <f t="shared" si="11"/>
        <v>#N/A</v>
      </c>
      <c r="L37" s="54" t="e">
        <f t="shared" si="3"/>
        <v>#N/A</v>
      </c>
      <c r="M37" s="55" t="e">
        <f t="shared" si="4"/>
        <v>#N/A</v>
      </c>
      <c r="N37" s="56" t="e">
        <f t="shared" si="5"/>
        <v>#N/A</v>
      </c>
      <c r="O37" s="54" t="e">
        <f t="shared" si="6"/>
        <v>#N/A</v>
      </c>
      <c r="P37" s="55" t="e">
        <f t="shared" si="7"/>
        <v>#N/A</v>
      </c>
      <c r="Q37" s="56" t="e">
        <f t="shared" si="8"/>
        <v>#N/A</v>
      </c>
      <c r="S37" s="9"/>
      <c r="T37" s="9"/>
      <c r="U37" s="9"/>
    </row>
    <row r="38" spans="2:26" x14ac:dyDescent="0.3">
      <c r="B38" s="160">
        <v>32</v>
      </c>
      <c r="C38" s="2">
        <f>'Raw Data'!E38</f>
        <v>9.6</v>
      </c>
      <c r="D38" s="2">
        <f>'Raw Data'!H38</f>
        <v>19.032597266035754</v>
      </c>
      <c r="E38" s="6">
        <f>'Raw Data'!K38</f>
        <v>25.667718191377499</v>
      </c>
      <c r="F38" s="3">
        <f>C38-'Weighted Average'!E38</f>
        <v>0.19999999999999929</v>
      </c>
      <c r="G38" s="94">
        <f>D38-'Weighted Average'!F38</f>
        <v>-0.58740273396424669</v>
      </c>
      <c r="H38" s="88">
        <f>E38-'Weighted Average'!G38</f>
        <v>0.3877181913774983</v>
      </c>
      <c r="I38" s="97" t="e">
        <f t="shared" si="9"/>
        <v>#N/A</v>
      </c>
      <c r="J38" s="98" t="e">
        <f t="shared" si="10"/>
        <v>#N/A</v>
      </c>
      <c r="K38" s="99" t="e">
        <f t="shared" si="11"/>
        <v>#N/A</v>
      </c>
      <c r="L38" s="54" t="e">
        <f t="shared" si="3"/>
        <v>#N/A</v>
      </c>
      <c r="M38" s="55" t="e">
        <f t="shared" si="4"/>
        <v>#N/A</v>
      </c>
      <c r="N38" s="56" t="e">
        <f t="shared" si="5"/>
        <v>#N/A</v>
      </c>
      <c r="O38" s="54" t="e">
        <f t="shared" si="6"/>
        <v>#N/A</v>
      </c>
      <c r="P38" s="55" t="e">
        <f t="shared" si="7"/>
        <v>#N/A</v>
      </c>
      <c r="Q38" s="56" t="e">
        <f t="shared" si="8"/>
        <v>#N/A</v>
      </c>
      <c r="S38" s="84"/>
      <c r="T38" s="84"/>
      <c r="U38" s="84"/>
    </row>
    <row r="39" spans="2:26" x14ac:dyDescent="0.3">
      <c r="B39" s="160">
        <v>33</v>
      </c>
      <c r="C39" s="2">
        <f>'Raw Data'!E39</f>
        <v>9.3000000000000007</v>
      </c>
      <c r="D39" s="2">
        <f>'Raw Data'!H39</f>
        <v>20.707596253902185</v>
      </c>
      <c r="E39" s="6">
        <f>'Raw Data'!K39</f>
        <v>24.880332986472425</v>
      </c>
      <c r="F39" s="3">
        <f>C39-'Weighted Average'!E39</f>
        <v>-0.19999999999999929</v>
      </c>
      <c r="G39" s="94">
        <f>D39-'Weighted Average'!F39</f>
        <v>-0.41240374609781583</v>
      </c>
      <c r="H39" s="88">
        <f>E39-'Weighted Average'!G39</f>
        <v>0.30033298647242646</v>
      </c>
      <c r="I39" s="97" t="e">
        <f t="shared" si="9"/>
        <v>#N/A</v>
      </c>
      <c r="J39" s="98" t="e">
        <f t="shared" si="10"/>
        <v>#N/A</v>
      </c>
      <c r="K39" s="99" t="e">
        <f t="shared" si="11"/>
        <v>#N/A</v>
      </c>
      <c r="L39" s="54" t="e">
        <f t="shared" si="3"/>
        <v>#N/A</v>
      </c>
      <c r="M39" s="55" t="e">
        <f t="shared" si="4"/>
        <v>#N/A</v>
      </c>
      <c r="N39" s="56" t="e">
        <f t="shared" si="5"/>
        <v>#N/A</v>
      </c>
      <c r="O39" s="54" t="e">
        <f t="shared" si="6"/>
        <v>#N/A</v>
      </c>
      <c r="P39" s="55" t="e">
        <f t="shared" si="7"/>
        <v>#N/A</v>
      </c>
      <c r="Q39" s="56" t="e">
        <f t="shared" si="8"/>
        <v>#N/A</v>
      </c>
      <c r="W39" s="34"/>
      <c r="X39" s="34"/>
      <c r="Y39" s="34"/>
      <c r="Z39" s="34"/>
    </row>
    <row r="40" spans="2:26" x14ac:dyDescent="0.3">
      <c r="B40" s="160">
        <v>34</v>
      </c>
      <c r="C40" s="2">
        <f>'Raw Data'!E40</f>
        <v>9.3000000000000007</v>
      </c>
      <c r="D40" s="2">
        <f>'Raw Data'!H40</f>
        <v>18.448637316561847</v>
      </c>
      <c r="E40" s="6">
        <f>'Raw Data'!K40</f>
        <v>25.628930817610062</v>
      </c>
      <c r="F40" s="3">
        <f>C40-'Weighted Average'!E40</f>
        <v>8.9999999999999858E-2</v>
      </c>
      <c r="G40" s="94">
        <f>D40-'Weighted Average'!F40</f>
        <v>-0.80136268343815331</v>
      </c>
      <c r="H40" s="88">
        <f>E40-'Weighted Average'!G40</f>
        <v>0.29893081761006357</v>
      </c>
      <c r="I40" s="97" t="e">
        <f t="shared" si="9"/>
        <v>#N/A</v>
      </c>
      <c r="J40" s="98" t="e">
        <f t="shared" si="10"/>
        <v>#N/A</v>
      </c>
      <c r="K40" s="99" t="e">
        <f t="shared" si="11"/>
        <v>#N/A</v>
      </c>
      <c r="L40" s="54" t="e">
        <f t="shared" si="3"/>
        <v>#N/A</v>
      </c>
      <c r="M40" s="55" t="e">
        <f t="shared" si="4"/>
        <v>#N/A</v>
      </c>
      <c r="N40" s="56" t="e">
        <f t="shared" si="5"/>
        <v>#N/A</v>
      </c>
      <c r="O40" s="54" t="e">
        <f t="shared" si="6"/>
        <v>#N/A</v>
      </c>
      <c r="P40" s="55" t="e">
        <f t="shared" si="7"/>
        <v>#N/A</v>
      </c>
      <c r="Q40" s="56" t="e">
        <f t="shared" si="8"/>
        <v>#N/A</v>
      </c>
      <c r="S40" s="84"/>
      <c r="T40" s="84"/>
      <c r="U40" s="84"/>
      <c r="W40" s="34"/>
      <c r="X40" s="84"/>
      <c r="Y40" s="84"/>
      <c r="Z40" s="84"/>
    </row>
    <row r="41" spans="2:26" x14ac:dyDescent="0.3">
      <c r="B41" s="160">
        <v>35</v>
      </c>
      <c r="C41" s="2">
        <f>'Raw Data'!E41</f>
        <v>8.4</v>
      </c>
      <c r="D41" s="2">
        <f>'Raw Data'!H41</f>
        <v>20.146904512067156</v>
      </c>
      <c r="E41" s="6">
        <f>'Raw Data'!K41</f>
        <v>25.27806925498426</v>
      </c>
      <c r="F41" s="3">
        <f>C41-'Weighted Average'!E41</f>
        <v>-0.54999999999999893</v>
      </c>
      <c r="G41" s="94">
        <f>D41-'Weighted Average'!F41</f>
        <v>0.29690451206715451</v>
      </c>
      <c r="H41" s="88">
        <f>E41-'Weighted Average'!G41</f>
        <v>0.2980692549842594</v>
      </c>
      <c r="I41" s="97" t="e">
        <f t="shared" si="9"/>
        <v>#N/A</v>
      </c>
      <c r="J41" s="98" t="e">
        <f t="shared" si="10"/>
        <v>#N/A</v>
      </c>
      <c r="K41" s="99" t="e">
        <f t="shared" si="11"/>
        <v>#N/A</v>
      </c>
      <c r="L41" s="54" t="e">
        <f t="shared" si="3"/>
        <v>#N/A</v>
      </c>
      <c r="M41" s="55" t="e">
        <f t="shared" si="4"/>
        <v>#N/A</v>
      </c>
      <c r="N41" s="56" t="e">
        <f t="shared" si="5"/>
        <v>#N/A</v>
      </c>
      <c r="O41" s="54" t="e">
        <f t="shared" si="6"/>
        <v>#N/A</v>
      </c>
      <c r="P41" s="55" t="e">
        <f t="shared" si="7"/>
        <v>#N/A</v>
      </c>
      <c r="Q41" s="56" t="e">
        <f t="shared" si="8"/>
        <v>#N/A</v>
      </c>
      <c r="S41" s="37"/>
      <c r="T41" s="37"/>
      <c r="U41" s="37"/>
      <c r="W41" s="34"/>
      <c r="X41" s="34"/>
      <c r="Y41" s="34"/>
      <c r="Z41" s="34"/>
    </row>
    <row r="42" spans="2:26" x14ac:dyDescent="0.3">
      <c r="B42" s="160">
        <v>36</v>
      </c>
      <c r="C42" s="2">
        <f>'Raw Data'!E42</f>
        <v>8.8000000000000007</v>
      </c>
      <c r="D42" s="2">
        <f>'Raw Data'!H42</f>
        <v>20.083682008368203</v>
      </c>
      <c r="E42" s="6">
        <f>'Raw Data'!K42</f>
        <v>24.822175732217573</v>
      </c>
      <c r="F42" s="3">
        <f>C42-'Weighted Average'!E42</f>
        <v>5.0000000000000711E-2</v>
      </c>
      <c r="G42" s="94">
        <f>D42-'Weighted Average'!F42</f>
        <v>0.55368200836820236</v>
      </c>
      <c r="H42" s="88">
        <f>E42-'Weighted Average'!G42</f>
        <v>-0.27782426778242808</v>
      </c>
      <c r="I42" s="97" t="e">
        <f t="shared" si="9"/>
        <v>#N/A</v>
      </c>
      <c r="J42" s="98" t="e">
        <f t="shared" si="10"/>
        <v>#N/A</v>
      </c>
      <c r="K42" s="99" t="e">
        <f t="shared" si="11"/>
        <v>#N/A</v>
      </c>
      <c r="L42" s="54" t="e">
        <f t="shared" si="3"/>
        <v>#N/A</v>
      </c>
      <c r="M42" s="55" t="e">
        <f t="shared" si="4"/>
        <v>#N/A</v>
      </c>
      <c r="N42" s="56" t="e">
        <f t="shared" si="5"/>
        <v>#N/A</v>
      </c>
      <c r="O42" s="54" t="e">
        <f t="shared" si="6"/>
        <v>#N/A</v>
      </c>
      <c r="P42" s="55" t="e">
        <f t="shared" si="7"/>
        <v>#N/A</v>
      </c>
      <c r="Q42" s="56" t="e">
        <f t="shared" si="8"/>
        <v>#N/A</v>
      </c>
    </row>
    <row r="43" spans="2:26" x14ac:dyDescent="0.3">
      <c r="B43" s="160">
        <v>37</v>
      </c>
      <c r="C43" s="2">
        <f>'Raw Data'!E43</f>
        <v>9</v>
      </c>
      <c r="D43" s="2">
        <f>'Raw Data'!H43</f>
        <v>22.014537902388369</v>
      </c>
      <c r="E43" s="6">
        <f>'Raw Data'!K43</f>
        <v>24.485981308411215</v>
      </c>
      <c r="F43" s="3">
        <f>C43-'Weighted Average'!E43</f>
        <v>-0.59999999999999964</v>
      </c>
      <c r="G43" s="94">
        <f>D43-'Weighted Average'!F43</f>
        <v>1.9945379023883696</v>
      </c>
      <c r="H43" s="88">
        <f>E43-'Weighted Average'!G43</f>
        <v>-0.70401869158878583</v>
      </c>
      <c r="I43" s="97" t="e">
        <f t="shared" si="9"/>
        <v>#N/A</v>
      </c>
      <c r="J43" s="98" t="e">
        <f t="shared" si="10"/>
        <v>#N/A</v>
      </c>
      <c r="K43" s="99" t="e">
        <f t="shared" si="11"/>
        <v>#N/A</v>
      </c>
      <c r="L43" s="54" t="e">
        <f t="shared" si="3"/>
        <v>#N/A</v>
      </c>
      <c r="M43" s="55" t="e">
        <f t="shared" si="4"/>
        <v>#N/A</v>
      </c>
      <c r="N43" s="56" t="e">
        <f t="shared" si="5"/>
        <v>#N/A</v>
      </c>
      <c r="O43" s="54" t="e">
        <f t="shared" si="6"/>
        <v>#N/A</v>
      </c>
      <c r="P43" s="55" t="e">
        <f t="shared" si="7"/>
        <v>#N/A</v>
      </c>
      <c r="Q43" s="56" t="e">
        <f t="shared" si="8"/>
        <v>#N/A</v>
      </c>
    </row>
    <row r="44" spans="2:26" x14ac:dyDescent="0.3">
      <c r="B44" s="160">
        <v>38</v>
      </c>
      <c r="C44" s="2">
        <f>'Raw Data'!E44</f>
        <v>8.9</v>
      </c>
      <c r="D44" s="2">
        <f>'Raw Data'!H44</f>
        <v>21.540062434963581</v>
      </c>
      <c r="E44" s="6">
        <f>'Raw Data'!K44</f>
        <v>24.5369406867846</v>
      </c>
      <c r="F44" s="3">
        <f>C44-'Weighted Average'!E44</f>
        <v>0.24000000000000021</v>
      </c>
      <c r="G44" s="94">
        <f>D44-'Weighted Average'!F44</f>
        <v>0.52006243496358096</v>
      </c>
      <c r="H44" s="88">
        <f>E44-'Weighted Average'!G44</f>
        <v>-0.63305931321540143</v>
      </c>
      <c r="I44" s="97" t="e">
        <f t="shared" si="9"/>
        <v>#N/A</v>
      </c>
      <c r="J44" s="98" t="e">
        <f t="shared" si="10"/>
        <v>#N/A</v>
      </c>
      <c r="K44" s="99" t="e">
        <f t="shared" si="11"/>
        <v>#N/A</v>
      </c>
      <c r="L44" s="54" t="e">
        <f t="shared" si="3"/>
        <v>#N/A</v>
      </c>
      <c r="M44" s="55" t="e">
        <f t="shared" si="4"/>
        <v>#N/A</v>
      </c>
      <c r="N44" s="56" t="e">
        <f t="shared" si="5"/>
        <v>#N/A</v>
      </c>
      <c r="O44" s="54" t="e">
        <f t="shared" si="6"/>
        <v>#N/A</v>
      </c>
      <c r="P44" s="55" t="e">
        <f t="shared" si="7"/>
        <v>#N/A</v>
      </c>
      <c r="Q44" s="56" t="e">
        <f t="shared" si="8"/>
        <v>#N/A</v>
      </c>
      <c r="S44" s="345"/>
      <c r="T44" s="345"/>
      <c r="U44" s="345"/>
    </row>
    <row r="45" spans="2:26" x14ac:dyDescent="0.3">
      <c r="B45" s="160">
        <v>39</v>
      </c>
      <c r="C45" s="2">
        <f>'Raw Data'!E45</f>
        <v>8.6</v>
      </c>
      <c r="D45" s="2">
        <f>'Raw Data'!H45</f>
        <v>20.732984293193716</v>
      </c>
      <c r="E45" s="6">
        <f>'Raw Data'!K45</f>
        <v>25.026178010471206</v>
      </c>
      <c r="F45" s="3">
        <f>C45-'Weighted Average'!E45</f>
        <v>-0.34999999999999964</v>
      </c>
      <c r="G45" s="94">
        <f>D45-'Weighted Average'!F45</f>
        <v>0.44298429319371735</v>
      </c>
      <c r="H45" s="88">
        <f>E45-'Weighted Average'!G45</f>
        <v>0.34617801047120622</v>
      </c>
      <c r="I45" s="97" t="e">
        <f t="shared" si="9"/>
        <v>#N/A</v>
      </c>
      <c r="J45" s="98" t="e">
        <f t="shared" si="10"/>
        <v>#N/A</v>
      </c>
      <c r="K45" s="99" t="e">
        <f t="shared" si="11"/>
        <v>#N/A</v>
      </c>
      <c r="L45" s="54" t="e">
        <f t="shared" si="3"/>
        <v>#N/A</v>
      </c>
      <c r="M45" s="55" t="e">
        <f t="shared" si="4"/>
        <v>#N/A</v>
      </c>
      <c r="N45" s="56" t="e">
        <f t="shared" si="5"/>
        <v>#N/A</v>
      </c>
      <c r="O45" s="54" t="e">
        <f t="shared" si="6"/>
        <v>#N/A</v>
      </c>
      <c r="P45" s="55" t="e">
        <f t="shared" si="7"/>
        <v>#N/A</v>
      </c>
      <c r="Q45" s="56" t="e">
        <f t="shared" si="8"/>
        <v>#N/A</v>
      </c>
    </row>
    <row r="46" spans="2:26" ht="15" thickBot="1" x14ac:dyDescent="0.35">
      <c r="B46" s="162">
        <v>40</v>
      </c>
      <c r="C46" s="2">
        <f>'Raw Data'!E46</f>
        <v>9.6</v>
      </c>
      <c r="D46" s="2">
        <f>'Raw Data'!H46</f>
        <v>19.95841995841996</v>
      </c>
      <c r="E46" s="6">
        <f>'Raw Data'!K46</f>
        <v>24.563409563409564</v>
      </c>
      <c r="F46" s="3">
        <f>C46-'Weighted Average'!E46</f>
        <v>0.53999999999999915</v>
      </c>
      <c r="G46" s="94">
        <f>D46-'Weighted Average'!F46</f>
        <v>-0.97158004158004019</v>
      </c>
      <c r="H46" s="88">
        <f>E46-'Weighted Average'!G46</f>
        <v>-0.28659043659043704</v>
      </c>
      <c r="I46" s="97" t="e">
        <f t="shared" si="9"/>
        <v>#N/A</v>
      </c>
      <c r="J46" s="98" t="e">
        <f t="shared" si="10"/>
        <v>#N/A</v>
      </c>
      <c r="K46" s="99" t="e">
        <f t="shared" si="11"/>
        <v>#N/A</v>
      </c>
      <c r="L46" s="54" t="e">
        <f t="shared" si="3"/>
        <v>#N/A</v>
      </c>
      <c r="M46" s="55" t="e">
        <f t="shared" si="4"/>
        <v>#N/A</v>
      </c>
      <c r="N46" s="56" t="e">
        <f t="shared" si="5"/>
        <v>#N/A</v>
      </c>
      <c r="O46" s="54" t="e">
        <f t="shared" si="6"/>
        <v>#N/A</v>
      </c>
      <c r="P46" s="55" t="e">
        <f t="shared" si="7"/>
        <v>#N/A</v>
      </c>
      <c r="Q46" s="56" t="e">
        <f t="shared" si="8"/>
        <v>#N/A</v>
      </c>
    </row>
    <row r="47" spans="2:26" ht="15" thickBot="1" x14ac:dyDescent="0.35">
      <c r="E47" s="22" t="s">
        <v>43</v>
      </c>
      <c r="F47" s="157" t="e">
        <f>ROUND(AVERAGE(F7:F46),5)</f>
        <v>#N/A</v>
      </c>
      <c r="G47" s="93" t="e">
        <f>ROUND(AVERAGE(G7:G46),5)</f>
        <v>#N/A</v>
      </c>
      <c r="H47" s="93" t="e">
        <f>ROUND(AVERAGE(H7:H46),5)</f>
        <v>#N/A</v>
      </c>
      <c r="I47" s="38" t="e">
        <f t="shared" ref="I47:M47" si="12">AVERAGE(I7:I46)</f>
        <v>#N/A</v>
      </c>
      <c r="J47" s="93" t="e">
        <f>AVERAGE(J7:J46)</f>
        <v>#N/A</v>
      </c>
      <c r="K47" s="93" t="e">
        <f t="shared" si="12"/>
        <v>#N/A</v>
      </c>
      <c r="L47" s="38" t="e">
        <f t="shared" si="12"/>
        <v>#N/A</v>
      </c>
      <c r="M47" s="39" t="e">
        <f t="shared" si="12"/>
        <v>#N/A</v>
      </c>
      <c r="N47" s="61" t="s">
        <v>67</v>
      </c>
      <c r="O47" s="62" t="e">
        <f>AVERAGE(O7:O46)</f>
        <v>#N/A</v>
      </c>
      <c r="P47" s="61" t="e">
        <f>AVERAGE(P7:P46)</f>
        <v>#N/A</v>
      </c>
      <c r="Q47" s="61" t="e">
        <f>AVERAGE(Q7:Q46)</f>
        <v>#N/A</v>
      </c>
    </row>
    <row r="48" spans="2:26" ht="15" thickBot="1" x14ac:dyDescent="0.35">
      <c r="E48" s="28" t="s">
        <v>42</v>
      </c>
      <c r="F48" s="137" t="e">
        <f>_xlfn.VAR.S(F7:F46)</f>
        <v>#N/A</v>
      </c>
      <c r="G48" s="137" t="e">
        <f>_xlfn.VAR.S(G7:G46)</f>
        <v>#N/A</v>
      </c>
      <c r="H48" s="137" t="e">
        <f>_xlfn.VAR.S(H7:H46)</f>
        <v>#N/A</v>
      </c>
      <c r="I48" s="38" t="e">
        <f t="shared" ref="I48:M48" si="13">VAR(I7:I46)</f>
        <v>#N/A</v>
      </c>
      <c r="J48" s="39" t="e">
        <f t="shared" si="13"/>
        <v>#N/A</v>
      </c>
      <c r="K48" s="39" t="e">
        <f t="shared" si="13"/>
        <v>#N/A</v>
      </c>
      <c r="L48" s="38" t="e">
        <f t="shared" si="13"/>
        <v>#N/A</v>
      </c>
      <c r="M48" s="39" t="e">
        <f t="shared" si="13"/>
        <v>#N/A</v>
      </c>
      <c r="N48" s="61" t="s">
        <v>66</v>
      </c>
      <c r="O48" s="62" t="e">
        <f>SUM(O7:O46)</f>
        <v>#N/A</v>
      </c>
      <c r="P48" s="61" t="e">
        <f>SUM(P7:P46)</f>
        <v>#N/A</v>
      </c>
      <c r="Q48" s="61" t="e">
        <f>SUM(Q7:Q46)</f>
        <v>#N/A</v>
      </c>
    </row>
    <row r="49" spans="6:17" ht="15" thickBot="1" x14ac:dyDescent="0.35">
      <c r="F49" t="e">
        <f>_xlfn.VAR.P(F7:F46)</f>
        <v>#N/A</v>
      </c>
      <c r="G49" t="e">
        <f>_xlfn.VAR.P(G7:G48)</f>
        <v>#N/A</v>
      </c>
      <c r="H49" t="e">
        <f>_xlfn.VAR.P(H7:H48)</f>
        <v>#N/A</v>
      </c>
      <c r="N49" s="63" t="s">
        <v>63</v>
      </c>
      <c r="O49" s="62" t="e">
        <f>O48/'Raw Data'!G4</f>
        <v>#N/A</v>
      </c>
      <c r="P49" s="101" t="e">
        <f>P48/'Raw Data'!G4</f>
        <v>#N/A</v>
      </c>
      <c r="Q49" s="101" t="e">
        <f>Q48/'Raw Data'!G4</f>
        <v>#N/A</v>
      </c>
    </row>
    <row r="50" spans="6:17" x14ac:dyDescent="0.3">
      <c r="O50" t="e">
        <f>_xlfn.COVARIANCE.P(F7:F46,G7:G46)</f>
        <v>#N/A</v>
      </c>
      <c r="P50" t="e">
        <f>_xlfn.COVARIANCE.P(F7:F46,H7:H46)</f>
        <v>#N/A</v>
      </c>
      <c r="Q50" t="e">
        <f xml:space="preserve"> _xlfn.COVARIANCE.P(G7:G46,H7:H46)</f>
        <v>#N/A</v>
      </c>
    </row>
  </sheetData>
  <mergeCells count="12">
    <mergeCell ref="S44:U44"/>
    <mergeCell ref="Y6:AB6"/>
    <mergeCell ref="C5:E5"/>
    <mergeCell ref="F5:H5"/>
    <mergeCell ref="I5:K5"/>
    <mergeCell ref="R6:X6"/>
    <mergeCell ref="S9:W9"/>
    <mergeCell ref="Y13:AC13"/>
    <mergeCell ref="AB16:AB17"/>
    <mergeCell ref="Z22:Z23"/>
    <mergeCell ref="AA22:AA23"/>
    <mergeCell ref="AB22:AB23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4:Q62"/>
  <sheetViews>
    <sheetView workbookViewId="0">
      <selection activeCell="K3" sqref="K3"/>
    </sheetView>
  </sheetViews>
  <sheetFormatPr defaultRowHeight="14.4" x14ac:dyDescent="0.3"/>
  <cols>
    <col min="3" max="3" width="12.109375" bestFit="1" customWidth="1"/>
    <col min="4" max="4" width="11.88671875" bestFit="1" customWidth="1"/>
    <col min="5" max="5" width="9.109375" customWidth="1"/>
    <col min="6" max="6" width="11.5546875" bestFit="1" customWidth="1"/>
    <col min="8" max="9" width="9.5546875" bestFit="1" customWidth="1"/>
    <col min="11" max="11" width="13.6640625" bestFit="1" customWidth="1"/>
    <col min="14" max="14" width="9.5546875" bestFit="1" customWidth="1"/>
    <col min="15" max="15" width="13.6640625" bestFit="1" customWidth="1"/>
    <col min="17" max="17" width="16.88671875" customWidth="1"/>
  </cols>
  <sheetData>
    <row r="4" spans="1:17" ht="15" thickBot="1" x14ac:dyDescent="0.35"/>
    <row r="5" spans="1:17" ht="15" thickBot="1" x14ac:dyDescent="0.35">
      <c r="A5" s="340" t="s">
        <v>99</v>
      </c>
      <c r="B5" s="341"/>
      <c r="C5" s="341"/>
      <c r="D5" s="341"/>
      <c r="E5" s="341"/>
      <c r="F5" s="342"/>
      <c r="O5" s="356" t="s">
        <v>106</v>
      </c>
      <c r="P5" s="357"/>
      <c r="Q5" s="358"/>
    </row>
    <row r="8" spans="1:17" x14ac:dyDescent="0.3">
      <c r="B8" t="e">
        <f>'Sample Diff &amp; Covariance'!$S$19</f>
        <v>#N/A</v>
      </c>
      <c r="C8" t="e">
        <f>'Sample Diff &amp; Covariance'!$T$19</f>
        <v>#N/A</v>
      </c>
      <c r="D8" t="e">
        <f>'Sample Diff &amp; Covariance'!$U$19</f>
        <v>#N/A</v>
      </c>
      <c r="O8" t="e">
        <f t="shared" ref="O8:Q12" si="0">B8</f>
        <v>#N/A</v>
      </c>
      <c r="P8" t="e">
        <f t="shared" si="0"/>
        <v>#N/A</v>
      </c>
      <c r="Q8" t="e">
        <f t="shared" si="0"/>
        <v>#N/A</v>
      </c>
    </row>
    <row r="9" spans="1:17" x14ac:dyDescent="0.3">
      <c r="A9" t="s">
        <v>100</v>
      </c>
    </row>
    <row r="10" spans="1:17" x14ac:dyDescent="0.3">
      <c r="B10" t="e">
        <f>'Sample Diff &amp; Covariance'!$S$21</f>
        <v>#N/A</v>
      </c>
      <c r="C10" t="e">
        <f>'Sample Diff &amp; Covariance'!$T$21</f>
        <v>#N/A</v>
      </c>
      <c r="D10" t="e">
        <f>'Sample Diff &amp; Covariance'!$U$21</f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</row>
    <row r="12" spans="1:17" x14ac:dyDescent="0.3">
      <c r="B12" t="e">
        <f>'Sample Diff &amp; Covariance'!$S$23</f>
        <v>#N/A</v>
      </c>
      <c r="C12" t="e">
        <f>'Sample Diff &amp; Covariance'!$T$23</f>
        <v>#N/A</v>
      </c>
      <c r="D12" t="e">
        <f>'Sample Diff &amp; Covariance'!$U$23</f>
        <v>#N/A</v>
      </c>
      <c r="O12" t="e">
        <f t="shared" si="0"/>
        <v>#N/A</v>
      </c>
      <c r="P12" t="e">
        <f t="shared" si="0"/>
        <v>#N/A</v>
      </c>
      <c r="Q12" t="e">
        <f t="shared" si="0"/>
        <v>#N/A</v>
      </c>
    </row>
    <row r="14" spans="1:17" x14ac:dyDescent="0.3">
      <c r="O14" t="s">
        <v>107</v>
      </c>
    </row>
    <row r="15" spans="1:17" ht="16.2" x14ac:dyDescent="0.3">
      <c r="A15" t="s">
        <v>101</v>
      </c>
      <c r="C15" t="e">
        <f>'Sample Diff &amp; Covariance'!$S$19</f>
        <v>#N/A</v>
      </c>
      <c r="D15" t="e">
        <f>'Sample Diff &amp; Covariance'!$T$19</f>
        <v>#N/A</v>
      </c>
      <c r="E15" t="e">
        <f>'Sample Diff &amp; Covariance'!$U$19</f>
        <v>#N/A</v>
      </c>
      <c r="F15" s="124"/>
      <c r="G15" s="92">
        <v>1</v>
      </c>
      <c r="H15" s="92">
        <v>0</v>
      </c>
      <c r="I15" s="125">
        <v>0</v>
      </c>
      <c r="O15" t="e">
        <f>$O$8</f>
        <v>#N/A</v>
      </c>
      <c r="P15" t="e">
        <f>P8</f>
        <v>#N/A</v>
      </c>
      <c r="Q15" t="e">
        <f>Q8</f>
        <v>#N/A</v>
      </c>
    </row>
    <row r="16" spans="1:17" x14ac:dyDescent="0.3">
      <c r="F16" s="124"/>
      <c r="G16" s="92"/>
      <c r="H16" s="92"/>
      <c r="I16" s="125"/>
    </row>
    <row r="17" spans="3:17" x14ac:dyDescent="0.3">
      <c r="C17" t="e">
        <f>'Sample Diff &amp; Covariance'!$S$21</f>
        <v>#N/A</v>
      </c>
      <c r="D17" t="e">
        <f>'Sample Diff &amp; Covariance'!$T$21</f>
        <v>#N/A</v>
      </c>
      <c r="E17" t="e">
        <f>'Sample Diff &amp; Covariance'!$U$21</f>
        <v>#N/A</v>
      </c>
      <c r="F17" s="124"/>
      <c r="G17" s="92">
        <v>0</v>
      </c>
      <c r="H17" s="92">
        <v>1</v>
      </c>
      <c r="I17" s="125">
        <v>0</v>
      </c>
      <c r="O17" t="e">
        <f>P15-P15/O15*O15</f>
        <v>#N/A</v>
      </c>
      <c r="P17" t="e">
        <f>P10-P15/O8*P8</f>
        <v>#N/A</v>
      </c>
      <c r="Q17" t="e">
        <f>Q10-P15/O15*Q15</f>
        <v>#N/A</v>
      </c>
    </row>
    <row r="18" spans="3:17" x14ac:dyDescent="0.3">
      <c r="F18" s="124"/>
      <c r="G18" s="92"/>
      <c r="H18" s="92"/>
      <c r="I18" s="125"/>
    </row>
    <row r="19" spans="3:17" x14ac:dyDescent="0.3">
      <c r="C19" t="e">
        <f>'Sample Diff &amp; Covariance'!$S$23</f>
        <v>#N/A</v>
      </c>
      <c r="D19" t="e">
        <f>'Sample Diff &amp; Covariance'!$T$23</f>
        <v>#N/A</v>
      </c>
      <c r="E19" t="e">
        <f>'Sample Diff &amp; Covariance'!$U$23</f>
        <v>#N/A</v>
      </c>
      <c r="F19" s="124"/>
      <c r="G19" s="92">
        <v>0</v>
      </c>
      <c r="H19" s="92">
        <v>0</v>
      </c>
      <c r="I19" s="125">
        <v>1</v>
      </c>
      <c r="O19">
        <v>0</v>
      </c>
      <c r="P19" t="e">
        <f>P12</f>
        <v>#N/A</v>
      </c>
      <c r="Q19" t="e">
        <f>Q12</f>
        <v>#N/A</v>
      </c>
    </row>
    <row r="21" spans="3:17" x14ac:dyDescent="0.3">
      <c r="O21" t="s">
        <v>108</v>
      </c>
    </row>
    <row r="22" spans="3:17" x14ac:dyDescent="0.3">
      <c r="C22" t="e">
        <f>'Sample Diff &amp; Covariance'!$S$19</f>
        <v>#N/A</v>
      </c>
      <c r="D22" t="e">
        <f>'Sample Diff &amp; Covariance'!$T$19</f>
        <v>#N/A</v>
      </c>
      <c r="E22" t="e">
        <f>'Sample Diff &amp; Covariance'!$U$19</f>
        <v>#N/A</v>
      </c>
      <c r="F22" s="124"/>
      <c r="G22" s="92">
        <v>1</v>
      </c>
      <c r="H22" s="92">
        <v>0</v>
      </c>
      <c r="I22" s="125">
        <v>0</v>
      </c>
      <c r="N22" s="104"/>
      <c r="O22" t="e">
        <f t="shared" ref="O22:Q24" si="1">O15</f>
        <v>#N/A</v>
      </c>
      <c r="P22" t="e">
        <f t="shared" si="1"/>
        <v>#N/A</v>
      </c>
      <c r="Q22" t="e">
        <f t="shared" si="1"/>
        <v>#N/A</v>
      </c>
    </row>
    <row r="23" spans="3:17" x14ac:dyDescent="0.3">
      <c r="F23" s="124"/>
      <c r="I23" s="124"/>
    </row>
    <row r="24" spans="3:17" x14ac:dyDescent="0.3">
      <c r="C24" s="100" t="e">
        <f>C15*(C17)-D15*(C15)</f>
        <v>#N/A</v>
      </c>
      <c r="D24" t="e">
        <f>C15*(D17)-C17*(D15)</f>
        <v>#N/A</v>
      </c>
      <c r="E24" t="e">
        <f>C15*(E17)-C17*(E15)</f>
        <v>#N/A</v>
      </c>
      <c r="F24" s="124"/>
      <c r="G24" s="92" t="e">
        <f>C15*G17-C17*G15</f>
        <v>#N/A</v>
      </c>
      <c r="H24" t="e">
        <f>C15*H17-D15*H15</f>
        <v>#N/A</v>
      </c>
      <c r="I24" s="125" t="e">
        <f>C15*I17-C17*I17</f>
        <v>#N/A</v>
      </c>
      <c r="O24" t="e">
        <f t="shared" si="1"/>
        <v>#N/A</v>
      </c>
      <c r="P24" t="e">
        <f t="shared" si="1"/>
        <v>#N/A</v>
      </c>
      <c r="Q24" t="e">
        <f t="shared" si="1"/>
        <v>#N/A</v>
      </c>
    </row>
    <row r="25" spans="3:17" x14ac:dyDescent="0.3">
      <c r="F25" s="124"/>
      <c r="I25" s="124"/>
      <c r="N25" s="92"/>
    </row>
    <row r="26" spans="3:17" x14ac:dyDescent="0.3">
      <c r="C26" s="100" t="e">
        <f>C22*C19-C19*C15</f>
        <v>#N/A</v>
      </c>
      <c r="D26" t="e">
        <f>D19*C15-C19*(D15)</f>
        <v>#N/A</v>
      </c>
      <c r="E26" t="e">
        <f>C15*E19-C19*E15</f>
        <v>#N/A</v>
      </c>
      <c r="F26" s="124"/>
      <c r="G26" t="e">
        <f>C15*G19-C19*G15</f>
        <v>#N/A</v>
      </c>
      <c r="H26" s="92" t="e">
        <f>C15*H19-C19*H15</f>
        <v>#N/A</v>
      </c>
      <c r="I26" s="125" t="e">
        <f>C15*I19-C19*I15</f>
        <v>#N/A</v>
      </c>
      <c r="O26" t="e">
        <f>O12-Q8/O8*O8</f>
        <v>#N/A</v>
      </c>
      <c r="P26" t="e">
        <f>P19-O12/O8*P8</f>
        <v>#N/A</v>
      </c>
      <c r="Q26" t="e">
        <f>Q12-Q8/O8*O12</f>
        <v>#N/A</v>
      </c>
    </row>
    <row r="28" spans="3:17" x14ac:dyDescent="0.3">
      <c r="O28" t="e">
        <f t="shared" ref="O28:Q30" si="2">O22</f>
        <v>#N/A</v>
      </c>
      <c r="P28" t="e">
        <f t="shared" si="2"/>
        <v>#N/A</v>
      </c>
      <c r="Q28" t="e">
        <f t="shared" si="2"/>
        <v>#N/A</v>
      </c>
    </row>
    <row r="29" spans="3:17" x14ac:dyDescent="0.3">
      <c r="C29" s="100" t="e">
        <f>(C22*(D24)-D22*C24)/C22</f>
        <v>#N/A</v>
      </c>
      <c r="D29" s="100" t="e">
        <f>(D24*C24-D22*C24)/C22</f>
        <v>#N/A</v>
      </c>
      <c r="E29" s="100" t="e">
        <f>(D24*E22-D22*E24)/C22</f>
        <v>#N/A</v>
      </c>
      <c r="F29" s="124"/>
      <c r="G29" s="92" t="e">
        <f>(D24*G22-D22*G24)/C22</f>
        <v>#N/A</v>
      </c>
      <c r="H29" s="92" t="e">
        <f>(D24*H22-D22*H24)/C22</f>
        <v>#N/A</v>
      </c>
      <c r="I29" s="125" t="e">
        <f>(D24*I22-D22*I24)/C22</f>
        <v>#N/A</v>
      </c>
    </row>
    <row r="30" spans="3:17" x14ac:dyDescent="0.3">
      <c r="D30" s="34"/>
      <c r="E30" s="34"/>
      <c r="F30" s="124"/>
      <c r="G30" s="92"/>
      <c r="H30" s="92"/>
      <c r="I30" s="125"/>
      <c r="K30" t="e">
        <f>D12-D8</f>
        <v>#N/A</v>
      </c>
      <c r="O30" t="e">
        <f t="shared" si="2"/>
        <v>#N/A</v>
      </c>
      <c r="P30" t="e">
        <f t="shared" si="2"/>
        <v>#N/A</v>
      </c>
      <c r="Q30" t="e">
        <f t="shared" si="2"/>
        <v>#N/A</v>
      </c>
    </row>
    <row r="31" spans="3:17" x14ac:dyDescent="0.3">
      <c r="C31" s="100" t="e">
        <f>C24</f>
        <v>#N/A</v>
      </c>
      <c r="D31" s="100" t="e">
        <f>D24</f>
        <v>#N/A</v>
      </c>
      <c r="E31" s="100" t="e">
        <f>E24</f>
        <v>#N/A</v>
      </c>
      <c r="F31" s="124"/>
      <c r="G31" s="92" t="e">
        <f>G24</f>
        <v>#N/A</v>
      </c>
      <c r="H31" s="92" t="e">
        <f>H24</f>
        <v>#N/A</v>
      </c>
      <c r="I31" s="125" t="e">
        <f>I24</f>
        <v>#N/A</v>
      </c>
    </row>
    <row r="32" spans="3:17" x14ac:dyDescent="0.3">
      <c r="D32" s="34"/>
      <c r="E32" s="34"/>
      <c r="F32" s="124"/>
      <c r="G32" s="92"/>
      <c r="H32" s="92"/>
      <c r="I32" s="125"/>
      <c r="O32" t="e">
        <f>O26-P26/P24*O24</f>
        <v>#N/A</v>
      </c>
      <c r="P32" t="e">
        <f>P26-P26/P24*P24</f>
        <v>#N/A</v>
      </c>
      <c r="Q32" t="e">
        <f>Q26-Q24/P24*P26</f>
        <v>#N/A</v>
      </c>
    </row>
    <row r="33" spans="3:17" x14ac:dyDescent="0.3">
      <c r="C33" s="100" t="e">
        <f>(C26*D24-D26*C24)/C22</f>
        <v>#N/A</v>
      </c>
      <c r="D33" s="100" t="e">
        <f>(D24*(D26)-D26*D24)/C22</f>
        <v>#N/A</v>
      </c>
      <c r="E33" s="100" t="e">
        <f>(D24*E26-D26*E24)/C22</f>
        <v>#N/A</v>
      </c>
      <c r="F33" s="124"/>
      <c r="G33" s="92" t="e">
        <f>(D24*(G26)-D26*G24)/C22</f>
        <v>#N/A</v>
      </c>
      <c r="H33" s="92" t="e">
        <f>(D24*H26-D26*H24)/C22</f>
        <v>#N/A</v>
      </c>
      <c r="I33" s="125" t="e">
        <f>(D24*I26-D26*I24)/C22</f>
        <v>#N/A</v>
      </c>
    </row>
    <row r="34" spans="3:17" x14ac:dyDescent="0.3">
      <c r="G34" s="92"/>
      <c r="H34" s="92"/>
      <c r="I34" s="92"/>
      <c r="O34" t="s">
        <v>109</v>
      </c>
    </row>
    <row r="36" spans="3:17" x14ac:dyDescent="0.3">
      <c r="C36" s="100" t="e">
        <f>(C29*E33-C33*E29)/C29</f>
        <v>#N/A</v>
      </c>
      <c r="D36" s="100" t="e">
        <f>(D29*E33-D33*E29)/C29</f>
        <v>#N/A</v>
      </c>
      <c r="E36" s="100" t="e">
        <f>(E33*E29-E29*E33)/C29</f>
        <v>#N/A</v>
      </c>
      <c r="F36" s="124"/>
      <c r="G36" s="92" t="e">
        <f>(E33*G29-G33*(E29))/C29</f>
        <v>#N/A</v>
      </c>
      <c r="H36" s="92" t="e">
        <f>(H29*E33-E29*H33)/C29</f>
        <v>#N/A</v>
      </c>
      <c r="I36" s="125" t="e">
        <f>(E33*I29-E29*I33)/C29</f>
        <v>#N/A</v>
      </c>
      <c r="O36" s="103" t="e">
        <f>O28*P30*Q32</f>
        <v>#N/A</v>
      </c>
    </row>
    <row r="37" spans="3:17" x14ac:dyDescent="0.3">
      <c r="C37" s="100"/>
      <c r="D37" s="100"/>
      <c r="E37" s="100"/>
      <c r="F37" s="124"/>
      <c r="G37" s="92"/>
      <c r="H37" s="92"/>
      <c r="I37" s="125"/>
    </row>
    <row r="38" spans="3:17" x14ac:dyDescent="0.3">
      <c r="C38" s="100" t="e">
        <f>(C31*E33-E31*C33)/C29</f>
        <v>#N/A</v>
      </c>
      <c r="D38" s="100" t="e">
        <f>(E33*D31-D33*E31)/C29</f>
        <v>#N/A</v>
      </c>
      <c r="E38" s="100" t="e">
        <f>(E31*E33-E33*E31)/C29</f>
        <v>#N/A</v>
      </c>
      <c r="F38" s="124"/>
      <c r="G38" s="92" t="e">
        <f>(E33*G31-E31*G33)/C29</f>
        <v>#N/A</v>
      </c>
      <c r="H38" s="92" t="e">
        <f>(E33*H31-E31*H33)/C29</f>
        <v>#N/A</v>
      </c>
      <c r="I38" s="125" t="e">
        <f>(E33*I31-E31*I33)/C29</f>
        <v>#N/A</v>
      </c>
      <c r="O38" t="s">
        <v>110</v>
      </c>
      <c r="P38" t="s">
        <v>104</v>
      </c>
      <c r="Q38" s="103" t="e">
        <f>$O$36</f>
        <v>#N/A</v>
      </c>
    </row>
    <row r="39" spans="3:17" x14ac:dyDescent="0.3">
      <c r="C39" s="100"/>
      <c r="D39" s="100"/>
      <c r="E39" s="100"/>
      <c r="F39" s="124"/>
      <c r="G39" s="92"/>
      <c r="H39" s="92"/>
      <c r="I39" s="125"/>
    </row>
    <row r="40" spans="3:17" x14ac:dyDescent="0.3">
      <c r="C40" s="100" t="e">
        <f>C33</f>
        <v>#N/A</v>
      </c>
      <c r="D40" s="100" t="e">
        <f>D33</f>
        <v>#N/A</v>
      </c>
      <c r="E40" s="100" t="e">
        <f>E33</f>
        <v>#N/A</v>
      </c>
      <c r="F40" s="124"/>
      <c r="G40" s="92" t="e">
        <f>G33</f>
        <v>#N/A</v>
      </c>
      <c r="H40" s="92" t="e">
        <f>H33</f>
        <v>#N/A</v>
      </c>
      <c r="I40" s="125" t="e">
        <f>I33</f>
        <v>#N/A</v>
      </c>
    </row>
    <row r="43" spans="3:17" x14ac:dyDescent="0.3">
      <c r="D43" s="92" t="e">
        <f t="shared" ref="D43:F47" si="3">G36</f>
        <v>#N/A</v>
      </c>
      <c r="E43" s="92" t="e">
        <f t="shared" si="3"/>
        <v>#N/A</v>
      </c>
      <c r="F43" s="92" t="e">
        <f t="shared" si="3"/>
        <v>#N/A</v>
      </c>
    </row>
    <row r="44" spans="3:17" x14ac:dyDescent="0.3">
      <c r="D44" s="92"/>
      <c r="E44" s="92"/>
      <c r="F44" s="92"/>
    </row>
    <row r="45" spans="3:17" x14ac:dyDescent="0.3">
      <c r="D45" s="92" t="e">
        <f t="shared" si="3"/>
        <v>#N/A</v>
      </c>
      <c r="E45" s="92" t="e">
        <f t="shared" si="3"/>
        <v>#N/A</v>
      </c>
      <c r="F45" s="92" t="e">
        <f t="shared" si="3"/>
        <v>#N/A</v>
      </c>
      <c r="H45" t="s">
        <v>102</v>
      </c>
      <c r="I45" t="s">
        <v>103</v>
      </c>
    </row>
    <row r="46" spans="3:17" x14ac:dyDescent="0.3">
      <c r="D46" s="92"/>
      <c r="E46" s="92"/>
      <c r="F46" s="92"/>
    </row>
    <row r="47" spans="3:17" x14ac:dyDescent="0.3">
      <c r="D47" s="92" t="e">
        <f t="shared" si="3"/>
        <v>#N/A</v>
      </c>
      <c r="E47" s="92" t="e">
        <f t="shared" si="3"/>
        <v>#N/A</v>
      </c>
      <c r="F47" s="92" t="e">
        <f t="shared" si="3"/>
        <v>#N/A</v>
      </c>
      <c r="I47" t="s">
        <v>98</v>
      </c>
      <c r="K47" s="103" t="e">
        <f>$Q$38</f>
        <v>#N/A</v>
      </c>
    </row>
    <row r="50" spans="3:9" x14ac:dyDescent="0.3">
      <c r="C50" t="s">
        <v>104</v>
      </c>
      <c r="D50" s="92" t="e">
        <f t="shared" ref="D50:F54" si="4">D43</f>
        <v>#N/A</v>
      </c>
      <c r="E50" s="92" t="e">
        <f t="shared" si="4"/>
        <v>#N/A</v>
      </c>
      <c r="F50" s="92" t="e">
        <f t="shared" si="4"/>
        <v>#N/A</v>
      </c>
    </row>
    <row r="51" spans="3:9" x14ac:dyDescent="0.3">
      <c r="D51" s="92"/>
      <c r="E51" s="92"/>
      <c r="F51" s="92"/>
      <c r="H51" t="s">
        <v>105</v>
      </c>
      <c r="I51" s="92" t="e">
        <f>1/K47</f>
        <v>#N/A</v>
      </c>
    </row>
    <row r="52" spans="3:9" x14ac:dyDescent="0.3">
      <c r="D52" s="92" t="e">
        <f t="shared" si="4"/>
        <v>#N/A</v>
      </c>
      <c r="E52" s="92" t="e">
        <f t="shared" si="4"/>
        <v>#N/A</v>
      </c>
      <c r="F52" s="92" t="e">
        <f t="shared" si="4"/>
        <v>#N/A</v>
      </c>
    </row>
    <row r="53" spans="3:9" x14ac:dyDescent="0.3">
      <c r="D53" s="92"/>
      <c r="E53" s="92"/>
      <c r="F53" s="92"/>
    </row>
    <row r="54" spans="3:9" x14ac:dyDescent="0.3">
      <c r="D54" s="92" t="e">
        <f t="shared" si="4"/>
        <v>#N/A</v>
      </c>
      <c r="E54" s="92" t="e">
        <f t="shared" si="4"/>
        <v>#N/A</v>
      </c>
      <c r="F54" s="92" t="e">
        <f t="shared" si="4"/>
        <v>#N/A</v>
      </c>
    </row>
    <row r="58" spans="3:9" x14ac:dyDescent="0.3">
      <c r="C58" s="126" t="s">
        <v>104</v>
      </c>
      <c r="D58" s="127" t="e">
        <f>D50*I51</f>
        <v>#N/A</v>
      </c>
      <c r="E58" s="127" t="e">
        <f>E50*I51</f>
        <v>#N/A</v>
      </c>
      <c r="F58" s="128" t="e">
        <f>F50*I51</f>
        <v>#N/A</v>
      </c>
      <c r="G58" s="126"/>
    </row>
    <row r="59" spans="3:9" x14ac:dyDescent="0.3">
      <c r="C59" s="126"/>
      <c r="D59" s="127"/>
      <c r="E59" s="127"/>
      <c r="F59" s="127"/>
      <c r="G59" s="126"/>
    </row>
    <row r="60" spans="3:9" x14ac:dyDescent="0.3">
      <c r="C60" s="126"/>
      <c r="D60" s="127" t="e">
        <f>D52*I51</f>
        <v>#N/A</v>
      </c>
      <c r="E60" s="127" t="e">
        <f>E52*I51</f>
        <v>#N/A</v>
      </c>
      <c r="F60" s="127" t="e">
        <f>F52*I51</f>
        <v>#N/A</v>
      </c>
      <c r="G60" s="126"/>
    </row>
    <row r="61" spans="3:9" x14ac:dyDescent="0.3">
      <c r="C61" s="126"/>
      <c r="D61" s="127"/>
      <c r="E61" s="127"/>
      <c r="F61" s="127"/>
      <c r="G61" s="126"/>
    </row>
    <row r="62" spans="3:9" x14ac:dyDescent="0.3">
      <c r="C62" s="126"/>
      <c r="D62" s="127" t="e">
        <f>D54*I51</f>
        <v>#N/A</v>
      </c>
      <c r="E62" s="127" t="e">
        <f>E54*I51</f>
        <v>#N/A</v>
      </c>
      <c r="F62" s="127" t="e">
        <f>F54*I51</f>
        <v>#N/A</v>
      </c>
      <c r="G62" s="126"/>
    </row>
  </sheetData>
  <sheetProtection algorithmName="SHA-512" hashValue="T0lsEtXoL0IuAzSCFxBfq+iehXZg8tTQLFY1cZnZjWbPr1Ptf5JA4cT44g7w8HWw5gIyYNYLEjNOit8vlvAquw==" saltValue="nrS//wO/10/qxTkmrCyv7g==" spinCount="100000" sheet="1" objects="1" scenarios="1"/>
  <mergeCells count="2">
    <mergeCell ref="O5:Q5"/>
    <mergeCell ref="A5:F5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2:R70"/>
  <sheetViews>
    <sheetView topLeftCell="A50" zoomScale="96" zoomScaleNormal="96" workbookViewId="0">
      <selection activeCell="F53" sqref="F53"/>
    </sheetView>
  </sheetViews>
  <sheetFormatPr defaultRowHeight="14.4" x14ac:dyDescent="0.3"/>
  <cols>
    <col min="2" max="2" width="16.88671875" customWidth="1"/>
    <col min="3" max="3" width="23.88671875" customWidth="1"/>
    <col min="4" max="4" width="4.33203125" customWidth="1"/>
    <col min="5" max="5" width="16" customWidth="1"/>
    <col min="6" max="6" width="17.5546875" customWidth="1"/>
    <col min="7" max="7" width="17.6640625" customWidth="1"/>
    <col min="8" max="8" width="12.44140625" customWidth="1"/>
    <col min="9" max="9" width="13.109375" bestFit="1" customWidth="1"/>
    <col min="12" max="12" width="14.6640625" customWidth="1"/>
    <col min="14" max="14" width="16.109375" customWidth="1"/>
  </cols>
  <sheetData>
    <row r="2" spans="1:18" ht="15" thickBot="1" x14ac:dyDescent="0.35"/>
    <row r="3" spans="1:18" x14ac:dyDescent="0.3">
      <c r="A3" s="365" t="s">
        <v>72</v>
      </c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P3" s="367"/>
    </row>
    <row r="4" spans="1:18" ht="15" thickBot="1" x14ac:dyDescent="0.35">
      <c r="A4" s="368"/>
      <c r="B4" s="369"/>
      <c r="C4" s="369"/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70"/>
    </row>
    <row r="6" spans="1:18" ht="15" thickBot="1" x14ac:dyDescent="0.35"/>
    <row r="7" spans="1:18" ht="15" thickBot="1" x14ac:dyDescent="0.35">
      <c r="A7" s="356" t="s">
        <v>71</v>
      </c>
      <c r="B7" s="357"/>
      <c r="C7" s="357"/>
      <c r="D7" s="357"/>
      <c r="E7" s="357"/>
      <c r="F7" s="358"/>
    </row>
    <row r="9" spans="1:18" ht="15" thickBot="1" x14ac:dyDescent="0.35"/>
    <row r="10" spans="1:18" ht="16.2" x14ac:dyDescent="0.3">
      <c r="A10" s="30" t="s">
        <v>73</v>
      </c>
      <c r="B10" t="s">
        <v>85</v>
      </c>
      <c r="R10" s="78"/>
    </row>
    <row r="11" spans="1:18" ht="17.25" customHeight="1" x14ac:dyDescent="0.3"/>
    <row r="12" spans="1:18" ht="15" customHeight="1" x14ac:dyDescent="0.3">
      <c r="A12" s="30" t="s">
        <v>86</v>
      </c>
    </row>
    <row r="14" spans="1:18" x14ac:dyDescent="0.3">
      <c r="B14" t="s">
        <v>87</v>
      </c>
    </row>
    <row r="15" spans="1:18" x14ac:dyDescent="0.3">
      <c r="B15" t="s">
        <v>90</v>
      </c>
    </row>
    <row r="16" spans="1:18" ht="16.2" x14ac:dyDescent="0.3">
      <c r="B16" t="s">
        <v>88</v>
      </c>
    </row>
    <row r="17" spans="2:9" x14ac:dyDescent="0.3">
      <c r="B17" t="s">
        <v>89</v>
      </c>
    </row>
    <row r="19" spans="2:9" ht="16.2" x14ac:dyDescent="0.3">
      <c r="B19" s="9" t="s">
        <v>91</v>
      </c>
      <c r="C19" s="9"/>
      <c r="D19" s="9"/>
    </row>
    <row r="21" spans="2:9" ht="15.6" x14ac:dyDescent="0.35">
      <c r="B21" s="34" t="s">
        <v>92</v>
      </c>
      <c r="C21" t="s">
        <v>93</v>
      </c>
    </row>
    <row r="22" spans="2:9" ht="15.6" x14ac:dyDescent="0.35">
      <c r="C22" t="s">
        <v>94</v>
      </c>
    </row>
    <row r="23" spans="2:9" x14ac:dyDescent="0.3">
      <c r="C23" t="s">
        <v>96</v>
      </c>
    </row>
    <row r="26" spans="2:9" ht="15.6" x14ac:dyDescent="0.35">
      <c r="B26" s="34" t="s">
        <v>95</v>
      </c>
      <c r="C26" t="s">
        <v>97</v>
      </c>
    </row>
    <row r="28" spans="2:9" ht="15" customHeight="1" x14ac:dyDescent="0.3"/>
    <row r="29" spans="2:9" ht="15" customHeight="1" x14ac:dyDescent="0.3">
      <c r="B29" t="s">
        <v>111</v>
      </c>
    </row>
    <row r="30" spans="2:9" x14ac:dyDescent="0.3">
      <c r="B30" s="9"/>
      <c r="C30" s="9"/>
      <c r="D30" s="9"/>
      <c r="E30" s="9"/>
      <c r="F30" s="9"/>
    </row>
    <row r="31" spans="2:9" x14ac:dyDescent="0.3">
      <c r="B31" t="e">
        <f>'Sample Diff &amp; Covariance'!$S$13</f>
        <v>#N/A</v>
      </c>
      <c r="C31" t="e">
        <f>'Sample Diff &amp; Covariance'!$T$13</f>
        <v>#N/A</v>
      </c>
      <c r="E31" t="e">
        <f>'Sample Diff &amp; Covariance'!$U$13</f>
        <v>#N/A</v>
      </c>
      <c r="F31" s="372" t="s">
        <v>105</v>
      </c>
      <c r="G31" s="105" t="e">
        <f>'Matrix Calculations'!D58</f>
        <v>#N/A</v>
      </c>
      <c r="H31" s="105" t="e">
        <f>'Matrix Calculations'!E58</f>
        <v>#N/A</v>
      </c>
      <c r="I31" s="105" t="e">
        <f>'Matrix Calculations'!F58</f>
        <v>#N/A</v>
      </c>
    </row>
    <row r="32" spans="2:9" x14ac:dyDescent="0.3">
      <c r="F32" s="372"/>
      <c r="G32" s="105"/>
      <c r="H32" s="105"/>
      <c r="I32" s="105"/>
    </row>
    <row r="33" spans="2:11" x14ac:dyDescent="0.3">
      <c r="C33" s="82"/>
      <c r="D33" s="82"/>
      <c r="E33" s="82"/>
      <c r="F33" s="372"/>
      <c r="G33" s="105" t="e">
        <f>'Matrix Calculations'!D60</f>
        <v>#N/A</v>
      </c>
      <c r="H33" s="105" t="e">
        <f>'Matrix Calculations'!E60</f>
        <v>#N/A</v>
      </c>
      <c r="I33" s="105" t="e">
        <f>'Matrix Calculations'!F60</f>
        <v>#N/A</v>
      </c>
    </row>
    <row r="34" spans="2:11" ht="15" customHeight="1" x14ac:dyDescent="0.3">
      <c r="C34" s="82"/>
      <c r="D34" s="82"/>
      <c r="E34" s="82"/>
      <c r="F34" s="372"/>
      <c r="G34" s="107"/>
      <c r="H34" s="107"/>
      <c r="I34" s="105"/>
    </row>
    <row r="35" spans="2:11" x14ac:dyDescent="0.3">
      <c r="C35" s="82"/>
      <c r="D35" s="82"/>
      <c r="E35" s="82"/>
      <c r="F35" s="372"/>
      <c r="G35" s="105" t="e">
        <f>'Matrix Calculations'!D62</f>
        <v>#N/A</v>
      </c>
      <c r="H35" s="105" t="e">
        <f>'Matrix Calculations'!E62</f>
        <v>#N/A</v>
      </c>
      <c r="I35" s="105" t="e">
        <f>'Matrix Calculations'!F62</f>
        <v>#N/A</v>
      </c>
    </row>
    <row r="36" spans="2:11" x14ac:dyDescent="0.3">
      <c r="C36" s="82"/>
      <c r="D36" s="82"/>
      <c r="E36" s="82"/>
      <c r="F36" s="82"/>
      <c r="G36" s="82"/>
      <c r="H36" s="82"/>
    </row>
    <row r="37" spans="2:11" x14ac:dyDescent="0.3">
      <c r="C37" s="82"/>
      <c r="D37" s="82"/>
      <c r="E37" s="82"/>
      <c r="F37" s="82"/>
      <c r="G37" s="82"/>
      <c r="H37" s="82"/>
    </row>
    <row r="38" spans="2:11" x14ac:dyDescent="0.3">
      <c r="C38" s="82"/>
      <c r="D38" s="82"/>
      <c r="E38" s="82"/>
      <c r="F38" s="82"/>
      <c r="G38" s="82"/>
      <c r="H38" s="82"/>
    </row>
    <row r="39" spans="2:11" x14ac:dyDescent="0.3">
      <c r="B39" t="s">
        <v>112</v>
      </c>
      <c r="C39" s="109" t="e">
        <f>B31*G31+C31*H31+E31*(G35)</f>
        <v>#N/A</v>
      </c>
    </row>
    <row r="42" spans="2:11" x14ac:dyDescent="0.3">
      <c r="B42" t="s">
        <v>113</v>
      </c>
      <c r="C42" s="371" t="e">
        <f>B31*H31+(C31)*H33+(E31)*H35</f>
        <v>#N/A</v>
      </c>
      <c r="D42" s="371"/>
      <c r="E42" s="371"/>
      <c r="F42" s="105"/>
      <c r="G42" s="105"/>
    </row>
    <row r="43" spans="2:11" x14ac:dyDescent="0.3">
      <c r="G43" s="82"/>
      <c r="H43" s="82"/>
      <c r="I43" s="82"/>
      <c r="J43" s="82"/>
      <c r="K43" s="82"/>
    </row>
    <row r="44" spans="2:11" x14ac:dyDescent="0.3">
      <c r="G44" s="82"/>
      <c r="H44" s="82"/>
      <c r="I44" s="82"/>
      <c r="J44" s="82"/>
    </row>
    <row r="45" spans="2:11" x14ac:dyDescent="0.3">
      <c r="B45" t="s">
        <v>114</v>
      </c>
      <c r="C45" s="109" t="e">
        <f>B31*I31+C31*I33+(E31)*I35</f>
        <v>#N/A</v>
      </c>
      <c r="G45" s="82"/>
      <c r="H45" s="82"/>
      <c r="I45" s="82"/>
      <c r="J45" s="82"/>
    </row>
    <row r="46" spans="2:11" x14ac:dyDescent="0.3">
      <c r="H46" t="e">
        <f>'Hotelling''s T2'!$B$31</f>
        <v>#N/A</v>
      </c>
    </row>
    <row r="48" spans="2:11" x14ac:dyDescent="0.3">
      <c r="B48" t="s">
        <v>104</v>
      </c>
      <c r="C48" s="105" t="e">
        <f>'Hotelling''s T2'!$C$39</f>
        <v>#N/A</v>
      </c>
      <c r="D48" s="105"/>
      <c r="E48" s="105" t="e">
        <f>'Hotelling''s T2'!$C$42</f>
        <v>#N/A</v>
      </c>
      <c r="F48" s="105" t="e">
        <f>'Hotelling''s T2'!$C$45</f>
        <v>#N/A</v>
      </c>
      <c r="G48" s="37" t="s">
        <v>105</v>
      </c>
      <c r="H48" s="108" t="e">
        <f>'Hotelling''s T2'!$C$31</f>
        <v>#N/A</v>
      </c>
      <c r="I48" s="82"/>
      <c r="J48" s="82"/>
      <c r="K48" s="82"/>
    </row>
    <row r="49" spans="2:11" x14ac:dyDescent="0.3">
      <c r="C49" s="82"/>
      <c r="D49" s="82"/>
      <c r="E49" s="82"/>
      <c r="F49" s="82"/>
      <c r="G49" s="82"/>
      <c r="H49" s="82"/>
      <c r="I49" s="82"/>
      <c r="J49" s="82"/>
      <c r="K49" s="82"/>
    </row>
    <row r="50" spans="2:11" x14ac:dyDescent="0.3">
      <c r="C50" s="82"/>
      <c r="D50" s="82"/>
      <c r="E50" s="82"/>
      <c r="F50" s="82"/>
      <c r="G50" s="82"/>
      <c r="H50" s="108" t="e">
        <f>'Hotelling''s T2'!$E$31</f>
        <v>#N/A</v>
      </c>
      <c r="I50" s="82"/>
      <c r="J50" s="82"/>
      <c r="K50" s="82"/>
    </row>
    <row r="51" spans="2:11" x14ac:dyDescent="0.3">
      <c r="C51" s="82"/>
      <c r="D51" s="82"/>
      <c r="E51" s="82"/>
      <c r="F51" s="82"/>
      <c r="G51" s="82"/>
      <c r="H51" s="82"/>
      <c r="I51" s="82"/>
      <c r="J51" s="82"/>
      <c r="K51" s="82"/>
    </row>
    <row r="52" spans="2:11" x14ac:dyDescent="0.3">
      <c r="C52" s="82"/>
      <c r="D52" s="82"/>
      <c r="E52" s="82"/>
      <c r="F52" s="82"/>
      <c r="G52" s="82"/>
      <c r="H52" s="82"/>
      <c r="I52" s="82"/>
      <c r="J52" s="82"/>
      <c r="K52" s="82"/>
    </row>
    <row r="53" spans="2:11" x14ac:dyDescent="0.3">
      <c r="C53" s="82"/>
      <c r="D53" s="82"/>
      <c r="E53" s="82"/>
      <c r="F53" s="82"/>
      <c r="G53" s="82"/>
      <c r="H53" s="82"/>
      <c r="I53" s="82"/>
      <c r="J53" s="82"/>
      <c r="K53" s="82"/>
    </row>
    <row r="54" spans="2:11" x14ac:dyDescent="0.3">
      <c r="C54" s="82"/>
      <c r="D54" s="82"/>
      <c r="E54" s="82"/>
      <c r="F54" s="82"/>
      <c r="G54" s="82"/>
      <c r="H54" s="82"/>
      <c r="I54" s="82"/>
      <c r="J54" s="82"/>
      <c r="K54" s="82"/>
    </row>
    <row r="55" spans="2:11" x14ac:dyDescent="0.3">
      <c r="B55" t="s">
        <v>104</v>
      </c>
      <c r="C55" s="110" t="e">
        <f>C48*H46+(E48)*H48+(F48)*H50</f>
        <v>#N/A</v>
      </c>
      <c r="D55" s="82"/>
      <c r="E55" s="82"/>
      <c r="F55" s="82"/>
      <c r="G55" s="82"/>
      <c r="H55" s="82"/>
      <c r="I55" s="82"/>
      <c r="J55" s="82"/>
      <c r="K55" s="82"/>
    </row>
    <row r="56" spans="2:11" x14ac:dyDescent="0.3">
      <c r="C56" s="82"/>
      <c r="D56" s="82"/>
      <c r="E56" s="82"/>
      <c r="F56" s="82"/>
      <c r="G56" s="82"/>
      <c r="H56" s="82"/>
      <c r="I56" s="82"/>
      <c r="J56" s="82"/>
      <c r="K56" s="82"/>
    </row>
    <row r="57" spans="2:11" x14ac:dyDescent="0.3">
      <c r="C57" s="82"/>
      <c r="D57" s="82"/>
      <c r="E57" s="82"/>
      <c r="F57" s="82"/>
      <c r="G57" s="82"/>
      <c r="H57" s="82"/>
      <c r="I57" s="82"/>
      <c r="J57" s="82"/>
      <c r="K57" s="82"/>
    </row>
    <row r="58" spans="2:11" ht="15" thickBot="1" x14ac:dyDescent="0.35">
      <c r="C58" s="82"/>
      <c r="D58" s="82"/>
      <c r="E58" s="82"/>
      <c r="F58" s="82"/>
      <c r="G58" s="82"/>
      <c r="H58" s="82"/>
      <c r="I58" s="82"/>
      <c r="J58" s="82"/>
      <c r="K58" s="82"/>
    </row>
    <row r="59" spans="2:11" ht="16.8" thickBot="1" x14ac:dyDescent="0.35">
      <c r="B59" s="9" t="s">
        <v>115</v>
      </c>
      <c r="C59" s="122" t="e">
        <f>C55*30</f>
        <v>#N/A</v>
      </c>
      <c r="D59" s="82"/>
      <c r="E59" s="82"/>
      <c r="F59" s="82"/>
      <c r="G59" s="82"/>
      <c r="H59" s="82"/>
      <c r="I59" s="82"/>
      <c r="J59" s="82"/>
      <c r="K59" s="82"/>
    </row>
    <row r="60" spans="2:11" x14ac:dyDescent="0.3">
      <c r="C60" s="82"/>
      <c r="D60" s="82"/>
      <c r="E60" s="82"/>
      <c r="F60" s="82"/>
      <c r="G60" s="82"/>
      <c r="H60" s="82"/>
      <c r="I60" s="82"/>
      <c r="J60" s="82"/>
      <c r="K60" s="82"/>
    </row>
    <row r="61" spans="2:11" ht="16.2" x14ac:dyDescent="0.3">
      <c r="B61" s="9" t="s">
        <v>116</v>
      </c>
      <c r="C61" s="123">
        <v>9.0399999999999991</v>
      </c>
      <c r="D61" s="82"/>
      <c r="E61" s="82"/>
      <c r="F61" s="82"/>
      <c r="G61" s="82"/>
      <c r="H61" s="82"/>
      <c r="I61" s="82"/>
      <c r="J61" s="82"/>
      <c r="K61" s="82"/>
    </row>
    <row r="62" spans="2:11" x14ac:dyDescent="0.3">
      <c r="C62" s="82"/>
      <c r="D62" s="82"/>
      <c r="E62" s="82"/>
      <c r="F62" s="82"/>
      <c r="G62" s="82"/>
      <c r="H62" s="82"/>
      <c r="I62" s="82"/>
      <c r="J62" s="82"/>
      <c r="K62" s="82"/>
    </row>
    <row r="63" spans="2:11" x14ac:dyDescent="0.3">
      <c r="C63" s="82"/>
      <c r="D63" s="82"/>
      <c r="E63" s="82"/>
      <c r="F63" s="82"/>
      <c r="G63" s="82"/>
      <c r="H63" s="82"/>
      <c r="I63" s="82"/>
      <c r="J63" s="82"/>
      <c r="K63" s="82"/>
    </row>
    <row r="64" spans="2:11" ht="15" thickBot="1" x14ac:dyDescent="0.35">
      <c r="B64" s="328" t="s">
        <v>117</v>
      </c>
      <c r="C64" s="328"/>
      <c r="D64" s="328"/>
      <c r="E64" s="328"/>
      <c r="F64" s="328"/>
      <c r="G64" s="328"/>
      <c r="H64" s="328"/>
      <c r="I64" s="328"/>
      <c r="J64" s="82"/>
      <c r="K64" s="82"/>
    </row>
    <row r="65" spans="2:11" x14ac:dyDescent="0.3">
      <c r="B65" s="359" t="e">
        <f>IF(C59&gt;C61, "SINCE T2 cal&gt; T2 3,9 THERE IS BIAS IN THE SYSTEM"," SINCE T2 cal&lt; T2 3,9 THERE IS NO BIAS IN THE SYSTEM")</f>
        <v>#N/A</v>
      </c>
      <c r="C65" s="360"/>
      <c r="D65" s="360"/>
      <c r="E65" s="360"/>
      <c r="F65" s="360"/>
      <c r="G65" s="360"/>
      <c r="H65" s="360"/>
      <c r="I65" s="361"/>
      <c r="J65" s="82"/>
      <c r="K65" s="82"/>
    </row>
    <row r="66" spans="2:11" ht="15" thickBot="1" x14ac:dyDescent="0.35">
      <c r="B66" s="362"/>
      <c r="C66" s="363"/>
      <c r="D66" s="363"/>
      <c r="E66" s="363"/>
      <c r="F66" s="363"/>
      <c r="G66" s="363"/>
      <c r="H66" s="363"/>
      <c r="I66" s="364"/>
      <c r="J66" s="82"/>
      <c r="K66" s="82"/>
    </row>
    <row r="67" spans="2:11" x14ac:dyDescent="0.3">
      <c r="C67" s="82"/>
      <c r="D67" s="82"/>
      <c r="E67" s="82"/>
      <c r="F67" s="82"/>
      <c r="G67" s="82"/>
      <c r="H67" s="82"/>
      <c r="I67" s="82"/>
      <c r="J67" s="82"/>
      <c r="K67" s="82"/>
    </row>
    <row r="68" spans="2:11" x14ac:dyDescent="0.3">
      <c r="C68" s="82"/>
      <c r="D68" s="82"/>
      <c r="E68" s="82"/>
      <c r="F68" s="82"/>
      <c r="G68" s="82"/>
      <c r="H68" s="82"/>
      <c r="I68" s="82"/>
      <c r="J68" s="82"/>
      <c r="K68" s="82"/>
    </row>
    <row r="69" spans="2:11" x14ac:dyDescent="0.3">
      <c r="C69" s="82"/>
      <c r="D69" s="82"/>
      <c r="E69" s="82"/>
      <c r="F69" s="82"/>
      <c r="G69" s="82"/>
      <c r="H69" s="82"/>
      <c r="I69" s="82"/>
      <c r="J69" s="82"/>
      <c r="K69" s="82"/>
    </row>
    <row r="70" spans="2:11" x14ac:dyDescent="0.3">
      <c r="C70" s="82"/>
      <c r="D70" s="82"/>
      <c r="E70" s="82"/>
      <c r="F70" s="82"/>
      <c r="G70" s="82"/>
      <c r="H70" s="82"/>
      <c r="I70" s="82"/>
      <c r="J70" s="82"/>
      <c r="K70" s="82"/>
    </row>
  </sheetData>
  <sheetProtection algorithmName="SHA-512" hashValue="V0wqI5D36wA6UiyuIr2n5TVXDkHz7WAOmnExk8g6Qr3u/ehMZQoydrdVuapvRsYp+qJWjDH/56flJ2iYWimxDw==" saltValue="twgh1DKrI+f4k1lpn2ixyA==" spinCount="100000" sheet="1" objects="1" scenarios="1"/>
  <mergeCells count="6">
    <mergeCell ref="B65:I66"/>
    <mergeCell ref="A3:P4"/>
    <mergeCell ref="A7:F7"/>
    <mergeCell ref="C42:E42"/>
    <mergeCell ref="F31:F35"/>
    <mergeCell ref="B64:I64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5:S92"/>
  <sheetViews>
    <sheetView workbookViewId="0">
      <selection activeCell="O63" sqref="O63"/>
    </sheetView>
  </sheetViews>
  <sheetFormatPr defaultRowHeight="14.4" x14ac:dyDescent="0.3"/>
  <cols>
    <col min="13" max="13" width="7.109375" customWidth="1"/>
  </cols>
  <sheetData>
    <row r="5" spans="1:19" ht="15" thickBot="1" x14ac:dyDescent="0.35"/>
    <row r="6" spans="1:19" ht="15" thickBot="1" x14ac:dyDescent="0.35">
      <c r="A6" s="340" t="s">
        <v>74</v>
      </c>
      <c r="B6" s="341"/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2"/>
    </row>
    <row r="7" spans="1:19" x14ac:dyDescent="0.3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</row>
    <row r="8" spans="1:19" x14ac:dyDescent="0.3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O8" s="376" t="s">
        <v>126</v>
      </c>
      <c r="P8" s="376"/>
      <c r="Q8" s="376"/>
      <c r="R8" s="376"/>
      <c r="S8" s="376"/>
    </row>
    <row r="9" spans="1:19" x14ac:dyDescent="0.3">
      <c r="A9" s="130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P9" s="84" t="s">
        <v>40</v>
      </c>
      <c r="Q9" s="84" t="s">
        <v>28</v>
      </c>
      <c r="R9" s="84" t="s">
        <v>41</v>
      </c>
    </row>
    <row r="10" spans="1:19" x14ac:dyDescent="0.3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O10" t="str">
        <f>'Graphing Calculations'!B5</f>
        <v>MIN</v>
      </c>
      <c r="P10" s="14">
        <f>'Graphing Calculations'!C5</f>
        <v>8.3000000000000007</v>
      </c>
      <c r="Q10" s="129">
        <f>'Graphing Calculations'!D5</f>
        <v>16.062176165803109</v>
      </c>
      <c r="R10" s="14">
        <f>'Graphing Calculations'!E5</f>
        <v>23.65625</v>
      </c>
    </row>
    <row r="11" spans="1:19" x14ac:dyDescent="0.3">
      <c r="A11" s="130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O11" t="str">
        <f>'Graphing Calculations'!B6</f>
        <v>MAX</v>
      </c>
      <c r="P11" s="14">
        <f>'Graphing Calculations'!C6</f>
        <v>9.8000000000000007</v>
      </c>
      <c r="Q11" s="129">
        <f>'Graphing Calculations'!D6</f>
        <v>22.708333333333332</v>
      </c>
      <c r="R11" s="14">
        <f>'Graphing Calculations'!E6</f>
        <v>26.569948186528496</v>
      </c>
    </row>
    <row r="12" spans="1:19" x14ac:dyDescent="0.3">
      <c r="A12" s="130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O12" t="str">
        <f>'Graphing Calculations'!B7</f>
        <v>RANGE</v>
      </c>
      <c r="P12" s="14">
        <f>'Graphing Calculations'!C7</f>
        <v>1</v>
      </c>
      <c r="Q12" s="129">
        <f>'Graphing Calculations'!D7</f>
        <v>1</v>
      </c>
      <c r="R12" s="14">
        <f>'Graphing Calculations'!E7</f>
        <v>0.3</v>
      </c>
    </row>
    <row r="13" spans="1:19" x14ac:dyDescent="0.3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</row>
    <row r="14" spans="1:19" x14ac:dyDescent="0.3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</row>
    <row r="15" spans="1:19" x14ac:dyDescent="0.3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</row>
    <row r="16" spans="1:19" x14ac:dyDescent="0.3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</row>
    <row r="17" spans="1:13" x14ac:dyDescent="0.3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</row>
    <row r="18" spans="1:13" x14ac:dyDescent="0.3">
      <c r="A18" s="13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</row>
    <row r="19" spans="1:13" x14ac:dyDescent="0.3">
      <c r="A19" s="130"/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</row>
    <row r="20" spans="1:13" x14ac:dyDescent="0.3">
      <c r="A20" s="13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</row>
    <row r="21" spans="1:13" x14ac:dyDescent="0.3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</row>
    <row r="22" spans="1:13" x14ac:dyDescent="0.3">
      <c r="A22" s="13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</row>
    <row r="23" spans="1:13" x14ac:dyDescent="0.3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</row>
    <row r="24" spans="1:13" x14ac:dyDescent="0.3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</row>
    <row r="25" spans="1:13" x14ac:dyDescent="0.3">
      <c r="A25" s="130"/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</row>
    <row r="26" spans="1:13" x14ac:dyDescent="0.3">
      <c r="A26" s="130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</row>
    <row r="27" spans="1:13" x14ac:dyDescent="0.3">
      <c r="A27" s="130"/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</row>
    <row r="28" spans="1:13" x14ac:dyDescent="0.3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</row>
    <row r="29" spans="1:13" x14ac:dyDescent="0.3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</row>
    <row r="30" spans="1:13" x14ac:dyDescent="0.3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</row>
    <row r="31" spans="1:13" x14ac:dyDescent="0.3">
      <c r="A31" s="130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</row>
    <row r="32" spans="1:13" x14ac:dyDescent="0.3">
      <c r="A32" s="130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</row>
    <row r="33" spans="1:13" x14ac:dyDescent="0.3">
      <c r="A33" s="130"/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</row>
    <row r="34" spans="1:13" x14ac:dyDescent="0.3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</row>
    <row r="35" spans="1:13" x14ac:dyDescent="0.3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</row>
    <row r="36" spans="1:13" ht="15" thickBot="1" x14ac:dyDescent="0.35">
      <c r="A36" s="130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</row>
    <row r="37" spans="1:13" ht="15" thickBot="1" x14ac:dyDescent="0.35">
      <c r="A37" s="373" t="s">
        <v>28</v>
      </c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5"/>
    </row>
    <row r="38" spans="1:13" x14ac:dyDescent="0.3">
      <c r="A38" s="130"/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</row>
    <row r="39" spans="1:13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</row>
    <row r="40" spans="1:13" x14ac:dyDescent="0.3">
      <c r="A40" s="130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</row>
    <row r="41" spans="1:13" x14ac:dyDescent="0.3">
      <c r="A41" s="130"/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</row>
    <row r="42" spans="1:13" x14ac:dyDescent="0.3">
      <c r="A42" s="130"/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</row>
    <row r="43" spans="1:13" x14ac:dyDescent="0.3">
      <c r="A43" s="130"/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</row>
    <row r="44" spans="1:13" x14ac:dyDescent="0.3">
      <c r="A44" s="130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</row>
    <row r="45" spans="1:13" x14ac:dyDescent="0.3">
      <c r="A45" s="130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</row>
    <row r="46" spans="1:13" x14ac:dyDescent="0.3">
      <c r="A46" s="130"/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</row>
    <row r="47" spans="1:13" x14ac:dyDescent="0.3">
      <c r="A47" s="130"/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</row>
    <row r="48" spans="1:13" x14ac:dyDescent="0.3">
      <c r="A48" s="130"/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</row>
    <row r="49" spans="1:13" x14ac:dyDescent="0.3">
      <c r="A49" s="130"/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</row>
    <row r="50" spans="1:13" x14ac:dyDescent="0.3">
      <c r="A50" s="130"/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</row>
    <row r="51" spans="1:13" x14ac:dyDescent="0.3">
      <c r="A51" s="130"/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</row>
    <row r="52" spans="1:13" x14ac:dyDescent="0.3">
      <c r="A52" s="130"/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</row>
    <row r="53" spans="1:13" x14ac:dyDescent="0.3">
      <c r="A53" s="130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</row>
    <row r="54" spans="1:13" x14ac:dyDescent="0.3">
      <c r="A54" s="130"/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</row>
    <row r="55" spans="1:13" x14ac:dyDescent="0.3">
      <c r="A55" s="130"/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</row>
    <row r="56" spans="1:13" x14ac:dyDescent="0.3">
      <c r="A56" s="130"/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</row>
    <row r="57" spans="1:13" x14ac:dyDescent="0.3">
      <c r="A57" s="130"/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</row>
    <row r="58" spans="1:13" x14ac:dyDescent="0.3">
      <c r="A58" s="130"/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</row>
    <row r="59" spans="1:13" x14ac:dyDescent="0.3">
      <c r="A59" s="130"/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</row>
    <row r="60" spans="1:13" x14ac:dyDescent="0.3">
      <c r="A60" s="130"/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</row>
    <row r="61" spans="1:13" x14ac:dyDescent="0.3">
      <c r="A61" s="130"/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</row>
    <row r="62" spans="1:13" x14ac:dyDescent="0.3">
      <c r="A62" s="130"/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</row>
    <row r="63" spans="1:13" x14ac:dyDescent="0.3">
      <c r="A63" s="130"/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</row>
    <row r="64" spans="1:13" x14ac:dyDescent="0.3">
      <c r="A64" s="130"/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</row>
    <row r="65" spans="1:13" ht="15" thickBot="1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</row>
    <row r="66" spans="1:13" ht="15" thickBot="1" x14ac:dyDescent="0.35">
      <c r="A66" s="373" t="s">
        <v>75</v>
      </c>
      <c r="B66" s="374"/>
      <c r="C66" s="374"/>
      <c r="D66" s="374"/>
      <c r="E66" s="374"/>
      <c r="F66" s="374"/>
      <c r="G66" s="374"/>
      <c r="H66" s="374"/>
      <c r="I66" s="374"/>
      <c r="J66" s="374"/>
      <c r="K66" s="374"/>
      <c r="L66" s="374"/>
      <c r="M66" s="375"/>
    </row>
    <row r="67" spans="1:13" x14ac:dyDescent="0.3">
      <c r="A67" s="130"/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</row>
    <row r="68" spans="1:13" x14ac:dyDescent="0.3">
      <c r="A68" s="130"/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</row>
    <row r="69" spans="1:13" x14ac:dyDescent="0.3">
      <c r="A69" s="130"/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</row>
    <row r="70" spans="1:13" x14ac:dyDescent="0.3">
      <c r="A70" s="130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</row>
    <row r="71" spans="1:13" x14ac:dyDescent="0.3">
      <c r="A71" s="130"/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</row>
    <row r="72" spans="1:13" x14ac:dyDescent="0.3">
      <c r="A72" s="130"/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</row>
    <row r="73" spans="1:13" x14ac:dyDescent="0.3">
      <c r="A73" s="130"/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</row>
    <row r="74" spans="1:13" x14ac:dyDescent="0.3">
      <c r="A74" s="130"/>
      <c r="B74" s="130"/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</row>
    <row r="75" spans="1:13" x14ac:dyDescent="0.3">
      <c r="A75" s="130"/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</row>
    <row r="76" spans="1:13" x14ac:dyDescent="0.3">
      <c r="A76" s="130"/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</row>
    <row r="77" spans="1:13" x14ac:dyDescent="0.3">
      <c r="A77" s="130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</row>
    <row r="78" spans="1:13" x14ac:dyDescent="0.3">
      <c r="A78" s="130"/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</row>
    <row r="79" spans="1:13" x14ac:dyDescent="0.3">
      <c r="A79" s="130"/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</row>
    <row r="80" spans="1:13" x14ac:dyDescent="0.3">
      <c r="A80" s="130"/>
      <c r="B80" s="130"/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</row>
    <row r="81" spans="1:13" x14ac:dyDescent="0.3">
      <c r="A81" s="130"/>
      <c r="B81" s="130"/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</row>
    <row r="82" spans="1:13" x14ac:dyDescent="0.3">
      <c r="A82" s="130"/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</row>
    <row r="83" spans="1:13" x14ac:dyDescent="0.3">
      <c r="A83" s="130"/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</row>
    <row r="84" spans="1:13" x14ac:dyDescent="0.3">
      <c r="A84" s="130"/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</row>
    <row r="85" spans="1:13" x14ac:dyDescent="0.3">
      <c r="A85" s="130"/>
      <c r="B85" s="130"/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</row>
    <row r="86" spans="1:13" x14ac:dyDescent="0.3">
      <c r="A86" s="130"/>
      <c r="B86" s="130"/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</row>
    <row r="87" spans="1:13" x14ac:dyDescent="0.3">
      <c r="A87" s="130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</row>
    <row r="88" spans="1:13" x14ac:dyDescent="0.3">
      <c r="A88" s="130"/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</row>
    <row r="89" spans="1:13" x14ac:dyDescent="0.3">
      <c r="A89" s="130"/>
      <c r="B89" s="130"/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</row>
    <row r="90" spans="1:13" x14ac:dyDescent="0.3">
      <c r="A90" s="130"/>
      <c r="B90" s="130"/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</row>
    <row r="91" spans="1:13" x14ac:dyDescent="0.3">
      <c r="A91" s="130"/>
      <c r="B91" s="130"/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</row>
    <row r="92" spans="1:13" x14ac:dyDescent="0.3">
      <c r="A92" s="130"/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</row>
  </sheetData>
  <mergeCells count="4">
    <mergeCell ref="A6:M6"/>
    <mergeCell ref="A37:M37"/>
    <mergeCell ref="A66:M66"/>
    <mergeCell ref="O8:S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B5:E69"/>
  <sheetViews>
    <sheetView workbookViewId="0">
      <selection activeCell="C9" sqref="C9"/>
    </sheetView>
  </sheetViews>
  <sheetFormatPr defaultRowHeight="14.4" x14ac:dyDescent="0.3"/>
  <cols>
    <col min="2" max="2" width="10.5546875" customWidth="1"/>
    <col min="3" max="3" width="10.6640625" customWidth="1"/>
  </cols>
  <sheetData>
    <row r="5" spans="2:5" x14ac:dyDescent="0.3">
      <c r="B5" t="s">
        <v>123</v>
      </c>
      <c r="C5" s="90">
        <f>MIN(B10:B69)</f>
        <v>8.3000000000000007</v>
      </c>
      <c r="D5" s="91">
        <f>MIN(C10:C69)</f>
        <v>16.062176165803109</v>
      </c>
      <c r="E5" s="90">
        <f>MIN(D10:D69)</f>
        <v>23.65625</v>
      </c>
    </row>
    <row r="6" spans="2:5" x14ac:dyDescent="0.3">
      <c r="B6" t="s">
        <v>124</v>
      </c>
      <c r="C6" s="90">
        <f>MAX(B10:B69)</f>
        <v>9.8000000000000007</v>
      </c>
      <c r="D6" s="91">
        <f>MAX(C10:C69)</f>
        <v>22.708333333333332</v>
      </c>
      <c r="E6" s="90">
        <f>MAX(D10:D69)</f>
        <v>26.569948186528496</v>
      </c>
    </row>
    <row r="7" spans="2:5" x14ac:dyDescent="0.3">
      <c r="B7" t="s">
        <v>125</v>
      </c>
      <c r="C7" s="91">
        <v>1</v>
      </c>
      <c r="D7" s="91">
        <v>1</v>
      </c>
      <c r="E7">
        <v>0.3</v>
      </c>
    </row>
    <row r="9" spans="2:5" x14ac:dyDescent="0.3">
      <c r="B9" s="34" t="s">
        <v>40</v>
      </c>
      <c r="C9" s="34" t="s">
        <v>28</v>
      </c>
      <c r="D9" s="34" t="s">
        <v>41</v>
      </c>
    </row>
    <row r="10" spans="2:5" x14ac:dyDescent="0.3">
      <c r="B10" s="14">
        <f>'Raw Data'!E7</f>
        <v>9.6999999999999993</v>
      </c>
      <c r="C10" s="129">
        <f>'Raw Data'!H7</f>
        <v>17.78242677824268</v>
      </c>
      <c r="D10" s="14">
        <f>'Raw Data'!K7</f>
        <v>25.638075313807533</v>
      </c>
    </row>
    <row r="11" spans="2:5" x14ac:dyDescent="0.3">
      <c r="B11" s="14">
        <f>'Raw Data'!E8</f>
        <v>8.9</v>
      </c>
      <c r="C11" s="129">
        <f>'Raw Data'!H8</f>
        <v>17.560462670872766</v>
      </c>
      <c r="D11" s="14">
        <f>'Raw Data'!K8</f>
        <v>25.036803364879077</v>
      </c>
    </row>
    <row r="12" spans="2:5" x14ac:dyDescent="0.3">
      <c r="B12" s="14">
        <f>'Raw Data'!E9</f>
        <v>9.1999999999999993</v>
      </c>
      <c r="C12" s="129">
        <f>'Raw Data'!H9</f>
        <v>16.062176165803109</v>
      </c>
      <c r="D12" s="14">
        <f>'Raw Data'!K9</f>
        <v>26.569948186528496</v>
      </c>
    </row>
    <row r="13" spans="2:5" x14ac:dyDescent="0.3">
      <c r="B13" s="14">
        <f>'Raw Data'!E10</f>
        <v>8.6</v>
      </c>
      <c r="C13" s="129">
        <f>'Raw Data'!H10</f>
        <v>19.832985386221296</v>
      </c>
      <c r="D13" s="14">
        <f>'Raw Data'!K10</f>
        <v>25.093945720250524</v>
      </c>
    </row>
    <row r="14" spans="2:5" x14ac:dyDescent="0.3">
      <c r="B14" s="14">
        <f>'Raw Data'!E11</f>
        <v>8.5</v>
      </c>
      <c r="C14" s="129">
        <f>'Raw Data'!H11</f>
        <v>17.793964620187307</v>
      </c>
      <c r="D14" s="14">
        <f>'Raw Data'!K11</f>
        <v>25.858480749219563</v>
      </c>
    </row>
    <row r="15" spans="2:5" x14ac:dyDescent="0.3">
      <c r="B15" s="14">
        <f>'Raw Data'!E12</f>
        <v>8.5</v>
      </c>
      <c r="C15" s="129">
        <f>'Raw Data'!H12</f>
        <v>18.743455497382197</v>
      </c>
      <c r="D15" s="14">
        <f>'Raw Data'!K12</f>
        <v>25.267015706806284</v>
      </c>
    </row>
    <row r="16" spans="2:5" x14ac:dyDescent="0.3">
      <c r="B16" s="14">
        <f>'Raw Data'!E13</f>
        <v>8.3000000000000007</v>
      </c>
      <c r="C16" s="129">
        <f>'Raw Data'!H13</f>
        <v>18.382352941176471</v>
      </c>
      <c r="D16" s="14">
        <f>'Raw Data'!K13</f>
        <v>25.997899159663866</v>
      </c>
    </row>
    <row r="17" spans="2:4" x14ac:dyDescent="0.3">
      <c r="B17" s="14">
        <f>'Raw Data'!E14</f>
        <v>8.5</v>
      </c>
      <c r="C17" s="129">
        <f>'Raw Data'!H14</f>
        <v>19.456066945606697</v>
      </c>
      <c r="D17" s="14">
        <f>'Raw Data'!K14</f>
        <v>24.414225941422597</v>
      </c>
    </row>
    <row r="18" spans="2:4" x14ac:dyDescent="0.3">
      <c r="B18" s="14">
        <f>'Raw Data'!E15</f>
        <v>8.8000000000000007</v>
      </c>
      <c r="C18" s="129">
        <f>'Raw Data'!H15</f>
        <v>18.46473029045643</v>
      </c>
      <c r="D18" s="14">
        <f>'Raw Data'!K15</f>
        <v>25.456431535269708</v>
      </c>
    </row>
    <row r="19" spans="2:4" x14ac:dyDescent="0.3">
      <c r="B19" s="14">
        <f>'Raw Data'!E16</f>
        <v>8.6</v>
      </c>
      <c r="C19" s="129">
        <f>'Raw Data'!H16</f>
        <v>18.704284221525597</v>
      </c>
      <c r="D19" s="14">
        <f>'Raw Data'!K16</f>
        <v>24.973876698014628</v>
      </c>
    </row>
    <row r="20" spans="2:4" x14ac:dyDescent="0.3">
      <c r="B20" s="14">
        <f>'Raw Data'!E17</f>
        <v>8.6999999999999993</v>
      </c>
      <c r="C20" s="129">
        <f>'Raw Data'!H17</f>
        <v>22.708333333333332</v>
      </c>
      <c r="D20" s="14">
        <f>'Raw Data'!K17</f>
        <v>23.65625</v>
      </c>
    </row>
    <row r="21" spans="2:4" x14ac:dyDescent="0.3">
      <c r="B21" s="14">
        <f>'Raw Data'!E18</f>
        <v>9.3000000000000007</v>
      </c>
      <c r="C21" s="129">
        <f>'Raw Data'!H18</f>
        <v>16.666666666666671</v>
      </c>
      <c r="D21" s="14">
        <f>'Raw Data'!K18</f>
        <v>26.138716356107661</v>
      </c>
    </row>
    <row r="22" spans="2:4" x14ac:dyDescent="0.3">
      <c r="B22" s="14">
        <f>'Raw Data'!E19</f>
        <v>8.8000000000000007</v>
      </c>
      <c r="C22" s="129">
        <f>'Raw Data'!H19</f>
        <v>19.182389937106919</v>
      </c>
      <c r="D22" s="14">
        <f>'Raw Data'!K19</f>
        <v>24.884696016771485</v>
      </c>
    </row>
    <row r="23" spans="2:4" x14ac:dyDescent="0.3">
      <c r="B23" s="14">
        <f>'Raw Data'!E20</f>
        <v>8.8000000000000007</v>
      </c>
      <c r="C23" s="129">
        <f>'Raw Data'!H20</f>
        <v>19.7286012526096</v>
      </c>
      <c r="D23" s="14">
        <f>'Raw Data'!K20</f>
        <v>25.1356993736952</v>
      </c>
    </row>
    <row r="24" spans="2:4" x14ac:dyDescent="0.3">
      <c r="B24" s="14">
        <f>'Raw Data'!E21</f>
        <v>9</v>
      </c>
      <c r="C24" s="129">
        <f>'Raw Data'!H21</f>
        <v>19.182389937106919</v>
      </c>
      <c r="D24" s="14">
        <f>'Raw Data'!K21</f>
        <v>25.419287211740041</v>
      </c>
    </row>
    <row r="25" spans="2:4" x14ac:dyDescent="0.3">
      <c r="B25" s="14">
        <f>'Raw Data'!E22</f>
        <v>9.8000000000000007</v>
      </c>
      <c r="C25" s="129">
        <f>'Raw Data'!H22</f>
        <v>20.867768595041323</v>
      </c>
      <c r="D25" s="14">
        <f>'Raw Data'!K22</f>
        <v>24.586776859504134</v>
      </c>
    </row>
    <row r="26" spans="2:4" x14ac:dyDescent="0.3">
      <c r="B26" s="14">
        <f>'Raw Data'!E23</f>
        <v>8.8000000000000007</v>
      </c>
      <c r="C26" s="129">
        <f>'Raw Data'!H23</f>
        <v>19.01776384535005</v>
      </c>
      <c r="D26" s="14">
        <f>'Raw Data'!K23</f>
        <v>25.360501567398117</v>
      </c>
    </row>
    <row r="27" spans="2:4" x14ac:dyDescent="0.3">
      <c r="B27" s="14">
        <f>'Raw Data'!E24</f>
        <v>8.6999999999999993</v>
      </c>
      <c r="C27" s="129">
        <f>'Raw Data'!H24</f>
        <v>20.986358866736623</v>
      </c>
      <c r="D27" s="14">
        <f>'Raw Data'!K24</f>
        <v>24.365162644281217</v>
      </c>
    </row>
    <row r="28" spans="2:4" x14ac:dyDescent="0.3">
      <c r="B28" s="14">
        <f>'Raw Data'!E25</f>
        <v>8.5</v>
      </c>
      <c r="C28" s="129">
        <f>'Raw Data'!H25</f>
        <v>19.47643979057592</v>
      </c>
      <c r="D28" s="14">
        <f>'Raw Data'!K25</f>
        <v>24.544502617801047</v>
      </c>
    </row>
    <row r="29" spans="2:4" x14ac:dyDescent="0.3">
      <c r="B29" s="14">
        <f>'Raw Data'!E26</f>
        <v>9.5</v>
      </c>
      <c r="C29" s="129">
        <f>'Raw Data'!H26</f>
        <v>21.615949632738719</v>
      </c>
      <c r="D29" s="14">
        <f>'Raw Data'!K26</f>
        <v>24.784889821615952</v>
      </c>
    </row>
    <row r="30" spans="2:4" x14ac:dyDescent="0.3">
      <c r="B30" s="14">
        <f>'Raw Data'!E37</f>
        <v>9.6999999999999993</v>
      </c>
      <c r="C30" s="129">
        <f>'Raw Data'!H37</f>
        <v>20.649895178197063</v>
      </c>
      <c r="D30" s="14">
        <f>'Raw Data'!K37</f>
        <v>24.821802935010481</v>
      </c>
    </row>
    <row r="31" spans="2:4" x14ac:dyDescent="0.3">
      <c r="B31" s="14">
        <f>'Raw Data'!E38</f>
        <v>9.6</v>
      </c>
      <c r="C31" s="129">
        <f>'Raw Data'!H38</f>
        <v>19.032597266035754</v>
      </c>
      <c r="D31" s="14">
        <f>'Raw Data'!K38</f>
        <v>25.667718191377499</v>
      </c>
    </row>
    <row r="32" spans="2:4" x14ac:dyDescent="0.3">
      <c r="B32" s="14">
        <f>'Raw Data'!E39</f>
        <v>9.3000000000000007</v>
      </c>
      <c r="C32" s="129">
        <f>'Raw Data'!H39</f>
        <v>20.707596253902185</v>
      </c>
      <c r="D32" s="14">
        <f>'Raw Data'!K39</f>
        <v>24.880332986472425</v>
      </c>
    </row>
    <row r="33" spans="2:4" x14ac:dyDescent="0.3">
      <c r="B33" s="14">
        <f>'Raw Data'!E40</f>
        <v>9.3000000000000007</v>
      </c>
      <c r="C33" s="129">
        <f>'Raw Data'!H40</f>
        <v>18.448637316561847</v>
      </c>
      <c r="D33" s="14">
        <f>'Raw Data'!K40</f>
        <v>25.628930817610062</v>
      </c>
    </row>
    <row r="34" spans="2:4" x14ac:dyDescent="0.3">
      <c r="B34" s="14">
        <f>'Raw Data'!E41</f>
        <v>8.4</v>
      </c>
      <c r="C34" s="129">
        <f>'Raw Data'!H41</f>
        <v>20.146904512067156</v>
      </c>
      <c r="D34" s="14">
        <f>'Raw Data'!K41</f>
        <v>25.27806925498426</v>
      </c>
    </row>
    <row r="35" spans="2:4" x14ac:dyDescent="0.3">
      <c r="B35" s="14">
        <f>'Raw Data'!E42</f>
        <v>8.8000000000000007</v>
      </c>
      <c r="C35" s="129">
        <f>'Raw Data'!H42</f>
        <v>20.083682008368203</v>
      </c>
      <c r="D35" s="14">
        <f>'Raw Data'!K42</f>
        <v>24.822175732217573</v>
      </c>
    </row>
    <row r="36" spans="2:4" x14ac:dyDescent="0.3">
      <c r="B36" s="14">
        <f>'Raw Data'!E43</f>
        <v>9</v>
      </c>
      <c r="C36" s="129">
        <f>'Raw Data'!H43</f>
        <v>22.014537902388369</v>
      </c>
      <c r="D36" s="14">
        <f>'Raw Data'!K43</f>
        <v>24.485981308411215</v>
      </c>
    </row>
    <row r="37" spans="2:4" x14ac:dyDescent="0.3">
      <c r="B37" s="14">
        <f>'Raw Data'!E44</f>
        <v>8.9</v>
      </c>
      <c r="C37" s="129">
        <f>'Raw Data'!H44</f>
        <v>21.540062434963581</v>
      </c>
      <c r="D37" s="14">
        <f>'Raw Data'!K44</f>
        <v>24.5369406867846</v>
      </c>
    </row>
    <row r="38" spans="2:4" x14ac:dyDescent="0.3">
      <c r="B38" s="14">
        <f>'Raw Data'!E45</f>
        <v>8.6</v>
      </c>
      <c r="C38" s="129">
        <f>'Raw Data'!H45</f>
        <v>20.732984293193716</v>
      </c>
      <c r="D38" s="14">
        <f>'Raw Data'!K45</f>
        <v>25.026178010471206</v>
      </c>
    </row>
    <row r="39" spans="2:4" x14ac:dyDescent="0.3">
      <c r="B39" s="14">
        <f>'Raw Data'!E46</f>
        <v>9.6</v>
      </c>
      <c r="C39" s="129">
        <f>'Raw Data'!H46</f>
        <v>19.95841995841996</v>
      </c>
      <c r="D39" s="14">
        <f>'Raw Data'!K46</f>
        <v>24.563409563409564</v>
      </c>
    </row>
    <row r="40" spans="2:4" x14ac:dyDescent="0.3">
      <c r="B40" s="14">
        <f>'Weighted Average'!E7</f>
        <v>9.0399999999999991</v>
      </c>
      <c r="C40" s="129">
        <f>'Weighted Average'!F7</f>
        <v>18.89</v>
      </c>
      <c r="D40" s="14">
        <f>'Weighted Average'!G7</f>
        <v>25.45</v>
      </c>
    </row>
    <row r="41" spans="2:4" x14ac:dyDescent="0.3">
      <c r="B41" s="14">
        <f>'Weighted Average'!E8</f>
        <v>8.81</v>
      </c>
      <c r="C41" s="129">
        <f>'Weighted Average'!F8</f>
        <v>18.45</v>
      </c>
      <c r="D41" s="14">
        <f>'Weighted Average'!G8</f>
        <v>25.24</v>
      </c>
    </row>
    <row r="42" spans="2:4" x14ac:dyDescent="0.3">
      <c r="B42" s="14">
        <f>'Weighted Average'!E9</f>
        <v>8.77</v>
      </c>
      <c r="C42" s="129">
        <f>'Weighted Average'!F9</f>
        <v>16.39</v>
      </c>
      <c r="D42" s="14">
        <f>'Weighted Average'!G9</f>
        <v>26.51</v>
      </c>
    </row>
    <row r="43" spans="2:4" x14ac:dyDescent="0.3">
      <c r="B43" s="14">
        <f>'Weighted Average'!E10</f>
        <v>8.73</v>
      </c>
      <c r="C43" s="129">
        <f>'Weighted Average'!F10</f>
        <v>19.149999999999999</v>
      </c>
      <c r="D43" s="14">
        <f>'Weighted Average'!G10</f>
        <v>25.62</v>
      </c>
    </row>
    <row r="44" spans="2:4" x14ac:dyDescent="0.3">
      <c r="B44" s="14">
        <f>'Weighted Average'!E11</f>
        <v>8.7100000000000009</v>
      </c>
      <c r="C44" s="129">
        <f>'Weighted Average'!F11</f>
        <v>18.399999999999999</v>
      </c>
      <c r="D44" s="14">
        <f>'Weighted Average'!G11</f>
        <v>25.6</v>
      </c>
    </row>
    <row r="45" spans="2:4" x14ac:dyDescent="0.3">
      <c r="B45" s="14">
        <f>'Weighted Average'!E12</f>
        <v>8.4499999999999993</v>
      </c>
      <c r="C45" s="129">
        <f>'Weighted Average'!F12</f>
        <v>17.989999999999998</v>
      </c>
      <c r="D45" s="14">
        <f>'Weighted Average'!G12</f>
        <v>25.57</v>
      </c>
    </row>
    <row r="46" spans="2:4" x14ac:dyDescent="0.3">
      <c r="B46" s="14">
        <f>'Weighted Average'!E13</f>
        <v>8.74</v>
      </c>
      <c r="C46" s="129">
        <f>'Weighted Average'!F13</f>
        <v>20.010000000000002</v>
      </c>
      <c r="D46" s="14">
        <f>'Weighted Average'!G13</f>
        <v>25.08</v>
      </c>
    </row>
    <row r="47" spans="2:4" x14ac:dyDescent="0.3">
      <c r="B47" s="14">
        <f>'Weighted Average'!E14</f>
        <v>8.6</v>
      </c>
      <c r="C47" s="129">
        <f>'Weighted Average'!F14</f>
        <v>19.32</v>
      </c>
      <c r="D47" s="14">
        <f>'Weighted Average'!G14</f>
        <v>24.7</v>
      </c>
    </row>
    <row r="48" spans="2:4" x14ac:dyDescent="0.3">
      <c r="B48" s="14">
        <f>'Weighted Average'!E15</f>
        <v>8.65</v>
      </c>
      <c r="C48" s="129">
        <f>'Weighted Average'!F15</f>
        <v>18.48</v>
      </c>
      <c r="D48" s="14">
        <f>'Weighted Average'!G15</f>
        <v>25.6</v>
      </c>
    </row>
    <row r="49" spans="2:4" x14ac:dyDescent="0.3">
      <c r="B49" s="14">
        <f>'Weighted Average'!E16</f>
        <v>8.6999999999999993</v>
      </c>
      <c r="C49" s="129">
        <f>'Weighted Average'!F16</f>
        <v>19.48</v>
      </c>
      <c r="D49" s="14">
        <f>'Weighted Average'!G16</f>
        <v>25.08</v>
      </c>
    </row>
    <row r="50" spans="2:4" x14ac:dyDescent="0.3">
      <c r="B50" s="14">
        <f>'Weighted Average'!E17</f>
        <v>8.85</v>
      </c>
      <c r="C50" s="129">
        <f>'Weighted Average'!F17</f>
        <v>19.920000000000002</v>
      </c>
      <c r="D50" s="14">
        <f>'Weighted Average'!G17</f>
        <v>24.89</v>
      </c>
    </row>
    <row r="51" spans="2:4" x14ac:dyDescent="0.3">
      <c r="B51" s="14">
        <f>'Weighted Average'!E18</f>
        <v>8.8000000000000007</v>
      </c>
      <c r="C51" s="129">
        <f>'Weighted Average'!F18</f>
        <v>18.39</v>
      </c>
      <c r="D51" s="14">
        <f>'Weighted Average'!G18</f>
        <v>25.73</v>
      </c>
    </row>
    <row r="52" spans="2:4" x14ac:dyDescent="0.3">
      <c r="B52" s="14">
        <f>'Weighted Average'!E19</f>
        <v>8.4</v>
      </c>
      <c r="C52" s="129">
        <f>'Weighted Average'!F19</f>
        <v>19.59</v>
      </c>
      <c r="D52" s="14">
        <f>'Weighted Average'!G19</f>
        <v>25.56</v>
      </c>
    </row>
    <row r="53" spans="2:4" x14ac:dyDescent="0.3">
      <c r="B53" s="14">
        <f>'Weighted Average'!E20</f>
        <v>8.9499999999999993</v>
      </c>
      <c r="C53" s="129">
        <f>'Weighted Average'!F20</f>
        <v>19.53</v>
      </c>
      <c r="D53" s="14">
        <f>'Weighted Average'!G20</f>
        <v>25.28</v>
      </c>
    </row>
    <row r="54" spans="2:4" x14ac:dyDescent="0.3">
      <c r="B54" s="14">
        <f>'Weighted Average'!E21</f>
        <v>9.49</v>
      </c>
      <c r="C54" s="129">
        <f>'Weighted Average'!F21</f>
        <v>21.08</v>
      </c>
      <c r="D54" s="14">
        <f>'Weighted Average'!G21</f>
        <v>24.75</v>
      </c>
    </row>
    <row r="55" spans="2:4" x14ac:dyDescent="0.3">
      <c r="B55" s="14">
        <f>'Weighted Average'!E22</f>
        <v>8.9499999999999993</v>
      </c>
      <c r="C55" s="129">
        <f>'Weighted Average'!F22</f>
        <v>19.190000000000001</v>
      </c>
      <c r="D55" s="14">
        <f>'Weighted Average'!G22</f>
        <v>25.33</v>
      </c>
    </row>
    <row r="56" spans="2:4" x14ac:dyDescent="0.3">
      <c r="B56" s="14">
        <f>'Weighted Average'!E23</f>
        <v>9.06</v>
      </c>
      <c r="C56" s="129">
        <f>'Weighted Average'!F23</f>
        <v>20.51</v>
      </c>
      <c r="D56" s="14">
        <f>'Weighted Average'!G23</f>
        <v>24.6</v>
      </c>
    </row>
    <row r="57" spans="2:4" x14ac:dyDescent="0.3">
      <c r="B57" s="14">
        <f>'Weighted Average'!E24</f>
        <v>8.59</v>
      </c>
      <c r="C57" s="129">
        <f>'Weighted Average'!F24</f>
        <v>20.010000000000002</v>
      </c>
      <c r="D57" s="14">
        <f>'Weighted Average'!G24</f>
        <v>25.06</v>
      </c>
    </row>
    <row r="58" spans="2:4" x14ac:dyDescent="0.3">
      <c r="B58" s="14">
        <f>'Weighted Average'!E25</f>
        <v>9.27</v>
      </c>
      <c r="C58" s="129">
        <f>'Weighted Average'!F25</f>
        <v>19.41</v>
      </c>
      <c r="D58" s="14">
        <f>'Weighted Average'!G25</f>
        <v>24.81</v>
      </c>
    </row>
    <row r="59" spans="2:4" x14ac:dyDescent="0.3">
      <c r="B59" s="14">
        <f>'Weighted Average'!E26</f>
        <v>9.5</v>
      </c>
      <c r="C59" s="129">
        <f>'Weighted Average'!F26</f>
        <v>20.69</v>
      </c>
      <c r="D59" s="14">
        <f>'Weighted Average'!G26</f>
        <v>24.92</v>
      </c>
    </row>
    <row r="60" spans="2:4" x14ac:dyDescent="0.3">
      <c r="B60" s="14">
        <f>'Weighted Average'!E37</f>
        <v>8.6999999999999993</v>
      </c>
      <c r="C60" s="129">
        <f>'Weighted Average'!F37</f>
        <v>20.25</v>
      </c>
      <c r="D60" s="14">
        <f>'Weighted Average'!G37</f>
        <v>24.95</v>
      </c>
    </row>
    <row r="61" spans="2:4" x14ac:dyDescent="0.3">
      <c r="B61" s="14">
        <f>'Weighted Average'!E38</f>
        <v>9.4</v>
      </c>
      <c r="C61" s="129">
        <f>'Weighted Average'!F38</f>
        <v>19.62</v>
      </c>
      <c r="D61" s="14">
        <f>'Weighted Average'!G38</f>
        <v>25.28</v>
      </c>
    </row>
    <row r="62" spans="2:4" x14ac:dyDescent="0.3">
      <c r="B62" s="14">
        <f>'Weighted Average'!E39</f>
        <v>9.5</v>
      </c>
      <c r="C62" s="129">
        <f>'Weighted Average'!F39</f>
        <v>21.12</v>
      </c>
      <c r="D62" s="14">
        <f>'Weighted Average'!G39</f>
        <v>24.58</v>
      </c>
    </row>
    <row r="63" spans="2:4" x14ac:dyDescent="0.3">
      <c r="B63" s="14">
        <f>'Weighted Average'!E40</f>
        <v>9.2100000000000009</v>
      </c>
      <c r="C63" s="129">
        <f>'Weighted Average'!F40</f>
        <v>19.25</v>
      </c>
      <c r="D63" s="14">
        <f>'Weighted Average'!G40</f>
        <v>25.33</v>
      </c>
    </row>
    <row r="64" spans="2:4" x14ac:dyDescent="0.3">
      <c r="B64" s="14">
        <f>'Weighted Average'!E41</f>
        <v>8.9499999999999993</v>
      </c>
      <c r="C64" s="129">
        <f>'Weighted Average'!F41</f>
        <v>19.850000000000001</v>
      </c>
      <c r="D64" s="14">
        <f>'Weighted Average'!G41</f>
        <v>24.98</v>
      </c>
    </row>
    <row r="65" spans="2:4" x14ac:dyDescent="0.3">
      <c r="B65" s="14">
        <f>'Weighted Average'!E42</f>
        <v>8.75</v>
      </c>
      <c r="C65" s="129">
        <f>'Weighted Average'!F42</f>
        <v>19.53</v>
      </c>
      <c r="D65" s="14">
        <f>'Weighted Average'!G42</f>
        <v>25.1</v>
      </c>
    </row>
    <row r="66" spans="2:4" x14ac:dyDescent="0.3">
      <c r="B66" s="14">
        <f>'Weighted Average'!E43</f>
        <v>9.6</v>
      </c>
      <c r="C66" s="129">
        <f>'Weighted Average'!F43</f>
        <v>20.02</v>
      </c>
      <c r="D66" s="14">
        <f>'Weighted Average'!G43</f>
        <v>25.19</v>
      </c>
    </row>
    <row r="67" spans="2:4" x14ac:dyDescent="0.3">
      <c r="B67" s="14">
        <f>'Weighted Average'!E44</f>
        <v>8.66</v>
      </c>
      <c r="C67" s="129">
        <f>'Weighted Average'!F44</f>
        <v>21.02</v>
      </c>
      <c r="D67" s="14">
        <f>'Weighted Average'!G44</f>
        <v>25.17</v>
      </c>
    </row>
    <row r="68" spans="2:4" x14ac:dyDescent="0.3">
      <c r="B68" s="14">
        <f>'Weighted Average'!E45</f>
        <v>8.9499999999999993</v>
      </c>
      <c r="C68" s="129">
        <f>'Weighted Average'!F45</f>
        <v>20.29</v>
      </c>
      <c r="D68" s="14">
        <f>'Weighted Average'!G45</f>
        <v>24.68</v>
      </c>
    </row>
    <row r="69" spans="2:4" x14ac:dyDescent="0.3">
      <c r="B69" s="14">
        <f>'Weighted Average'!E46</f>
        <v>9.06</v>
      </c>
      <c r="C69" s="129">
        <f>'Weighted Average'!F46</f>
        <v>20.93</v>
      </c>
      <c r="D69" s="14">
        <f>'Weighted Average'!G46</f>
        <v>24.85</v>
      </c>
    </row>
  </sheetData>
  <sheetProtection algorithmName="SHA-512" hashValue="8r2Utv+mIuAH5BJzOoadI+t454Nczz9wR6YYFkFCm9jfETX63dS213G+Ytqbt1YiviWlGvEN6YCRMOhpHoEfdw==" saltValue="69nB3bIokDXOZtntkhLRtw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topLeftCell="F1" workbookViewId="0">
      <selection activeCell="I25" sqref="I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Consolidated</vt:lpstr>
      <vt:lpstr>P</vt:lpstr>
      <vt:lpstr>RA</vt:lpstr>
      <vt:lpstr>RB</vt:lpstr>
      <vt:lpstr>Data</vt:lpstr>
      <vt:lpstr>Evaluation Preview</vt:lpstr>
      <vt:lpstr>Evaluation Summary</vt:lpstr>
      <vt:lpstr>Raw Data</vt:lpstr>
      <vt:lpstr>Weighted Average</vt:lpstr>
      <vt:lpstr>Outlier Test</vt:lpstr>
      <vt:lpstr>Sample Diff &amp; Covariance</vt:lpstr>
      <vt:lpstr>Matrix Calculations</vt:lpstr>
      <vt:lpstr>Hotelling's T2</vt:lpstr>
      <vt:lpstr>Graphs</vt:lpstr>
      <vt:lpstr>Graphing Calculations</vt:lpstr>
      <vt:lpstr>Mass Variance Vs Qualities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Shelly Mbazima</dc:creator>
  <cp:lastModifiedBy>ABENATHI JAMA</cp:lastModifiedBy>
  <dcterms:created xsi:type="dcterms:W3CDTF">2018-02-13T04:56:40Z</dcterms:created>
  <dcterms:modified xsi:type="dcterms:W3CDTF">2026-08-19T14:47:56Z</dcterms:modified>
</cp:coreProperties>
</file>