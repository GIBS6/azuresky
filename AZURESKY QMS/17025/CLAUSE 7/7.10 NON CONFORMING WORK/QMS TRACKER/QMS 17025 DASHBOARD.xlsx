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ifis\Desktop\"/>
    </mc:Choice>
  </mc:AlternateContent>
  <xr:revisionPtr revIDLastSave="0" documentId="13_ncr:1_{69E4AE2C-7FAF-46F4-BB44-34CE215194A4}" xr6:coauthVersionLast="47" xr6:coauthVersionMax="47" xr10:uidLastSave="{00000000-0000-0000-0000-000000000000}"/>
  <bookViews>
    <workbookView xWindow="-110" yWindow="-110" windowWidth="19420" windowHeight="11020" tabRatio="500" firstSheet="7" activeTab="9" xr2:uid="{00000000-000D-0000-FFFF-FFFF00000000}"/>
  </bookViews>
  <sheets>
    <sheet name="Dashboard" sheetId="1" r:id="rId1"/>
    <sheet name="NCR Register" sheetId="2" r:id="rId2"/>
    <sheet name="CAPA Tracker" sheetId="3" r:id="rId3"/>
    <sheet name="Internal Audits" sheetId="4" r:id="rId4"/>
    <sheet name="PT-ILC" sheetId="5" r:id="rId5"/>
    <sheet name="Calibration" sheetId="6" r:id="rId6"/>
    <sheet name="Staff Competency" sheetId="7" r:id="rId7"/>
    <sheet name="Customer Feedback" sheetId="8" r:id="rId8"/>
    <sheet name="Document Control" sheetId="9" r:id="rId9"/>
    <sheet name="Management Review" sheetId="10" r:id="rId10"/>
    <sheet name="Chart Data" sheetId="11" state="hidden" r:id="rId11"/>
  </sheets>
  <definedNames>
    <definedName name="_xlnm.Print_Area" localSheetId="0">Dashboard!$A$1:$U$56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3" i="7" l="1"/>
  <c r="F22" i="7"/>
  <c r="F21" i="7"/>
  <c r="F20" i="7"/>
  <c r="F19" i="7"/>
  <c r="G19" i="7" s="1"/>
  <c r="F18" i="7"/>
  <c r="G18" i="7" s="1"/>
  <c r="F17" i="7"/>
  <c r="G35" i="7"/>
  <c r="G36" i="7"/>
  <c r="G37" i="7"/>
  <c r="G39" i="7"/>
  <c r="G40" i="7"/>
  <c r="G41" i="7"/>
  <c r="F35" i="7"/>
  <c r="F36" i="7"/>
  <c r="F37" i="7"/>
  <c r="F39" i="7"/>
  <c r="F40" i="7"/>
  <c r="F41" i="7"/>
  <c r="F28" i="7"/>
  <c r="G28" i="7" s="1"/>
  <c r="F27" i="7"/>
  <c r="G27" i="7" s="1"/>
  <c r="F26" i="7"/>
  <c r="G26" i="7" s="1"/>
  <c r="F25" i="7"/>
  <c r="G25" i="7" s="1"/>
  <c r="G10" i="7"/>
  <c r="F14" i="7"/>
  <c r="G14" i="7" s="1"/>
  <c r="F13" i="7"/>
  <c r="G13" i="7" s="1"/>
  <c r="F12" i="7"/>
  <c r="G12" i="7" s="1"/>
  <c r="F11" i="7"/>
  <c r="G11" i="7" s="1"/>
  <c r="F10" i="7"/>
  <c r="F9" i="7"/>
  <c r="G9" i="7" s="1"/>
  <c r="F8" i="7"/>
  <c r="G8" i="7" s="1"/>
  <c r="F7" i="7"/>
  <c r="G7" i="7" s="1"/>
  <c r="G22" i="7"/>
  <c r="G21" i="7"/>
  <c r="G20" i="7"/>
  <c r="F30" i="7"/>
  <c r="G30" i="7" s="1"/>
  <c r="F31" i="7"/>
  <c r="G31" i="7" s="1"/>
  <c r="F32" i="7"/>
  <c r="G32" i="7" s="1"/>
  <c r="F33" i="7"/>
  <c r="G33" i="7" s="1"/>
  <c r="J16" i="6"/>
  <c r="J6" i="6"/>
  <c r="J15" i="6"/>
  <c r="B52" i="11"/>
  <c r="B51" i="11"/>
  <c r="B50" i="11"/>
  <c r="B49" i="11"/>
  <c r="B48" i="11"/>
  <c r="B47" i="11"/>
  <c r="B46" i="11"/>
  <c r="B45" i="11"/>
  <c r="B42" i="11"/>
  <c r="B41" i="11"/>
  <c r="B40" i="11"/>
  <c r="B27" i="11"/>
  <c r="B26" i="11"/>
  <c r="B25" i="11"/>
  <c r="B22" i="11"/>
  <c r="B21" i="11"/>
  <c r="B20" i="11"/>
  <c r="B17" i="11"/>
  <c r="B16" i="11"/>
  <c r="B15" i="11"/>
  <c r="B14" i="11"/>
  <c r="B13" i="11"/>
  <c r="B12" i="11"/>
  <c r="B9" i="11"/>
  <c r="B8" i="11"/>
  <c r="B5" i="11"/>
  <c r="B4" i="11"/>
  <c r="G12" i="9"/>
  <c r="H12" i="9" s="1"/>
  <c r="G11" i="9"/>
  <c r="H11" i="9" s="1"/>
  <c r="G10" i="9"/>
  <c r="H10" i="9" s="1"/>
  <c r="G9" i="9"/>
  <c r="H9" i="9" s="1"/>
  <c r="G8" i="9"/>
  <c r="H8" i="9" s="1"/>
  <c r="G7" i="9"/>
  <c r="H7" i="9" s="1"/>
  <c r="G6" i="9"/>
  <c r="H6" i="9" s="1"/>
  <c r="J9" i="8"/>
  <c r="J8" i="8"/>
  <c r="J7" i="8"/>
  <c r="J6" i="8"/>
  <c r="C16" i="1" s="1"/>
  <c r="G17" i="7"/>
  <c r="F6" i="7"/>
  <c r="G6" i="7" s="1"/>
  <c r="J14" i="6"/>
  <c r="J13" i="6"/>
  <c r="J12" i="6"/>
  <c r="I11" i="6"/>
  <c r="J10" i="6"/>
  <c r="J9" i="6"/>
  <c r="J8" i="6"/>
  <c r="I7" i="6"/>
  <c r="L13" i="3"/>
  <c r="L12" i="3"/>
  <c r="L11" i="3"/>
  <c r="L10" i="3"/>
  <c r="L9" i="3"/>
  <c r="L8" i="3"/>
  <c r="L7" i="3"/>
  <c r="L6" i="3"/>
  <c r="G8" i="1"/>
  <c r="I16" i="1"/>
  <c r="A16" i="1"/>
  <c r="G12" i="1"/>
  <c r="E12" i="1"/>
  <c r="C12" i="1"/>
  <c r="A12" i="1"/>
  <c r="K8" i="1"/>
  <c r="I8" i="1"/>
  <c r="E8" i="1"/>
  <c r="C8" i="1"/>
  <c r="A8" i="1"/>
  <c r="G3" i="1"/>
  <c r="I10" i="6" l="1"/>
  <c r="I6" i="6"/>
  <c r="J11" i="6"/>
  <c r="J7" i="6"/>
  <c r="I14" i="6"/>
  <c r="B36" i="11"/>
  <c r="B35" i="11"/>
  <c r="K12" i="1"/>
  <c r="B37" i="11"/>
  <c r="G16" i="1"/>
  <c r="E16" i="1"/>
  <c r="I9" i="6"/>
  <c r="I13" i="6"/>
  <c r="I8" i="6"/>
  <c r="I12" i="6"/>
  <c r="K16" i="1" l="1"/>
  <c r="B31" i="11"/>
  <c r="B32" i="11"/>
  <c r="B30" i="11"/>
  <c r="I12" i="1"/>
</calcChain>
</file>

<file path=xl/sharedStrings.xml><?xml version="1.0" encoding="utf-8"?>
<sst xmlns="http://schemas.openxmlformats.org/spreadsheetml/2006/main" count="1004" uniqueCount="570">
  <si>
    <t>Report Date:</t>
  </si>
  <si>
    <t>EXECUTIVE SUMMARY — KEY PERFORMANCE INDICATORS</t>
  </si>
  <si>
    <t>TOTAL NCRs LOGGED</t>
  </si>
  <si>
    <t>OPEN NCRs</t>
  </si>
  <si>
    <t>NCR CLOSURE RATE</t>
  </si>
  <si>
    <t>AVG DAYS TO CLOSE NCR</t>
  </si>
  <si>
    <t>OPEN / IN-PROGRESS CAPA</t>
  </si>
  <si>
    <t>OVERDUE CAPA</t>
  </si>
  <si>
    <t>Cl. 8.7</t>
  </si>
  <si>
    <t>Target: 0</t>
  </si>
  <si>
    <t>Target: 100%</t>
  </si>
  <si>
    <t>Target: &lt;=30 days</t>
  </si>
  <si>
    <t>CAPA EFFECTIVENESS VERIFIED</t>
  </si>
  <si>
    <t>INTERNAL AUDITS COMPLETED (YTD)</t>
  </si>
  <si>
    <t>OPEN AUDIT FINDINGS</t>
  </si>
  <si>
    <t>PT/ILC SATISFACTORY RATE</t>
  </si>
  <si>
    <t>EQUIPMENT CALIBRATION OVERDUE</t>
  </si>
  <si>
    <t>STAFF COMPETENCY OVERDUE</t>
  </si>
  <si>
    <t>Cl. 8.8 - Planned</t>
  </si>
  <si>
    <t>Cl. 7.7 - Target: 100%</t>
  </si>
  <si>
    <t>Cl. 6.4 - Target: 0</t>
  </si>
  <si>
    <t>Cl. 6.2 - Target: 0</t>
  </si>
  <si>
    <t>OPEN CUSTOMER COMPLAINTS</t>
  </si>
  <si>
    <t>AVG DAYS TO CLOSE COMPLAINT</t>
  </si>
  <si>
    <t>DOCUMENTS OVERDUE REVIEW</t>
  </si>
  <si>
    <t>DOCUMENTS DUE SOON (90d)</t>
  </si>
  <si>
    <t>OPEN MGMT REVIEW ACTIONS</t>
  </si>
  <si>
    <t>AUDIT READINESS SCORE</t>
  </si>
  <si>
    <t>Cl. 7.9 - Target: 0</t>
  </si>
  <si>
    <t>Target: &lt;=15 days</t>
  </si>
  <si>
    <t>Cl. 8.3 - Target: 0</t>
  </si>
  <si>
    <t>Cl. 8.9 - Target: 0</t>
  </si>
  <si>
    <t>Composite - Target: 100%</t>
  </si>
  <si>
    <t>TREND &amp; DISTRIBUTION ANALYSIS</t>
  </si>
  <si>
    <t>Data source tabs: NCR Register | CAPA Tracker | Internal Audits | PT-ILC | Calibration | Staff Competency | Customer Feedback | Document Control | Management Review. All KPIs recalculate automatically as log sheets are updated (F9 / auto-calc on open).</t>
  </si>
  <si>
    <t>ISO/IEC 17025:2017 QMS DASHBOARD  |  NCR REGISTER</t>
  </si>
  <si>
    <t>Blue-font cells are example/input rows — overwrite or extend with your own records. Do not delete the header row or column structure (dashboard formulas depend on it).</t>
  </si>
  <si>
    <t>Legend:  Blue text = example data to edit  |  Black text = formula (auto-calculated) — do not overwrite.</t>
  </si>
  <si>
    <t>NCR No</t>
  </si>
  <si>
    <t>Date Raised</t>
  </si>
  <si>
    <t>Source</t>
  </si>
  <si>
    <t>ISO 17025
Clause Ref</t>
  </si>
  <si>
    <t>Description of
Nonconformity</t>
  </si>
  <si>
    <t>Severity</t>
  </si>
  <si>
    <t>Root Cause</t>
  </si>
  <si>
    <t>Corrective Action</t>
  </si>
  <si>
    <t>Responsible</t>
  </si>
  <si>
    <t>Target
Closure Date</t>
  </si>
  <si>
    <t>Status</t>
  </si>
  <si>
    <t>Actual
Closure Date</t>
  </si>
  <si>
    <t>Days to
Close</t>
  </si>
  <si>
    <t>Verified By</t>
  </si>
  <si>
    <t>Effectiveness
Check Date</t>
  </si>
  <si>
    <t>NCR-2026-01</t>
  </si>
  <si>
    <t>Internal Audit</t>
  </si>
  <si>
    <t>Major</t>
  </si>
  <si>
    <t>Lab Supervisor</t>
  </si>
  <si>
    <t>Closed</t>
  </si>
  <si>
    <t>2026-02-10</t>
  </si>
  <si>
    <t>2026-05-10</t>
  </si>
  <si>
    <t>NCR-2026-02</t>
  </si>
  <si>
    <t>Equipment</t>
  </si>
  <si>
    <t>QC Engineer</t>
  </si>
  <si>
    <t>2026-02-18</t>
  </si>
  <si>
    <t>2026-05-18</t>
  </si>
  <si>
    <t>NCR-2026-03</t>
  </si>
  <si>
    <t>PT/ILC</t>
  </si>
  <si>
    <t>Geotech Lead</t>
  </si>
  <si>
    <t>2026-02-28</t>
  </si>
  <si>
    <t>2026-05-28</t>
  </si>
  <si>
    <t>NCR-2026-04</t>
  </si>
  <si>
    <t>Customer Complaint</t>
  </si>
  <si>
    <t>Minor</t>
  </si>
  <si>
    <t>2026-03-08</t>
  </si>
  <si>
    <t>Staff Observation</t>
  </si>
  <si>
    <t>2026-04-02</t>
  </si>
  <si>
    <t>NCR-2026-06</t>
  </si>
  <si>
    <t>Soils Section Head</t>
  </si>
  <si>
    <t>Open</t>
  </si>
  <si>
    <t>NCR-2026-07</t>
  </si>
  <si>
    <t>NCR-2026-08</t>
  </si>
  <si>
    <t>Management Review</t>
  </si>
  <si>
    <t>Technical Manager</t>
  </si>
  <si>
    <t>ISO/IEC 17025:2017 QMS DASHBOARD  |  CAPA TRACKER</t>
  </si>
  <si>
    <t>CAPA No</t>
  </si>
  <si>
    <t>Linked NCR/
Source Ref</t>
  </si>
  <si>
    <t>Type</t>
  </si>
  <si>
    <t>Description</t>
  </si>
  <si>
    <t>Root Cause
Method Used</t>
  </si>
  <si>
    <t>Action Plan</t>
  </si>
  <si>
    <t>Target Date</t>
  </si>
  <si>
    <t>Closure Date</t>
  </si>
  <si>
    <t>Days Open</t>
  </si>
  <si>
    <t>Effectiveness
Verified (Y/N)</t>
  </si>
  <si>
    <t>Effectiveness
Review Date</t>
  </si>
  <si>
    <t>Comments</t>
  </si>
  <si>
    <t>CAPA-2026-01</t>
  </si>
  <si>
    <t>2026-01-15</t>
  </si>
  <si>
    <t>Corrective</t>
  </si>
  <si>
    <t>Eliminate recurrence of missed verification sign-off</t>
  </si>
  <si>
    <t>5 Why</t>
  </si>
  <si>
    <t>Digitised checksheet with mandatory verifier field; SOP QP-07 revised</t>
  </si>
  <si>
    <t>2026-02-15</t>
  </si>
  <si>
    <t>Y</t>
  </si>
  <si>
    <t>Effective - zero recurrence in 90-day review</t>
  </si>
  <si>
    <t>CAPA-2026-02</t>
  </si>
  <si>
    <t>2026-01-23</t>
  </si>
  <si>
    <t>Prevent load cell drift going undetected</t>
  </si>
  <si>
    <t>Fishbone</t>
  </si>
  <si>
    <t>Reduced calibration interval; added interim daily check with reference load</t>
  </si>
  <si>
    <t>2026-02-23</t>
  </si>
  <si>
    <t>Effective</t>
  </si>
  <si>
    <t>CAPA-2026-03</t>
  </si>
  <si>
    <t>2026-02-04</t>
  </si>
  <si>
    <t>Correct technique variance on Atterberg Limits</t>
  </si>
  <si>
    <t>Refresher training + witnessed assessment for all Geotech staff on D4318</t>
  </si>
  <si>
    <t>2026-03-06</t>
  </si>
  <si>
    <t>Effective - satisfactory PT re-run</t>
  </si>
  <si>
    <t>CAPA-2026-04</t>
  </si>
  <si>
    <t>2026-02-12</t>
  </si>
  <si>
    <t>Eliminate manual transcription errors</t>
  </si>
  <si>
    <t>Process Mapping</t>
  </si>
  <si>
    <t>Automated data transfer from sieve balance to report template</t>
  </si>
  <si>
    <t>IT/QA Coordinator</t>
  </si>
  <si>
    <t>2026-03-31</t>
  </si>
  <si>
    <t>2026-03-25</t>
  </si>
  <si>
    <t>2026-06-25</t>
  </si>
  <si>
    <t>CAPA-2026-05</t>
  </si>
  <si>
    <t>-</t>
  </si>
  <si>
    <t>2026-03-10</t>
  </si>
  <si>
    <t>Preventive</t>
  </si>
  <si>
    <t>Reduce single point of failure risk across critical test methods</t>
  </si>
  <si>
    <t>Risk Assessment (Cl. 8.5)</t>
  </si>
  <si>
    <t>Cross-training plan for 3 critical methods across 2 backup staff each</t>
  </si>
  <si>
    <t>2026-06-30</t>
  </si>
  <si>
    <t>In Progress</t>
  </si>
  <si>
    <t>N</t>
  </si>
  <si>
    <t>CAPA-2026-06</t>
  </si>
  <si>
    <t>2026-03-19</t>
  </si>
  <si>
    <t>Ensure environmental data always captured</t>
  </si>
  <si>
    <t>Checksheet field made mandatory in LIMS; validation rule added</t>
  </si>
  <si>
    <t>2026-04-19</t>
  </si>
  <si>
    <t>CAPA-2026-07</t>
  </si>
  <si>
    <t>2026-04-06</t>
  </si>
  <si>
    <t>Prevent worn sieve mesh going undetected</t>
  </si>
  <si>
    <t>Interim verification frequency increased; sieve wear log introduced</t>
  </si>
  <si>
    <t>2026-05-06</t>
  </si>
  <si>
    <t>CAPA-2026-08</t>
  </si>
  <si>
    <t>2026-04-21</t>
  </si>
  <si>
    <t>Close competency gap on bitumen ductility method</t>
  </si>
  <si>
    <t>Risk Assessment</t>
  </si>
  <si>
    <t>Second technician nominated; training booked with external provider</t>
  </si>
  <si>
    <t>2026-07-21</t>
  </si>
  <si>
    <t>ISO/IEC 17025:2017 QMS DASHBOARD  |  INTERNAL AUDITS</t>
  </si>
  <si>
    <t>Audit No</t>
  </si>
  <si>
    <t>Audit Date</t>
  </si>
  <si>
    <t>Area/Clause
Audited</t>
  </si>
  <si>
    <t>Auditor</t>
  </si>
  <si>
    <t>Major
NCs</t>
  </si>
  <si>
    <t>Minor
NCs</t>
  </si>
  <si>
    <t>OFIs</t>
  </si>
  <si>
    <t>Total
Findings</t>
  </si>
  <si>
    <t>Report
Issue Date</t>
  </si>
  <si>
    <t>All Findings
Closed (Y/N)</t>
  </si>
  <si>
    <t>Next Audit
Due</t>
  </si>
  <si>
    <t>IA-2026-01</t>
  </si>
  <si>
    <t>Completed</t>
  </si>
  <si>
    <t>IA-2026-07</t>
  </si>
  <si>
    <t>ISO/IEC 17025:2017 QMS DASHBOARD  |  PT-ILC</t>
  </si>
  <si>
    <t>PT/ILC No</t>
  </si>
  <si>
    <t>Scheme
Provider</t>
  </si>
  <si>
    <t>Test Parameter /
Method</t>
  </si>
  <si>
    <t>Participation
Date</t>
  </si>
  <si>
    <t>Result
(Z-score/En)</t>
  </si>
  <si>
    <t>Performance</t>
  </si>
  <si>
    <t>Corrective Action
Required (Y/N)</t>
  </si>
  <si>
    <t>CAPA Ref</t>
  </si>
  <si>
    <t>Next
Participation Due</t>
  </si>
  <si>
    <t>Satisfactory</t>
  </si>
  <si>
    <t>Unsatisfactory</t>
  </si>
  <si>
    <t>2026-03-01</t>
  </si>
  <si>
    <t>Questionable</t>
  </si>
  <si>
    <t>Scheduled</t>
  </si>
  <si>
    <t>ISO/IEC 17025:2017 QMS DASHBOARD  |  CALIBRATION</t>
  </si>
  <si>
    <t>Equipment ID</t>
  </si>
  <si>
    <t>Equipment / Instrument
Name</t>
  </si>
  <si>
    <t>Location /
Section</t>
  </si>
  <si>
    <t>Accredited
Provider (Y/N)</t>
  </si>
  <si>
    <t>Last Calibration
Date</t>
  </si>
  <si>
    <t>Interval
(Months)</t>
  </si>
  <si>
    <t>Due Date</t>
  </si>
  <si>
    <t>Certificate No</t>
  </si>
  <si>
    <t>Days to
Due</t>
  </si>
  <si>
    <t>CAL/2026/0102</t>
  </si>
  <si>
    <t>ISO/IEC 17025:2017 QMS DASHBOARD  |  STAFF COMPETENCY</t>
  </si>
  <si>
    <t>Staff Name</t>
  </si>
  <si>
    <t>Position</t>
  </si>
  <si>
    <t>Test Method /
Scope</t>
  </si>
  <si>
    <t>Reassessment
Interval (Months)</t>
  </si>
  <si>
    <t>Next Assessment
Due</t>
  </si>
  <si>
    <t>Assessor</t>
  </si>
  <si>
    <t>Remarks</t>
  </si>
  <si>
    <t>ISO/IEC 17025:2017 QMS DASHBOARD  |  CUSTOMER FEEDBACK</t>
  </si>
  <si>
    <t>Complaint No</t>
  </si>
  <si>
    <t>Date
Received</t>
  </si>
  <si>
    <t>Customer</t>
  </si>
  <si>
    <t>Category</t>
  </si>
  <si>
    <t>Closure
Date</t>
  </si>
  <si>
    <t>Satisfaction
Follow-up (Y/N)</t>
  </si>
  <si>
    <t>CMP-2026-01</t>
  </si>
  <si>
    <t>Client - Contractor A</t>
  </si>
  <si>
    <t>Queried reported gradation values for aggregate sample</t>
  </si>
  <si>
    <t>Report Error</t>
  </si>
  <si>
    <t>Transcription error in report template</t>
  </si>
  <si>
    <t>CMP-2026-02</t>
  </si>
  <si>
    <t>Client - Consultant B</t>
  </si>
  <si>
    <t>Delay in turnaround for concrete cube results</t>
  </si>
  <si>
    <t>Turnaround Time</t>
  </si>
  <si>
    <t>Backlog during peak casting period</t>
  </si>
  <si>
    <t>CMP-2026-03</t>
  </si>
  <si>
    <t>Client - Contractor C</t>
  </si>
  <si>
    <t>Questioned CBR test methodology applied on site samples</t>
  </si>
  <si>
    <t>Test Result</t>
  </si>
  <si>
    <t>Clarification only - method applied correctly per D1883</t>
  </si>
  <si>
    <t>2026-05-14</t>
  </si>
  <si>
    <t>CMP-2026-04</t>
  </si>
  <si>
    <t>2026-06-02</t>
  </si>
  <si>
    <t>Client - Consultant D</t>
  </si>
  <si>
    <t>Requested reissue of report with corrected project reference</t>
  </si>
  <si>
    <t>Service</t>
  </si>
  <si>
    <t>Administrative error on project code</t>
  </si>
  <si>
    <t>ISO/IEC 17025:2017 QMS DASHBOARD  |  DOCUMENT CONTROL</t>
  </si>
  <si>
    <t>Doc No</t>
  </si>
  <si>
    <t>Document Title</t>
  </si>
  <si>
    <t>Version</t>
  </si>
  <si>
    <t>Issue Date</t>
  </si>
  <si>
    <t>Review
Interval (Yrs)</t>
  </si>
  <si>
    <t>Review Due
Date</t>
  </si>
  <si>
    <t>Approved By</t>
  </si>
  <si>
    <t>ISO/IEC 17025:2017 QMS DASHBOARD  |  MANAGEMENT REVIEW</t>
  </si>
  <si>
    <t>Action No</t>
  </si>
  <si>
    <t>Meeting
Date</t>
  </si>
  <si>
    <t>Clause 8.9 Input Area</t>
  </si>
  <si>
    <t>Decision / Action</t>
  </si>
  <si>
    <t>MR-2026-01</t>
  </si>
  <si>
    <t>2026-01-30</t>
  </si>
  <si>
    <t>NCR/CAPA Status Review</t>
  </si>
  <si>
    <t>Approve additional QA resource for review of high-risk reports</t>
  </si>
  <si>
    <t>Lab Director</t>
  </si>
  <si>
    <t>2026-02-25</t>
  </si>
  <si>
    <t>MR-2026-02</t>
  </si>
  <si>
    <t>PT/ILC Performance</t>
  </si>
  <si>
    <t>Mandate refresher training for any unsatisfactory PT result within 30 days</t>
  </si>
  <si>
    <t>Ongoing</t>
  </si>
  <si>
    <t>MR-2026-03</t>
  </si>
  <si>
    <t>Resource Adequacy</t>
  </si>
  <si>
    <t>Approve budget for second ductility bath to remove single point of failure</t>
  </si>
  <si>
    <t>MR-2026-04</t>
  </si>
  <si>
    <t>Risk &amp; Opportunity (Cl. 8.5)</t>
  </si>
  <si>
    <t>Review supplier risk assessment for calibration providers</t>
  </si>
  <si>
    <t>2026-04-30</t>
  </si>
  <si>
    <t>Chart source data — auto-calculated. Do not edit.</t>
  </si>
  <si>
    <t>NCR Status</t>
  </si>
  <si>
    <t>NCR Severity</t>
  </si>
  <si>
    <t>NCR by Source</t>
  </si>
  <si>
    <t>CAPA Status</t>
  </si>
  <si>
    <t>Internal Audit Findings (YTD)</t>
  </si>
  <si>
    <t>Major NC</t>
  </si>
  <si>
    <t>Minor NC</t>
  </si>
  <si>
    <t>OFI</t>
  </si>
  <si>
    <t>Calibration Status</t>
  </si>
  <si>
    <t>Valid</t>
  </si>
  <si>
    <t>Due Soon</t>
  </si>
  <si>
    <t>Overdue</t>
  </si>
  <si>
    <t>Staff Competency Status</t>
  </si>
  <si>
    <t>Competent</t>
  </si>
  <si>
    <t>PT-ILC Performance</t>
  </si>
  <si>
    <t>NCR Aging (Open items, days since raised)</t>
  </si>
  <si>
    <t>'NCR Register'!A6</t>
  </si>
  <si>
    <t>'NCR Register'!A7</t>
  </si>
  <si>
    <t>'NCR Register'!A8</t>
  </si>
  <si>
    <t>'NCR Register'!A9</t>
  </si>
  <si>
    <t>'NCR Register'!A10</t>
  </si>
  <si>
    <t>'NCR Register'!A11</t>
  </si>
  <si>
    <t>'NCR Register'!A12</t>
  </si>
  <si>
    <t>'NCR Register'!A13</t>
  </si>
  <si>
    <t>ISO/IEC 17025:2017  |  LABORATORY QMS DASHBOARD (AUDIT READINESS)</t>
  </si>
  <si>
    <t>Management requirements of ISO 17025</t>
  </si>
  <si>
    <t>S. Nyambi &amp; TMJ Maponya</t>
  </si>
  <si>
    <t>N/A</t>
  </si>
  <si>
    <t>Technical requirements &amp; VC for PTS</t>
  </si>
  <si>
    <t>Managament requirements (Cl 4 and 5)</t>
  </si>
  <si>
    <t>N Msibi</t>
  </si>
  <si>
    <t>IA-2026-05 N1</t>
  </si>
  <si>
    <t>Managament requirements (Cl 8)</t>
  </si>
  <si>
    <t>IA-2026-05 N2</t>
  </si>
  <si>
    <t>Managament requirements (Cl 8.1-8.3)</t>
  </si>
  <si>
    <t>IA-2026-09 N1</t>
  </si>
  <si>
    <t>ISO 17025 Clause 6,2 ;4.1</t>
  </si>
  <si>
    <t>IA-2026 09 N2</t>
  </si>
  <si>
    <t>ISO 17025 Clause 6,3 - 6.4</t>
  </si>
  <si>
    <t>NC01 09/2025</t>
  </si>
  <si>
    <t>05/09/2025</t>
  </si>
  <si>
    <t>NC02 09/2025</t>
  </si>
  <si>
    <t>15/09/2025</t>
  </si>
  <si>
    <t>NC03 09/2025</t>
  </si>
  <si>
    <t>19/09/2025</t>
  </si>
  <si>
    <t>NC03/2025 T</t>
  </si>
  <si>
    <t>05/01/2026</t>
  </si>
  <si>
    <t>NC04/2026 T</t>
  </si>
  <si>
    <t>15/01/2026</t>
  </si>
  <si>
    <t>NC05/2026</t>
  </si>
  <si>
    <t>NC06/2026 T</t>
  </si>
  <si>
    <t>05/02/2026</t>
  </si>
  <si>
    <t>NC07/2026 T</t>
  </si>
  <si>
    <t>02/09/2026</t>
  </si>
  <si>
    <t>NC08/2026 T</t>
  </si>
  <si>
    <t>04/02/2026</t>
  </si>
  <si>
    <t>NC09/2026 T</t>
  </si>
  <si>
    <t>NC10/2026 T</t>
  </si>
  <si>
    <t>NC11/2026</t>
  </si>
  <si>
    <t>10/02/2026</t>
  </si>
  <si>
    <t>NC12/2026</t>
  </si>
  <si>
    <t>NC13/2026</t>
  </si>
  <si>
    <t>06/02/2026</t>
  </si>
  <si>
    <t>NC14/2026</t>
  </si>
  <si>
    <t>12/02/2026</t>
  </si>
  <si>
    <t>NC15/2026</t>
  </si>
  <si>
    <t>11/02/2026</t>
  </si>
  <si>
    <t>NC16/2026</t>
  </si>
  <si>
    <t>NC17/2026</t>
  </si>
  <si>
    <t>NC18/2026</t>
  </si>
  <si>
    <t>NC19/2026</t>
  </si>
  <si>
    <t>06/02/2025</t>
  </si>
  <si>
    <t>NC21/2026</t>
  </si>
  <si>
    <t>NC22/2026</t>
  </si>
  <si>
    <t>13/03/2026</t>
  </si>
  <si>
    <t>NC26/2026</t>
  </si>
  <si>
    <t>27/08/2026</t>
  </si>
  <si>
    <t>NC028/2026</t>
  </si>
  <si>
    <t>NC030/2026</t>
  </si>
  <si>
    <t>17/06/2026</t>
  </si>
  <si>
    <t>NC31/2026</t>
  </si>
  <si>
    <t>14/09/2026</t>
  </si>
  <si>
    <t>NC32/2026</t>
  </si>
  <si>
    <t>NC33/2026</t>
  </si>
  <si>
    <t>05/10/2026</t>
  </si>
  <si>
    <t>NC34/2026</t>
  </si>
  <si>
    <t>CRM's of two different qualities were packaged and labelled as one sample CRM 006 and PT A Aug 2025.</t>
  </si>
  <si>
    <t>Reference values &amp; their establishment omitted within all PT reports (1-6).</t>
  </si>
  <si>
    <t>Stability monitoring results for CRM004 and CRM 005 (July-Dec 2025) were incorrectly assigned due to swapping of CRM bottles during storage</t>
  </si>
  <si>
    <t xml:space="preserve">No records for 4.75mm crusher efficiency </t>
  </si>
  <si>
    <t>No records for in-house maintenance of equipment</t>
  </si>
  <si>
    <t>CAB claimed conformity/accreditation to ISO/IEC 17025 even though it is still going through the accreditation process</t>
  </si>
  <si>
    <t>The requirements of the standard, customer regulatory authorities and organization providing regulation was not addressed/documented in the QMS of the CAB</t>
  </si>
  <si>
    <t>The subcontractor/coutractor register doesn't list any supplier/service provider. Another point that was not addressed: how does the lifted evaluation criteria for supplies or services help in assessing their performance.</t>
  </si>
  <si>
    <t>Cab did not outline how it intends to make the complaint handling process avaliable to interested parties and how it plans to issue communication of the final outcome of logged complaints</t>
  </si>
  <si>
    <t>The responsibility for authorising the resumption of work not clearly defined in 7.17 document</t>
  </si>
  <si>
    <t>The sampled procedure for the determination of inherent moisture AS0041W has no date (effective and next review date)</t>
  </si>
  <si>
    <t>it was noted that there is no additional process/procedure detailinng the implementation of the requirement 6.4</t>
  </si>
  <si>
    <t>The timelines to address NCs was not specified</t>
  </si>
  <si>
    <t>There is no clear indication of contributors to measurement uncertainty UB001 only indicates expanded uncertainty, no contributors mentioned.</t>
  </si>
  <si>
    <t>Procedure for the control of NC's doesn't adequately define how the effectiveness of corrective actions is reviewed and verified. Timeliness for effectiveness review not specified, particularly where immediate verifcation is not practical, and no distinction is made b/w minor and major NCS. Procedure doesn't clearly require changes to the management system where necessary to prevent recurrence. In addition, corrective actions, records, including root causes, actions taken, and results of effectiveness verificationare not explicitly required to be retained. This limit's the lab's ability to demonstrate that corrective actions are effective and sustained.</t>
  </si>
  <si>
    <t>Not all performance charatcers were evaluated in the report AS003MV, and no valid reason provided.</t>
  </si>
  <si>
    <t>Internal audit program lacked clarity and completeness in several key areas. Audit criteria are not explicitly  defined as required by ISO 17025, and there is limited documented evidence of formal reporting to management. Corrective actions arising from audits not assigned not assigned, implementation timelines, and audit retention is nit clearly specified.</t>
  </si>
  <si>
    <t>Organization lacked a process/procedure for selection, appointing, and recruitment of technical personnel.</t>
  </si>
  <si>
    <t>Competency declaration ASMI 6.1. Rev 00 for technical tasks only, not indicating the overall responsibility to be able to evaluate significance of deviations.</t>
  </si>
  <si>
    <t>On the 29/09/2025 samples were analysed with the control sample out of limits for CV.</t>
  </si>
  <si>
    <t>The PT reporting process failed to ensure that results for distinct PT items were evaluated and presented separately.</t>
  </si>
  <si>
    <t>Formatting error in the automated LIMS export template caused TM figures to be truncated to one decimal place and incorrectly rendered from 2 stage primary database entries.</t>
  </si>
  <si>
    <t>The publised PT reports contain conflicting information regarding z-score investigating thresholds and ambigous boundary rules.</t>
  </si>
  <si>
    <t>During the external audit, a non-conformance was identified regarding auditor competency. The individual designated by management to execute the internal audit(Managing Director) lacks formal ISO/IEC 17025 internal auditor training, certification, or verifiable auditor experience. Currently, the company does not posses any internal personnel with the necessary qualifications to legally perform quality or technical internal audits. This was flagged during external assessment as an invalid control that threatens the integrity and independence of the QMS</t>
  </si>
  <si>
    <t>The internal audit planned for August 2026, covering personnel competence, training and impartiality was not conducted as scheduled. No valid documented reason or evidence of approved scheduling was provided for the missed audit.</t>
  </si>
  <si>
    <t>Document ASMF 5.3 requires externally provided services, including outsourced analysis, to be evaluated and approved prior to use. However, it was found that the Total Sulphur for AES report Nos. 1 &amp; 2 was outsourced to a service provider that had not been evaluated and approved prior to use, contrary to the established procedure.</t>
  </si>
  <si>
    <t>During the MRM (may 2026), it was documentedthat the safety medical certificates for operations and lab manager had expired in April 2026. Action was assigned to renew the medicals by July 2026 during the execution of Vryheid safety file. As of October 2026, these medicals remain undone, thus leaving key lab personnel operating 6 months past their medical epiratio date and 3 months past the MRM target completion date without valid health clearance or documented risk assessment.</t>
  </si>
  <si>
    <t>During the MRM (may 2026), personnel raised grievances regarding excessive workload and resource constraints. Action item 9 was recorded in the table requiring operations manager to setup internal feedback form/system by July 2026. As of October 2026, the grievance form/system has not been developed or implemented, exceeding agreed target date by 3 months.</t>
  </si>
  <si>
    <t>ISO 17034, Clause 7.5.</t>
  </si>
  <si>
    <t>SANAS R80-06 Clause 7.3.</t>
  </si>
  <si>
    <t>ISO 17025 Clause 7.7</t>
  </si>
  <si>
    <t>ISO 17034, Clause 7.11.</t>
  </si>
  <si>
    <t>ISO 17025 7.5.1</t>
  </si>
  <si>
    <t>ISO 17025(SANAS F48 cl 5.3)</t>
  </si>
  <si>
    <t>ISO 17025 (SANAS 5.4 F48-07)</t>
  </si>
  <si>
    <t>ISO 17025 (SANAS 6.6.2 F48-07)</t>
  </si>
  <si>
    <t>ISO 17025 (SANAS F48 Cl7.9.2) &amp; 7.9.7</t>
  </si>
  <si>
    <t>ISO 17025 (SANAS F48-07 Cl7.10)</t>
  </si>
  <si>
    <t>ISO 17025 7.2.1.2</t>
  </si>
  <si>
    <t>ISO 17025 Clause 6.4</t>
  </si>
  <si>
    <t>ISO 17025 (Clause 8.7.1, SANAS F48-07)</t>
  </si>
  <si>
    <t>ISO 17025 (Clause 7.6)</t>
  </si>
  <si>
    <t>ISO 17025 (SANAS F48 cl 8.7)</t>
  </si>
  <si>
    <t>ISO 17025 cl 7.2.2</t>
  </si>
  <si>
    <t>ISO 17025 (SANAS F48-07 Cl 8.8)</t>
  </si>
  <si>
    <t>ISO 17043 6.2.</t>
  </si>
  <si>
    <t>ISO 17043 6.2.3.</t>
  </si>
  <si>
    <t>ISO 17025 cl 7.7</t>
  </si>
  <si>
    <t>ISO 17025 cl 7.8 &amp; ISO 13528 clause 9.9.1</t>
  </si>
  <si>
    <t>ISO 17025 Cl 7.10 and 7.11</t>
  </si>
  <si>
    <t>ISO 17043 Cl 7.4.2 and 7.4.3</t>
  </si>
  <si>
    <t>ISO 17025 8.7</t>
  </si>
  <si>
    <t>ISO 17025 8.8</t>
  </si>
  <si>
    <t>ISO 17025 6.6</t>
  </si>
  <si>
    <t>ISO 17025 cl 6.2.2 and 8.9.3</t>
  </si>
  <si>
    <t>ISO 17025 cl 8.9.3</t>
  </si>
  <si>
    <t>Material Processing</t>
  </si>
  <si>
    <t>PTS Reports</t>
  </si>
  <si>
    <t>There are 11 points on one side of the IM control chart(02/06-18/09). The bias was not investigated.</t>
  </si>
  <si>
    <t>QC Charts</t>
  </si>
  <si>
    <t>Assessment and monitoring of stability</t>
  </si>
  <si>
    <t>Technical Records</t>
  </si>
  <si>
    <t>Structural Requirements</t>
  </si>
  <si>
    <t>Externally Provided Products and Services</t>
  </si>
  <si>
    <t>Customer Complaints</t>
  </si>
  <si>
    <t>Non Conforming Work</t>
  </si>
  <si>
    <t>Evaluation of UoM</t>
  </si>
  <si>
    <t>Method Validation</t>
  </si>
  <si>
    <t>Personnel</t>
  </si>
  <si>
    <t>QC Intermediate Checks</t>
  </si>
  <si>
    <t>Reporting of Results and Combined Performance Score</t>
  </si>
  <si>
    <t>Non Conforming Work and LIMS</t>
  </si>
  <si>
    <t>Evaluation and Performance and PT Reports</t>
  </si>
  <si>
    <t>Personnel and Management Review</t>
  </si>
  <si>
    <t>major</t>
  </si>
  <si>
    <t xml:space="preserve">Major </t>
  </si>
  <si>
    <t>Inadequate planning for future in that at the time of packaging, stickers were unavailable. Cross contamination due to incorrect storage/handling</t>
  </si>
  <si>
    <t>Oversight when doing the checklist requirements of a PT report (see report for details).</t>
  </si>
  <si>
    <t>The primary root cause was negligence as well as lack of understanding of significance of job,</t>
  </si>
  <si>
    <t xml:space="preserve">* CRM stickers not available at the time of packaging.                                                                                        * No secondary/temporary labelling system defined for use during stickers shortage                                                                                 *Packaging procedure allows packaging to proceed when CRM stickers                                        </t>
  </si>
  <si>
    <t>The procedure lacked explicit instruction on the crusher effeiciency of 4.75mm. Thus, efficiency was done unofficially.</t>
  </si>
  <si>
    <t>Initially, the lab did not see the need to have an in-house given that service providers leave job cards after major maintenances.</t>
  </si>
  <si>
    <t>The lab did not intend to claim conformity/accreditation. CAB only meant that the QMS is designed based on the structure of ISO 17025.</t>
  </si>
  <si>
    <t>The QMS was still being developed therefore the document that states the requirement of standards, customers, regulatory authorities was not drafted leading to an incomplete system documentation</t>
  </si>
  <si>
    <t>Oversight and human error were the root cause through the use of cause tool</t>
  </si>
  <si>
    <t>The issue was caused by oversight and incomplete system documentation. Although the complaint and appeal handling information was avaliable on the company website, it was not fully captured in the formal complaint and appeal procedure document</t>
  </si>
  <si>
    <t>Due to incomplete system documentation, nowhere in the documented system was it clearly stated as to who gives authority for resumption of work</t>
  </si>
  <si>
    <t>This matter was an oversight and as a result, there was no effective and next review date for the sampled procedure for determination of inherent moisture AS0041W</t>
  </si>
  <si>
    <t>The required process for clause 6.4 were not fully written down. The root cause was incomplete system documentation</t>
  </si>
  <si>
    <t>Incomplete system documentation</t>
  </si>
  <si>
    <t>Oversight</t>
  </si>
  <si>
    <t>Incomplete system documentation &amp; processes not defined. The procedure for NC working failed to adress how the corrective action effectiveness are revised/verifed detail requirements for changes in management system as well as record retention.</t>
  </si>
  <si>
    <t>Original validation report focused on the parameters making the method sufficiently fit for purpose, but neglected to include reasons for omission. Thus, making the NC to be classified as incomplete system documentation.</t>
  </si>
  <si>
    <t>Negligence &amp; Oversight</t>
  </si>
  <si>
    <t>Process not defined</t>
  </si>
  <si>
    <t>Inadequate validation of macros template</t>
  </si>
  <si>
    <t>Inconsistent harmonisation b/w different reporting templates and historical lack of an explicit procedural rule governing absolute value distance, range boundaries, and strict boundary limits for questionable vs satisfactory ratings.</t>
  </si>
  <si>
    <t>Isolate the affected CRM batches and remove them from storage.</t>
  </si>
  <si>
    <t>Add a section for CRM characterisation and their establishment on the PT final report.</t>
  </si>
  <si>
    <t xml:space="preserve">A new control was opened since the previous one was approaching an end/finishing. The remaining coal in the near empty pulp was heavily oxidised due to usage and most of the moisture had escaped. </t>
  </si>
  <si>
    <t>CRM preparation and packaging procedure was revised to mandate immediate individual bottle labelling during packaging and to prohibit CRM units storage/testing unless permanent identification labels are available amd applied. A formal hold or quarantine process including approved temp identification was introduced for such situations where labels are unavailable.</t>
  </si>
  <si>
    <t>Update the ASIW001 document to include when to do the efficiency of the crusher in question.</t>
  </si>
  <si>
    <t>Purchase an in-house maintenance book</t>
  </si>
  <si>
    <t>Revise the document to make it clear about the position of the lab's non accredited status.</t>
  </si>
  <si>
    <t>The drafting of the requirements of standards, customer, reg auth etc (ASMF5.4) was done</t>
  </si>
  <si>
    <t>The updated list for evaulation was created</t>
  </si>
  <si>
    <t>The complaint and appeal procedure document (ASMF 7.18B) was updated to include the information already published on the website</t>
  </si>
  <si>
    <t>The drafting or updating of the document (ASMF7.17) clearly stating that the operations/ lab manager authorizes resumption of work</t>
  </si>
  <si>
    <t>The document AS0041W was updated with the effective date and next review date</t>
  </si>
  <si>
    <t>A new document was drafted -ASMF6.3 PROC - detailing the additional processes of the implementation of 6.4 requirement and memo-003 was sent out to all personnel</t>
  </si>
  <si>
    <t>Document ASMF7.17 was updated with specified timesframes for closing/addressing NCs</t>
  </si>
  <si>
    <t>Revised UB001 to include detailed uncertainty budget tables for volatile matter, inherent moisture, ash determination and calorific value.</t>
  </si>
  <si>
    <t>Management of NC procedure (ASMF 7.17) was updated to include the omitted requirements.</t>
  </si>
  <si>
    <t>Update AS003MV procedure to include reasons for omission of certain perfomance characteristics.</t>
  </si>
  <si>
    <t>Update internal audit AUI001</t>
  </si>
  <si>
    <t>Document a procedure for the selection and recruitment of technical personnel</t>
  </si>
  <si>
    <t>Revise form ASMF6.1. to includea section explaining that personnel have been trained to identify deviations, assess, investigate and address NCs.</t>
  </si>
  <si>
    <t>Re-train the personnel and check if any PT samples were affected.</t>
  </si>
  <si>
    <t>Update the statistical design to encompass the testing of two PT items within the same round. Ammended all reports for time frame affected</t>
  </si>
  <si>
    <t>Decommission the faulty export sheet, Update the macroscript to pull the float values of TM directly from the primary SQL/LIMS toable using proper rounding functions and Lock the macroscript and sheet structure to prevent unauthorised formula adjustments.</t>
  </si>
  <si>
    <t>Fix the conflicting statement regarding the z-scores and send a re-issue to VAS.</t>
  </si>
  <si>
    <t>Tshepo Maponya</t>
  </si>
  <si>
    <t>Operation Manager</t>
  </si>
  <si>
    <t>Sifiso Nyambi</t>
  </si>
  <si>
    <t>N. Msibi</t>
  </si>
  <si>
    <t>06/09/2025</t>
  </si>
  <si>
    <t>20/09/2025</t>
  </si>
  <si>
    <t>06/01/2026</t>
  </si>
  <si>
    <t>16/01/2026</t>
  </si>
  <si>
    <t>28/01/2026</t>
  </si>
  <si>
    <t>09/02/2026</t>
  </si>
  <si>
    <t>07/02/2026</t>
  </si>
  <si>
    <t>26/02/2026</t>
  </si>
  <si>
    <t>16/04/2026</t>
  </si>
  <si>
    <t>28/08/2026</t>
  </si>
  <si>
    <t>03/09/2026</t>
  </si>
  <si>
    <t>Laboratory Supervisor</t>
  </si>
  <si>
    <t>Laboratory Manager</t>
  </si>
  <si>
    <t>Operations Manager</t>
  </si>
  <si>
    <t>PT coordinator</t>
  </si>
  <si>
    <t>Effective (to be properly verified using next bias test)</t>
  </si>
  <si>
    <t>AS025PA</t>
  </si>
  <si>
    <t>AS00A31</t>
  </si>
  <si>
    <t>AS2156</t>
  </si>
  <si>
    <t>AS0096D</t>
  </si>
  <si>
    <t>AS02217</t>
  </si>
  <si>
    <t>AS01338</t>
  </si>
  <si>
    <t>AS3800</t>
  </si>
  <si>
    <t>AS00110</t>
  </si>
  <si>
    <t>AS8284</t>
  </si>
  <si>
    <t>AS00111</t>
  </si>
  <si>
    <t>Platform Scale</t>
  </si>
  <si>
    <t>Top pan balance</t>
  </si>
  <si>
    <t>Analytical balance</t>
  </si>
  <si>
    <t>Hygrometer</t>
  </si>
  <si>
    <t>Ash Furnace</t>
  </si>
  <si>
    <t>Volatile Furnace</t>
  </si>
  <si>
    <t>IM drying oven</t>
  </si>
  <si>
    <t>Mass pieces</t>
  </si>
  <si>
    <t>Probe and thermometer</t>
  </si>
  <si>
    <t>B Drying oven</t>
  </si>
  <si>
    <t>Prep</t>
  </si>
  <si>
    <t>Analysis Room</t>
  </si>
  <si>
    <t>Furnace room</t>
  </si>
  <si>
    <t>Analysis room</t>
  </si>
  <si>
    <t>Manager’s office</t>
  </si>
  <si>
    <t>Prep area</t>
  </si>
  <si>
    <t>27-02-2026</t>
  </si>
  <si>
    <t>19-03-2026</t>
  </si>
  <si>
    <t>17-03-2025</t>
  </si>
  <si>
    <t>03-2026</t>
  </si>
  <si>
    <t>06-03-2026</t>
  </si>
  <si>
    <t>11-12-2025</t>
  </si>
  <si>
    <t>AZU F1.2</t>
  </si>
  <si>
    <t>AZU T1.2</t>
  </si>
  <si>
    <t>AZU A1.2</t>
  </si>
  <si>
    <t>AZUS TH2.1</t>
  </si>
  <si>
    <t>AZU AF1.2</t>
  </si>
  <si>
    <t>AZU VF1.2</t>
  </si>
  <si>
    <t>AZU MO1.2</t>
  </si>
  <si>
    <t>OB WS1.1R</t>
  </si>
  <si>
    <t>OBS T2.2b</t>
  </si>
  <si>
    <t>NKOT MO2.5 A</t>
  </si>
  <si>
    <t>Lab Tech</t>
  </si>
  <si>
    <t>Operator</t>
  </si>
  <si>
    <t>Lab Supe</t>
  </si>
  <si>
    <t>Lab Man</t>
  </si>
  <si>
    <t>Ope Man</t>
  </si>
  <si>
    <t>ISO Ash</t>
  </si>
  <si>
    <t>ISO VM</t>
  </si>
  <si>
    <t>ISO IM</t>
  </si>
  <si>
    <t>ISO CV</t>
  </si>
  <si>
    <t>Sample prep</t>
  </si>
  <si>
    <t>TM</t>
  </si>
  <si>
    <t>PSD</t>
  </si>
  <si>
    <t>Washability</t>
  </si>
  <si>
    <t>Wash</t>
  </si>
  <si>
    <t>Reporting</t>
  </si>
  <si>
    <t>Q-ash</t>
  </si>
  <si>
    <t>S Nyambi</t>
  </si>
  <si>
    <t>G Chisali</t>
  </si>
  <si>
    <t>K Maleka</t>
  </si>
  <si>
    <t>N Hlongwane</t>
  </si>
  <si>
    <t>Lab Manager</t>
  </si>
  <si>
    <t>ISO/Quick Ash</t>
  </si>
  <si>
    <t>Inherent Moisture</t>
  </si>
  <si>
    <t>Volatile Matter</t>
  </si>
  <si>
    <t>Calorific Value</t>
  </si>
  <si>
    <t>Total Moisture</t>
  </si>
  <si>
    <t>N Nyambi</t>
  </si>
  <si>
    <t>K Tshabalala</t>
  </si>
  <si>
    <t>Sample Prep</t>
  </si>
  <si>
    <t>Evidence check:</t>
  </si>
  <si>
    <t>Technical Sign</t>
  </si>
  <si>
    <t>Current Competency Date</t>
  </si>
  <si>
    <t>Operations  Manager</t>
  </si>
  <si>
    <t>Initial Witnessing
Testing (Y/N)</t>
  </si>
  <si>
    <t>Initial assessment can be found in the competency file</t>
  </si>
  <si>
    <t>Sample prep = Crusher eff, Pulve eff, TM, PSD, Wash, Balance verificatio</t>
  </si>
  <si>
    <t>Snr Analyst</t>
  </si>
  <si>
    <t>Lab Analyst/ PT Coordinator</t>
  </si>
  <si>
    <t>Lab Operator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</si>
</sst>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
  </numFmts>
  <fonts count="16" x14ac:knownFonts="1">
    <font>
      <sz val="11"/>
      <color theme="1"/>
      <name val="Calibri"/>
      <family val="2"/>
      <charset val="1"/>
    </font>
    <font>
      <b/>
      <sz val="18"/>
      <color rgb="FFFFFFFF"/>
      <name val="Arial"/>
      <charset val="1"/>
    </font>
    <font>
      <b/>
      <sz val="10"/>
      <color rgb="FF1F3864"/>
      <name val="Arial"/>
      <charset val="1"/>
    </font>
    <font>
      <b/>
      <sz val="11"/>
      <color rgb="FFFFFFFF"/>
      <name val="Arial"/>
      <charset val="1"/>
    </font>
    <font>
      <b/>
      <sz val="9"/>
      <color rgb="FFFFFFFF"/>
      <name val="Arial"/>
      <charset val="1"/>
    </font>
    <font>
      <b/>
      <sz val="20"/>
      <color rgb="FF1F3864"/>
      <name val="Arial"/>
      <charset val="1"/>
    </font>
    <font>
      <i/>
      <sz val="7"/>
      <color rgb="FF808080"/>
      <name val="Arial"/>
      <charset val="1"/>
    </font>
    <font>
      <i/>
      <sz val="8"/>
      <color rgb="FF808080"/>
      <name val="Arial"/>
      <charset val="1"/>
    </font>
    <font>
      <b/>
      <sz val="13"/>
      <color rgb="FFFFFFFF"/>
      <name val="Arial"/>
      <charset val="1"/>
    </font>
    <font>
      <i/>
      <sz val="8"/>
      <color rgb="FF595959"/>
      <name val="Arial"/>
      <charset val="1"/>
    </font>
    <font>
      <b/>
      <sz val="10"/>
      <color rgb="FFFFFFFF"/>
      <name val="Arial"/>
      <charset val="1"/>
    </font>
    <font>
      <sz val="9"/>
      <color rgb="FF0000FF"/>
      <name val="Arial"/>
      <charset val="1"/>
    </font>
    <font>
      <sz val="9"/>
      <color rgb="FF000000"/>
      <name val="Arial"/>
      <charset val="1"/>
    </font>
    <font>
      <i/>
      <sz val="9"/>
      <color rgb="FF808080"/>
      <name val="Arial"/>
      <charset val="1"/>
    </font>
    <font>
      <sz val="9"/>
      <name val="Arial"/>
      <charset val="1"/>
    </font>
    <font>
      <sz val="11"/>
      <name val="Calibri"/>
      <family val="2"/>
      <scheme val="minor"/>
    </font>
  </fonts>
  <fills count="10">
    <fill>
      <patternFill patternType="none"/>
    </fill>
    <fill>
      <patternFill patternType="gray125"/>
    </fill>
    <fill>
      <patternFill patternType="solid">
        <fgColor rgb="FF1F3864"/>
        <bgColor rgb="FF333333"/>
      </patternFill>
    </fill>
    <fill>
      <patternFill patternType="solid">
        <fgColor rgb="FFC9A227"/>
        <bgColor rgb="FF9BBB59"/>
      </patternFill>
    </fill>
    <fill>
      <patternFill patternType="solid">
        <fgColor rgb="FF2E5395"/>
        <bgColor rgb="FF1F3864"/>
      </patternFill>
    </fill>
    <fill>
      <patternFill patternType="solid">
        <fgColor rgb="FFF2F2F2"/>
        <bgColor rgb="FFFFFFFF"/>
      </patternFill>
    </fill>
    <fill>
      <patternFill patternType="solid">
        <fgColor rgb="FFFFFFFF"/>
        <bgColor rgb="FFF2F2F2"/>
      </patternFill>
    </fill>
    <fill>
      <patternFill patternType="solid">
        <fgColor theme="0"/>
        <bgColor indexed="64"/>
      </patternFill>
    </fill>
    <fill>
      <patternFill patternType="solid">
        <fgColor rgb="FFFF0000"/>
        <bgColor rgb="FFF2F2F2"/>
      </patternFill>
    </fill>
    <fill>
      <patternFill patternType="solid">
        <fgColor rgb="FFFF0000"/>
        <bgColor rgb="FFFFFFFF"/>
      </patternFill>
    </fill>
  </fills>
  <borders count="8">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thin">
        <color rgb="FFBFBFBF"/>
      </left>
      <right style="thin">
        <color rgb="FFBFBFBF"/>
      </right>
      <top/>
      <bottom style="thin">
        <color rgb="FFBFBFBF"/>
      </bottom>
      <diagonal/>
    </border>
    <border>
      <left style="thin">
        <color auto="1"/>
      </left>
      <right style="thin">
        <color auto="1"/>
      </right>
      <top style="thin">
        <color rgb="FFBFBFBF"/>
      </top>
      <bottom style="hair">
        <color auto="1"/>
      </bottom>
      <diagonal/>
    </border>
    <border>
      <left style="thin">
        <color auto="1"/>
      </left>
      <right style="thin">
        <color auto="1"/>
      </right>
      <top style="hair">
        <color auto="1"/>
      </top>
      <bottom style="thin">
        <color indexed="64"/>
      </bottom>
      <diagonal/>
    </border>
  </borders>
  <cellStyleXfs count="1">
    <xf numFmtId="0" fontId="0" fillId="0" borderId="0"/>
  </cellStyleXfs>
  <cellXfs count="57">
    <xf numFmtId="0" fontId="0" fillId="0" borderId="0" xfId="0"/>
    <xf numFmtId="0" fontId="2" fillId="0" borderId="0" xfId="0" applyFont="1"/>
    <xf numFmtId="0" fontId="9" fillId="0" borderId="0" xfId="0" applyFont="1"/>
    <xf numFmtId="0" fontId="10" fillId="2" borderId="2" xfId="0" applyFont="1" applyFill="1" applyBorder="1" applyAlignment="1">
      <alignment horizontal="center" vertical="center" wrapText="1"/>
    </xf>
    <xf numFmtId="0" fontId="11" fillId="5" borderId="2" xfId="0" applyFont="1" applyFill="1" applyBorder="1" applyAlignment="1">
      <alignment horizontal="left" vertical="center"/>
    </xf>
    <xf numFmtId="0" fontId="12" fillId="5" borderId="2" xfId="0" applyFont="1" applyFill="1" applyBorder="1" applyAlignment="1">
      <alignment horizontal="left" vertical="center"/>
    </xf>
    <xf numFmtId="0" fontId="11" fillId="6" borderId="2" xfId="0" applyFont="1" applyFill="1" applyBorder="1" applyAlignment="1">
      <alignment horizontal="left" vertical="center"/>
    </xf>
    <xf numFmtId="0" fontId="12" fillId="6" borderId="2" xfId="0" applyFont="1" applyFill="1" applyBorder="1" applyAlignment="1">
      <alignment horizontal="left" vertical="center"/>
    </xf>
    <xf numFmtId="0" fontId="13" fillId="0" borderId="0" xfId="0" applyFont="1"/>
    <xf numFmtId="0" fontId="14" fillId="0" borderId="0" xfId="0" applyFont="1"/>
    <xf numFmtId="0" fontId="1" fillId="2" borderId="0" xfId="0" applyFont="1" applyFill="1" applyAlignment="1">
      <alignment horizontal="center" vertical="center"/>
    </xf>
    <xf numFmtId="0" fontId="2" fillId="0" borderId="0" xfId="0" applyFont="1"/>
    <xf numFmtId="164" fontId="2" fillId="0" borderId="0" xfId="0" applyNumberFormat="1" applyFont="1" applyAlignment="1">
      <alignment horizontal="left"/>
    </xf>
    <xf numFmtId="0" fontId="3" fillId="3" borderId="0" xfId="0" applyFont="1" applyFill="1" applyAlignment="1">
      <alignment horizontal="left" vertical="center" indent="1"/>
    </xf>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6" fillId="0" borderId="0" xfId="0" applyFont="1" applyAlignment="1">
      <alignment horizontal="center"/>
    </xf>
    <xf numFmtId="9" fontId="5" fillId="5" borderId="1" xfId="0" applyNumberFormat="1" applyFont="1" applyFill="1" applyBorder="1" applyAlignment="1">
      <alignment horizontal="center" vertical="center"/>
    </xf>
    <xf numFmtId="1" fontId="5" fillId="5" borderId="1" xfId="0" applyNumberFormat="1" applyFont="1" applyFill="1" applyBorder="1" applyAlignment="1">
      <alignment horizontal="center" vertical="center"/>
    </xf>
    <xf numFmtId="0" fontId="7" fillId="0" borderId="0" xfId="0" applyFont="1"/>
    <xf numFmtId="165" fontId="5" fillId="5" borderId="1" xfId="0" applyNumberFormat="1" applyFont="1" applyFill="1" applyBorder="1" applyAlignment="1">
      <alignment horizontal="center" vertical="center"/>
    </xf>
    <xf numFmtId="0" fontId="8" fillId="2" borderId="0" xfId="0" applyFont="1" applyFill="1" applyAlignment="1">
      <alignment horizontal="left" vertical="center" indent="1"/>
    </xf>
    <xf numFmtId="14" fontId="11" fillId="5" borderId="2" xfId="0" applyNumberFormat="1" applyFont="1" applyFill="1" applyBorder="1" applyAlignment="1">
      <alignment horizontal="left" vertical="center"/>
    </xf>
    <xf numFmtId="14" fontId="11" fillId="6" borderId="2" xfId="0" applyNumberFormat="1" applyFont="1" applyFill="1" applyBorder="1" applyAlignment="1">
      <alignment horizontal="left" vertical="center"/>
    </xf>
    <xf numFmtId="0" fontId="9" fillId="0" borderId="0" xfId="0" applyFont="1" applyAlignment="1">
      <alignment horizontal="center"/>
    </xf>
    <xf numFmtId="0" fontId="9" fillId="0" borderId="0" xfId="0" applyFont="1" applyAlignment="1">
      <alignment horizontal="center" wrapText="1"/>
    </xf>
    <xf numFmtId="0" fontId="11" fillId="5" borderId="2" xfId="0" applyFont="1" applyFill="1" applyBorder="1" applyAlignment="1">
      <alignment horizontal="left" vertical="center" wrapText="1"/>
    </xf>
    <xf numFmtId="0" fontId="11" fillId="6" borderId="2" xfId="0" applyFont="1" applyFill="1" applyBorder="1" applyAlignment="1">
      <alignment horizontal="left" vertical="center" wrapText="1"/>
    </xf>
    <xf numFmtId="0" fontId="0" fillId="7" borderId="4" xfId="0" applyFill="1" applyBorder="1" applyAlignment="1">
      <alignment horizontal="center" vertical="center"/>
    </xf>
    <xf numFmtId="0" fontId="0" fillId="7" borderId="3" xfId="0" applyFill="1" applyBorder="1" applyAlignment="1">
      <alignment horizontal="center" vertical="center" wrapText="1"/>
    </xf>
    <xf numFmtId="0" fontId="15" fillId="7" borderId="3" xfId="0" applyFont="1" applyFill="1" applyBorder="1" applyAlignment="1">
      <alignment horizontal="center" vertical="center" wrapText="1"/>
    </xf>
    <xf numFmtId="0" fontId="0" fillId="7" borderId="3" xfId="0" applyFill="1" applyBorder="1" applyAlignment="1">
      <alignment horizontal="center" vertical="center"/>
    </xf>
    <xf numFmtId="0" fontId="0" fillId="7" borderId="4" xfId="0" applyFill="1" applyBorder="1" applyAlignment="1">
      <alignment horizontal="center" vertical="center" wrapText="1"/>
    </xf>
    <xf numFmtId="0" fontId="15" fillId="7" borderId="3" xfId="0" applyFont="1" applyFill="1" applyBorder="1" applyAlignment="1">
      <alignment horizontal="center" vertical="center"/>
    </xf>
    <xf numFmtId="0" fontId="11" fillId="6" borderId="5" xfId="0" applyFont="1" applyFill="1" applyBorder="1" applyAlignment="1">
      <alignment horizontal="left" vertical="center"/>
    </xf>
    <xf numFmtId="0" fontId="0" fillId="7" borderId="6" xfId="0" applyFill="1" applyBorder="1" applyAlignment="1">
      <alignment horizontal="center" vertical="center"/>
    </xf>
    <xf numFmtId="16" fontId="0" fillId="7" borderId="3" xfId="0" applyNumberFormat="1" applyFill="1" applyBorder="1" applyAlignment="1">
      <alignment horizontal="center" vertical="center"/>
    </xf>
    <xf numFmtId="0" fontId="0" fillId="7" borderId="7" xfId="0" applyFill="1" applyBorder="1" applyAlignment="1">
      <alignment horizontal="center" vertical="center"/>
    </xf>
    <xf numFmtId="17" fontId="15" fillId="7" borderId="3" xfId="0" applyNumberFormat="1" applyFont="1" applyFill="1" applyBorder="1" applyAlignment="1">
      <alignment horizontal="center" vertical="center"/>
    </xf>
    <xf numFmtId="0" fontId="11" fillId="8" borderId="2" xfId="0" applyFont="1" applyFill="1" applyBorder="1" applyAlignment="1">
      <alignment horizontal="left" vertical="center"/>
    </xf>
    <xf numFmtId="14" fontId="12" fillId="5" borderId="2" xfId="0" applyNumberFormat="1" applyFont="1" applyFill="1" applyBorder="1" applyAlignment="1">
      <alignment horizontal="left" vertical="center"/>
    </xf>
    <xf numFmtId="0" fontId="12" fillId="5" borderId="2" xfId="0" applyNumberFormat="1" applyFont="1" applyFill="1" applyBorder="1" applyAlignment="1">
      <alignment horizontal="left" vertical="center"/>
    </xf>
    <xf numFmtId="0" fontId="12" fillId="6" borderId="2" xfId="0" applyNumberFormat="1" applyFont="1" applyFill="1" applyBorder="1" applyAlignment="1">
      <alignment horizontal="left" vertical="center"/>
    </xf>
    <xf numFmtId="0" fontId="0" fillId="0" borderId="0" xfId="0" applyAlignment="1">
      <alignment horizontal="center"/>
    </xf>
    <xf numFmtId="0" fontId="0" fillId="0" borderId="0" xfId="0" applyAlignment="1">
      <alignment horizontal="center"/>
    </xf>
    <xf numFmtId="0" fontId="8" fillId="2" borderId="0" xfId="0" applyFont="1" applyFill="1" applyAlignment="1">
      <alignment horizontal="center" vertical="center"/>
    </xf>
    <xf numFmtId="0" fontId="11" fillId="5" borderId="2" xfId="0" applyFont="1" applyFill="1" applyBorder="1" applyAlignment="1">
      <alignment horizontal="center" vertical="center"/>
    </xf>
    <xf numFmtId="14" fontId="11" fillId="5" borderId="2" xfId="0" applyNumberFormat="1" applyFont="1" applyFill="1" applyBorder="1" applyAlignment="1">
      <alignment horizontal="center" vertical="center"/>
    </xf>
    <xf numFmtId="14" fontId="12" fillId="5" borderId="2" xfId="0" applyNumberFormat="1" applyFont="1" applyFill="1" applyBorder="1" applyAlignment="1">
      <alignment horizontal="center" vertical="center"/>
    </xf>
    <xf numFmtId="0" fontId="12" fillId="5" borderId="2" xfId="0" applyFont="1" applyFill="1" applyBorder="1" applyAlignment="1">
      <alignment horizontal="center" vertical="center"/>
    </xf>
    <xf numFmtId="14" fontId="11" fillId="9" borderId="2" xfId="0" applyNumberFormat="1" applyFont="1" applyFill="1" applyBorder="1" applyAlignment="1">
      <alignment horizontal="center" vertical="center"/>
    </xf>
    <xf numFmtId="0" fontId="11" fillId="6" borderId="2" xfId="0" applyFont="1" applyFill="1" applyBorder="1" applyAlignment="1">
      <alignment horizontal="center" vertical="center"/>
    </xf>
    <xf numFmtId="14" fontId="11" fillId="6" borderId="2" xfId="0" applyNumberFormat="1" applyFont="1" applyFill="1" applyBorder="1" applyAlignment="1">
      <alignment horizontal="center" vertical="center"/>
    </xf>
    <xf numFmtId="14" fontId="12" fillId="6" borderId="2" xfId="0" applyNumberFormat="1" applyFont="1" applyFill="1" applyBorder="1" applyAlignment="1">
      <alignment horizontal="center" vertical="center"/>
    </xf>
    <xf numFmtId="0" fontId="12" fillId="6" borderId="2" xfId="0" applyFont="1" applyFill="1" applyBorder="1" applyAlignment="1">
      <alignment horizontal="center" vertical="center"/>
    </xf>
    <xf numFmtId="14" fontId="11" fillId="8" borderId="2" xfId="0" applyNumberFormat="1" applyFont="1" applyFill="1" applyBorder="1" applyAlignment="1">
      <alignment horizontal="center" vertical="center"/>
    </xf>
    <xf numFmtId="0" fontId="11" fillId="5" borderId="2" xfId="0" applyFont="1" applyFill="1" applyBorder="1" applyAlignment="1">
      <alignment horizontal="center" vertical="center" wrapText="1"/>
    </xf>
  </cellXfs>
  <cellStyles count="1">
    <cellStyle name="Normal" xfId="0" builtinId="0"/>
  </cellStyles>
  <dxfs count="28">
    <dxf>
      <fill>
        <patternFill>
          <bgColor rgb="FFC6E0B4"/>
        </patternFill>
      </fill>
    </dxf>
    <dxf>
      <fill>
        <patternFill>
          <bgColor rgb="FFFFE699"/>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FE699"/>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FE699"/>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FE699"/>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C0504D"/>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4F81BD"/>
      <rgbColor rgb="FF33CCCC"/>
      <rgbColor rgb="FF9BBB59"/>
      <rgbColor rgb="FFFFCC00"/>
      <rgbColor rgb="FFC9A227"/>
      <rgbColor rgb="FFFF6600"/>
      <rgbColor rgb="FF595959"/>
      <rgbColor rgb="FF878787"/>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NCR Status (Open vs Closed)</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512E-43A3-A2E1-1AE362E1F36D}"/>
              </c:ext>
            </c:extLst>
          </c:dPt>
          <c:dPt>
            <c:idx val="1"/>
            <c:bubble3D val="0"/>
            <c:spPr>
              <a:solidFill>
                <a:srgbClr val="C0504D"/>
              </a:solidFill>
              <a:ln w="0">
                <a:noFill/>
              </a:ln>
            </c:spPr>
            <c:extLst>
              <c:ext xmlns:c16="http://schemas.microsoft.com/office/drawing/2014/chart" uri="{C3380CC4-5D6E-409C-BE32-E72D297353CC}">
                <c16:uniqueId val="{00000003-512E-43A3-A2E1-1AE362E1F36D}"/>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512E-43A3-A2E1-1AE362E1F36D}"/>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512E-43A3-A2E1-1AE362E1F36D}"/>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0"/>
            <c:showCatName val="1"/>
            <c:showSerName val="1"/>
            <c:showPercent val="1"/>
            <c:showBubbleSize val="1"/>
            <c:separator>
</c:separator>
            <c:showLeaderLines val="1"/>
            <c:extLst>
              <c:ext xmlns:c15="http://schemas.microsoft.com/office/drawing/2012/chart" uri="{CE6537A1-D6FC-4f65-9D91-7224C49458BB}"/>
            </c:extLst>
          </c:dLbls>
          <c:cat>
            <c:strRef>
              <c:f>'Chart Data'!$A$4:$A$5</c:f>
              <c:strCache>
                <c:ptCount val="2"/>
                <c:pt idx="0">
                  <c:v>Open</c:v>
                </c:pt>
                <c:pt idx="1">
                  <c:v>Closed</c:v>
                </c:pt>
              </c:strCache>
            </c:strRef>
          </c:cat>
          <c:val>
            <c:numRef>
              <c:f>'Chart Data'!$B$4:$B$5</c:f>
              <c:numCache>
                <c:formatCode>General</c:formatCode>
                <c:ptCount val="2"/>
                <c:pt idx="0">
                  <c:v>0</c:v>
                </c:pt>
                <c:pt idx="1">
                  <c:v>23</c:v>
                </c:pt>
              </c:numCache>
            </c:numRef>
          </c:val>
          <c:extLst>
            <c:ext xmlns:c16="http://schemas.microsoft.com/office/drawing/2014/chart" uri="{C3380CC4-5D6E-409C-BE32-E72D297353CC}">
              <c16:uniqueId val="{00000004-512E-43A3-A2E1-1AE362E1F36D}"/>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NCR by Severity</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'Chart Data'!$A$8:$A$9</c:f>
              <c:strCache>
                <c:ptCount val="2"/>
                <c:pt idx="0">
                  <c:v>Major</c:v>
                </c:pt>
                <c:pt idx="1">
                  <c:v>Minor</c:v>
                </c:pt>
              </c:strCache>
            </c:strRef>
          </c:cat>
          <c:val>
            <c:numRef>
              <c:f>'Chart Data'!$B$8:$B$9</c:f>
              <c:numCache>
                <c:formatCode>General</c:formatCode>
                <c:ptCount val="2"/>
                <c:pt idx="0">
                  <c:v>25</c:v>
                </c:pt>
                <c:pt idx="1">
                  <c:v>3</c:v>
                </c:pt>
              </c:numCache>
            </c:numRef>
          </c:val>
          <c:extLst>
            <c:ext xmlns:c16="http://schemas.microsoft.com/office/drawing/2014/chart" uri="{C3380CC4-5D6E-409C-BE32-E72D297353CC}">
              <c16:uniqueId val="{00000000-BC03-421C-AE60-C7E2575FC289}"/>
            </c:ext>
          </c:extLst>
        </c:ser>
        <c:dLbls>
          <c:showLegendKey val="0"/>
          <c:showVal val="0"/>
          <c:showCatName val="0"/>
          <c:showSerName val="0"/>
          <c:showPercent val="0"/>
          <c:showBubbleSize val="0"/>
        </c:dLbls>
        <c:gapWidth val="150"/>
        <c:axId val="70867088"/>
        <c:axId val="40916627"/>
      </c:barChart>
      <c:catAx>
        <c:axId val="708670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916627"/>
        <c:crosses val="autoZero"/>
        <c:auto val="1"/>
        <c:lblAlgn val="ctr"/>
        <c:lblOffset val="100"/>
        <c:noMultiLvlLbl val="0"/>
      </c:catAx>
      <c:valAx>
        <c:axId val="4091662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86708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NCR by Source</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'Chart Data'!$A$12:$A$17</c:f>
              <c:strCache>
                <c:ptCount val="6"/>
                <c:pt idx="0">
                  <c:v>Internal Audit</c:v>
                </c:pt>
                <c:pt idx="1">
                  <c:v>Equipment</c:v>
                </c:pt>
                <c:pt idx="2">
                  <c:v>PT/ILC</c:v>
                </c:pt>
                <c:pt idx="3">
                  <c:v>Customer Complaint</c:v>
                </c:pt>
                <c:pt idx="4">
                  <c:v>Staff Observation</c:v>
                </c:pt>
                <c:pt idx="5">
                  <c:v>Management Review</c:v>
                </c:pt>
              </c:strCache>
            </c:strRef>
          </c:cat>
          <c:val>
            <c:numRef>
              <c:f>'Chart Data'!$B$12:$B$17</c:f>
              <c:numCache>
                <c:formatCode>General</c:formatCode>
                <c:ptCount val="6"/>
                <c:pt idx="0">
                  <c:v>2</c:v>
                </c:pt>
                <c:pt idx="1">
                  <c:v>1</c:v>
                </c:pt>
                <c:pt idx="2">
                  <c:v>0</c:v>
                </c:pt>
                <c:pt idx="3">
                  <c:v>0</c:v>
                </c:pt>
                <c:pt idx="4">
                  <c:v>0</c:v>
                </c:pt>
                <c:pt idx="5">
                  <c:v>1</c:v>
                </c:pt>
              </c:numCache>
            </c:numRef>
          </c:val>
          <c:extLst>
            <c:ext xmlns:c16="http://schemas.microsoft.com/office/drawing/2014/chart" uri="{C3380CC4-5D6E-409C-BE32-E72D297353CC}">
              <c16:uniqueId val="{00000000-C516-4E4C-9AC1-6D2DBC8E5781}"/>
            </c:ext>
          </c:extLst>
        </c:ser>
        <c:dLbls>
          <c:showLegendKey val="0"/>
          <c:showVal val="0"/>
          <c:showCatName val="0"/>
          <c:showSerName val="0"/>
          <c:showPercent val="0"/>
          <c:showBubbleSize val="0"/>
        </c:dLbls>
        <c:gapWidth val="150"/>
        <c:axId val="49370277"/>
        <c:axId val="79955998"/>
      </c:barChart>
      <c:catAx>
        <c:axId val="493702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9955998"/>
        <c:crosses val="autoZero"/>
        <c:auto val="1"/>
        <c:lblAlgn val="ctr"/>
        <c:lblOffset val="100"/>
        <c:noMultiLvlLbl val="0"/>
      </c:catAx>
      <c:valAx>
        <c:axId val="799559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37027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CAPA Status</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0712-4A1C-9214-EA2F8079771C}"/>
              </c:ext>
            </c:extLst>
          </c:dPt>
          <c:dPt>
            <c:idx val="1"/>
            <c:bubble3D val="0"/>
            <c:spPr>
              <a:solidFill>
                <a:srgbClr val="C0504D"/>
              </a:solidFill>
              <a:ln w="0">
                <a:noFill/>
              </a:ln>
            </c:spPr>
            <c:extLst>
              <c:ext xmlns:c16="http://schemas.microsoft.com/office/drawing/2014/chart" uri="{C3380CC4-5D6E-409C-BE32-E72D297353CC}">
                <c16:uniqueId val="{00000003-0712-4A1C-9214-EA2F8079771C}"/>
              </c:ext>
            </c:extLst>
          </c:dPt>
          <c:dPt>
            <c:idx val="2"/>
            <c:bubble3D val="0"/>
            <c:spPr>
              <a:solidFill>
                <a:srgbClr val="9BBB59"/>
              </a:solidFill>
              <a:ln w="0">
                <a:noFill/>
              </a:ln>
            </c:spPr>
            <c:extLst>
              <c:ext xmlns:c16="http://schemas.microsoft.com/office/drawing/2014/chart" uri="{C3380CC4-5D6E-409C-BE32-E72D297353CC}">
                <c16:uniqueId val="{00000005-0712-4A1C-9214-EA2F8079771C}"/>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0712-4A1C-9214-EA2F8079771C}"/>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0712-4A1C-9214-EA2F8079771C}"/>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0712-4A1C-9214-EA2F8079771C}"/>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0"/>
            <c:showCatName val="1"/>
            <c:showSerName val="1"/>
            <c:showPercent val="1"/>
            <c:showBubbleSize val="1"/>
            <c:separator>
</c:separator>
            <c:showLeaderLines val="1"/>
            <c:extLst>
              <c:ext xmlns:c15="http://schemas.microsoft.com/office/drawing/2012/chart" uri="{CE6537A1-D6FC-4f65-9D91-7224C49458BB}"/>
            </c:extLst>
          </c:dLbls>
          <c:cat>
            <c:strRef>
              <c:f>'Chart Data'!$A$20:$A$22</c:f>
              <c:strCache>
                <c:ptCount val="3"/>
                <c:pt idx="0">
                  <c:v>Open</c:v>
                </c:pt>
                <c:pt idx="1">
                  <c:v>In Progress</c:v>
                </c:pt>
                <c:pt idx="2">
                  <c:v>Closed</c:v>
                </c:pt>
              </c:strCache>
            </c:strRef>
          </c:cat>
          <c:val>
            <c:numRef>
              <c:f>'Chart Data'!$B$20:$B$22</c:f>
              <c:numCache>
                <c:formatCode>General</c:formatCode>
                <c:ptCount val="3"/>
                <c:pt idx="0">
                  <c:v>2</c:v>
                </c:pt>
                <c:pt idx="1">
                  <c:v>2</c:v>
                </c:pt>
                <c:pt idx="2">
                  <c:v>4</c:v>
                </c:pt>
              </c:numCache>
            </c:numRef>
          </c:val>
          <c:extLst>
            <c:ext xmlns:c16="http://schemas.microsoft.com/office/drawing/2014/chart" uri="{C3380CC4-5D6E-409C-BE32-E72D297353CC}">
              <c16:uniqueId val="{00000006-0712-4A1C-9214-EA2F8079771C}"/>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Internal Audit Findings (YTD)</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'Chart Data'!$A$25:$A$27</c:f>
              <c:strCache>
                <c:ptCount val="3"/>
                <c:pt idx="0">
                  <c:v>Major NC</c:v>
                </c:pt>
                <c:pt idx="1">
                  <c:v>Minor NC</c:v>
                </c:pt>
                <c:pt idx="2">
                  <c:v>OFI</c:v>
                </c:pt>
              </c:strCache>
            </c:strRef>
          </c:cat>
          <c:val>
            <c:numRef>
              <c:f>'Chart Data'!$B$25:$B$27</c:f>
              <c:numCache>
                <c:formatCode>General</c:formatCode>
                <c:ptCount val="3"/>
                <c:pt idx="0">
                  <c:v>0</c:v>
                </c:pt>
                <c:pt idx="1">
                  <c:v>0</c:v>
                </c:pt>
                <c:pt idx="2">
                  <c:v>0</c:v>
                </c:pt>
              </c:numCache>
            </c:numRef>
          </c:val>
          <c:extLst>
            <c:ext xmlns:c16="http://schemas.microsoft.com/office/drawing/2014/chart" uri="{C3380CC4-5D6E-409C-BE32-E72D297353CC}">
              <c16:uniqueId val="{00000000-6DE4-4BC9-973A-5A348E56325D}"/>
            </c:ext>
          </c:extLst>
        </c:ser>
        <c:dLbls>
          <c:showLegendKey val="0"/>
          <c:showVal val="0"/>
          <c:showCatName val="0"/>
          <c:showSerName val="0"/>
          <c:showPercent val="0"/>
          <c:showBubbleSize val="0"/>
        </c:dLbls>
        <c:gapWidth val="150"/>
        <c:axId val="30549613"/>
        <c:axId val="6533949"/>
      </c:barChart>
      <c:catAx>
        <c:axId val="3054961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33949"/>
        <c:crosses val="autoZero"/>
        <c:auto val="1"/>
        <c:lblAlgn val="ctr"/>
        <c:lblOffset val="100"/>
        <c:noMultiLvlLbl val="0"/>
      </c:catAx>
      <c:valAx>
        <c:axId val="653394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54961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Equipment Calibration Status</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'Chart Data'!$A$30:$A$32</c:f>
              <c:strCache>
                <c:ptCount val="3"/>
                <c:pt idx="0">
                  <c:v>Valid</c:v>
                </c:pt>
                <c:pt idx="1">
                  <c:v>Due Soon</c:v>
                </c:pt>
                <c:pt idx="2">
                  <c:v>Overdue</c:v>
                </c:pt>
              </c:strCache>
            </c:strRef>
          </c:cat>
          <c:val>
            <c:numRef>
              <c:f>'Chart Data'!$B$30:$B$32</c:f>
              <c:numCache>
                <c:formatCode>General</c:formatCode>
                <c:ptCount val="3"/>
                <c:pt idx="0">
                  <c:v>11</c:v>
                </c:pt>
                <c:pt idx="1">
                  <c:v>0</c:v>
                </c:pt>
                <c:pt idx="2">
                  <c:v>0</c:v>
                </c:pt>
              </c:numCache>
            </c:numRef>
          </c:val>
          <c:extLst>
            <c:ext xmlns:c16="http://schemas.microsoft.com/office/drawing/2014/chart" uri="{C3380CC4-5D6E-409C-BE32-E72D297353CC}">
              <c16:uniqueId val="{00000000-3BFB-4578-9881-C75571816AC6}"/>
            </c:ext>
          </c:extLst>
        </c:ser>
        <c:dLbls>
          <c:showLegendKey val="0"/>
          <c:showVal val="0"/>
          <c:showCatName val="0"/>
          <c:showSerName val="0"/>
          <c:showPercent val="0"/>
          <c:showBubbleSize val="0"/>
        </c:dLbls>
        <c:gapWidth val="150"/>
        <c:axId val="78869844"/>
        <c:axId val="2272074"/>
      </c:barChart>
      <c:catAx>
        <c:axId val="788698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72074"/>
        <c:crosses val="autoZero"/>
        <c:auto val="1"/>
        <c:lblAlgn val="ctr"/>
        <c:lblOffset val="100"/>
        <c:noMultiLvlLbl val="0"/>
      </c:catAx>
      <c:valAx>
        <c:axId val="227207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86984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Staff Competency Status</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'Chart Data'!$A$35:$A$37</c:f>
              <c:strCache>
                <c:ptCount val="3"/>
                <c:pt idx="0">
                  <c:v>Competent</c:v>
                </c:pt>
                <c:pt idx="1">
                  <c:v>Due Soon</c:v>
                </c:pt>
                <c:pt idx="2">
                  <c:v>Overdue</c:v>
                </c:pt>
              </c:strCache>
            </c:strRef>
          </c:cat>
          <c:val>
            <c:numRef>
              <c:f>'Chart Data'!$B$35:$B$37</c:f>
              <c:numCache>
                <c:formatCode>General</c:formatCode>
                <c:ptCount val="3"/>
                <c:pt idx="0">
                  <c:v>20</c:v>
                </c:pt>
                <c:pt idx="1">
                  <c:v>1</c:v>
                </c:pt>
                <c:pt idx="2">
                  <c:v>9</c:v>
                </c:pt>
              </c:numCache>
            </c:numRef>
          </c:val>
          <c:extLst>
            <c:ext xmlns:c16="http://schemas.microsoft.com/office/drawing/2014/chart" uri="{C3380CC4-5D6E-409C-BE32-E72D297353CC}">
              <c16:uniqueId val="{00000000-ED66-4B36-BB3C-DD7813F2404C}"/>
            </c:ext>
          </c:extLst>
        </c:ser>
        <c:dLbls>
          <c:showLegendKey val="0"/>
          <c:showVal val="0"/>
          <c:showCatName val="0"/>
          <c:showSerName val="0"/>
          <c:showPercent val="0"/>
          <c:showBubbleSize val="0"/>
        </c:dLbls>
        <c:gapWidth val="150"/>
        <c:axId val="51112808"/>
        <c:axId val="4511567"/>
      </c:barChart>
      <c:catAx>
        <c:axId val="5111280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511567"/>
        <c:crosses val="autoZero"/>
        <c:auto val="1"/>
        <c:lblAlgn val="ctr"/>
        <c:lblOffset val="100"/>
        <c:noMultiLvlLbl val="0"/>
      </c:catAx>
      <c:valAx>
        <c:axId val="451156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111280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PT/ILC Performance</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00FA-4AFD-B731-6AEA456DF4AD}"/>
              </c:ext>
            </c:extLst>
          </c:dPt>
          <c:dPt>
            <c:idx val="1"/>
            <c:bubble3D val="0"/>
            <c:spPr>
              <a:solidFill>
                <a:srgbClr val="C0504D"/>
              </a:solidFill>
              <a:ln w="0">
                <a:noFill/>
              </a:ln>
            </c:spPr>
            <c:extLst>
              <c:ext xmlns:c16="http://schemas.microsoft.com/office/drawing/2014/chart" uri="{C3380CC4-5D6E-409C-BE32-E72D297353CC}">
                <c16:uniqueId val="{00000003-00FA-4AFD-B731-6AEA456DF4AD}"/>
              </c:ext>
            </c:extLst>
          </c:dPt>
          <c:dPt>
            <c:idx val="2"/>
            <c:bubble3D val="0"/>
            <c:spPr>
              <a:solidFill>
                <a:srgbClr val="9BBB59"/>
              </a:solidFill>
              <a:ln w="0">
                <a:noFill/>
              </a:ln>
            </c:spPr>
            <c:extLst>
              <c:ext xmlns:c16="http://schemas.microsoft.com/office/drawing/2014/chart" uri="{C3380CC4-5D6E-409C-BE32-E72D297353CC}">
                <c16:uniqueId val="{00000005-00FA-4AFD-B731-6AEA456DF4AD}"/>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00FA-4AFD-B731-6AEA456DF4AD}"/>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00FA-4AFD-B731-6AEA456DF4AD}"/>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00FA-4AFD-B731-6AEA456DF4AD}"/>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0"/>
            <c:showCatName val="1"/>
            <c:showSerName val="1"/>
            <c:showPercent val="1"/>
            <c:showBubbleSize val="1"/>
            <c:separator>
</c:separator>
            <c:showLeaderLines val="1"/>
            <c:extLst>
              <c:ext xmlns:c15="http://schemas.microsoft.com/office/drawing/2012/chart" uri="{CE6537A1-D6FC-4f65-9D91-7224C49458BB}"/>
            </c:extLst>
          </c:dLbls>
          <c:cat>
            <c:strRef>
              <c:f>'Chart Data'!$A$40:$A$42</c:f>
              <c:strCache>
                <c:ptCount val="3"/>
                <c:pt idx="0">
                  <c:v>Satisfactory</c:v>
                </c:pt>
                <c:pt idx="1">
                  <c:v>Questionable</c:v>
                </c:pt>
                <c:pt idx="2">
                  <c:v>Unsatisfactory</c:v>
                </c:pt>
              </c:strCache>
            </c:strRef>
          </c:cat>
          <c:val>
            <c:numRef>
              <c:f>'Chart Data'!$B$40:$B$42</c:f>
              <c:numCache>
                <c:formatCode>General</c:formatCode>
                <c:ptCount val="3"/>
                <c:pt idx="0">
                  <c:v>0</c:v>
                </c:pt>
                <c:pt idx="1">
                  <c:v>0</c:v>
                </c:pt>
                <c:pt idx="2">
                  <c:v>0</c:v>
                </c:pt>
              </c:numCache>
            </c:numRef>
          </c:val>
          <c:extLst>
            <c:ext xmlns:c16="http://schemas.microsoft.com/office/drawing/2014/chart" uri="{C3380CC4-5D6E-409C-BE32-E72D297353CC}">
              <c16:uniqueId val="{00000006-00FA-4AFD-B731-6AEA456DF4AD}"/>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4</xdr:col>
      <xdr:colOff>242794</xdr:colOff>
      <xdr:row>34</xdr:row>
      <xdr:rowOff>149412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321734</xdr:colOff>
      <xdr:row>20</xdr:row>
      <xdr:rowOff>161115</xdr:rowOff>
    </xdr:from>
    <xdr:to>
      <xdr:col>8</xdr:col>
      <xdr:colOff>635000</xdr:colOff>
      <xdr:row>34</xdr:row>
      <xdr:rowOff>121396</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726142</xdr:colOff>
      <xdr:row>21</xdr:row>
      <xdr:rowOff>8967</xdr:rowOff>
    </xdr:from>
    <xdr:to>
      <xdr:col>13</xdr:col>
      <xdr:colOff>401544</xdr:colOff>
      <xdr:row>34</xdr:row>
      <xdr:rowOff>121398</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475875</xdr:colOff>
      <xdr:row>21</xdr:row>
      <xdr:rowOff>23157</xdr:rowOff>
    </xdr:from>
    <xdr:to>
      <xdr:col>20</xdr:col>
      <xdr:colOff>429557</xdr:colOff>
      <xdr:row>34</xdr:row>
      <xdr:rowOff>186763</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35</xdr:row>
      <xdr:rowOff>18675</xdr:rowOff>
    </xdr:from>
    <xdr:to>
      <xdr:col>4</xdr:col>
      <xdr:colOff>205441</xdr:colOff>
      <xdr:row>49</xdr:row>
      <xdr:rowOff>149410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316007</xdr:colOff>
      <xdr:row>35</xdr:row>
      <xdr:rowOff>102346</xdr:rowOff>
    </xdr:from>
    <xdr:to>
      <xdr:col>8</xdr:col>
      <xdr:colOff>578970</xdr:colOff>
      <xdr:row>49</xdr:row>
      <xdr:rowOff>112058</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716431</xdr:colOff>
      <xdr:row>35</xdr:row>
      <xdr:rowOff>74705</xdr:rowOff>
    </xdr:from>
    <xdr:to>
      <xdr:col>13</xdr:col>
      <xdr:colOff>410882</xdr:colOff>
      <xdr:row>49</xdr:row>
      <xdr:rowOff>130735</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493806</xdr:colOff>
      <xdr:row>35</xdr:row>
      <xdr:rowOff>33618</xdr:rowOff>
    </xdr:from>
    <xdr:to>
      <xdr:col>20</xdr:col>
      <xdr:colOff>354853</xdr:colOff>
      <xdr:row>49</xdr:row>
      <xdr:rowOff>168088</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L53"/>
  <sheetViews>
    <sheetView showGridLines="0" view="pageBreakPreview" topLeftCell="A27" zoomScale="68" zoomScaleNormal="68" zoomScaleSheetLayoutView="68" workbookViewId="0">
      <selection activeCell="S54" sqref="S54"/>
    </sheetView>
  </sheetViews>
  <sheetFormatPr defaultColWidth="8.6328125" defaultRowHeight="14.5" x14ac:dyDescent="0.35"/>
  <cols>
    <col min="1" max="12" width="14" customWidth="1"/>
  </cols>
  <sheetData>
    <row r="1" spans="1:12" ht="21.75" customHeight="1" x14ac:dyDescent="0.35">
      <c r="A1" s="10" t="s">
        <v>286</v>
      </c>
      <c r="B1" s="10"/>
      <c r="C1" s="10"/>
      <c r="D1" s="10"/>
      <c r="E1" s="10"/>
      <c r="F1" s="10"/>
      <c r="G1" s="10"/>
      <c r="H1" s="10"/>
      <c r="I1" s="10"/>
      <c r="J1" s="10"/>
      <c r="K1" s="10"/>
      <c r="L1" s="10"/>
    </row>
    <row r="2" spans="1:12" ht="21.75" customHeight="1" x14ac:dyDescent="0.35">
      <c r="A2" s="10"/>
      <c r="B2" s="10"/>
      <c r="C2" s="10"/>
      <c r="D2" s="10"/>
      <c r="E2" s="10"/>
      <c r="F2" s="10"/>
      <c r="G2" s="10"/>
      <c r="H2" s="10"/>
      <c r="I2" s="10"/>
      <c r="J2" s="10"/>
      <c r="K2" s="10"/>
      <c r="L2" s="10"/>
    </row>
    <row r="3" spans="1:12" ht="18" customHeight="1" x14ac:dyDescent="0.35">
      <c r="A3" s="11" t="s">
        <v>0</v>
      </c>
      <c r="B3" s="11"/>
      <c r="C3" s="11"/>
      <c r="D3" s="11"/>
      <c r="E3" s="11"/>
      <c r="F3" s="11"/>
      <c r="G3" s="12">
        <f ca="1">TODAY()</f>
        <v>46302</v>
      </c>
      <c r="H3" s="12"/>
      <c r="I3" s="12"/>
      <c r="J3" s="12"/>
      <c r="K3" s="12"/>
      <c r="L3" s="12"/>
    </row>
    <row r="5" spans="1:12" ht="19.5" customHeight="1" x14ac:dyDescent="0.35">
      <c r="A5" s="13" t="s">
        <v>1</v>
      </c>
      <c r="B5" s="13"/>
      <c r="C5" s="13"/>
      <c r="D5" s="13"/>
      <c r="E5" s="13"/>
      <c r="F5" s="13"/>
      <c r="G5" s="13"/>
      <c r="H5" s="13"/>
      <c r="I5" s="13"/>
      <c r="J5" s="13"/>
      <c r="K5" s="13"/>
      <c r="L5" s="13"/>
    </row>
    <row r="7" spans="1:12" ht="25.5" customHeight="1" x14ac:dyDescent="0.35">
      <c r="A7" s="14" t="s">
        <v>2</v>
      </c>
      <c r="B7" s="14"/>
      <c r="C7" s="14" t="s">
        <v>3</v>
      </c>
      <c r="D7" s="14"/>
      <c r="E7" s="14" t="s">
        <v>4</v>
      </c>
      <c r="F7" s="14"/>
      <c r="G7" s="14" t="s">
        <v>5</v>
      </c>
      <c r="H7" s="14"/>
      <c r="I7" s="14" t="s">
        <v>6</v>
      </c>
      <c r="J7" s="14"/>
      <c r="K7" s="14" t="s">
        <v>7</v>
      </c>
      <c r="L7" s="14"/>
    </row>
    <row r="8" spans="1:12" ht="19.5" customHeight="1" x14ac:dyDescent="0.35">
      <c r="A8" s="15">
        <f>COUNTA('NCR Register'!A6:A54)</f>
        <v>29</v>
      </c>
      <c r="B8" s="15"/>
      <c r="C8" s="15">
        <f>COUNTIFS('NCR Register'!K6:K54,"Open")</f>
        <v>0</v>
      </c>
      <c r="D8" s="15"/>
      <c r="E8" s="17">
        <f>IFERROR(COUNTIFS('NCR Register'!K6:K54,"Closed")/COUNTA('NCR Register'!A6:A54),0)</f>
        <v>0.7931034482758621</v>
      </c>
      <c r="F8" s="17"/>
      <c r="G8" s="18">
        <f>IFERROR(AVERAGEIFS('NCR Register'!M6:M54,'NCR Register'!K6:K54,"Closed"),0)</f>
        <v>0</v>
      </c>
      <c r="H8" s="18"/>
      <c r="I8" s="15">
        <f>COUNTIFS('CAPA Tracker'!J6:J55,"Open")+COUNTIFS('CAPA Tracker'!J6:J55,"In Progress")</f>
        <v>4</v>
      </c>
      <c r="J8" s="15"/>
      <c r="K8" s="15">
        <f ca="1">COUNTIFS('CAPA Tracker'!J6:J55,"&lt;&gt;Closed",'CAPA Tracker'!J6:J55,"&lt;&gt;",'CAPA Tracker'!I6:I55,"&lt;"&amp;TODAY())</f>
        <v>0</v>
      </c>
      <c r="L8" s="15"/>
    </row>
    <row r="9" spans="1:12" ht="19.5" customHeight="1" x14ac:dyDescent="0.35">
      <c r="A9" s="15"/>
      <c r="B9" s="15"/>
      <c r="C9" s="15"/>
      <c r="D9" s="15"/>
      <c r="E9" s="17"/>
      <c r="F9" s="17"/>
      <c r="G9" s="18"/>
      <c r="H9" s="18"/>
      <c r="I9" s="15"/>
      <c r="J9" s="15"/>
      <c r="K9" s="15"/>
      <c r="L9" s="15"/>
    </row>
    <row r="10" spans="1:12" x14ac:dyDescent="0.35">
      <c r="A10" s="16" t="s">
        <v>8</v>
      </c>
      <c r="B10" s="16"/>
      <c r="C10" s="16" t="s">
        <v>9</v>
      </c>
      <c r="D10" s="16"/>
      <c r="E10" s="16" t="s">
        <v>10</v>
      </c>
      <c r="F10" s="16"/>
      <c r="G10" s="16" t="s">
        <v>11</v>
      </c>
      <c r="H10" s="16"/>
      <c r="I10" s="16" t="s">
        <v>8</v>
      </c>
      <c r="J10" s="16"/>
      <c r="K10" s="16" t="s">
        <v>9</v>
      </c>
      <c r="L10" s="16"/>
    </row>
    <row r="11" spans="1:12" ht="25.5" customHeight="1" x14ac:dyDescent="0.35">
      <c r="A11" s="14" t="s">
        <v>12</v>
      </c>
      <c r="B11" s="14"/>
      <c r="C11" s="14" t="s">
        <v>13</v>
      </c>
      <c r="D11" s="14"/>
      <c r="E11" s="14" t="s">
        <v>14</v>
      </c>
      <c r="F11" s="14"/>
      <c r="G11" s="14" t="s">
        <v>15</v>
      </c>
      <c r="H11" s="14"/>
      <c r="I11" s="14" t="s">
        <v>16</v>
      </c>
      <c r="J11" s="14"/>
      <c r="K11" s="14" t="s">
        <v>17</v>
      </c>
      <c r="L11" s="14"/>
    </row>
    <row r="12" spans="1:12" ht="19.5" customHeight="1" x14ac:dyDescent="0.35">
      <c r="A12" s="17">
        <f>IFERROR(COUNTIFS('CAPA Tracker'!M6:M55,"Y")/COUNTIFS('CAPA Tracker'!J6:J55,"Closed"),0)</f>
        <v>1</v>
      </c>
      <c r="B12" s="17"/>
      <c r="C12" s="15" t="str">
        <f>COUNTIFS('Internal Audits'!I6:I55,"Completed")&amp;" / "&amp;COUNTA('Internal Audits'!A6:A55)</f>
        <v>7 / 7</v>
      </c>
      <c r="D12" s="15"/>
      <c r="E12" s="15">
        <f>COUNTIFS('Internal Audits'!K6:K55,"N")</f>
        <v>0</v>
      </c>
      <c r="F12" s="15"/>
      <c r="G12" s="17">
        <f>IFERROR(COUNTIFS('PT-ILC'!F6:F55,"Satisfactory")/COUNTIFS('PT-ILC'!F6:F55,"&lt;&gt;Scheduled",'PT-ILC'!F6:F55,"&lt;&gt;"),0)</f>
        <v>0</v>
      </c>
      <c r="H12" s="17"/>
      <c r="I12" s="15">
        <f ca="1">COUNTIFS(Calibration!I6:I53,"Overdue")</f>
        <v>0</v>
      </c>
      <c r="J12" s="15"/>
      <c r="K12" s="15">
        <f ca="1">COUNTIFS('Staff Competency'!G6:G80,"Overdue")</f>
        <v>9</v>
      </c>
      <c r="L12" s="15"/>
    </row>
    <row r="13" spans="1:12" ht="19.5" customHeight="1" x14ac:dyDescent="0.35">
      <c r="A13" s="17"/>
      <c r="B13" s="17"/>
      <c r="C13" s="15"/>
      <c r="D13" s="15"/>
      <c r="E13" s="15"/>
      <c r="F13" s="15"/>
      <c r="G13" s="17"/>
      <c r="H13" s="17"/>
      <c r="I13" s="15"/>
      <c r="J13" s="15"/>
      <c r="K13" s="15"/>
      <c r="L13" s="15"/>
    </row>
    <row r="14" spans="1:12" x14ac:dyDescent="0.35">
      <c r="A14" s="16" t="s">
        <v>10</v>
      </c>
      <c r="B14" s="16"/>
      <c r="C14" s="16" t="s">
        <v>18</v>
      </c>
      <c r="D14" s="16"/>
      <c r="E14" s="16" t="s">
        <v>9</v>
      </c>
      <c r="F14" s="16"/>
      <c r="G14" s="16" t="s">
        <v>19</v>
      </c>
      <c r="H14" s="16"/>
      <c r="I14" s="16" t="s">
        <v>20</v>
      </c>
      <c r="J14" s="16"/>
      <c r="K14" s="16" t="s">
        <v>21</v>
      </c>
      <c r="L14" s="16"/>
    </row>
    <row r="15" spans="1:12" ht="25.5" customHeight="1" x14ac:dyDescent="0.35">
      <c r="A15" s="14" t="s">
        <v>22</v>
      </c>
      <c r="B15" s="14"/>
      <c r="C15" s="14" t="s">
        <v>23</v>
      </c>
      <c r="D15" s="14"/>
      <c r="E15" s="14" t="s">
        <v>24</v>
      </c>
      <c r="F15" s="14"/>
      <c r="G15" s="14" t="s">
        <v>25</v>
      </c>
      <c r="H15" s="14"/>
      <c r="I15" s="14" t="s">
        <v>26</v>
      </c>
      <c r="J15" s="14"/>
      <c r="K15" s="14" t="s">
        <v>27</v>
      </c>
      <c r="L15" s="14"/>
    </row>
    <row r="16" spans="1:12" ht="19.5" customHeight="1" x14ac:dyDescent="0.35">
      <c r="A16" s="15">
        <f>COUNTIFS('Customer Feedback'!H6:H55,"Open")</f>
        <v>1</v>
      </c>
      <c r="B16" s="15"/>
      <c r="C16" s="18">
        <f>IFERROR(AVERAGEIFS('Customer Feedback'!J6:J55,'Customer Feedback'!H6:H55,"Closed"),0)</f>
        <v>12</v>
      </c>
      <c r="D16" s="18"/>
      <c r="E16" s="15">
        <f ca="1">COUNTIFS('Document Control'!H6:H55,"Overdue")</f>
        <v>7</v>
      </c>
      <c r="F16" s="15"/>
      <c r="G16" s="15">
        <f ca="1">COUNTIFS('Document Control'!H6:H55,"Due Soon")</f>
        <v>0</v>
      </c>
      <c r="H16" s="15"/>
      <c r="I16" s="15">
        <f>COUNTIFS('Management Review'!G6:G55,"Open")</f>
        <v>2</v>
      </c>
      <c r="J16" s="15"/>
      <c r="K16" s="20">
        <f ca="1">ROUND(100*AVERAGE(IFERROR(COUNTIFS('NCR Register'!K6:K54,"Closed")/COUNTA('NCR Register'!A6:A54),1),IF(COUNTIFS('CAPA Tracker'!J6:J55,"&lt;&gt;Closed",'CAPA Tracker'!J6:J55,"&lt;&gt;",'CAPA Tracker'!I6:I55,"&lt;"&amp;TODAY())=0,1,0),IF(COUNTIFS(Calibration!I6:I53,"Overdue")=0,1,0),IF(COUNTIFS('Staff Competency'!G6:G80,"Overdue")=0,1,0),IFERROR(COUNTIFS('PT-ILC'!F6:F55,"Satisfactory")/COUNTIFS('PT-ILC'!F6:F55,"&lt;&gt;Scheduled",'PT-ILC'!F6:F55,"&lt;&gt;"),1),IF(COUNTIFS('Document Control'!H6:H55,"Overdue")=0,1,0)),0)</f>
        <v>63</v>
      </c>
      <c r="L16" s="20"/>
    </row>
    <row r="17" spans="1:12" ht="19.5" customHeight="1" x14ac:dyDescent="0.35">
      <c r="A17" s="15"/>
      <c r="B17" s="15"/>
      <c r="C17" s="18"/>
      <c r="D17" s="18"/>
      <c r="E17" s="15"/>
      <c r="F17" s="15"/>
      <c r="G17" s="15"/>
      <c r="H17" s="15"/>
      <c r="I17" s="15"/>
      <c r="J17" s="15"/>
      <c r="K17" s="20"/>
      <c r="L17" s="20"/>
    </row>
    <row r="18" spans="1:12" x14ac:dyDescent="0.35">
      <c r="A18" s="16" t="s">
        <v>28</v>
      </c>
      <c r="B18" s="16"/>
      <c r="C18" s="16" t="s">
        <v>29</v>
      </c>
      <c r="D18" s="16"/>
      <c r="E18" s="16" t="s">
        <v>30</v>
      </c>
      <c r="F18" s="16"/>
      <c r="I18" s="16" t="s">
        <v>31</v>
      </c>
      <c r="J18" s="16"/>
      <c r="K18" s="16" t="s">
        <v>32</v>
      </c>
      <c r="L18" s="16"/>
    </row>
    <row r="20" spans="1:12" ht="19.5" customHeight="1" x14ac:dyDescent="0.35">
      <c r="A20" s="13" t="s">
        <v>33</v>
      </c>
      <c r="B20" s="13"/>
      <c r="C20" s="13"/>
      <c r="D20" s="13"/>
      <c r="E20" s="13"/>
      <c r="F20" s="13"/>
      <c r="G20" s="13"/>
      <c r="H20" s="13"/>
      <c r="I20" s="13"/>
      <c r="J20" s="13"/>
      <c r="K20" s="13"/>
      <c r="L20" s="13"/>
    </row>
    <row r="53" spans="1:12" ht="24" customHeight="1" x14ac:dyDescent="0.35">
      <c r="A53" s="19" t="s">
        <v>34</v>
      </c>
      <c r="B53" s="19"/>
      <c r="C53" s="19"/>
      <c r="D53" s="19"/>
      <c r="E53" s="19"/>
      <c r="F53" s="19"/>
      <c r="G53" s="19"/>
      <c r="H53" s="19"/>
      <c r="I53" s="19"/>
      <c r="J53" s="19"/>
      <c r="K53" s="19"/>
      <c r="L53" s="19"/>
    </row>
  </sheetData>
  <mergeCells count="59">
    <mergeCell ref="A20:L20"/>
    <mergeCell ref="A53:L53"/>
    <mergeCell ref="K16:L17"/>
    <mergeCell ref="A18:B18"/>
    <mergeCell ref="C18:D18"/>
    <mergeCell ref="E18:F18"/>
    <mergeCell ref="I18:J18"/>
    <mergeCell ref="K18:L18"/>
    <mergeCell ref="A16:B17"/>
    <mergeCell ref="C16:D17"/>
    <mergeCell ref="E16:F17"/>
    <mergeCell ref="G16:H17"/>
    <mergeCell ref="I16:J17"/>
    <mergeCell ref="K14:L14"/>
    <mergeCell ref="A15:B15"/>
    <mergeCell ref="C15:D15"/>
    <mergeCell ref="E15:F15"/>
    <mergeCell ref="G15:H15"/>
    <mergeCell ref="I15:J15"/>
    <mergeCell ref="K15:L15"/>
    <mergeCell ref="A14:B14"/>
    <mergeCell ref="C14:D14"/>
    <mergeCell ref="E14:F14"/>
    <mergeCell ref="G14:H14"/>
    <mergeCell ref="I14:J14"/>
    <mergeCell ref="K11:L11"/>
    <mergeCell ref="A12:B13"/>
    <mergeCell ref="C12:D13"/>
    <mergeCell ref="E12:F13"/>
    <mergeCell ref="G12:H13"/>
    <mergeCell ref="I12:J13"/>
    <mergeCell ref="K12:L13"/>
    <mergeCell ref="A11:B11"/>
    <mergeCell ref="C11:D11"/>
    <mergeCell ref="E11:F11"/>
    <mergeCell ref="G11:H11"/>
    <mergeCell ref="I11:J11"/>
    <mergeCell ref="K8:L9"/>
    <mergeCell ref="A10:B10"/>
    <mergeCell ref="C10:D10"/>
    <mergeCell ref="E10:F10"/>
    <mergeCell ref="G10:H10"/>
    <mergeCell ref="I10:J10"/>
    <mergeCell ref="K10:L10"/>
    <mergeCell ref="A8:B9"/>
    <mergeCell ref="C8:D9"/>
    <mergeCell ref="E8:F9"/>
    <mergeCell ref="G8:H9"/>
    <mergeCell ref="I8:J9"/>
    <mergeCell ref="A1:L2"/>
    <mergeCell ref="A3:F3"/>
    <mergeCell ref="G3:L3"/>
    <mergeCell ref="A5:L5"/>
    <mergeCell ref="A7:B7"/>
    <mergeCell ref="C7:D7"/>
    <mergeCell ref="E7:F7"/>
    <mergeCell ref="G7:H7"/>
    <mergeCell ref="I7:J7"/>
    <mergeCell ref="K7:L7"/>
  </mergeCells>
  <conditionalFormatting sqref="A12">
    <cfRule type="cellIs" dxfId="27" priority="21" operator="lessThan">
      <formula>0.8</formula>
    </cfRule>
    <cfRule type="cellIs" dxfId="26" priority="22" operator="greaterThanOrEqual">
      <formula>0.8</formula>
    </cfRule>
    <cfRule type="cellIs" dxfId="25" priority="23" operator="equal">
      <formula>1</formula>
    </cfRule>
  </conditionalFormatting>
  <conditionalFormatting sqref="A16">
    <cfRule type="cellIs" dxfId="24" priority="12" operator="greaterThan">
      <formula>0</formula>
    </cfRule>
    <cfRule type="cellIs" dxfId="23" priority="13" operator="equal">
      <formula>0</formula>
    </cfRule>
  </conditionalFormatting>
  <conditionalFormatting sqref="C8">
    <cfRule type="cellIs" dxfId="22" priority="2" operator="greaterThan">
      <formula>0</formula>
    </cfRule>
    <cfRule type="cellIs" dxfId="21" priority="3" operator="equal">
      <formula>0</formula>
    </cfRule>
  </conditionalFormatting>
  <conditionalFormatting sqref="E8">
    <cfRule type="cellIs" dxfId="20" priority="18" operator="lessThan">
      <formula>0.8</formula>
    </cfRule>
    <cfRule type="cellIs" dxfId="19" priority="19" operator="greaterThanOrEqual">
      <formula>0.8</formula>
    </cfRule>
    <cfRule type="cellIs" dxfId="18" priority="20" operator="equal">
      <formula>1</formula>
    </cfRule>
  </conditionalFormatting>
  <conditionalFormatting sqref="E12">
    <cfRule type="cellIs" dxfId="17" priority="6" operator="greaterThan">
      <formula>0</formula>
    </cfRule>
    <cfRule type="cellIs" dxfId="16" priority="7" operator="equal">
      <formula>0</formula>
    </cfRule>
  </conditionalFormatting>
  <conditionalFormatting sqref="E16">
    <cfRule type="cellIs" dxfId="15" priority="14" operator="greaterThan">
      <formula>0</formula>
    </cfRule>
    <cfRule type="cellIs" dxfId="14" priority="15" operator="equal">
      <formula>0</formula>
    </cfRule>
  </conditionalFormatting>
  <conditionalFormatting sqref="G12">
    <cfRule type="cellIs" dxfId="13" priority="24" operator="lessThan">
      <formula>0.8</formula>
    </cfRule>
    <cfRule type="cellIs" dxfId="12" priority="25" operator="greaterThanOrEqual">
      <formula>0.8</formula>
    </cfRule>
    <cfRule type="cellIs" dxfId="11" priority="26" operator="equal">
      <formula>1</formula>
    </cfRule>
  </conditionalFormatting>
  <conditionalFormatting sqref="I12">
    <cfRule type="cellIs" dxfId="10" priority="8" operator="greaterThan">
      <formula>0</formula>
    </cfRule>
    <cfRule type="cellIs" dxfId="9" priority="9" operator="equal">
      <formula>0</formula>
    </cfRule>
  </conditionalFormatting>
  <conditionalFormatting sqref="I16">
    <cfRule type="cellIs" dxfId="8" priority="16" operator="greaterThan">
      <formula>0</formula>
    </cfRule>
    <cfRule type="cellIs" dxfId="7" priority="17" operator="equal">
      <formula>0</formula>
    </cfRule>
  </conditionalFormatting>
  <conditionalFormatting sqref="K8">
    <cfRule type="cellIs" dxfId="6" priority="4" operator="greaterThan">
      <formula>0</formula>
    </cfRule>
    <cfRule type="cellIs" dxfId="5" priority="5" operator="equal">
      <formula>0</formula>
    </cfRule>
  </conditionalFormatting>
  <conditionalFormatting sqref="K12">
    <cfRule type="cellIs" dxfId="4" priority="10" operator="greaterThan">
      <formula>0</formula>
    </cfRule>
    <cfRule type="cellIs" dxfId="3" priority="11" operator="equal">
      <formula>0</formula>
    </cfRule>
  </conditionalFormatting>
  <conditionalFormatting sqref="K16">
    <cfRule type="cellIs" dxfId="2" priority="27" operator="lessThan">
      <formula>70</formula>
    </cfRule>
    <cfRule type="cellIs" dxfId="1" priority="28" operator="between">
      <formula>70</formula>
      <formula>89</formula>
    </cfRule>
    <cfRule type="cellIs" dxfId="0" priority="29" operator="greaterThanOrEqual">
      <formula>90</formula>
    </cfRule>
  </conditionalFormatting>
  <pageMargins left="0.75" right="0.75" top="1" bottom="1" header="0.511811023622047" footer="0.511811023622047"/>
  <pageSetup paperSize="9" scale="52" fitToHeight="0"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4"/>
  <sheetViews>
    <sheetView showGridLines="0" topLeftCell="G1" zoomScale="90" zoomScaleNormal="90" workbookViewId="0">
      <pane ySplit="5" topLeftCell="A6" activePane="bottomLeft" state="frozen"/>
      <selection pane="bottomLeft" activeCell="N3" sqref="N3"/>
    </sheetView>
  </sheetViews>
  <sheetFormatPr defaultColWidth="8.6328125" defaultRowHeight="14.5" x14ac:dyDescent="0.35"/>
  <cols>
    <col min="1" max="1" width="49.54296875" customWidth="1"/>
    <col min="2" max="2" width="11.54296875" bestFit="1" customWidth="1"/>
    <col min="3" max="3" width="16.1796875" bestFit="1" customWidth="1"/>
    <col min="4" max="4" width="32.36328125" bestFit="1" customWidth="1"/>
    <col min="5" max="5" width="103.81640625" customWidth="1"/>
    <col min="6" max="6" width="8.36328125" bestFit="1" customWidth="1"/>
    <col min="7" max="7" width="52.6328125" bestFit="1" customWidth="1"/>
    <col min="8" max="8" width="77" bestFit="1" customWidth="1"/>
    <col min="9" max="9" width="21" customWidth="1"/>
    <col min="10" max="10" width="12.26953125" bestFit="1" customWidth="1"/>
    <col min="11" max="11" width="6.453125" bestFit="1" customWidth="1"/>
    <col min="12" max="12" width="12.26953125" bestFit="1" customWidth="1"/>
    <col min="13" max="13" width="7.54296875" bestFit="1" customWidth="1"/>
    <col min="14" max="14" width="20.26953125" customWidth="1"/>
    <col min="15" max="15" width="13.08984375" bestFit="1" customWidth="1"/>
  </cols>
  <sheetData>
    <row r="1" spans="1:15" ht="25.5" customHeight="1" x14ac:dyDescent="0.35">
      <c r="A1" s="21" t="s">
        <v>35</v>
      </c>
      <c r="B1" s="21"/>
      <c r="C1" s="21"/>
      <c r="D1" s="21"/>
      <c r="E1" s="21"/>
      <c r="F1" s="21"/>
      <c r="G1" s="21"/>
      <c r="H1" s="21"/>
      <c r="I1" s="21"/>
      <c r="J1" s="21"/>
      <c r="K1" s="21"/>
      <c r="L1" s="21"/>
      <c r="M1" s="21"/>
      <c r="N1" s="21"/>
      <c r="O1" s="21"/>
    </row>
    <row r="2" spans="1:15" ht="31.5" x14ac:dyDescent="0.35">
      <c r="A2" s="25" t="s">
        <v>36</v>
      </c>
    </row>
    <row r="3" spans="1:15" ht="21.5" x14ac:dyDescent="0.35">
      <c r="A3" s="25" t="s">
        <v>37</v>
      </c>
    </row>
    <row r="5" spans="1:15" ht="30" customHeight="1" x14ac:dyDescent="0.35">
      <c r="A5" s="3" t="s">
        <v>38</v>
      </c>
      <c r="B5" s="3" t="s">
        <v>39</v>
      </c>
      <c r="C5" s="3" t="s">
        <v>40</v>
      </c>
      <c r="D5" s="3" t="s">
        <v>41</v>
      </c>
      <c r="E5" s="3" t="s">
        <v>42</v>
      </c>
      <c r="F5" s="3" t="s">
        <v>43</v>
      </c>
      <c r="G5" s="3" t="s">
        <v>44</v>
      </c>
      <c r="H5" s="3" t="s">
        <v>45</v>
      </c>
      <c r="I5" s="3" t="s">
        <v>46</v>
      </c>
      <c r="J5" s="3" t="s">
        <v>47</v>
      </c>
      <c r="K5" s="3" t="s">
        <v>48</v>
      </c>
      <c r="L5" s="3" t="s">
        <v>49</v>
      </c>
      <c r="M5" s="3" t="s">
        <v>50</v>
      </c>
      <c r="N5" s="3" t="s">
        <v>51</v>
      </c>
      <c r="O5" s="3" t="s">
        <v>52</v>
      </c>
    </row>
    <row r="6" spans="1:15" ht="43.5" x14ac:dyDescent="0.35">
      <c r="A6" s="4" t="s">
        <v>301</v>
      </c>
      <c r="B6" s="4" t="s">
        <v>302</v>
      </c>
      <c r="C6" s="4" t="s">
        <v>404</v>
      </c>
      <c r="D6" s="4" t="s">
        <v>376</v>
      </c>
      <c r="E6" s="26" t="s">
        <v>348</v>
      </c>
      <c r="F6" s="28" t="s">
        <v>423</v>
      </c>
      <c r="G6" s="32" t="s">
        <v>424</v>
      </c>
      <c r="H6" s="32" t="s">
        <v>445</v>
      </c>
      <c r="I6" s="28" t="s">
        <v>469</v>
      </c>
      <c r="J6" s="35" t="s">
        <v>473</v>
      </c>
      <c r="K6" s="4" t="s">
        <v>57</v>
      </c>
      <c r="L6" s="35" t="s">
        <v>473</v>
      </c>
      <c r="M6" s="5">
        <v>0</v>
      </c>
      <c r="N6" s="28" t="s">
        <v>484</v>
      </c>
      <c r="O6" s="28" t="s">
        <v>111</v>
      </c>
    </row>
    <row r="7" spans="1:15" ht="29" x14ac:dyDescent="0.35">
      <c r="A7" s="6" t="s">
        <v>303</v>
      </c>
      <c r="B7" s="6" t="s">
        <v>304</v>
      </c>
      <c r="C7" s="6" t="s">
        <v>405</v>
      </c>
      <c r="D7" s="6" t="s">
        <v>377</v>
      </c>
      <c r="E7" s="27" t="s">
        <v>349</v>
      </c>
      <c r="F7" s="29" t="s">
        <v>72</v>
      </c>
      <c r="G7" s="29" t="s">
        <v>425</v>
      </c>
      <c r="H7" s="29" t="s">
        <v>446</v>
      </c>
      <c r="I7" s="33" t="s">
        <v>470</v>
      </c>
      <c r="J7" s="31" t="s">
        <v>304</v>
      </c>
      <c r="K7" s="6" t="s">
        <v>57</v>
      </c>
      <c r="L7" s="31" t="s">
        <v>304</v>
      </c>
      <c r="M7" s="7">
        <v>0</v>
      </c>
      <c r="N7" s="31" t="s">
        <v>485</v>
      </c>
      <c r="O7" s="31" t="s">
        <v>111</v>
      </c>
    </row>
    <row r="8" spans="1:15" ht="43.5" x14ac:dyDescent="0.35">
      <c r="A8" s="4" t="s">
        <v>305</v>
      </c>
      <c r="B8" s="4" t="s">
        <v>306</v>
      </c>
      <c r="C8" s="4" t="s">
        <v>407</v>
      </c>
      <c r="D8" s="4" t="s">
        <v>378</v>
      </c>
      <c r="E8" s="26" t="s">
        <v>406</v>
      </c>
      <c r="F8" s="29" t="s">
        <v>55</v>
      </c>
      <c r="G8" s="29" t="s">
        <v>426</v>
      </c>
      <c r="H8" s="29" t="s">
        <v>447</v>
      </c>
      <c r="I8" s="31" t="s">
        <v>471</v>
      </c>
      <c r="J8" s="31" t="s">
        <v>474</v>
      </c>
      <c r="K8" s="4" t="s">
        <v>57</v>
      </c>
      <c r="L8" s="31" t="s">
        <v>474</v>
      </c>
      <c r="M8" s="5">
        <v>0</v>
      </c>
      <c r="N8" s="31" t="s">
        <v>485</v>
      </c>
      <c r="O8" s="31" t="s">
        <v>111</v>
      </c>
    </row>
    <row r="9" spans="1:15" ht="72.5" x14ac:dyDescent="0.35">
      <c r="A9" s="6" t="s">
        <v>307</v>
      </c>
      <c r="B9" s="6" t="s">
        <v>308</v>
      </c>
      <c r="C9" s="6" t="s">
        <v>408</v>
      </c>
      <c r="D9" s="6" t="s">
        <v>379</v>
      </c>
      <c r="E9" s="27" t="s">
        <v>350</v>
      </c>
      <c r="F9" s="29" t="s">
        <v>55</v>
      </c>
      <c r="G9" s="29" t="s">
        <v>427</v>
      </c>
      <c r="H9" s="29" t="s">
        <v>448</v>
      </c>
      <c r="I9" s="31" t="s">
        <v>471</v>
      </c>
      <c r="J9" s="31" t="s">
        <v>475</v>
      </c>
      <c r="K9" s="6" t="s">
        <v>57</v>
      </c>
      <c r="L9" s="31" t="s">
        <v>475</v>
      </c>
      <c r="M9" s="7">
        <v>0</v>
      </c>
      <c r="N9" s="31" t="s">
        <v>485</v>
      </c>
      <c r="O9" s="31" t="s">
        <v>111</v>
      </c>
    </row>
    <row r="10" spans="1:15" ht="29" x14ac:dyDescent="0.35">
      <c r="A10" s="4" t="s">
        <v>309</v>
      </c>
      <c r="B10" s="4" t="s">
        <v>310</v>
      </c>
      <c r="C10" s="4" t="s">
        <v>409</v>
      </c>
      <c r="D10" s="4" t="s">
        <v>380</v>
      </c>
      <c r="E10" s="26" t="s">
        <v>351</v>
      </c>
      <c r="F10" s="30" t="s">
        <v>55</v>
      </c>
      <c r="G10" s="30" t="s">
        <v>428</v>
      </c>
      <c r="H10" s="30" t="s">
        <v>449</v>
      </c>
      <c r="I10" s="33" t="s">
        <v>472</v>
      </c>
      <c r="J10" s="33" t="s">
        <v>476</v>
      </c>
      <c r="K10" s="4" t="s">
        <v>57</v>
      </c>
      <c r="L10" s="33" t="s">
        <v>476</v>
      </c>
      <c r="M10" s="5">
        <v>0</v>
      </c>
      <c r="N10" s="33" t="s">
        <v>485</v>
      </c>
      <c r="O10" s="33" t="s">
        <v>111</v>
      </c>
    </row>
    <row r="11" spans="1:15" ht="43.5" x14ac:dyDescent="0.35">
      <c r="A11" s="6" t="s">
        <v>311</v>
      </c>
      <c r="B11" s="6" t="s">
        <v>310</v>
      </c>
      <c r="C11" s="4" t="s">
        <v>409</v>
      </c>
      <c r="D11" s="6" t="s">
        <v>380</v>
      </c>
      <c r="E11" s="27" t="s">
        <v>352</v>
      </c>
      <c r="F11" s="30" t="s">
        <v>72</v>
      </c>
      <c r="G11" s="30" t="s">
        <v>429</v>
      </c>
      <c r="H11" s="33" t="s">
        <v>450</v>
      </c>
      <c r="I11" s="33" t="s">
        <v>472</v>
      </c>
      <c r="J11" s="33" t="s">
        <v>477</v>
      </c>
      <c r="K11" s="6" t="s">
        <v>57</v>
      </c>
      <c r="L11" s="33" t="s">
        <v>477</v>
      </c>
      <c r="M11" s="7">
        <v>0</v>
      </c>
      <c r="N11" s="33" t="s">
        <v>485</v>
      </c>
      <c r="O11" s="33" t="s">
        <v>111</v>
      </c>
    </row>
    <row r="12" spans="1:15" ht="43.5" x14ac:dyDescent="0.35">
      <c r="A12" s="4" t="s">
        <v>312</v>
      </c>
      <c r="B12" s="4" t="s">
        <v>313</v>
      </c>
      <c r="C12" s="4" t="s">
        <v>410</v>
      </c>
      <c r="D12" s="4" t="s">
        <v>381</v>
      </c>
      <c r="E12" s="26" t="s">
        <v>353</v>
      </c>
      <c r="F12" s="29" t="s">
        <v>55</v>
      </c>
      <c r="G12" s="29" t="s">
        <v>430</v>
      </c>
      <c r="H12" s="29" t="s">
        <v>451</v>
      </c>
      <c r="I12" s="31" t="s">
        <v>471</v>
      </c>
      <c r="J12" s="31" t="s">
        <v>321</v>
      </c>
      <c r="K12" s="4" t="s">
        <v>57</v>
      </c>
      <c r="L12" s="31" t="s">
        <v>321</v>
      </c>
      <c r="M12" s="5">
        <v>0</v>
      </c>
      <c r="N12" s="31" t="s">
        <v>485</v>
      </c>
      <c r="O12" s="31" t="s">
        <v>111</v>
      </c>
    </row>
    <row r="13" spans="1:15" ht="58" x14ac:dyDescent="0.35">
      <c r="A13" s="6" t="s">
        <v>314</v>
      </c>
      <c r="B13" s="6" t="s">
        <v>315</v>
      </c>
      <c r="C13" s="4" t="s">
        <v>410</v>
      </c>
      <c r="D13" s="6" t="s">
        <v>382</v>
      </c>
      <c r="E13" s="27" t="s">
        <v>354</v>
      </c>
      <c r="F13" s="31" t="s">
        <v>55</v>
      </c>
      <c r="G13" s="29" t="s">
        <v>431</v>
      </c>
      <c r="H13" s="29" t="s">
        <v>452</v>
      </c>
      <c r="I13" s="31" t="s">
        <v>471</v>
      </c>
      <c r="J13" s="31" t="s">
        <v>321</v>
      </c>
      <c r="K13" s="6" t="s">
        <v>57</v>
      </c>
      <c r="L13" s="31" t="s">
        <v>321</v>
      </c>
      <c r="M13" s="7">
        <v>0</v>
      </c>
      <c r="N13" s="31" t="s">
        <v>485</v>
      </c>
      <c r="O13" s="31" t="s">
        <v>111</v>
      </c>
    </row>
    <row r="14" spans="1:15" ht="29" x14ac:dyDescent="0.35">
      <c r="A14" s="4" t="s">
        <v>316</v>
      </c>
      <c r="B14" s="4" t="s">
        <v>317</v>
      </c>
      <c r="C14" s="4" t="s">
        <v>411</v>
      </c>
      <c r="D14" s="4" t="s">
        <v>383</v>
      </c>
      <c r="E14" s="26" t="s">
        <v>355</v>
      </c>
      <c r="F14" s="31" t="s">
        <v>55</v>
      </c>
      <c r="G14" s="29" t="s">
        <v>432</v>
      </c>
      <c r="H14" s="29" t="s">
        <v>453</v>
      </c>
      <c r="I14" s="31" t="s">
        <v>471</v>
      </c>
      <c r="J14" s="31" t="s">
        <v>324</v>
      </c>
      <c r="K14" s="4" t="s">
        <v>57</v>
      </c>
      <c r="L14" s="31" t="s">
        <v>324</v>
      </c>
      <c r="M14" s="4">
        <v>0</v>
      </c>
      <c r="N14" s="31" t="s">
        <v>485</v>
      </c>
      <c r="O14" s="31" t="s">
        <v>111</v>
      </c>
    </row>
    <row r="15" spans="1:15" ht="72.5" x14ac:dyDescent="0.35">
      <c r="A15" s="6" t="s">
        <v>318</v>
      </c>
      <c r="B15" s="23" t="s">
        <v>315</v>
      </c>
      <c r="C15" s="6" t="s">
        <v>412</v>
      </c>
      <c r="D15" s="6" t="s">
        <v>384</v>
      </c>
      <c r="E15" s="27" t="s">
        <v>356</v>
      </c>
      <c r="F15" s="31" t="s">
        <v>72</v>
      </c>
      <c r="G15" s="29" t="s">
        <v>433</v>
      </c>
      <c r="H15" s="29" t="s">
        <v>454</v>
      </c>
      <c r="I15" s="31" t="s">
        <v>471</v>
      </c>
      <c r="J15" s="31" t="s">
        <v>478</v>
      </c>
      <c r="K15" s="6" t="s">
        <v>57</v>
      </c>
      <c r="L15" s="31" t="s">
        <v>478</v>
      </c>
      <c r="M15" s="6">
        <v>0</v>
      </c>
      <c r="N15" s="31" t="s">
        <v>485</v>
      </c>
      <c r="O15" s="31" t="s">
        <v>111</v>
      </c>
    </row>
    <row r="16" spans="1:15" ht="43.5" x14ac:dyDescent="0.35">
      <c r="A16" s="4" t="s">
        <v>319</v>
      </c>
      <c r="B16" s="4" t="s">
        <v>315</v>
      </c>
      <c r="C16" s="4" t="s">
        <v>413</v>
      </c>
      <c r="D16" s="4" t="s">
        <v>385</v>
      </c>
      <c r="E16" s="26" t="s">
        <v>357</v>
      </c>
      <c r="F16" s="31" t="s">
        <v>55</v>
      </c>
      <c r="G16" s="29" t="s">
        <v>434</v>
      </c>
      <c r="H16" s="29" t="s">
        <v>455</v>
      </c>
      <c r="I16" s="31" t="s">
        <v>471</v>
      </c>
      <c r="J16" s="31" t="s">
        <v>321</v>
      </c>
      <c r="K16" s="4" t="s">
        <v>57</v>
      </c>
      <c r="L16" s="31" t="s">
        <v>321</v>
      </c>
      <c r="M16" s="4">
        <v>0</v>
      </c>
      <c r="N16" s="31" t="s">
        <v>485</v>
      </c>
      <c r="O16" s="31" t="s">
        <v>111</v>
      </c>
    </row>
    <row r="17" spans="1:15" ht="43.5" x14ac:dyDescent="0.35">
      <c r="A17" s="6" t="s">
        <v>320</v>
      </c>
      <c r="B17" s="6" t="s">
        <v>321</v>
      </c>
      <c r="C17" s="4" t="s">
        <v>409</v>
      </c>
      <c r="D17" s="6" t="s">
        <v>386</v>
      </c>
      <c r="E17" s="27" t="s">
        <v>358</v>
      </c>
      <c r="F17" s="31" t="s">
        <v>55</v>
      </c>
      <c r="G17" s="29" t="s">
        <v>435</v>
      </c>
      <c r="H17" s="29" t="s">
        <v>456</v>
      </c>
      <c r="I17" s="31" t="s">
        <v>469</v>
      </c>
      <c r="J17" s="36" t="s">
        <v>328</v>
      </c>
      <c r="K17" s="6" t="s">
        <v>57</v>
      </c>
      <c r="L17" s="36" t="s">
        <v>328</v>
      </c>
      <c r="M17" s="6">
        <v>0</v>
      </c>
      <c r="N17" s="31" t="s">
        <v>484</v>
      </c>
      <c r="O17" s="31" t="s">
        <v>111</v>
      </c>
    </row>
    <row r="18" spans="1:15" ht="29" x14ac:dyDescent="0.35">
      <c r="A18" s="4" t="s">
        <v>322</v>
      </c>
      <c r="B18" s="4" t="s">
        <v>321</v>
      </c>
      <c r="C18" s="4" t="s">
        <v>61</v>
      </c>
      <c r="D18" s="4" t="s">
        <v>387</v>
      </c>
      <c r="E18" s="26" t="s">
        <v>359</v>
      </c>
      <c r="F18" s="31" t="s">
        <v>55</v>
      </c>
      <c r="G18" s="29" t="s">
        <v>436</v>
      </c>
      <c r="H18" s="29" t="s">
        <v>457</v>
      </c>
      <c r="I18" s="31" t="s">
        <v>469</v>
      </c>
      <c r="J18" s="31" t="s">
        <v>328</v>
      </c>
      <c r="K18" s="4" t="s">
        <v>57</v>
      </c>
      <c r="L18" s="31" t="s">
        <v>328</v>
      </c>
      <c r="M18" s="4">
        <v>0</v>
      </c>
      <c r="N18" s="31" t="s">
        <v>484</v>
      </c>
      <c r="O18" s="31" t="s">
        <v>111</v>
      </c>
    </row>
    <row r="19" spans="1:15" x14ac:dyDescent="0.35">
      <c r="A19" s="6" t="s">
        <v>323</v>
      </c>
      <c r="B19" s="6" t="s">
        <v>324</v>
      </c>
      <c r="C19" s="6" t="s">
        <v>45</v>
      </c>
      <c r="D19" s="6" t="s">
        <v>388</v>
      </c>
      <c r="E19" s="27" t="s">
        <v>360</v>
      </c>
      <c r="F19" s="31" t="s">
        <v>55</v>
      </c>
      <c r="G19" s="31" t="s">
        <v>437</v>
      </c>
      <c r="H19" s="29" t="s">
        <v>458</v>
      </c>
      <c r="I19" s="31" t="s">
        <v>471</v>
      </c>
      <c r="J19" s="31" t="s">
        <v>479</v>
      </c>
      <c r="K19" s="6" t="s">
        <v>57</v>
      </c>
      <c r="L19" s="31" t="s">
        <v>479</v>
      </c>
      <c r="M19" s="6">
        <v>0</v>
      </c>
      <c r="N19" s="31" t="s">
        <v>485</v>
      </c>
      <c r="O19" s="31" t="s">
        <v>111</v>
      </c>
    </row>
    <row r="20" spans="1:15" ht="29" x14ac:dyDescent="0.35">
      <c r="A20" s="4" t="s">
        <v>325</v>
      </c>
      <c r="B20" s="4" t="s">
        <v>326</v>
      </c>
      <c r="C20" s="4" t="s">
        <v>414</v>
      </c>
      <c r="D20" s="4" t="s">
        <v>389</v>
      </c>
      <c r="E20" s="26" t="s">
        <v>361</v>
      </c>
      <c r="F20" s="31" t="s">
        <v>55</v>
      </c>
      <c r="G20" s="31" t="s">
        <v>438</v>
      </c>
      <c r="H20" s="29" t="s">
        <v>459</v>
      </c>
      <c r="I20" s="31" t="s">
        <v>469</v>
      </c>
      <c r="J20" s="31" t="s">
        <v>326</v>
      </c>
      <c r="K20" s="4" t="s">
        <v>57</v>
      </c>
      <c r="L20" s="31" t="s">
        <v>326</v>
      </c>
      <c r="M20" s="4">
        <v>0</v>
      </c>
      <c r="N20" s="31" t="s">
        <v>484</v>
      </c>
      <c r="O20" s="33" t="s">
        <v>111</v>
      </c>
    </row>
    <row r="21" spans="1:15" ht="72.5" x14ac:dyDescent="0.35">
      <c r="A21" s="6" t="s">
        <v>327</v>
      </c>
      <c r="B21" s="6" t="s">
        <v>328</v>
      </c>
      <c r="C21" s="6" t="s">
        <v>45</v>
      </c>
      <c r="D21" s="6" t="s">
        <v>390</v>
      </c>
      <c r="E21" s="27" t="s">
        <v>362</v>
      </c>
      <c r="F21" s="31" t="s">
        <v>55</v>
      </c>
      <c r="G21" s="29" t="s">
        <v>439</v>
      </c>
      <c r="H21" s="29" t="s">
        <v>460</v>
      </c>
      <c r="I21" s="31" t="s">
        <v>471</v>
      </c>
      <c r="J21" s="31" t="s">
        <v>326</v>
      </c>
      <c r="K21" s="6" t="s">
        <v>57</v>
      </c>
      <c r="L21" s="31" t="s">
        <v>326</v>
      </c>
      <c r="M21" s="6">
        <v>0</v>
      </c>
      <c r="N21" s="31" t="s">
        <v>485</v>
      </c>
      <c r="O21" s="33" t="s">
        <v>111</v>
      </c>
    </row>
    <row r="22" spans="1:15" ht="58" x14ac:dyDescent="0.35">
      <c r="A22" s="4" t="s">
        <v>329</v>
      </c>
      <c r="B22" s="4" t="s">
        <v>324</v>
      </c>
      <c r="C22" s="4" t="s">
        <v>415</v>
      </c>
      <c r="D22" s="4" t="s">
        <v>391</v>
      </c>
      <c r="E22" s="26" t="s">
        <v>363</v>
      </c>
      <c r="F22" s="31" t="s">
        <v>55</v>
      </c>
      <c r="G22" s="29" t="s">
        <v>440</v>
      </c>
      <c r="H22" s="29" t="s">
        <v>461</v>
      </c>
      <c r="I22" s="29" t="s">
        <v>469</v>
      </c>
      <c r="J22" s="31" t="s">
        <v>324</v>
      </c>
      <c r="K22" s="4" t="s">
        <v>57</v>
      </c>
      <c r="L22" s="31" t="s">
        <v>324</v>
      </c>
      <c r="M22" s="4">
        <v>0</v>
      </c>
      <c r="N22" s="31" t="s">
        <v>484</v>
      </c>
      <c r="O22" s="33" t="s">
        <v>111</v>
      </c>
    </row>
    <row r="23" spans="1:15" ht="34.5" x14ac:dyDescent="0.35">
      <c r="A23" s="6" t="s">
        <v>330</v>
      </c>
      <c r="B23" s="6" t="s">
        <v>328</v>
      </c>
      <c r="C23" s="6" t="s">
        <v>54</v>
      </c>
      <c r="D23" s="6" t="s">
        <v>392</v>
      </c>
      <c r="E23" s="27" t="s">
        <v>364</v>
      </c>
      <c r="F23" s="31" t="s">
        <v>55</v>
      </c>
      <c r="G23" s="31" t="s">
        <v>437</v>
      </c>
      <c r="H23" s="31" t="s">
        <v>462</v>
      </c>
      <c r="I23" s="31" t="s">
        <v>471</v>
      </c>
      <c r="J23" s="31" t="s">
        <v>326</v>
      </c>
      <c r="K23" s="6" t="s">
        <v>57</v>
      </c>
      <c r="L23" s="31" t="s">
        <v>326</v>
      </c>
      <c r="M23" s="6">
        <v>0</v>
      </c>
      <c r="N23" s="31" t="s">
        <v>485</v>
      </c>
      <c r="O23" s="33" t="s">
        <v>111</v>
      </c>
    </row>
    <row r="24" spans="1:15" x14ac:dyDescent="0.35">
      <c r="A24" s="4" t="s">
        <v>331</v>
      </c>
      <c r="B24" s="4" t="s">
        <v>313</v>
      </c>
      <c r="C24" s="4" t="s">
        <v>416</v>
      </c>
      <c r="D24" s="4" t="s">
        <v>393</v>
      </c>
      <c r="E24" s="26" t="s">
        <v>365</v>
      </c>
      <c r="F24" s="31" t="s">
        <v>55</v>
      </c>
      <c r="G24" s="31" t="s">
        <v>437</v>
      </c>
      <c r="H24" s="29" t="s">
        <v>463</v>
      </c>
      <c r="I24" s="31" t="s">
        <v>469</v>
      </c>
      <c r="J24" s="31" t="s">
        <v>313</v>
      </c>
      <c r="K24" s="4" t="s">
        <v>57</v>
      </c>
      <c r="L24" s="31" t="s">
        <v>313</v>
      </c>
      <c r="M24" s="4">
        <v>0</v>
      </c>
      <c r="N24" s="31" t="s">
        <v>484</v>
      </c>
      <c r="O24" s="33" t="s">
        <v>111</v>
      </c>
    </row>
    <row r="25" spans="1:15" ht="29" x14ac:dyDescent="0.35">
      <c r="A25" s="6" t="s">
        <v>332</v>
      </c>
      <c r="B25" s="6" t="s">
        <v>333</v>
      </c>
      <c r="C25" s="6" t="s">
        <v>416</v>
      </c>
      <c r="D25" s="6" t="s">
        <v>394</v>
      </c>
      <c r="E25" s="27" t="s">
        <v>366</v>
      </c>
      <c r="F25" s="31" t="s">
        <v>55</v>
      </c>
      <c r="G25" s="31" t="s">
        <v>437</v>
      </c>
      <c r="H25" s="29" t="s">
        <v>464</v>
      </c>
      <c r="I25" s="31" t="s">
        <v>469</v>
      </c>
      <c r="J25" s="31" t="s">
        <v>324</v>
      </c>
      <c r="K25" s="6" t="s">
        <v>57</v>
      </c>
      <c r="L25" s="31" t="s">
        <v>324</v>
      </c>
      <c r="M25" s="6">
        <v>0</v>
      </c>
      <c r="N25" s="31" t="s">
        <v>484</v>
      </c>
      <c r="O25" s="38" t="s">
        <v>111</v>
      </c>
    </row>
    <row r="26" spans="1:15" x14ac:dyDescent="0.35">
      <c r="A26" s="4" t="s">
        <v>334</v>
      </c>
      <c r="B26" s="4" t="s">
        <v>326</v>
      </c>
      <c r="C26" s="4" t="s">
        <v>417</v>
      </c>
      <c r="D26" s="4" t="s">
        <v>395</v>
      </c>
      <c r="E26" s="26" t="s">
        <v>367</v>
      </c>
      <c r="F26" s="31" t="s">
        <v>55</v>
      </c>
      <c r="G26" s="31" t="s">
        <v>441</v>
      </c>
      <c r="H26" s="29" t="s">
        <v>465</v>
      </c>
      <c r="I26" s="31" t="s">
        <v>471</v>
      </c>
      <c r="J26" s="31" t="s">
        <v>480</v>
      </c>
      <c r="K26" s="4" t="s">
        <v>57</v>
      </c>
      <c r="L26" s="31" t="s">
        <v>480</v>
      </c>
      <c r="M26" s="4">
        <v>0</v>
      </c>
      <c r="N26" s="31" t="s">
        <v>485</v>
      </c>
      <c r="O26" s="33" t="s">
        <v>111</v>
      </c>
    </row>
    <row r="27" spans="1:15" ht="29" x14ac:dyDescent="0.35">
      <c r="A27" s="6" t="s">
        <v>335</v>
      </c>
      <c r="B27" s="6" t="s">
        <v>336</v>
      </c>
      <c r="C27" s="6" t="s">
        <v>418</v>
      </c>
      <c r="D27" s="6" t="s">
        <v>396</v>
      </c>
      <c r="E27" s="27" t="s">
        <v>368</v>
      </c>
      <c r="F27" s="31" t="s">
        <v>55</v>
      </c>
      <c r="G27" s="31" t="s">
        <v>442</v>
      </c>
      <c r="H27" s="29" t="s">
        <v>466</v>
      </c>
      <c r="I27" s="31" t="s">
        <v>471</v>
      </c>
      <c r="J27" s="31" t="s">
        <v>481</v>
      </c>
      <c r="K27" s="6" t="s">
        <v>57</v>
      </c>
      <c r="L27" s="31" t="s">
        <v>481</v>
      </c>
      <c r="M27" s="6">
        <v>0</v>
      </c>
      <c r="N27" s="31" t="s">
        <v>485</v>
      </c>
      <c r="O27" s="31" t="s">
        <v>111</v>
      </c>
    </row>
    <row r="28" spans="1:15" ht="43.5" x14ac:dyDescent="0.35">
      <c r="A28" s="4" t="s">
        <v>337</v>
      </c>
      <c r="B28" s="4" t="s">
        <v>338</v>
      </c>
      <c r="C28" s="4" t="s">
        <v>419</v>
      </c>
      <c r="D28" s="4" t="s">
        <v>397</v>
      </c>
      <c r="E28" s="26" t="s">
        <v>369</v>
      </c>
      <c r="F28" s="31" t="s">
        <v>422</v>
      </c>
      <c r="G28" s="31" t="s">
        <v>443</v>
      </c>
      <c r="H28" s="29" t="s">
        <v>467</v>
      </c>
      <c r="I28" s="31" t="s">
        <v>471</v>
      </c>
      <c r="J28" s="31" t="s">
        <v>482</v>
      </c>
      <c r="K28" s="4" t="s">
        <v>57</v>
      </c>
      <c r="L28" s="31" t="s">
        <v>482</v>
      </c>
      <c r="M28" s="4">
        <v>0</v>
      </c>
      <c r="N28" s="31" t="s">
        <v>486</v>
      </c>
      <c r="O28" s="31" t="s">
        <v>488</v>
      </c>
    </row>
    <row r="29" spans="1:15" ht="58" x14ac:dyDescent="0.35">
      <c r="A29" s="6" t="s">
        <v>339</v>
      </c>
      <c r="B29" s="6" t="s">
        <v>315</v>
      </c>
      <c r="C29" s="6" t="s">
        <v>420</v>
      </c>
      <c r="D29" s="6" t="s">
        <v>398</v>
      </c>
      <c r="E29" s="27" t="s">
        <v>370</v>
      </c>
      <c r="F29" s="31" t="s">
        <v>55</v>
      </c>
      <c r="G29" s="29" t="s">
        <v>444</v>
      </c>
      <c r="H29" s="29" t="s">
        <v>468</v>
      </c>
      <c r="I29" s="31" t="s">
        <v>471</v>
      </c>
      <c r="J29" s="31" t="s">
        <v>483</v>
      </c>
      <c r="K29" s="6"/>
      <c r="L29" s="31" t="s">
        <v>483</v>
      </c>
      <c r="M29" s="6">
        <v>0</v>
      </c>
      <c r="N29" s="31" t="s">
        <v>487</v>
      </c>
      <c r="O29" s="31"/>
    </row>
    <row r="30" spans="1:15" ht="57.5" x14ac:dyDescent="0.35">
      <c r="A30" s="4" t="s">
        <v>340</v>
      </c>
      <c r="B30" s="4" t="s">
        <v>341</v>
      </c>
      <c r="C30" s="4" t="s">
        <v>45</v>
      </c>
      <c r="D30" s="4" t="s">
        <v>399</v>
      </c>
      <c r="E30" s="26" t="s">
        <v>371</v>
      </c>
      <c r="F30" s="31" t="s">
        <v>55</v>
      </c>
      <c r="G30" s="31"/>
      <c r="H30" s="31"/>
      <c r="I30" s="31" t="s">
        <v>469</v>
      </c>
      <c r="J30" s="31"/>
      <c r="K30" s="4"/>
      <c r="L30" s="31"/>
      <c r="M30" s="4"/>
      <c r="N30" s="31"/>
      <c r="O30" s="31"/>
    </row>
    <row r="31" spans="1:15" ht="23" x14ac:dyDescent="0.35">
      <c r="A31" s="6" t="s">
        <v>342</v>
      </c>
      <c r="B31" s="6" t="s">
        <v>343</v>
      </c>
      <c r="C31" s="6" t="s">
        <v>54</v>
      </c>
      <c r="D31" s="6" t="s">
        <v>400</v>
      </c>
      <c r="E31" s="27" t="s">
        <v>372</v>
      </c>
      <c r="F31" s="31" t="s">
        <v>55</v>
      </c>
      <c r="G31" s="31"/>
      <c r="H31" s="31"/>
      <c r="I31" s="31" t="s">
        <v>471</v>
      </c>
      <c r="J31" s="31"/>
      <c r="K31" s="6"/>
      <c r="L31" s="31"/>
      <c r="M31" s="6"/>
      <c r="N31" s="31"/>
      <c r="O31" s="31"/>
    </row>
    <row r="32" spans="1:15" ht="34.5" x14ac:dyDescent="0.35">
      <c r="A32" s="4" t="s">
        <v>344</v>
      </c>
      <c r="B32" s="4" t="s">
        <v>343</v>
      </c>
      <c r="C32" s="4" t="s">
        <v>411</v>
      </c>
      <c r="D32" s="4" t="s">
        <v>401</v>
      </c>
      <c r="E32" s="26" t="s">
        <v>373</v>
      </c>
      <c r="F32" s="31" t="s">
        <v>55</v>
      </c>
      <c r="G32" s="31"/>
      <c r="H32" s="31"/>
      <c r="I32" s="31" t="s">
        <v>471</v>
      </c>
      <c r="J32" s="37"/>
      <c r="K32" s="4"/>
      <c r="L32" s="37"/>
      <c r="M32" s="4"/>
      <c r="N32" s="31"/>
      <c r="O32" s="31"/>
    </row>
    <row r="33" spans="1:15" ht="46" x14ac:dyDescent="0.35">
      <c r="A33" s="6" t="s">
        <v>345</v>
      </c>
      <c r="B33" s="6" t="s">
        <v>346</v>
      </c>
      <c r="C33" s="6" t="s">
        <v>421</v>
      </c>
      <c r="D33" s="6" t="s">
        <v>402</v>
      </c>
      <c r="E33" s="27" t="s">
        <v>374</v>
      </c>
      <c r="F33" s="31" t="s">
        <v>55</v>
      </c>
      <c r="G33" s="31"/>
      <c r="H33" s="31"/>
      <c r="I33" s="31" t="s">
        <v>471</v>
      </c>
      <c r="J33" s="34"/>
      <c r="K33" s="6"/>
      <c r="L33" s="34"/>
      <c r="M33" s="6"/>
      <c r="N33" s="6"/>
      <c r="O33" s="6"/>
    </row>
    <row r="34" spans="1:15" ht="34.5" x14ac:dyDescent="0.35">
      <c r="A34" s="4" t="s">
        <v>347</v>
      </c>
      <c r="B34" s="4" t="s">
        <v>346</v>
      </c>
      <c r="C34" s="6" t="s">
        <v>81</v>
      </c>
      <c r="D34" s="4" t="s">
        <v>403</v>
      </c>
      <c r="E34" s="26" t="s">
        <v>375</v>
      </c>
      <c r="F34" s="31" t="s">
        <v>55</v>
      </c>
      <c r="G34" s="31"/>
      <c r="H34" s="31"/>
      <c r="I34" s="31" t="s">
        <v>471</v>
      </c>
      <c r="J34" s="4"/>
      <c r="K34" s="4"/>
      <c r="L34" s="4"/>
      <c r="M34" s="4"/>
      <c r="N34" s="4"/>
      <c r="O34" s="4"/>
    </row>
    <row r="35" spans="1:15" x14ac:dyDescent="0.35">
      <c r="A35" s="6"/>
      <c r="B35" s="6"/>
      <c r="C35" s="6"/>
      <c r="D35" s="6"/>
      <c r="E35" s="6"/>
      <c r="G35" s="6"/>
      <c r="H35" s="6"/>
      <c r="I35" s="6"/>
      <c r="J35" s="6"/>
      <c r="K35" s="6"/>
      <c r="L35" s="6"/>
      <c r="M35" s="6"/>
      <c r="N35" s="6"/>
      <c r="O35" s="6"/>
    </row>
    <row r="36" spans="1:15" x14ac:dyDescent="0.35">
      <c r="A36" s="4"/>
      <c r="B36" s="4"/>
      <c r="C36" s="4"/>
      <c r="D36" s="4"/>
      <c r="E36" s="4"/>
      <c r="G36" s="4"/>
      <c r="H36" s="4"/>
      <c r="I36" s="4"/>
      <c r="J36" s="4"/>
      <c r="K36" s="4"/>
      <c r="L36" s="4"/>
      <c r="M36" s="4"/>
      <c r="N36" s="4"/>
      <c r="O36" s="4"/>
    </row>
    <row r="37" spans="1:15" x14ac:dyDescent="0.35">
      <c r="A37" s="6"/>
      <c r="B37" s="6"/>
      <c r="C37" s="6"/>
      <c r="D37" s="6"/>
      <c r="E37" s="6"/>
      <c r="G37" s="6"/>
      <c r="H37" s="6"/>
      <c r="I37" s="6"/>
      <c r="J37" s="6"/>
      <c r="K37" s="6"/>
      <c r="L37" s="6"/>
      <c r="M37" s="6"/>
      <c r="N37" s="6"/>
      <c r="O37" s="6"/>
    </row>
    <row r="38" spans="1:15" x14ac:dyDescent="0.35">
      <c r="A38" s="4"/>
      <c r="B38" s="4"/>
      <c r="C38" s="4"/>
      <c r="D38" s="4"/>
      <c r="E38" s="4"/>
      <c r="G38" s="4"/>
      <c r="H38" s="4"/>
      <c r="I38" s="4"/>
      <c r="J38" s="4"/>
      <c r="K38" s="4"/>
      <c r="L38" s="4"/>
      <c r="M38" s="4"/>
      <c r="N38" s="4"/>
      <c r="O38" s="4"/>
    </row>
    <row r="39" spans="1:15" x14ac:dyDescent="0.35">
      <c r="A39" s="6"/>
      <c r="B39" s="6"/>
      <c r="C39" s="6"/>
      <c r="D39" s="6"/>
      <c r="E39" s="6"/>
      <c r="G39" s="6"/>
      <c r="H39" s="6"/>
      <c r="I39" s="6"/>
      <c r="J39" s="6"/>
      <c r="K39" s="6"/>
      <c r="L39" s="6"/>
      <c r="M39" s="6"/>
      <c r="N39" s="6"/>
      <c r="O39" s="6"/>
    </row>
    <row r="40" spans="1:15" x14ac:dyDescent="0.35">
      <c r="A40" s="4"/>
      <c r="B40" s="4"/>
      <c r="C40" s="4"/>
      <c r="D40" s="4"/>
      <c r="E40" s="4"/>
      <c r="G40" s="4"/>
      <c r="H40" s="4"/>
      <c r="I40" s="4"/>
      <c r="J40" s="4"/>
      <c r="K40" s="4"/>
      <c r="L40" s="4"/>
      <c r="M40" s="4"/>
      <c r="N40" s="4"/>
      <c r="O40" s="4"/>
    </row>
    <row r="41" spans="1:15" x14ac:dyDescent="0.35">
      <c r="A41" s="6"/>
      <c r="B41" s="6"/>
      <c r="C41" s="6"/>
      <c r="D41" s="6"/>
      <c r="E41" s="6"/>
      <c r="G41" s="6"/>
      <c r="H41" s="6"/>
      <c r="I41" s="6"/>
      <c r="J41" s="6"/>
      <c r="K41" s="6"/>
      <c r="L41" s="6"/>
      <c r="M41" s="6"/>
      <c r="N41" s="6"/>
      <c r="O41" s="6"/>
    </row>
    <row r="42" spans="1:15" x14ac:dyDescent="0.35">
      <c r="A42" s="4"/>
      <c r="B42" s="4"/>
      <c r="C42" s="4"/>
      <c r="D42" s="4"/>
      <c r="E42" s="4"/>
      <c r="G42" s="4"/>
      <c r="H42" s="4"/>
      <c r="I42" s="4"/>
      <c r="J42" s="4"/>
      <c r="K42" s="4"/>
      <c r="L42" s="4"/>
      <c r="M42" s="4"/>
      <c r="N42" s="4"/>
      <c r="O42" s="4"/>
    </row>
    <row r="43" spans="1:15" x14ac:dyDescent="0.35">
      <c r="A43" s="4"/>
      <c r="B43" s="4"/>
      <c r="C43" s="4"/>
      <c r="D43" s="4"/>
      <c r="E43" s="4"/>
      <c r="G43" s="4"/>
      <c r="H43" s="4"/>
      <c r="I43" s="4"/>
      <c r="J43" s="4"/>
      <c r="K43" s="4"/>
      <c r="L43" s="4"/>
      <c r="M43" s="4"/>
      <c r="N43" s="4"/>
      <c r="O43" s="4"/>
    </row>
    <row r="44" spans="1:15" x14ac:dyDescent="0.35">
      <c r="A44" s="6"/>
      <c r="B44" s="6"/>
      <c r="C44" s="6"/>
      <c r="D44" s="6"/>
      <c r="E44" s="6"/>
      <c r="G44" s="6"/>
      <c r="H44" s="6"/>
      <c r="I44" s="6"/>
      <c r="J44" s="6"/>
      <c r="K44" s="6"/>
      <c r="L44" s="6"/>
      <c r="M44" s="6"/>
      <c r="N44" s="6"/>
      <c r="O44" s="6"/>
    </row>
    <row r="45" spans="1:15" x14ac:dyDescent="0.35">
      <c r="A45" s="4"/>
      <c r="B45" s="4"/>
      <c r="C45" s="4"/>
      <c r="D45" s="4"/>
      <c r="E45" s="4"/>
      <c r="G45" s="4"/>
      <c r="H45" s="4"/>
      <c r="I45" s="4"/>
      <c r="J45" s="4"/>
      <c r="K45" s="4"/>
      <c r="L45" s="4"/>
      <c r="M45" s="4"/>
      <c r="N45" s="4"/>
      <c r="O45" s="4"/>
    </row>
    <row r="46" spans="1:15" x14ac:dyDescent="0.35">
      <c r="A46" s="6"/>
      <c r="B46" s="6"/>
      <c r="C46" s="6"/>
      <c r="D46" s="6"/>
      <c r="E46" s="6"/>
      <c r="G46" s="6"/>
      <c r="H46" s="6"/>
      <c r="I46" s="6"/>
      <c r="J46" s="6"/>
      <c r="K46" s="6"/>
      <c r="L46" s="6"/>
      <c r="M46" s="6"/>
      <c r="N46" s="6"/>
      <c r="O46" s="6"/>
    </row>
    <row r="47" spans="1:15" x14ac:dyDescent="0.35">
      <c r="A47" s="4"/>
      <c r="B47" s="4"/>
      <c r="C47" s="4"/>
      <c r="D47" s="4"/>
      <c r="E47" s="4"/>
      <c r="G47" s="4"/>
      <c r="H47" s="4"/>
      <c r="I47" s="4"/>
      <c r="J47" s="4"/>
      <c r="K47" s="4"/>
      <c r="L47" s="4"/>
      <c r="M47" s="4"/>
      <c r="N47" s="4"/>
      <c r="O47" s="4"/>
    </row>
    <row r="48" spans="1:15" x14ac:dyDescent="0.35">
      <c r="A48" s="6"/>
      <c r="B48" s="6"/>
      <c r="C48" s="6"/>
      <c r="D48" s="6"/>
      <c r="E48" s="6"/>
      <c r="G48" s="6"/>
      <c r="H48" s="6"/>
      <c r="I48" s="6"/>
      <c r="J48" s="6"/>
      <c r="K48" s="6"/>
      <c r="L48" s="6"/>
      <c r="M48" s="6"/>
      <c r="N48" s="6"/>
      <c r="O48" s="6"/>
    </row>
    <row r="49" spans="1:15" x14ac:dyDescent="0.35">
      <c r="A49" s="4"/>
      <c r="B49" s="4"/>
      <c r="C49" s="4"/>
      <c r="D49" s="4"/>
      <c r="E49" s="4"/>
      <c r="F49" s="4"/>
      <c r="G49" s="4"/>
      <c r="H49" s="4"/>
      <c r="I49" s="4"/>
      <c r="J49" s="4"/>
      <c r="K49" s="4"/>
      <c r="L49" s="4"/>
      <c r="M49" s="4"/>
      <c r="N49" s="4"/>
      <c r="O49" s="4"/>
    </row>
    <row r="50" spans="1:15" x14ac:dyDescent="0.35">
      <c r="A50" s="6"/>
      <c r="B50" s="6"/>
      <c r="C50" s="6"/>
      <c r="D50" s="6"/>
      <c r="E50" s="6"/>
      <c r="F50" s="6"/>
      <c r="G50" s="6"/>
      <c r="H50" s="6"/>
      <c r="I50" s="6"/>
      <c r="J50" s="6"/>
      <c r="K50" s="6"/>
      <c r="L50" s="6"/>
      <c r="M50" s="6"/>
      <c r="N50" s="6"/>
      <c r="O50" s="6"/>
    </row>
    <row r="51" spans="1:15" x14ac:dyDescent="0.35">
      <c r="A51" s="4"/>
      <c r="B51" s="4"/>
      <c r="C51" s="4"/>
      <c r="D51" s="4"/>
      <c r="E51" s="4"/>
      <c r="F51" s="4"/>
      <c r="G51" s="4"/>
      <c r="H51" s="4"/>
      <c r="I51" s="4"/>
      <c r="J51" s="4"/>
      <c r="K51" s="4"/>
      <c r="L51" s="4"/>
      <c r="M51" s="4"/>
      <c r="N51" s="4"/>
      <c r="O51" s="4"/>
    </row>
    <row r="52" spans="1:15" x14ac:dyDescent="0.35">
      <c r="A52" s="6"/>
      <c r="B52" s="6"/>
      <c r="C52" s="6"/>
      <c r="D52" s="6"/>
      <c r="E52" s="6"/>
      <c r="F52" s="6"/>
      <c r="G52" s="6"/>
      <c r="H52" s="6"/>
      <c r="I52" s="6"/>
      <c r="J52" s="6"/>
      <c r="K52" s="6"/>
      <c r="L52" s="6"/>
      <c r="M52" s="6"/>
      <c r="N52" s="6"/>
      <c r="O52" s="6"/>
    </row>
    <row r="53" spans="1:15" x14ac:dyDescent="0.35">
      <c r="A53" s="4"/>
      <c r="B53" s="4"/>
      <c r="C53" s="4"/>
      <c r="D53" s="4"/>
      <c r="E53" s="4"/>
      <c r="F53" s="4"/>
      <c r="G53" s="4"/>
      <c r="H53" s="4"/>
      <c r="I53" s="4"/>
      <c r="J53" s="4"/>
      <c r="K53" s="4"/>
      <c r="L53" s="4"/>
      <c r="M53" s="4"/>
      <c r="N53" s="4"/>
      <c r="O53" s="4"/>
    </row>
    <row r="54" spans="1:15" x14ac:dyDescent="0.35">
      <c r="A54" s="6"/>
      <c r="B54" s="6"/>
      <c r="C54" s="6"/>
      <c r="D54" s="6"/>
      <c r="E54" s="6"/>
      <c r="F54" s="6"/>
      <c r="G54" s="6"/>
      <c r="H54" s="6"/>
      <c r="I54" s="6"/>
      <c r="J54" s="6"/>
      <c r="K54" s="6"/>
      <c r="L54" s="6"/>
      <c r="M54" s="6"/>
      <c r="N54" s="6"/>
      <c r="O54" s="6"/>
    </row>
  </sheetData>
  <mergeCells count="1">
    <mergeCell ref="A1:O1"/>
  </mergeCells>
  <dataValidations count="1">
    <dataValidation type="list" allowBlank="1" sqref="K6:K54" xr:uid="{00000000-0002-0000-0100-000000000000}">
      <formula1>"Open,Closed,Overdue"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5"/>
  <sheetViews>
    <sheetView showGridLines="0" topLeftCell="F1" zoomScale="90" zoomScaleNormal="90" workbookViewId="0">
      <pane ySplit="5" topLeftCell="A6" activePane="bottomLeft" state="frozen"/>
      <selection pane="bottomLeft" sqref="A1:O1"/>
    </sheetView>
  </sheetViews>
  <sheetFormatPr defaultColWidth="8.6328125" defaultRowHeight="14.5" x14ac:dyDescent="0.35"/>
  <cols>
    <col min="1" max="1" width="13.26953125" customWidth="1"/>
    <col min="2" max="2" width="14" customWidth="1"/>
    <col min="3" max="4" width="12" customWidth="1"/>
    <col min="5" max="5" width="37.54296875" customWidth="1"/>
    <col min="6" max="6" width="16" customWidth="1"/>
    <col min="7" max="7" width="53.90625" customWidth="1"/>
    <col min="8" max="8" width="19.26953125" customWidth="1"/>
    <col min="9" max="11" width="12" customWidth="1"/>
    <col min="12" max="12" width="10" customWidth="1"/>
    <col min="13" max="13" width="13" customWidth="1"/>
    <col min="14" max="14" width="14" customWidth="1"/>
    <col min="15" max="15" width="22" customWidth="1"/>
  </cols>
  <sheetData>
    <row r="1" spans="1:15" ht="25.5" customHeight="1" x14ac:dyDescent="0.35">
      <c r="A1" s="21" t="s">
        <v>83</v>
      </c>
      <c r="B1" s="21"/>
      <c r="C1" s="21"/>
      <c r="D1" s="21"/>
      <c r="E1" s="21"/>
      <c r="F1" s="21"/>
      <c r="G1" s="21"/>
      <c r="H1" s="21"/>
      <c r="I1" s="21"/>
      <c r="J1" s="21"/>
      <c r="K1" s="21"/>
      <c r="L1" s="21"/>
      <c r="M1" s="21"/>
      <c r="N1" s="21"/>
      <c r="O1" s="21"/>
    </row>
    <row r="2" spans="1:15" x14ac:dyDescent="0.35">
      <c r="A2" s="2" t="s">
        <v>36</v>
      </c>
    </row>
    <row r="3" spans="1:15" x14ac:dyDescent="0.35">
      <c r="A3" s="2" t="s">
        <v>37</v>
      </c>
    </row>
    <row r="5" spans="1:15" ht="30" customHeight="1" x14ac:dyDescent="0.35">
      <c r="A5" s="3" t="s">
        <v>84</v>
      </c>
      <c r="B5" s="3" t="s">
        <v>85</v>
      </c>
      <c r="C5" s="3" t="s">
        <v>39</v>
      </c>
      <c r="D5" s="3" t="s">
        <v>86</v>
      </c>
      <c r="E5" s="3" t="s">
        <v>87</v>
      </c>
      <c r="F5" s="3" t="s">
        <v>88</v>
      </c>
      <c r="G5" s="3" t="s">
        <v>89</v>
      </c>
      <c r="H5" s="3" t="s">
        <v>46</v>
      </c>
      <c r="I5" s="3" t="s">
        <v>90</v>
      </c>
      <c r="J5" s="3" t="s">
        <v>48</v>
      </c>
      <c r="K5" s="3" t="s">
        <v>91</v>
      </c>
      <c r="L5" s="3" t="s">
        <v>92</v>
      </c>
      <c r="M5" s="3" t="s">
        <v>93</v>
      </c>
      <c r="N5" s="3" t="s">
        <v>94</v>
      </c>
      <c r="O5" s="3" t="s">
        <v>95</v>
      </c>
    </row>
    <row r="6" spans="1:15" x14ac:dyDescent="0.35">
      <c r="A6" s="4" t="s">
        <v>96</v>
      </c>
      <c r="B6" s="4" t="s">
        <v>53</v>
      </c>
      <c r="C6" s="4" t="s">
        <v>97</v>
      </c>
      <c r="D6" s="4" t="s">
        <v>98</v>
      </c>
      <c r="E6" s="4" t="s">
        <v>99</v>
      </c>
      <c r="F6" s="4" t="s">
        <v>100</v>
      </c>
      <c r="G6" s="4" t="s">
        <v>101</v>
      </c>
      <c r="H6" s="4" t="s">
        <v>56</v>
      </c>
      <c r="I6" s="4" t="s">
        <v>102</v>
      </c>
      <c r="J6" s="4" t="s">
        <v>57</v>
      </c>
      <c r="K6" s="4" t="s">
        <v>58</v>
      </c>
      <c r="L6" s="5">
        <f t="shared" ref="L6:L13" ca="1" si="0">IF(K6="",TODAY()-C6,K6-C6)</f>
        <v>26</v>
      </c>
      <c r="M6" s="4" t="s">
        <v>103</v>
      </c>
      <c r="N6" s="4" t="s">
        <v>59</v>
      </c>
      <c r="O6" s="4" t="s">
        <v>104</v>
      </c>
    </row>
    <row r="7" spans="1:15" x14ac:dyDescent="0.35">
      <c r="A7" s="6" t="s">
        <v>105</v>
      </c>
      <c r="B7" s="6" t="s">
        <v>60</v>
      </c>
      <c r="C7" s="6" t="s">
        <v>106</v>
      </c>
      <c r="D7" s="6" t="s">
        <v>98</v>
      </c>
      <c r="E7" s="6" t="s">
        <v>107</v>
      </c>
      <c r="F7" s="6" t="s">
        <v>108</v>
      </c>
      <c r="G7" s="6" t="s">
        <v>109</v>
      </c>
      <c r="H7" s="6" t="s">
        <v>62</v>
      </c>
      <c r="I7" s="6" t="s">
        <v>110</v>
      </c>
      <c r="J7" s="6" t="s">
        <v>57</v>
      </c>
      <c r="K7" s="6" t="s">
        <v>63</v>
      </c>
      <c r="L7" s="7">
        <f t="shared" ca="1" si="0"/>
        <v>26</v>
      </c>
      <c r="M7" s="6" t="s">
        <v>103</v>
      </c>
      <c r="N7" s="6" t="s">
        <v>64</v>
      </c>
      <c r="O7" s="6" t="s">
        <v>111</v>
      </c>
    </row>
    <row r="8" spans="1:15" x14ac:dyDescent="0.35">
      <c r="A8" s="4" t="s">
        <v>112</v>
      </c>
      <c r="B8" s="4" t="s">
        <v>65</v>
      </c>
      <c r="C8" s="4" t="s">
        <v>113</v>
      </c>
      <c r="D8" s="4" t="s">
        <v>98</v>
      </c>
      <c r="E8" s="4" t="s">
        <v>114</v>
      </c>
      <c r="F8" s="4" t="s">
        <v>100</v>
      </c>
      <c r="G8" s="4" t="s">
        <v>115</v>
      </c>
      <c r="H8" s="4" t="s">
        <v>67</v>
      </c>
      <c r="I8" s="4" t="s">
        <v>116</v>
      </c>
      <c r="J8" s="4" t="s">
        <v>57</v>
      </c>
      <c r="K8" s="4" t="s">
        <v>68</v>
      </c>
      <c r="L8" s="5">
        <f t="shared" ca="1" si="0"/>
        <v>24</v>
      </c>
      <c r="M8" s="4" t="s">
        <v>103</v>
      </c>
      <c r="N8" s="4" t="s">
        <v>69</v>
      </c>
      <c r="O8" s="4" t="s">
        <v>117</v>
      </c>
    </row>
    <row r="9" spans="1:15" x14ac:dyDescent="0.35">
      <c r="A9" s="6" t="s">
        <v>118</v>
      </c>
      <c r="B9" s="6" t="s">
        <v>70</v>
      </c>
      <c r="C9" s="6" t="s">
        <v>119</v>
      </c>
      <c r="D9" s="6" t="s">
        <v>98</v>
      </c>
      <c r="E9" s="6" t="s">
        <v>120</v>
      </c>
      <c r="F9" s="6" t="s">
        <v>121</v>
      </c>
      <c r="G9" s="6" t="s">
        <v>122</v>
      </c>
      <c r="H9" s="6" t="s">
        <v>123</v>
      </c>
      <c r="I9" s="6" t="s">
        <v>124</v>
      </c>
      <c r="J9" s="6" t="s">
        <v>57</v>
      </c>
      <c r="K9" s="6" t="s">
        <v>125</v>
      </c>
      <c r="L9" s="7">
        <f t="shared" ca="1" si="0"/>
        <v>41</v>
      </c>
      <c r="M9" s="6" t="s">
        <v>103</v>
      </c>
      <c r="N9" s="6" t="s">
        <v>126</v>
      </c>
      <c r="O9" s="6" t="s">
        <v>111</v>
      </c>
    </row>
    <row r="10" spans="1:15" x14ac:dyDescent="0.35">
      <c r="A10" s="4" t="s">
        <v>127</v>
      </c>
      <c r="B10" s="4" t="s">
        <v>128</v>
      </c>
      <c r="C10" s="4" t="s">
        <v>129</v>
      </c>
      <c r="D10" s="4" t="s">
        <v>130</v>
      </c>
      <c r="E10" s="4" t="s">
        <v>131</v>
      </c>
      <c r="F10" s="4" t="s">
        <v>132</v>
      </c>
      <c r="G10" s="4" t="s">
        <v>133</v>
      </c>
      <c r="H10" s="4" t="s">
        <v>82</v>
      </c>
      <c r="I10" s="4" t="s">
        <v>134</v>
      </c>
      <c r="J10" s="4" t="s">
        <v>135</v>
      </c>
      <c r="K10" s="4"/>
      <c r="L10" s="5">
        <f t="shared" ca="1" si="0"/>
        <v>211</v>
      </c>
      <c r="M10" s="4" t="s">
        <v>136</v>
      </c>
      <c r="N10" s="4"/>
      <c r="O10" s="4"/>
    </row>
    <row r="11" spans="1:15" x14ac:dyDescent="0.35">
      <c r="A11" s="6" t="s">
        <v>137</v>
      </c>
      <c r="B11" s="6" t="s">
        <v>76</v>
      </c>
      <c r="C11" s="6" t="s">
        <v>138</v>
      </c>
      <c r="D11" s="6" t="s">
        <v>98</v>
      </c>
      <c r="E11" s="6" t="s">
        <v>139</v>
      </c>
      <c r="F11" s="6" t="s">
        <v>100</v>
      </c>
      <c r="G11" s="6" t="s">
        <v>140</v>
      </c>
      <c r="H11" s="6" t="s">
        <v>77</v>
      </c>
      <c r="I11" s="6" t="s">
        <v>141</v>
      </c>
      <c r="J11" s="6" t="s">
        <v>135</v>
      </c>
      <c r="K11" s="6"/>
      <c r="L11" s="7">
        <f t="shared" ca="1" si="0"/>
        <v>202</v>
      </c>
      <c r="M11" s="6" t="s">
        <v>136</v>
      </c>
      <c r="N11" s="6"/>
      <c r="O11" s="6"/>
    </row>
    <row r="12" spans="1:15" x14ac:dyDescent="0.35">
      <c r="A12" s="4" t="s">
        <v>142</v>
      </c>
      <c r="B12" s="4" t="s">
        <v>79</v>
      </c>
      <c r="C12" s="4" t="s">
        <v>143</v>
      </c>
      <c r="D12" s="4" t="s">
        <v>98</v>
      </c>
      <c r="E12" s="4" t="s">
        <v>144</v>
      </c>
      <c r="F12" s="4" t="s">
        <v>108</v>
      </c>
      <c r="G12" s="4" t="s">
        <v>145</v>
      </c>
      <c r="H12" s="4" t="s">
        <v>62</v>
      </c>
      <c r="I12" s="4" t="s">
        <v>146</v>
      </c>
      <c r="J12" s="4" t="s">
        <v>78</v>
      </c>
      <c r="K12" s="4"/>
      <c r="L12" s="5">
        <f t="shared" ca="1" si="0"/>
        <v>184</v>
      </c>
      <c r="M12" s="4" t="s">
        <v>136</v>
      </c>
      <c r="N12" s="4"/>
      <c r="O12" s="4"/>
    </row>
    <row r="13" spans="1:15" x14ac:dyDescent="0.35">
      <c r="A13" s="6" t="s">
        <v>147</v>
      </c>
      <c r="B13" s="6" t="s">
        <v>80</v>
      </c>
      <c r="C13" s="6" t="s">
        <v>148</v>
      </c>
      <c r="D13" s="6" t="s">
        <v>130</v>
      </c>
      <c r="E13" s="6" t="s">
        <v>149</v>
      </c>
      <c r="F13" s="6" t="s">
        <v>150</v>
      </c>
      <c r="G13" s="6" t="s">
        <v>151</v>
      </c>
      <c r="H13" s="6" t="s">
        <v>82</v>
      </c>
      <c r="I13" s="6" t="s">
        <v>152</v>
      </c>
      <c r="J13" s="6" t="s">
        <v>78</v>
      </c>
      <c r="K13" s="6"/>
      <c r="L13" s="7">
        <f t="shared" ca="1" si="0"/>
        <v>169</v>
      </c>
      <c r="M13" s="6" t="s">
        <v>136</v>
      </c>
      <c r="N13" s="6"/>
      <c r="O13" s="6"/>
    </row>
    <row r="14" spans="1:15" x14ac:dyDescent="0.35">
      <c r="A14" s="4"/>
      <c r="B14" s="4"/>
      <c r="C14" s="4"/>
      <c r="D14" s="4"/>
      <c r="E14" s="4"/>
      <c r="F14" s="4"/>
      <c r="G14" s="4"/>
      <c r="H14" s="4"/>
      <c r="I14" s="4"/>
      <c r="J14" s="4"/>
      <c r="K14" s="4"/>
      <c r="L14" s="4"/>
      <c r="M14" s="4"/>
      <c r="N14" s="4"/>
      <c r="O14" s="4"/>
    </row>
    <row r="15" spans="1:15" x14ac:dyDescent="0.35">
      <c r="A15" s="6"/>
      <c r="B15" s="6"/>
      <c r="C15" s="6"/>
      <c r="D15" s="6"/>
      <c r="E15" s="6"/>
      <c r="F15" s="6"/>
      <c r="G15" s="6"/>
      <c r="H15" s="6"/>
      <c r="I15" s="6"/>
      <c r="J15" s="6"/>
      <c r="K15" s="6"/>
      <c r="L15" s="6"/>
      <c r="M15" s="6"/>
      <c r="N15" s="6"/>
      <c r="O15" s="6"/>
    </row>
    <row r="16" spans="1:15" x14ac:dyDescent="0.35">
      <c r="A16" s="4"/>
      <c r="B16" s="4"/>
      <c r="C16" s="4"/>
      <c r="D16" s="4"/>
      <c r="E16" s="4"/>
      <c r="F16" s="4"/>
      <c r="G16" s="4"/>
      <c r="H16" s="4"/>
      <c r="I16" s="4"/>
      <c r="J16" s="4"/>
      <c r="K16" s="4"/>
      <c r="L16" s="4"/>
      <c r="M16" s="4"/>
      <c r="N16" s="4"/>
      <c r="O16" s="4"/>
    </row>
    <row r="17" spans="1:15" x14ac:dyDescent="0.35">
      <c r="A17" s="6"/>
      <c r="B17" s="6"/>
      <c r="C17" s="6"/>
      <c r="D17" s="6"/>
      <c r="E17" s="6"/>
      <c r="F17" s="6"/>
      <c r="G17" s="6"/>
      <c r="H17" s="6"/>
      <c r="I17" s="6"/>
      <c r="J17" s="6"/>
      <c r="K17" s="6"/>
      <c r="L17" s="6"/>
      <c r="M17" s="6"/>
      <c r="N17" s="6"/>
      <c r="O17" s="6"/>
    </row>
    <row r="18" spans="1:15" x14ac:dyDescent="0.35">
      <c r="A18" s="4"/>
      <c r="B18" s="4"/>
      <c r="C18" s="4"/>
      <c r="D18" s="4"/>
      <c r="E18" s="4"/>
      <c r="F18" s="4"/>
      <c r="G18" s="4"/>
      <c r="H18" s="4"/>
      <c r="I18" s="4"/>
      <c r="J18" s="4"/>
      <c r="K18" s="4"/>
      <c r="L18" s="4"/>
      <c r="M18" s="4"/>
      <c r="N18" s="4"/>
      <c r="O18" s="4"/>
    </row>
    <row r="19" spans="1:15" x14ac:dyDescent="0.35">
      <c r="A19" s="6"/>
      <c r="B19" s="6"/>
      <c r="C19" s="6"/>
      <c r="D19" s="6"/>
      <c r="E19" s="6"/>
      <c r="F19" s="6"/>
      <c r="G19" s="6"/>
      <c r="H19" s="6"/>
      <c r="I19" s="6"/>
      <c r="J19" s="6"/>
      <c r="K19" s="6"/>
      <c r="L19" s="6"/>
      <c r="M19" s="6"/>
      <c r="N19" s="6"/>
      <c r="O19" s="6"/>
    </row>
    <row r="20" spans="1:15" x14ac:dyDescent="0.35">
      <c r="A20" s="4"/>
      <c r="B20" s="4"/>
      <c r="C20" s="4"/>
      <c r="D20" s="4"/>
      <c r="E20" s="4"/>
      <c r="F20" s="4"/>
      <c r="G20" s="4"/>
      <c r="H20" s="4"/>
      <c r="I20" s="4"/>
      <c r="J20" s="4"/>
      <c r="K20" s="4"/>
      <c r="L20" s="4"/>
      <c r="M20" s="4"/>
      <c r="N20" s="4"/>
      <c r="O20" s="4"/>
    </row>
    <row r="21" spans="1:15" x14ac:dyDescent="0.35">
      <c r="A21" s="6"/>
      <c r="B21" s="6"/>
      <c r="C21" s="6"/>
      <c r="D21" s="6"/>
      <c r="E21" s="6"/>
      <c r="F21" s="6"/>
      <c r="G21" s="6"/>
      <c r="H21" s="6"/>
      <c r="I21" s="6"/>
      <c r="J21" s="6"/>
      <c r="K21" s="6"/>
      <c r="L21" s="6"/>
      <c r="M21" s="6"/>
      <c r="N21" s="6"/>
      <c r="O21" s="6"/>
    </row>
    <row r="22" spans="1:15" x14ac:dyDescent="0.35">
      <c r="A22" s="4"/>
      <c r="B22" s="4"/>
      <c r="C22" s="4"/>
      <c r="D22" s="4"/>
      <c r="E22" s="4"/>
      <c r="F22" s="4"/>
      <c r="G22" s="4"/>
      <c r="H22" s="4"/>
      <c r="I22" s="4"/>
      <c r="J22" s="4"/>
      <c r="K22" s="4"/>
      <c r="L22" s="4"/>
      <c r="M22" s="4"/>
      <c r="N22" s="4"/>
      <c r="O22" s="4"/>
    </row>
    <row r="23" spans="1:15" x14ac:dyDescent="0.35">
      <c r="A23" s="6"/>
      <c r="B23" s="6"/>
      <c r="C23" s="6"/>
      <c r="D23" s="6"/>
      <c r="E23" s="6"/>
      <c r="F23" s="6"/>
      <c r="G23" s="6"/>
      <c r="H23" s="6"/>
      <c r="I23" s="6"/>
      <c r="J23" s="6"/>
      <c r="K23" s="6"/>
      <c r="L23" s="6"/>
      <c r="M23" s="6"/>
      <c r="N23" s="6"/>
      <c r="O23" s="6"/>
    </row>
    <row r="24" spans="1:15" x14ac:dyDescent="0.35">
      <c r="A24" s="4"/>
      <c r="B24" s="4"/>
      <c r="C24" s="4"/>
      <c r="D24" s="4"/>
      <c r="E24" s="4"/>
      <c r="F24" s="4"/>
      <c r="G24" s="4"/>
      <c r="H24" s="4"/>
      <c r="I24" s="4"/>
      <c r="J24" s="4"/>
      <c r="K24" s="4"/>
      <c r="L24" s="4"/>
      <c r="M24" s="4"/>
      <c r="N24" s="4"/>
      <c r="O24" s="4"/>
    </row>
    <row r="25" spans="1:15" x14ac:dyDescent="0.35">
      <c r="A25" s="6"/>
      <c r="B25" s="6"/>
      <c r="C25" s="6"/>
      <c r="D25" s="6"/>
      <c r="E25" s="6"/>
      <c r="F25" s="6"/>
      <c r="G25" s="6"/>
      <c r="H25" s="6"/>
      <c r="I25" s="6"/>
      <c r="J25" s="6"/>
      <c r="K25" s="6"/>
      <c r="L25" s="6"/>
      <c r="M25" s="6"/>
      <c r="N25" s="6"/>
      <c r="O25" s="6"/>
    </row>
    <row r="26" spans="1:15" x14ac:dyDescent="0.35">
      <c r="A26" s="4"/>
      <c r="B26" s="4"/>
      <c r="C26" s="4"/>
      <c r="D26" s="4"/>
      <c r="E26" s="4"/>
      <c r="F26" s="4"/>
      <c r="G26" s="4"/>
      <c r="H26" s="4"/>
      <c r="I26" s="4"/>
      <c r="J26" s="4"/>
      <c r="K26" s="4"/>
      <c r="L26" s="4"/>
      <c r="M26" s="4"/>
      <c r="N26" s="4"/>
      <c r="O26" s="4"/>
    </row>
    <row r="27" spans="1:15" x14ac:dyDescent="0.35">
      <c r="A27" s="6"/>
      <c r="B27" s="6"/>
      <c r="C27" s="6"/>
      <c r="D27" s="6"/>
      <c r="E27" s="6"/>
      <c r="F27" s="6"/>
      <c r="G27" s="6"/>
      <c r="H27" s="6"/>
      <c r="I27" s="6"/>
      <c r="J27" s="6"/>
      <c r="K27" s="6"/>
      <c r="L27" s="6"/>
      <c r="M27" s="6"/>
      <c r="N27" s="6"/>
      <c r="O27" s="6"/>
    </row>
    <row r="28" spans="1:15" x14ac:dyDescent="0.35">
      <c r="A28" s="4"/>
      <c r="B28" s="4"/>
      <c r="C28" s="4"/>
      <c r="D28" s="4"/>
      <c r="E28" s="4"/>
      <c r="F28" s="4"/>
      <c r="G28" s="4"/>
      <c r="H28" s="4"/>
      <c r="I28" s="4"/>
      <c r="J28" s="4"/>
      <c r="K28" s="4"/>
      <c r="L28" s="4"/>
      <c r="M28" s="4"/>
      <c r="N28" s="4"/>
      <c r="O28" s="4"/>
    </row>
    <row r="29" spans="1:15" x14ac:dyDescent="0.35">
      <c r="A29" s="6"/>
      <c r="B29" s="6"/>
      <c r="C29" s="6"/>
      <c r="D29" s="6"/>
      <c r="E29" s="6"/>
      <c r="F29" s="6"/>
      <c r="G29" s="6"/>
      <c r="H29" s="6"/>
      <c r="I29" s="6"/>
      <c r="J29" s="6"/>
      <c r="K29" s="6"/>
      <c r="L29" s="6"/>
      <c r="M29" s="6"/>
      <c r="N29" s="6"/>
      <c r="O29" s="6"/>
    </row>
    <row r="30" spans="1:15" x14ac:dyDescent="0.35">
      <c r="A30" s="4"/>
      <c r="B30" s="4"/>
      <c r="C30" s="4"/>
      <c r="D30" s="4"/>
      <c r="E30" s="4"/>
      <c r="F30" s="4"/>
      <c r="G30" s="4"/>
      <c r="H30" s="4"/>
      <c r="I30" s="4"/>
      <c r="J30" s="4"/>
      <c r="K30" s="4"/>
      <c r="L30" s="4"/>
      <c r="M30" s="4"/>
      <c r="N30" s="4"/>
      <c r="O30" s="4"/>
    </row>
    <row r="31" spans="1:15" x14ac:dyDescent="0.35">
      <c r="A31" s="6"/>
      <c r="B31" s="6"/>
      <c r="C31" s="6"/>
      <c r="D31" s="6"/>
      <c r="E31" s="6"/>
      <c r="F31" s="6"/>
      <c r="G31" s="6"/>
      <c r="H31" s="6"/>
      <c r="I31" s="6"/>
      <c r="J31" s="6"/>
      <c r="K31" s="6"/>
      <c r="L31" s="6"/>
      <c r="M31" s="6"/>
      <c r="N31" s="6"/>
      <c r="O31" s="6"/>
    </row>
    <row r="32" spans="1:15" x14ac:dyDescent="0.35">
      <c r="A32" s="4"/>
      <c r="B32" s="4"/>
      <c r="C32" s="4"/>
      <c r="D32" s="4"/>
      <c r="E32" s="4"/>
      <c r="F32" s="4"/>
      <c r="G32" s="4"/>
      <c r="H32" s="4"/>
      <c r="I32" s="4"/>
      <c r="J32" s="4"/>
      <c r="K32" s="4"/>
      <c r="L32" s="4"/>
      <c r="M32" s="4"/>
      <c r="N32" s="4"/>
      <c r="O32" s="4"/>
    </row>
    <row r="33" spans="1:15" x14ac:dyDescent="0.35">
      <c r="A33" s="6"/>
      <c r="B33" s="6"/>
      <c r="C33" s="6"/>
      <c r="D33" s="6"/>
      <c r="E33" s="6"/>
      <c r="F33" s="6"/>
      <c r="G33" s="6"/>
      <c r="H33" s="6"/>
      <c r="I33" s="6"/>
      <c r="J33" s="6"/>
      <c r="K33" s="6"/>
      <c r="L33" s="6"/>
      <c r="M33" s="6"/>
      <c r="N33" s="6"/>
      <c r="O33" s="6"/>
    </row>
    <row r="34" spans="1:15" x14ac:dyDescent="0.35">
      <c r="A34" s="4"/>
      <c r="B34" s="4"/>
      <c r="C34" s="4"/>
      <c r="D34" s="4"/>
      <c r="E34" s="4"/>
      <c r="F34" s="4"/>
      <c r="G34" s="4"/>
      <c r="H34" s="4"/>
      <c r="I34" s="4"/>
      <c r="J34" s="4"/>
      <c r="K34" s="4"/>
      <c r="L34" s="4"/>
      <c r="M34" s="4"/>
      <c r="N34" s="4"/>
      <c r="O34" s="4"/>
    </row>
    <row r="35" spans="1:15" x14ac:dyDescent="0.35">
      <c r="A35" s="6"/>
      <c r="B35" s="6"/>
      <c r="C35" s="6"/>
      <c r="D35" s="6"/>
      <c r="E35" s="6"/>
      <c r="F35" s="6"/>
      <c r="G35" s="6"/>
      <c r="H35" s="6"/>
      <c r="I35" s="6"/>
      <c r="J35" s="6"/>
      <c r="K35" s="6"/>
      <c r="L35" s="6"/>
      <c r="M35" s="6"/>
      <c r="N35" s="6"/>
      <c r="O35" s="6"/>
    </row>
    <row r="36" spans="1:15" x14ac:dyDescent="0.35">
      <c r="A36" s="4"/>
      <c r="B36" s="4"/>
      <c r="C36" s="4"/>
      <c r="D36" s="4"/>
      <c r="E36" s="4"/>
      <c r="F36" s="4"/>
      <c r="G36" s="4"/>
      <c r="H36" s="4"/>
      <c r="I36" s="4"/>
      <c r="J36" s="4"/>
      <c r="K36" s="4"/>
      <c r="L36" s="4"/>
      <c r="M36" s="4"/>
      <c r="N36" s="4"/>
      <c r="O36" s="4"/>
    </row>
    <row r="37" spans="1:15" x14ac:dyDescent="0.35">
      <c r="A37" s="6"/>
      <c r="B37" s="6"/>
      <c r="C37" s="6"/>
      <c r="D37" s="6"/>
      <c r="E37" s="6"/>
      <c r="F37" s="6"/>
      <c r="G37" s="6"/>
      <c r="H37" s="6"/>
      <c r="I37" s="6"/>
      <c r="J37" s="6"/>
      <c r="K37" s="6"/>
      <c r="L37" s="6"/>
      <c r="M37" s="6"/>
      <c r="N37" s="6"/>
      <c r="O37" s="6"/>
    </row>
    <row r="38" spans="1:15" x14ac:dyDescent="0.35">
      <c r="A38" s="4"/>
      <c r="B38" s="4"/>
      <c r="C38" s="4"/>
      <c r="D38" s="4"/>
      <c r="E38" s="4"/>
      <c r="F38" s="4"/>
      <c r="G38" s="4"/>
      <c r="H38" s="4"/>
      <c r="I38" s="4"/>
      <c r="J38" s="4"/>
      <c r="K38" s="4"/>
      <c r="L38" s="4"/>
      <c r="M38" s="4"/>
      <c r="N38" s="4"/>
      <c r="O38" s="4"/>
    </row>
    <row r="39" spans="1:15" x14ac:dyDescent="0.35">
      <c r="A39" s="6"/>
      <c r="B39" s="6"/>
      <c r="C39" s="6"/>
      <c r="D39" s="6"/>
      <c r="E39" s="6"/>
      <c r="F39" s="6"/>
      <c r="G39" s="6"/>
      <c r="H39" s="6"/>
      <c r="I39" s="6"/>
      <c r="J39" s="6"/>
      <c r="K39" s="6"/>
      <c r="L39" s="6"/>
      <c r="M39" s="6"/>
      <c r="N39" s="6"/>
      <c r="O39" s="6"/>
    </row>
    <row r="40" spans="1:15" x14ac:dyDescent="0.35">
      <c r="A40" s="4"/>
      <c r="B40" s="4"/>
      <c r="C40" s="4"/>
      <c r="D40" s="4"/>
      <c r="E40" s="4"/>
      <c r="F40" s="4"/>
      <c r="G40" s="4"/>
      <c r="H40" s="4"/>
      <c r="I40" s="4"/>
      <c r="J40" s="4"/>
      <c r="K40" s="4"/>
      <c r="L40" s="4"/>
      <c r="M40" s="4"/>
      <c r="N40" s="4"/>
      <c r="O40" s="4"/>
    </row>
    <row r="41" spans="1:15" x14ac:dyDescent="0.35">
      <c r="A41" s="6"/>
      <c r="B41" s="6"/>
      <c r="C41" s="6"/>
      <c r="D41" s="6"/>
      <c r="E41" s="6"/>
      <c r="F41" s="6"/>
      <c r="G41" s="6"/>
      <c r="H41" s="6"/>
      <c r="I41" s="6"/>
      <c r="J41" s="6"/>
      <c r="K41" s="6"/>
      <c r="L41" s="6"/>
      <c r="M41" s="6"/>
      <c r="N41" s="6"/>
      <c r="O41" s="6"/>
    </row>
    <row r="42" spans="1:15" x14ac:dyDescent="0.35">
      <c r="A42" s="4"/>
      <c r="B42" s="4"/>
      <c r="C42" s="4"/>
      <c r="D42" s="4"/>
      <c r="E42" s="4"/>
      <c r="F42" s="4"/>
      <c r="G42" s="4"/>
      <c r="H42" s="4"/>
      <c r="I42" s="4"/>
      <c r="J42" s="4"/>
      <c r="K42" s="4"/>
      <c r="L42" s="4"/>
      <c r="M42" s="4"/>
      <c r="N42" s="4"/>
      <c r="O42" s="4"/>
    </row>
    <row r="43" spans="1:15" x14ac:dyDescent="0.35">
      <c r="A43" s="6"/>
      <c r="B43" s="6"/>
      <c r="C43" s="6"/>
      <c r="D43" s="6"/>
      <c r="E43" s="6"/>
      <c r="F43" s="6"/>
      <c r="G43" s="6"/>
      <c r="H43" s="6"/>
      <c r="I43" s="6"/>
      <c r="J43" s="6"/>
      <c r="K43" s="6"/>
      <c r="L43" s="6"/>
      <c r="M43" s="6"/>
      <c r="N43" s="6"/>
      <c r="O43" s="6"/>
    </row>
    <row r="44" spans="1:15" x14ac:dyDescent="0.35">
      <c r="A44" s="4"/>
      <c r="B44" s="4"/>
      <c r="C44" s="4"/>
      <c r="D44" s="4"/>
      <c r="E44" s="4"/>
      <c r="F44" s="4"/>
      <c r="G44" s="4"/>
      <c r="H44" s="4"/>
      <c r="I44" s="4"/>
      <c r="J44" s="4"/>
      <c r="K44" s="4"/>
      <c r="L44" s="4"/>
      <c r="M44" s="4"/>
      <c r="N44" s="4"/>
      <c r="O44" s="4"/>
    </row>
    <row r="45" spans="1:15" x14ac:dyDescent="0.35">
      <c r="A45" s="6"/>
      <c r="B45" s="6"/>
      <c r="C45" s="6"/>
      <c r="D45" s="6"/>
      <c r="E45" s="6"/>
      <c r="F45" s="6"/>
      <c r="G45" s="6"/>
      <c r="H45" s="6"/>
      <c r="I45" s="6"/>
      <c r="J45" s="6"/>
      <c r="K45" s="6"/>
      <c r="L45" s="6"/>
      <c r="M45" s="6"/>
      <c r="N45" s="6"/>
      <c r="O45" s="6"/>
    </row>
    <row r="46" spans="1:15" x14ac:dyDescent="0.35">
      <c r="A46" s="4"/>
      <c r="B46" s="4"/>
      <c r="C46" s="4"/>
      <c r="D46" s="4"/>
      <c r="E46" s="4"/>
      <c r="F46" s="4"/>
      <c r="G46" s="4"/>
      <c r="H46" s="4"/>
      <c r="I46" s="4"/>
      <c r="J46" s="4"/>
      <c r="K46" s="4"/>
      <c r="L46" s="4"/>
      <c r="M46" s="4"/>
      <c r="N46" s="4"/>
      <c r="O46" s="4"/>
    </row>
    <row r="47" spans="1:15" x14ac:dyDescent="0.35">
      <c r="A47" s="6"/>
      <c r="B47" s="6"/>
      <c r="C47" s="6"/>
      <c r="D47" s="6"/>
      <c r="E47" s="6"/>
      <c r="F47" s="6"/>
      <c r="G47" s="6"/>
      <c r="H47" s="6"/>
      <c r="I47" s="6"/>
      <c r="J47" s="6"/>
      <c r="K47" s="6"/>
      <c r="L47" s="6"/>
      <c r="M47" s="6"/>
      <c r="N47" s="6"/>
      <c r="O47" s="6"/>
    </row>
    <row r="48" spans="1:15" x14ac:dyDescent="0.35">
      <c r="A48" s="4"/>
      <c r="B48" s="4"/>
      <c r="C48" s="4"/>
      <c r="D48" s="4"/>
      <c r="E48" s="4"/>
      <c r="F48" s="4"/>
      <c r="G48" s="4"/>
      <c r="H48" s="4"/>
      <c r="I48" s="4"/>
      <c r="J48" s="4"/>
      <c r="K48" s="4"/>
      <c r="L48" s="4"/>
      <c r="M48" s="4"/>
      <c r="N48" s="4"/>
      <c r="O48" s="4"/>
    </row>
    <row r="49" spans="1:15" x14ac:dyDescent="0.35">
      <c r="A49" s="6"/>
      <c r="B49" s="6"/>
      <c r="C49" s="6"/>
      <c r="D49" s="6"/>
      <c r="E49" s="6"/>
      <c r="F49" s="6"/>
      <c r="G49" s="6"/>
      <c r="H49" s="6"/>
      <c r="I49" s="6"/>
      <c r="J49" s="6"/>
      <c r="K49" s="6"/>
      <c r="L49" s="6"/>
      <c r="M49" s="6"/>
      <c r="N49" s="6"/>
      <c r="O49" s="6"/>
    </row>
    <row r="50" spans="1:15" x14ac:dyDescent="0.35">
      <c r="A50" s="4"/>
      <c r="B50" s="4"/>
      <c r="C50" s="4"/>
      <c r="D50" s="4"/>
      <c r="E50" s="4"/>
      <c r="F50" s="4"/>
      <c r="G50" s="4"/>
      <c r="H50" s="4"/>
      <c r="I50" s="4"/>
      <c r="J50" s="4"/>
      <c r="K50" s="4"/>
      <c r="L50" s="4"/>
      <c r="M50" s="4"/>
      <c r="N50" s="4"/>
      <c r="O50" s="4"/>
    </row>
    <row r="51" spans="1:15" x14ac:dyDescent="0.35">
      <c r="A51" s="6"/>
      <c r="B51" s="6"/>
      <c r="C51" s="6"/>
      <c r="D51" s="6"/>
      <c r="E51" s="6"/>
      <c r="F51" s="6"/>
      <c r="G51" s="6"/>
      <c r="H51" s="6"/>
      <c r="I51" s="6"/>
      <c r="J51" s="6"/>
      <c r="K51" s="6"/>
      <c r="L51" s="6"/>
      <c r="M51" s="6"/>
      <c r="N51" s="6"/>
      <c r="O51" s="6"/>
    </row>
    <row r="52" spans="1:15" x14ac:dyDescent="0.35">
      <c r="A52" s="4"/>
      <c r="B52" s="4"/>
      <c r="C52" s="4"/>
      <c r="D52" s="4"/>
      <c r="E52" s="4"/>
      <c r="F52" s="4"/>
      <c r="G52" s="4"/>
      <c r="H52" s="4"/>
      <c r="I52" s="4"/>
      <c r="J52" s="4"/>
      <c r="K52" s="4"/>
      <c r="L52" s="4"/>
      <c r="M52" s="4"/>
      <c r="N52" s="4"/>
      <c r="O52" s="4"/>
    </row>
    <row r="53" spans="1:15" x14ac:dyDescent="0.35">
      <c r="A53" s="6"/>
      <c r="B53" s="6"/>
      <c r="C53" s="6"/>
      <c r="D53" s="6"/>
      <c r="E53" s="6"/>
      <c r="F53" s="6"/>
      <c r="G53" s="6"/>
      <c r="H53" s="6"/>
      <c r="I53" s="6"/>
      <c r="J53" s="6"/>
      <c r="K53" s="6"/>
      <c r="L53" s="6"/>
      <c r="M53" s="6"/>
      <c r="N53" s="6"/>
      <c r="O53" s="6"/>
    </row>
    <row r="54" spans="1:15" x14ac:dyDescent="0.35">
      <c r="A54" s="4"/>
      <c r="B54" s="4"/>
      <c r="C54" s="4"/>
      <c r="D54" s="4"/>
      <c r="E54" s="4"/>
      <c r="F54" s="4"/>
      <c r="G54" s="4"/>
      <c r="H54" s="4"/>
      <c r="I54" s="4"/>
      <c r="J54" s="4"/>
      <c r="K54" s="4"/>
      <c r="L54" s="4"/>
      <c r="M54" s="4"/>
      <c r="N54" s="4"/>
      <c r="O54" s="4"/>
    </row>
    <row r="55" spans="1:15" x14ac:dyDescent="0.35">
      <c r="A55" s="6"/>
      <c r="B55" s="6"/>
      <c r="C55" s="6"/>
      <c r="D55" s="6"/>
      <c r="E55" s="6"/>
      <c r="F55" s="6"/>
      <c r="G55" s="6"/>
      <c r="H55" s="6"/>
      <c r="I55" s="6"/>
      <c r="J55" s="6"/>
      <c r="K55" s="6"/>
      <c r="L55" s="6"/>
      <c r="M55" s="6"/>
      <c r="N55" s="6"/>
      <c r="O55" s="6"/>
    </row>
  </sheetData>
  <mergeCells count="1">
    <mergeCell ref="A1:O1"/>
  </mergeCells>
  <dataValidations count="1">
    <dataValidation type="list" allowBlank="1" sqref="J6:J55" xr:uid="{00000000-0002-0000-0200-000000000000}">
      <formula1>"Open,In Progress,Closed,Overdue"</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5"/>
  <sheetViews>
    <sheetView showGridLines="0" zoomScale="90" zoomScaleNormal="90" workbookViewId="0">
      <pane ySplit="5" topLeftCell="A6" activePane="bottomLeft" state="frozen"/>
      <selection pane="bottomLeft" activeCell="E15" sqref="E15"/>
    </sheetView>
  </sheetViews>
  <sheetFormatPr defaultColWidth="8.6328125" defaultRowHeight="14.5" x14ac:dyDescent="0.35"/>
  <cols>
    <col min="1" max="1" width="14.26953125" customWidth="1"/>
    <col min="2" max="2" width="12" customWidth="1"/>
    <col min="3" max="3" width="31.36328125" customWidth="1"/>
    <col min="4" max="4" width="21.6328125" customWidth="1"/>
    <col min="5" max="6" width="8" customWidth="1"/>
    <col min="7" max="7" width="7" customWidth="1"/>
    <col min="8" max="8" width="9" customWidth="1"/>
    <col min="9" max="9" width="12" customWidth="1"/>
    <col min="10" max="12" width="13" customWidth="1"/>
  </cols>
  <sheetData>
    <row r="1" spans="1:12" ht="25.5" customHeight="1" x14ac:dyDescent="0.35">
      <c r="A1" s="21" t="s">
        <v>153</v>
      </c>
      <c r="B1" s="21"/>
      <c r="C1" s="21"/>
      <c r="D1" s="21"/>
      <c r="E1" s="21"/>
      <c r="F1" s="21"/>
      <c r="G1" s="21"/>
      <c r="H1" s="21"/>
      <c r="I1" s="21"/>
      <c r="J1" s="21"/>
      <c r="K1" s="21"/>
      <c r="L1" s="21"/>
    </row>
    <row r="2" spans="1:12" x14ac:dyDescent="0.35">
      <c r="A2" s="2" t="s">
        <v>36</v>
      </c>
    </row>
    <row r="3" spans="1:12" x14ac:dyDescent="0.35">
      <c r="A3" s="2" t="s">
        <v>37</v>
      </c>
    </row>
    <row r="5" spans="1:12" ht="30" customHeight="1" x14ac:dyDescent="0.35">
      <c r="A5" s="3" t="s">
        <v>154</v>
      </c>
      <c r="B5" s="3" t="s">
        <v>155</v>
      </c>
      <c r="C5" s="3" t="s">
        <v>156</v>
      </c>
      <c r="D5" s="3" t="s">
        <v>157</v>
      </c>
      <c r="E5" s="3" t="s">
        <v>158</v>
      </c>
      <c r="F5" s="3" t="s">
        <v>159</v>
      </c>
      <c r="G5" s="3" t="s">
        <v>160</v>
      </c>
      <c r="H5" s="3" t="s">
        <v>161</v>
      </c>
      <c r="I5" s="3" t="s">
        <v>48</v>
      </c>
      <c r="J5" s="3" t="s">
        <v>162</v>
      </c>
      <c r="K5" s="3" t="s">
        <v>163</v>
      </c>
      <c r="L5" s="3" t="s">
        <v>164</v>
      </c>
    </row>
    <row r="6" spans="1:12" x14ac:dyDescent="0.35">
      <c r="A6" s="4" t="s">
        <v>165</v>
      </c>
      <c r="B6" s="22">
        <v>46043</v>
      </c>
      <c r="C6" s="4" t="s">
        <v>287</v>
      </c>
      <c r="D6" s="4" t="s">
        <v>288</v>
      </c>
      <c r="E6" s="4">
        <v>0</v>
      </c>
      <c r="F6" s="4">
        <v>0</v>
      </c>
      <c r="G6" s="4">
        <v>0</v>
      </c>
      <c r="H6" s="4">
        <v>0</v>
      </c>
      <c r="I6" s="4" t="s">
        <v>166</v>
      </c>
      <c r="J6" s="22">
        <v>46043</v>
      </c>
      <c r="K6" s="4" t="s">
        <v>289</v>
      </c>
      <c r="L6" s="4">
        <v>2027</v>
      </c>
    </row>
    <row r="7" spans="1:12" x14ac:dyDescent="0.35">
      <c r="A7" s="6" t="s">
        <v>165</v>
      </c>
      <c r="B7" s="23">
        <v>46049</v>
      </c>
      <c r="C7" s="6" t="s">
        <v>290</v>
      </c>
      <c r="D7" s="4" t="s">
        <v>288</v>
      </c>
      <c r="E7" s="6">
        <v>0</v>
      </c>
      <c r="F7" s="6">
        <v>0</v>
      </c>
      <c r="G7" s="6">
        <v>0</v>
      </c>
      <c r="H7" s="6">
        <v>0</v>
      </c>
      <c r="I7" s="6" t="s">
        <v>166</v>
      </c>
      <c r="J7" s="23">
        <v>46049</v>
      </c>
      <c r="K7" s="6" t="s">
        <v>289</v>
      </c>
      <c r="L7" s="6">
        <v>2027</v>
      </c>
    </row>
    <row r="8" spans="1:12" x14ac:dyDescent="0.35">
      <c r="A8" s="4" t="s">
        <v>293</v>
      </c>
      <c r="B8" s="22">
        <v>46154</v>
      </c>
      <c r="C8" s="4" t="s">
        <v>291</v>
      </c>
      <c r="D8" s="4" t="s">
        <v>292</v>
      </c>
      <c r="E8" s="4">
        <v>0</v>
      </c>
      <c r="F8" s="4">
        <v>0</v>
      </c>
      <c r="G8" s="4">
        <v>0</v>
      </c>
      <c r="H8" s="4"/>
      <c r="I8" s="4" t="s">
        <v>166</v>
      </c>
      <c r="J8" s="22">
        <v>46154</v>
      </c>
      <c r="K8" s="4" t="s">
        <v>289</v>
      </c>
      <c r="L8" s="4">
        <v>2027</v>
      </c>
    </row>
    <row r="9" spans="1:12" x14ac:dyDescent="0.35">
      <c r="A9" s="6" t="s">
        <v>295</v>
      </c>
      <c r="B9" s="23">
        <v>46156</v>
      </c>
      <c r="C9" s="6" t="s">
        <v>294</v>
      </c>
      <c r="D9" s="6" t="s">
        <v>292</v>
      </c>
      <c r="E9" s="6">
        <v>0</v>
      </c>
      <c r="F9" s="6">
        <v>0</v>
      </c>
      <c r="G9" s="6">
        <v>0</v>
      </c>
      <c r="H9" s="6">
        <v>0</v>
      </c>
      <c r="I9" s="6" t="s">
        <v>166</v>
      </c>
      <c r="J9" s="23">
        <v>46156</v>
      </c>
      <c r="K9" s="6" t="s">
        <v>289</v>
      </c>
      <c r="L9" s="6">
        <v>2027</v>
      </c>
    </row>
    <row r="10" spans="1:12" x14ac:dyDescent="0.35">
      <c r="A10" s="4" t="s">
        <v>167</v>
      </c>
      <c r="B10" s="22">
        <v>46227</v>
      </c>
      <c r="C10" s="6" t="s">
        <v>296</v>
      </c>
      <c r="D10" s="6" t="s">
        <v>292</v>
      </c>
      <c r="E10" s="4">
        <v>0</v>
      </c>
      <c r="F10" s="4">
        <v>0</v>
      </c>
      <c r="G10" s="4">
        <v>0</v>
      </c>
      <c r="H10" s="5">
        <v>0</v>
      </c>
      <c r="I10" s="4" t="s">
        <v>166</v>
      </c>
      <c r="J10" s="22">
        <v>46227</v>
      </c>
      <c r="K10" s="4" t="s">
        <v>289</v>
      </c>
      <c r="L10" s="4">
        <v>2027</v>
      </c>
    </row>
    <row r="11" spans="1:12" x14ac:dyDescent="0.35">
      <c r="A11" s="6" t="s">
        <v>297</v>
      </c>
      <c r="B11" s="23">
        <v>46287</v>
      </c>
      <c r="C11" s="6" t="s">
        <v>298</v>
      </c>
      <c r="D11" s="6" t="s">
        <v>292</v>
      </c>
      <c r="E11" s="6">
        <v>0</v>
      </c>
      <c r="F11" s="6">
        <v>0</v>
      </c>
      <c r="G11" s="6">
        <v>0</v>
      </c>
      <c r="H11" s="7">
        <v>0</v>
      </c>
      <c r="I11" s="6" t="s">
        <v>166</v>
      </c>
      <c r="J11" s="23">
        <v>46287</v>
      </c>
      <c r="K11" s="6" t="s">
        <v>289</v>
      </c>
      <c r="L11" s="6">
        <v>2027</v>
      </c>
    </row>
    <row r="12" spans="1:12" x14ac:dyDescent="0.35">
      <c r="A12" s="4" t="s">
        <v>299</v>
      </c>
      <c r="B12" s="22">
        <v>46288</v>
      </c>
      <c r="C12" s="6" t="s">
        <v>300</v>
      </c>
      <c r="D12" s="6" t="s">
        <v>292</v>
      </c>
      <c r="E12" s="4">
        <v>0</v>
      </c>
      <c r="F12" s="4">
        <v>0</v>
      </c>
      <c r="G12" s="4">
        <v>0</v>
      </c>
      <c r="H12" s="5">
        <v>0</v>
      </c>
      <c r="I12" s="4" t="s">
        <v>166</v>
      </c>
      <c r="J12" s="22">
        <v>46288</v>
      </c>
      <c r="K12" s="4" t="s">
        <v>289</v>
      </c>
      <c r="L12" s="4">
        <v>2027</v>
      </c>
    </row>
    <row r="13" spans="1:12" x14ac:dyDescent="0.35">
      <c r="A13" s="6"/>
      <c r="B13" s="6"/>
      <c r="C13" s="6"/>
      <c r="D13" s="6"/>
      <c r="E13" s="6"/>
      <c r="F13" s="6"/>
      <c r="G13" s="6"/>
      <c r="H13" s="6"/>
      <c r="I13" s="6"/>
      <c r="J13" s="6"/>
      <c r="K13" s="6"/>
      <c r="L13" s="6"/>
    </row>
    <row r="14" spans="1:12" x14ac:dyDescent="0.35">
      <c r="A14" s="4"/>
      <c r="B14" s="22"/>
      <c r="C14" s="4"/>
      <c r="D14" s="4"/>
      <c r="E14" s="4"/>
      <c r="F14" s="4"/>
      <c r="G14" s="4"/>
      <c r="H14" s="4"/>
      <c r="I14" s="4"/>
      <c r="J14" s="22"/>
      <c r="K14" s="4"/>
      <c r="L14" s="4"/>
    </row>
    <row r="15" spans="1:12" x14ac:dyDescent="0.35">
      <c r="A15" s="6"/>
      <c r="B15" s="23"/>
      <c r="C15" s="6"/>
      <c r="D15" s="4"/>
      <c r="E15" s="6"/>
      <c r="F15" s="6"/>
      <c r="G15" s="6"/>
      <c r="H15" s="6"/>
      <c r="I15" s="6"/>
      <c r="J15" s="23"/>
      <c r="K15" s="6"/>
      <c r="L15" s="6"/>
    </row>
    <row r="16" spans="1:12" x14ac:dyDescent="0.35">
      <c r="A16" s="4"/>
      <c r="B16" s="22"/>
      <c r="C16" s="4"/>
      <c r="D16" s="4"/>
      <c r="E16" s="4"/>
      <c r="F16" s="4"/>
      <c r="G16" s="4"/>
      <c r="H16" s="4"/>
      <c r="I16" s="4"/>
      <c r="J16" s="22"/>
      <c r="K16" s="4"/>
      <c r="L16" s="4"/>
    </row>
    <row r="17" spans="1:12" x14ac:dyDescent="0.35">
      <c r="A17" s="6"/>
      <c r="B17" s="23"/>
      <c r="C17" s="6"/>
      <c r="D17" s="6"/>
      <c r="E17" s="6"/>
      <c r="F17" s="6"/>
      <c r="G17" s="6"/>
      <c r="H17" s="6"/>
      <c r="I17" s="6"/>
      <c r="J17" s="23"/>
      <c r="K17" s="6"/>
      <c r="L17" s="6"/>
    </row>
    <row r="18" spans="1:12" x14ac:dyDescent="0.35">
      <c r="A18" s="4"/>
      <c r="B18" s="4"/>
      <c r="C18" s="4"/>
      <c r="D18" s="4"/>
      <c r="E18" s="4"/>
      <c r="F18" s="4"/>
      <c r="G18" s="4"/>
      <c r="H18" s="4"/>
      <c r="I18" s="4"/>
      <c r="J18" s="4"/>
      <c r="K18" s="4"/>
      <c r="L18" s="4"/>
    </row>
    <row r="19" spans="1:12" x14ac:dyDescent="0.35">
      <c r="A19" s="6"/>
      <c r="B19" s="6"/>
      <c r="C19" s="6"/>
      <c r="D19" s="6"/>
      <c r="E19" s="6"/>
      <c r="F19" s="6"/>
      <c r="G19" s="6"/>
      <c r="H19" s="6"/>
      <c r="I19" s="6"/>
      <c r="J19" s="6"/>
      <c r="K19" s="6"/>
      <c r="L19" s="6"/>
    </row>
    <row r="20" spans="1:12" x14ac:dyDescent="0.35">
      <c r="A20" s="4"/>
      <c r="B20" s="4"/>
      <c r="C20" s="4"/>
      <c r="D20" s="4"/>
      <c r="E20" s="4"/>
      <c r="F20" s="4"/>
      <c r="G20" s="4"/>
      <c r="H20" s="4"/>
      <c r="I20" s="4"/>
      <c r="J20" s="4"/>
      <c r="K20" s="4"/>
      <c r="L20" s="4"/>
    </row>
    <row r="21" spans="1:12" x14ac:dyDescent="0.35">
      <c r="A21" s="6"/>
      <c r="B21" s="6"/>
      <c r="C21" s="6"/>
      <c r="D21" s="6"/>
      <c r="E21" s="6"/>
      <c r="F21" s="6"/>
      <c r="G21" s="6"/>
      <c r="H21" s="6"/>
      <c r="I21" s="6"/>
      <c r="J21" s="6"/>
      <c r="K21" s="6"/>
      <c r="L21" s="6"/>
    </row>
    <row r="22" spans="1:12" x14ac:dyDescent="0.35">
      <c r="A22" s="4"/>
      <c r="B22" s="4"/>
      <c r="C22" s="4"/>
      <c r="D22" s="4"/>
      <c r="E22" s="4"/>
      <c r="F22" s="4"/>
      <c r="G22" s="4"/>
      <c r="H22" s="4"/>
      <c r="I22" s="4"/>
      <c r="J22" s="4"/>
      <c r="K22" s="4"/>
      <c r="L22" s="4"/>
    </row>
    <row r="23" spans="1:12" x14ac:dyDescent="0.35">
      <c r="A23" s="6"/>
      <c r="B23" s="6"/>
      <c r="C23" s="6"/>
      <c r="D23" s="6"/>
      <c r="E23" s="6"/>
      <c r="F23" s="6"/>
      <c r="G23" s="6"/>
      <c r="H23" s="6"/>
      <c r="I23" s="6"/>
      <c r="J23" s="6"/>
      <c r="K23" s="6"/>
      <c r="L23" s="6"/>
    </row>
    <row r="24" spans="1:12" x14ac:dyDescent="0.35">
      <c r="A24" s="4"/>
      <c r="B24" s="4"/>
      <c r="C24" s="4"/>
      <c r="D24" s="4"/>
      <c r="E24" s="4"/>
      <c r="F24" s="4"/>
      <c r="G24" s="4"/>
      <c r="H24" s="4"/>
      <c r="I24" s="4"/>
      <c r="J24" s="4"/>
      <c r="K24" s="4"/>
      <c r="L24" s="4"/>
    </row>
    <row r="25" spans="1:12" x14ac:dyDescent="0.35">
      <c r="A25" s="6"/>
      <c r="B25" s="6"/>
      <c r="C25" s="6"/>
      <c r="D25" s="6"/>
      <c r="E25" s="6"/>
      <c r="F25" s="6"/>
      <c r="G25" s="6"/>
      <c r="H25" s="6"/>
      <c r="I25" s="6"/>
      <c r="J25" s="6"/>
      <c r="K25" s="6"/>
      <c r="L25" s="6"/>
    </row>
    <row r="26" spans="1:12" x14ac:dyDescent="0.35">
      <c r="A26" s="4"/>
      <c r="B26" s="4"/>
      <c r="C26" s="4"/>
      <c r="D26" s="4"/>
      <c r="E26" s="4"/>
      <c r="F26" s="4"/>
      <c r="G26" s="4"/>
      <c r="H26" s="4"/>
      <c r="I26" s="4"/>
      <c r="J26" s="4"/>
      <c r="K26" s="4"/>
      <c r="L26" s="4"/>
    </row>
    <row r="27" spans="1:12" x14ac:dyDescent="0.35">
      <c r="A27" s="6"/>
      <c r="B27" s="6"/>
      <c r="C27" s="6"/>
      <c r="D27" s="6"/>
      <c r="E27" s="6"/>
      <c r="F27" s="6"/>
      <c r="G27" s="6"/>
      <c r="H27" s="6"/>
      <c r="I27" s="6"/>
      <c r="J27" s="6"/>
      <c r="K27" s="6"/>
      <c r="L27" s="6"/>
    </row>
    <row r="28" spans="1:12" x14ac:dyDescent="0.35">
      <c r="A28" s="4"/>
      <c r="B28" s="4"/>
      <c r="C28" s="4"/>
      <c r="D28" s="4"/>
      <c r="E28" s="4"/>
      <c r="F28" s="4"/>
      <c r="G28" s="4"/>
      <c r="H28" s="4"/>
      <c r="I28" s="4"/>
      <c r="J28" s="4"/>
      <c r="K28" s="4"/>
      <c r="L28" s="4"/>
    </row>
    <row r="29" spans="1:12" x14ac:dyDescent="0.35">
      <c r="A29" s="6"/>
      <c r="B29" s="6"/>
      <c r="C29" s="6"/>
      <c r="D29" s="6"/>
      <c r="E29" s="6"/>
      <c r="F29" s="6"/>
      <c r="G29" s="6"/>
      <c r="H29" s="6"/>
      <c r="I29" s="6"/>
      <c r="J29" s="6"/>
      <c r="K29" s="6"/>
      <c r="L29" s="6"/>
    </row>
    <row r="30" spans="1:12" x14ac:dyDescent="0.35">
      <c r="A30" s="4"/>
      <c r="B30" s="4"/>
      <c r="C30" s="4"/>
      <c r="D30" s="4"/>
      <c r="E30" s="4"/>
      <c r="F30" s="4"/>
      <c r="G30" s="4"/>
      <c r="H30" s="4"/>
      <c r="I30" s="4"/>
      <c r="J30" s="4"/>
      <c r="K30" s="4"/>
      <c r="L30" s="4"/>
    </row>
    <row r="31" spans="1:12" x14ac:dyDescent="0.35">
      <c r="A31" s="6"/>
      <c r="B31" s="6"/>
      <c r="C31" s="6"/>
      <c r="D31" s="6"/>
      <c r="E31" s="6"/>
      <c r="F31" s="6"/>
      <c r="G31" s="6"/>
      <c r="H31" s="6"/>
      <c r="I31" s="6"/>
      <c r="J31" s="6"/>
      <c r="K31" s="6"/>
      <c r="L31" s="6"/>
    </row>
    <row r="32" spans="1:12" x14ac:dyDescent="0.35">
      <c r="A32" s="4"/>
      <c r="B32" s="4"/>
      <c r="C32" s="4"/>
      <c r="D32" s="4"/>
      <c r="E32" s="4"/>
      <c r="F32" s="4"/>
      <c r="G32" s="4"/>
      <c r="H32" s="4"/>
      <c r="I32" s="4"/>
      <c r="J32" s="4"/>
      <c r="K32" s="4"/>
      <c r="L32" s="4"/>
    </row>
    <row r="33" spans="1:12" x14ac:dyDescent="0.35">
      <c r="A33" s="6"/>
      <c r="B33" s="6"/>
      <c r="C33" s="6"/>
      <c r="D33" s="6"/>
      <c r="E33" s="6"/>
      <c r="F33" s="6"/>
      <c r="G33" s="6"/>
      <c r="H33" s="6"/>
      <c r="I33" s="6"/>
      <c r="J33" s="6"/>
      <c r="K33" s="6"/>
      <c r="L33" s="6"/>
    </row>
    <row r="34" spans="1:12" x14ac:dyDescent="0.35">
      <c r="A34" s="4"/>
      <c r="B34" s="4"/>
      <c r="C34" s="4"/>
      <c r="D34" s="4"/>
      <c r="E34" s="4"/>
      <c r="F34" s="4"/>
      <c r="G34" s="4"/>
      <c r="H34" s="4"/>
      <c r="I34" s="4"/>
      <c r="J34" s="4"/>
      <c r="K34" s="4"/>
      <c r="L34" s="4"/>
    </row>
    <row r="35" spans="1:12" x14ac:dyDescent="0.35">
      <c r="A35" s="6"/>
      <c r="B35" s="6"/>
      <c r="C35" s="6"/>
      <c r="D35" s="6"/>
      <c r="E35" s="6"/>
      <c r="F35" s="6"/>
      <c r="G35" s="6"/>
      <c r="H35" s="6"/>
      <c r="I35" s="6"/>
      <c r="J35" s="6"/>
      <c r="K35" s="6"/>
      <c r="L35" s="6"/>
    </row>
    <row r="36" spans="1:12" x14ac:dyDescent="0.35">
      <c r="A36" s="4"/>
      <c r="B36" s="4"/>
      <c r="C36" s="4"/>
      <c r="D36" s="4"/>
      <c r="E36" s="4"/>
      <c r="F36" s="4"/>
      <c r="G36" s="4"/>
      <c r="H36" s="4"/>
      <c r="I36" s="4"/>
      <c r="J36" s="4"/>
      <c r="K36" s="4"/>
      <c r="L36" s="4"/>
    </row>
    <row r="37" spans="1:12" x14ac:dyDescent="0.35">
      <c r="A37" s="6"/>
      <c r="B37" s="6"/>
      <c r="C37" s="6"/>
      <c r="D37" s="6"/>
      <c r="E37" s="6"/>
      <c r="F37" s="6"/>
      <c r="G37" s="6"/>
      <c r="H37" s="6"/>
      <c r="I37" s="6"/>
      <c r="J37" s="6"/>
      <c r="K37" s="6"/>
      <c r="L37" s="6"/>
    </row>
    <row r="38" spans="1:12" x14ac:dyDescent="0.35">
      <c r="A38" s="4"/>
      <c r="B38" s="4"/>
      <c r="C38" s="4"/>
      <c r="D38" s="4"/>
      <c r="E38" s="4"/>
      <c r="F38" s="4"/>
      <c r="G38" s="4"/>
      <c r="H38" s="4"/>
      <c r="I38" s="4"/>
      <c r="J38" s="4"/>
      <c r="K38" s="4"/>
      <c r="L38" s="4"/>
    </row>
    <row r="39" spans="1:12" x14ac:dyDescent="0.35">
      <c r="A39" s="6"/>
      <c r="B39" s="6"/>
      <c r="C39" s="6"/>
      <c r="D39" s="6"/>
      <c r="E39" s="6"/>
      <c r="F39" s="6"/>
      <c r="G39" s="6"/>
      <c r="H39" s="6"/>
      <c r="I39" s="6"/>
      <c r="J39" s="6"/>
      <c r="K39" s="6"/>
      <c r="L39" s="6"/>
    </row>
    <row r="40" spans="1:12" x14ac:dyDescent="0.35">
      <c r="A40" s="4"/>
      <c r="B40" s="4"/>
      <c r="C40" s="4"/>
      <c r="D40" s="4"/>
      <c r="E40" s="4"/>
      <c r="F40" s="4"/>
      <c r="G40" s="4"/>
      <c r="H40" s="4"/>
      <c r="I40" s="4"/>
      <c r="J40" s="4"/>
      <c r="K40" s="4"/>
      <c r="L40" s="4"/>
    </row>
    <row r="41" spans="1:12" x14ac:dyDescent="0.35">
      <c r="A41" s="6"/>
      <c r="B41" s="6"/>
      <c r="C41" s="6"/>
      <c r="D41" s="6"/>
      <c r="E41" s="6"/>
      <c r="F41" s="6"/>
      <c r="G41" s="6"/>
      <c r="H41" s="6"/>
      <c r="I41" s="6"/>
      <c r="J41" s="6"/>
      <c r="K41" s="6"/>
      <c r="L41" s="6"/>
    </row>
    <row r="42" spans="1:12" x14ac:dyDescent="0.35">
      <c r="A42" s="4"/>
      <c r="B42" s="4"/>
      <c r="C42" s="4"/>
      <c r="D42" s="4"/>
      <c r="E42" s="4"/>
      <c r="F42" s="4"/>
      <c r="G42" s="4"/>
      <c r="H42" s="4"/>
      <c r="I42" s="4"/>
      <c r="J42" s="4"/>
      <c r="K42" s="4"/>
      <c r="L42" s="4"/>
    </row>
    <row r="43" spans="1:12" x14ac:dyDescent="0.35">
      <c r="A43" s="6"/>
      <c r="B43" s="6"/>
      <c r="C43" s="6"/>
      <c r="D43" s="6"/>
      <c r="E43" s="6"/>
      <c r="F43" s="6"/>
      <c r="G43" s="6"/>
      <c r="H43" s="6"/>
      <c r="I43" s="6"/>
      <c r="J43" s="6"/>
      <c r="K43" s="6"/>
      <c r="L43" s="6"/>
    </row>
    <row r="44" spans="1:12" x14ac:dyDescent="0.35">
      <c r="A44" s="4"/>
      <c r="B44" s="4"/>
      <c r="C44" s="4"/>
      <c r="D44" s="4"/>
      <c r="E44" s="4"/>
      <c r="F44" s="4"/>
      <c r="G44" s="4"/>
      <c r="H44" s="4"/>
      <c r="I44" s="4"/>
      <c r="J44" s="4"/>
      <c r="K44" s="4"/>
      <c r="L44" s="4"/>
    </row>
    <row r="45" spans="1:12" x14ac:dyDescent="0.35">
      <c r="A45" s="6"/>
      <c r="B45" s="6"/>
      <c r="C45" s="6"/>
      <c r="D45" s="6"/>
      <c r="E45" s="6"/>
      <c r="F45" s="6"/>
      <c r="G45" s="6"/>
      <c r="H45" s="6"/>
      <c r="I45" s="6"/>
      <c r="J45" s="6"/>
      <c r="K45" s="6"/>
      <c r="L45" s="6"/>
    </row>
    <row r="46" spans="1:12" x14ac:dyDescent="0.35">
      <c r="A46" s="4"/>
      <c r="B46" s="4"/>
      <c r="C46" s="4"/>
      <c r="D46" s="4"/>
      <c r="E46" s="4"/>
      <c r="F46" s="4"/>
      <c r="G46" s="4"/>
      <c r="H46" s="4"/>
      <c r="I46" s="4"/>
      <c r="J46" s="4"/>
      <c r="K46" s="4"/>
      <c r="L46" s="4"/>
    </row>
    <row r="47" spans="1:12" x14ac:dyDescent="0.35">
      <c r="A47" s="6"/>
      <c r="B47" s="6"/>
      <c r="C47" s="6"/>
      <c r="D47" s="6"/>
      <c r="E47" s="6"/>
      <c r="F47" s="6"/>
      <c r="G47" s="6"/>
      <c r="H47" s="6"/>
      <c r="I47" s="6"/>
      <c r="J47" s="6"/>
      <c r="K47" s="6"/>
      <c r="L47" s="6"/>
    </row>
    <row r="48" spans="1:12" x14ac:dyDescent="0.35">
      <c r="A48" s="4"/>
      <c r="B48" s="4"/>
      <c r="C48" s="4"/>
      <c r="D48" s="4"/>
      <c r="E48" s="4"/>
      <c r="F48" s="4"/>
      <c r="G48" s="4"/>
      <c r="H48" s="4"/>
      <c r="I48" s="4"/>
      <c r="J48" s="4"/>
      <c r="K48" s="4"/>
      <c r="L48" s="4"/>
    </row>
    <row r="49" spans="1:12" x14ac:dyDescent="0.35">
      <c r="A49" s="6"/>
      <c r="B49" s="6"/>
      <c r="C49" s="6"/>
      <c r="D49" s="6"/>
      <c r="E49" s="6"/>
      <c r="F49" s="6"/>
      <c r="G49" s="6"/>
      <c r="H49" s="6"/>
      <c r="I49" s="6"/>
      <c r="J49" s="6"/>
      <c r="K49" s="6"/>
      <c r="L49" s="6"/>
    </row>
    <row r="50" spans="1:12" x14ac:dyDescent="0.35">
      <c r="A50" s="4"/>
      <c r="B50" s="4"/>
      <c r="C50" s="4"/>
      <c r="D50" s="4"/>
      <c r="E50" s="4"/>
      <c r="F50" s="4"/>
      <c r="G50" s="4"/>
      <c r="H50" s="4"/>
      <c r="I50" s="4"/>
      <c r="J50" s="4"/>
      <c r="K50" s="4"/>
      <c r="L50" s="4"/>
    </row>
    <row r="51" spans="1:12" x14ac:dyDescent="0.35">
      <c r="A51" s="6"/>
      <c r="B51" s="6"/>
      <c r="C51" s="6"/>
      <c r="D51" s="6"/>
      <c r="E51" s="6"/>
      <c r="F51" s="6"/>
      <c r="G51" s="6"/>
      <c r="H51" s="6"/>
      <c r="I51" s="6"/>
      <c r="J51" s="6"/>
      <c r="K51" s="6"/>
      <c r="L51" s="6"/>
    </row>
    <row r="52" spans="1:12" x14ac:dyDescent="0.35">
      <c r="A52" s="4"/>
      <c r="B52" s="4"/>
      <c r="C52" s="4"/>
      <c r="D52" s="4"/>
      <c r="E52" s="4"/>
      <c r="F52" s="4"/>
      <c r="G52" s="4"/>
      <c r="H52" s="4"/>
      <c r="I52" s="4"/>
      <c r="J52" s="4"/>
      <c r="K52" s="4"/>
      <c r="L52" s="4"/>
    </row>
    <row r="53" spans="1:12" x14ac:dyDescent="0.35">
      <c r="A53" s="6"/>
      <c r="B53" s="6"/>
      <c r="C53" s="6"/>
      <c r="D53" s="6"/>
      <c r="E53" s="6"/>
      <c r="F53" s="6"/>
      <c r="G53" s="6"/>
      <c r="H53" s="6"/>
      <c r="I53" s="6"/>
      <c r="J53" s="6"/>
      <c r="K53" s="6"/>
      <c r="L53" s="6"/>
    </row>
    <row r="54" spans="1:12" x14ac:dyDescent="0.35">
      <c r="A54" s="4"/>
      <c r="B54" s="4"/>
      <c r="C54" s="4"/>
      <c r="D54" s="4"/>
      <c r="E54" s="4"/>
      <c r="F54" s="4"/>
      <c r="G54" s="4"/>
      <c r="H54" s="4"/>
      <c r="I54" s="4"/>
      <c r="J54" s="4"/>
      <c r="K54" s="4"/>
      <c r="L54" s="4"/>
    </row>
    <row r="55" spans="1:12" x14ac:dyDescent="0.35">
      <c r="A55" s="6"/>
      <c r="B55" s="6"/>
      <c r="C55" s="6"/>
      <c r="D55" s="6"/>
      <c r="E55" s="6"/>
      <c r="F55" s="6"/>
      <c r="G55" s="6"/>
      <c r="H55" s="6"/>
      <c r="I55" s="6"/>
      <c r="J55" s="6"/>
      <c r="K55" s="6"/>
      <c r="L55" s="6"/>
    </row>
  </sheetData>
  <mergeCells count="1">
    <mergeCell ref="A1:L1"/>
  </mergeCells>
  <dataValidations count="1">
    <dataValidation type="list" allowBlank="1" sqref="I6:I55" xr:uid="{00000000-0002-0000-0300-000000000000}">
      <formula1>"Planned,Completed,Overdue"</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5"/>
  <sheetViews>
    <sheetView showGridLines="0" zoomScale="90" zoomScaleNormal="90" workbookViewId="0">
      <pane ySplit="5" topLeftCell="A6" activePane="bottomLeft" state="frozen"/>
      <selection pane="bottomLeft" activeCell="I16" sqref="I16"/>
    </sheetView>
  </sheetViews>
  <sheetFormatPr defaultColWidth="8.6328125" defaultRowHeight="14.5" x14ac:dyDescent="0.35"/>
  <cols>
    <col min="1" max="1" width="11" customWidth="1"/>
    <col min="2" max="2" width="14" customWidth="1"/>
    <col min="3" max="3" width="33.6328125" customWidth="1"/>
    <col min="4" max="4" width="14" customWidth="1"/>
    <col min="5" max="5" width="13" customWidth="1"/>
    <col min="6" max="6" width="14" customWidth="1"/>
    <col min="7" max="7" width="15" customWidth="1"/>
    <col min="8" max="9" width="11" customWidth="1"/>
    <col min="10" max="10" width="15" customWidth="1"/>
  </cols>
  <sheetData>
    <row r="1" spans="1:10" ht="25.5" customHeight="1" x14ac:dyDescent="0.35">
      <c r="A1" s="21" t="s">
        <v>168</v>
      </c>
      <c r="B1" s="21"/>
      <c r="C1" s="21"/>
      <c r="D1" s="21"/>
      <c r="E1" s="21"/>
      <c r="F1" s="21"/>
      <c r="G1" s="21"/>
      <c r="H1" s="21"/>
      <c r="I1" s="21"/>
      <c r="J1" s="21"/>
    </row>
    <row r="2" spans="1:10" x14ac:dyDescent="0.35">
      <c r="A2" s="2" t="s">
        <v>36</v>
      </c>
    </row>
    <row r="3" spans="1:10" x14ac:dyDescent="0.35">
      <c r="A3" s="2" t="s">
        <v>37</v>
      </c>
    </row>
    <row r="5" spans="1:10" ht="30" customHeight="1" x14ac:dyDescent="0.35">
      <c r="A5" s="3" t="s">
        <v>169</v>
      </c>
      <c r="B5" s="3" t="s">
        <v>170</v>
      </c>
      <c r="C5" s="3" t="s">
        <v>171</v>
      </c>
      <c r="D5" s="3" t="s">
        <v>172</v>
      </c>
      <c r="E5" s="3" t="s">
        <v>173</v>
      </c>
      <c r="F5" s="3" t="s">
        <v>174</v>
      </c>
      <c r="G5" s="3" t="s">
        <v>175</v>
      </c>
      <c r="H5" s="3" t="s">
        <v>176</v>
      </c>
      <c r="I5" s="3" t="s">
        <v>48</v>
      </c>
      <c r="J5" s="3" t="s">
        <v>177</v>
      </c>
    </row>
    <row r="6" spans="1:10" x14ac:dyDescent="0.35">
      <c r="A6" s="4"/>
      <c r="B6" s="4"/>
      <c r="C6" s="4"/>
      <c r="D6" s="4"/>
      <c r="E6" s="4"/>
      <c r="F6" s="4"/>
      <c r="G6" s="4"/>
      <c r="H6" s="4"/>
      <c r="I6" s="4" t="s">
        <v>57</v>
      </c>
      <c r="J6" s="4"/>
    </row>
    <row r="7" spans="1:10" x14ac:dyDescent="0.35">
      <c r="A7" s="6"/>
      <c r="B7" s="6"/>
      <c r="C7" s="6"/>
      <c r="D7" s="6"/>
      <c r="E7" s="6"/>
      <c r="F7" s="6"/>
      <c r="G7" s="6"/>
      <c r="H7" s="6"/>
      <c r="I7" s="6" t="s">
        <v>57</v>
      </c>
      <c r="J7" s="6"/>
    </row>
    <row r="8" spans="1:10" x14ac:dyDescent="0.35">
      <c r="A8" s="4"/>
      <c r="B8" s="4"/>
      <c r="C8" s="4"/>
      <c r="D8" s="4"/>
      <c r="E8" s="4"/>
      <c r="F8" s="4"/>
      <c r="G8" s="4"/>
      <c r="H8" s="4"/>
      <c r="I8" s="4" t="s">
        <v>57</v>
      </c>
      <c r="J8" s="4"/>
    </row>
    <row r="9" spans="1:10" x14ac:dyDescent="0.35">
      <c r="A9" s="6"/>
      <c r="B9" s="6"/>
      <c r="C9" s="6"/>
      <c r="D9" s="6"/>
      <c r="E9" s="6"/>
      <c r="F9" s="6"/>
      <c r="G9" s="6"/>
      <c r="H9" s="6"/>
      <c r="I9" s="6" t="s">
        <v>135</v>
      </c>
      <c r="J9" s="6"/>
    </row>
    <row r="10" spans="1:10" x14ac:dyDescent="0.35">
      <c r="A10" s="4"/>
      <c r="B10" s="4"/>
      <c r="C10" s="4"/>
      <c r="D10" s="4"/>
      <c r="E10" s="4"/>
      <c r="F10" s="4"/>
      <c r="G10" s="4"/>
      <c r="H10" s="4"/>
      <c r="I10" s="4" t="s">
        <v>57</v>
      </c>
      <c r="J10" s="4"/>
    </row>
    <row r="11" spans="1:10" x14ac:dyDescent="0.35">
      <c r="A11" s="6"/>
      <c r="B11" s="6"/>
      <c r="C11" s="6"/>
      <c r="D11" s="6"/>
      <c r="E11" s="6"/>
      <c r="F11" s="6"/>
      <c r="G11" s="6"/>
      <c r="H11" s="6"/>
      <c r="I11" s="6" t="s">
        <v>57</v>
      </c>
      <c r="J11" s="6"/>
    </row>
    <row r="12" spans="1:10" x14ac:dyDescent="0.35">
      <c r="A12" s="4"/>
      <c r="B12" s="4"/>
      <c r="C12" s="4"/>
      <c r="D12" s="4"/>
      <c r="E12" s="4"/>
      <c r="F12" s="4"/>
      <c r="G12" s="4"/>
      <c r="H12" s="4"/>
      <c r="I12" s="4" t="s">
        <v>182</v>
      </c>
      <c r="J12" s="4"/>
    </row>
    <row r="13" spans="1:10" x14ac:dyDescent="0.35">
      <c r="A13" s="6"/>
      <c r="B13" s="6"/>
      <c r="C13" s="6"/>
      <c r="D13" s="6"/>
      <c r="E13" s="6"/>
      <c r="F13" s="6"/>
      <c r="G13" s="6"/>
      <c r="H13" s="6"/>
      <c r="I13" s="6"/>
      <c r="J13" s="6"/>
    </row>
    <row r="14" spans="1:10" x14ac:dyDescent="0.35">
      <c r="A14" s="4"/>
      <c r="B14" s="4"/>
      <c r="C14" s="4"/>
      <c r="D14" s="4"/>
      <c r="E14" s="4"/>
      <c r="F14" s="4"/>
      <c r="G14" s="4"/>
      <c r="H14" s="4"/>
      <c r="I14" s="4"/>
      <c r="J14" s="4"/>
    </row>
    <row r="15" spans="1:10" x14ac:dyDescent="0.35">
      <c r="A15" s="6"/>
      <c r="B15" s="6"/>
      <c r="C15" s="6"/>
      <c r="D15" s="6"/>
      <c r="E15" s="6"/>
      <c r="F15" s="6"/>
      <c r="G15" s="6"/>
      <c r="H15" s="6"/>
      <c r="I15" s="6"/>
      <c r="J15" s="6"/>
    </row>
    <row r="16" spans="1:10" x14ac:dyDescent="0.35">
      <c r="A16" s="4"/>
      <c r="B16" s="4"/>
      <c r="C16" s="4"/>
      <c r="D16" s="4"/>
      <c r="E16" s="4"/>
      <c r="F16" s="4"/>
      <c r="G16" s="4"/>
      <c r="H16" s="4"/>
      <c r="I16" s="4"/>
      <c r="J16" s="4"/>
    </row>
    <row r="17" spans="1:10" x14ac:dyDescent="0.35">
      <c r="A17" s="6"/>
      <c r="B17" s="6"/>
      <c r="C17" s="6"/>
      <c r="D17" s="6"/>
      <c r="E17" s="6"/>
      <c r="F17" s="6"/>
      <c r="G17" s="6"/>
      <c r="H17" s="6"/>
      <c r="I17" s="6"/>
      <c r="J17" s="6"/>
    </row>
    <row r="18" spans="1:10" x14ac:dyDescent="0.35">
      <c r="A18" s="4"/>
      <c r="B18" s="4"/>
      <c r="C18" s="4"/>
      <c r="D18" s="4"/>
      <c r="E18" s="4"/>
      <c r="F18" s="4"/>
      <c r="G18" s="4"/>
      <c r="H18" s="4"/>
      <c r="I18" s="4"/>
      <c r="J18" s="4"/>
    </row>
    <row r="19" spans="1:10" x14ac:dyDescent="0.35">
      <c r="A19" s="6"/>
      <c r="B19" s="6"/>
      <c r="C19" s="6"/>
      <c r="D19" s="6"/>
      <c r="E19" s="6"/>
      <c r="F19" s="6"/>
      <c r="G19" s="6"/>
      <c r="H19" s="6"/>
      <c r="I19" s="6"/>
      <c r="J19" s="6"/>
    </row>
    <row r="20" spans="1:10" x14ac:dyDescent="0.35">
      <c r="A20" s="4"/>
      <c r="B20" s="4"/>
      <c r="C20" s="4"/>
      <c r="D20" s="4"/>
      <c r="E20" s="4"/>
      <c r="F20" s="4"/>
      <c r="G20" s="4"/>
      <c r="H20" s="4"/>
      <c r="I20" s="4"/>
      <c r="J20" s="4"/>
    </row>
    <row r="21" spans="1:10" x14ac:dyDescent="0.35">
      <c r="A21" s="6"/>
      <c r="B21" s="6"/>
      <c r="C21" s="6"/>
      <c r="D21" s="6"/>
      <c r="E21" s="6"/>
      <c r="F21" s="6"/>
      <c r="G21" s="6"/>
      <c r="H21" s="6"/>
      <c r="I21" s="6"/>
      <c r="J21" s="6"/>
    </row>
    <row r="22" spans="1:10" x14ac:dyDescent="0.35">
      <c r="A22" s="4"/>
      <c r="B22" s="4"/>
      <c r="C22" s="4"/>
      <c r="D22" s="4"/>
      <c r="E22" s="4"/>
      <c r="F22" s="4"/>
      <c r="G22" s="4"/>
      <c r="H22" s="4"/>
      <c r="I22" s="4"/>
      <c r="J22" s="4"/>
    </row>
    <row r="23" spans="1:10" x14ac:dyDescent="0.35">
      <c r="A23" s="6"/>
      <c r="B23" s="6"/>
      <c r="C23" s="6"/>
      <c r="D23" s="6"/>
      <c r="E23" s="6"/>
      <c r="F23" s="6"/>
      <c r="G23" s="6"/>
      <c r="H23" s="6"/>
      <c r="I23" s="6"/>
      <c r="J23" s="6"/>
    </row>
    <row r="24" spans="1:10" x14ac:dyDescent="0.35">
      <c r="A24" s="4"/>
      <c r="B24" s="4"/>
      <c r="C24" s="4"/>
      <c r="D24" s="4"/>
      <c r="E24" s="4"/>
      <c r="F24" s="4"/>
      <c r="G24" s="4"/>
      <c r="H24" s="4"/>
      <c r="I24" s="4"/>
      <c r="J24" s="4"/>
    </row>
    <row r="25" spans="1:10" x14ac:dyDescent="0.35">
      <c r="A25" s="6"/>
      <c r="B25" s="6"/>
      <c r="C25" s="6"/>
      <c r="D25" s="6"/>
      <c r="E25" s="6"/>
      <c r="F25" s="6"/>
      <c r="G25" s="6"/>
      <c r="H25" s="6"/>
      <c r="I25" s="6"/>
      <c r="J25" s="6"/>
    </row>
    <row r="26" spans="1:10" x14ac:dyDescent="0.35">
      <c r="A26" s="4"/>
      <c r="B26" s="4"/>
      <c r="C26" s="4"/>
      <c r="D26" s="4"/>
      <c r="E26" s="4"/>
      <c r="F26" s="4"/>
      <c r="G26" s="4"/>
      <c r="H26" s="4"/>
      <c r="I26" s="4"/>
      <c r="J26" s="4"/>
    </row>
    <row r="27" spans="1:10" x14ac:dyDescent="0.35">
      <c r="A27" s="6"/>
      <c r="B27" s="6"/>
      <c r="C27" s="6"/>
      <c r="D27" s="6"/>
      <c r="E27" s="6"/>
      <c r="F27" s="6"/>
      <c r="G27" s="6"/>
      <c r="H27" s="6"/>
      <c r="I27" s="6"/>
      <c r="J27" s="6"/>
    </row>
    <row r="28" spans="1:10" x14ac:dyDescent="0.35">
      <c r="A28" s="4"/>
      <c r="B28" s="4"/>
      <c r="C28" s="4"/>
      <c r="D28" s="4"/>
      <c r="E28" s="4"/>
      <c r="F28" s="4"/>
      <c r="G28" s="4"/>
      <c r="H28" s="4"/>
      <c r="I28" s="4"/>
      <c r="J28" s="4"/>
    </row>
    <row r="29" spans="1:10" x14ac:dyDescent="0.35">
      <c r="A29" s="6"/>
      <c r="B29" s="6"/>
      <c r="C29" s="6"/>
      <c r="D29" s="6"/>
      <c r="E29" s="6"/>
      <c r="F29" s="6"/>
      <c r="G29" s="6"/>
      <c r="H29" s="6"/>
      <c r="I29" s="6"/>
      <c r="J29" s="6"/>
    </row>
    <row r="30" spans="1:10" x14ac:dyDescent="0.35">
      <c r="A30" s="4"/>
      <c r="B30" s="4"/>
      <c r="C30" s="4"/>
      <c r="D30" s="4"/>
      <c r="E30" s="4"/>
      <c r="F30" s="4"/>
      <c r="G30" s="4"/>
      <c r="H30" s="4"/>
      <c r="I30" s="4"/>
      <c r="J30" s="4"/>
    </row>
    <row r="31" spans="1:10" x14ac:dyDescent="0.35">
      <c r="A31" s="6"/>
      <c r="B31" s="6"/>
      <c r="C31" s="6"/>
      <c r="D31" s="6"/>
      <c r="E31" s="6"/>
      <c r="F31" s="6"/>
      <c r="G31" s="6"/>
      <c r="H31" s="6"/>
      <c r="I31" s="6"/>
      <c r="J31" s="6"/>
    </row>
    <row r="32" spans="1:10" x14ac:dyDescent="0.35">
      <c r="A32" s="4"/>
      <c r="B32" s="4"/>
      <c r="C32" s="4"/>
      <c r="D32" s="4"/>
      <c r="E32" s="4"/>
      <c r="F32" s="4"/>
      <c r="G32" s="4"/>
      <c r="H32" s="4"/>
      <c r="I32" s="4"/>
      <c r="J32" s="4"/>
    </row>
    <row r="33" spans="1:10" x14ac:dyDescent="0.35">
      <c r="A33" s="6"/>
      <c r="B33" s="6"/>
      <c r="C33" s="6"/>
      <c r="D33" s="6"/>
      <c r="E33" s="6"/>
      <c r="F33" s="6"/>
      <c r="G33" s="6"/>
      <c r="H33" s="6"/>
      <c r="I33" s="6"/>
      <c r="J33" s="6"/>
    </row>
    <row r="34" spans="1:10" x14ac:dyDescent="0.35">
      <c r="A34" s="4"/>
      <c r="B34" s="4"/>
      <c r="C34" s="4"/>
      <c r="D34" s="4"/>
      <c r="E34" s="4"/>
      <c r="F34" s="4"/>
      <c r="G34" s="4"/>
      <c r="H34" s="4"/>
      <c r="I34" s="4"/>
      <c r="J34" s="4"/>
    </row>
    <row r="35" spans="1:10" x14ac:dyDescent="0.35">
      <c r="A35" s="6"/>
      <c r="B35" s="6"/>
      <c r="C35" s="6"/>
      <c r="D35" s="6"/>
      <c r="E35" s="6"/>
      <c r="F35" s="6"/>
      <c r="G35" s="6"/>
      <c r="H35" s="6"/>
      <c r="I35" s="6"/>
      <c r="J35" s="6"/>
    </row>
    <row r="36" spans="1:10" x14ac:dyDescent="0.35">
      <c r="A36" s="4"/>
      <c r="B36" s="4"/>
      <c r="C36" s="4"/>
      <c r="D36" s="4"/>
      <c r="E36" s="4"/>
      <c r="F36" s="4"/>
      <c r="G36" s="4"/>
      <c r="H36" s="4"/>
      <c r="I36" s="4"/>
      <c r="J36" s="4"/>
    </row>
    <row r="37" spans="1:10" x14ac:dyDescent="0.35">
      <c r="A37" s="6"/>
      <c r="B37" s="6"/>
      <c r="C37" s="6"/>
      <c r="D37" s="6"/>
      <c r="E37" s="6"/>
      <c r="F37" s="6"/>
      <c r="G37" s="6"/>
      <c r="H37" s="6"/>
      <c r="I37" s="6"/>
      <c r="J37" s="6"/>
    </row>
    <row r="38" spans="1:10" x14ac:dyDescent="0.35">
      <c r="A38" s="4"/>
      <c r="B38" s="4"/>
      <c r="C38" s="4"/>
      <c r="D38" s="4"/>
      <c r="E38" s="4"/>
      <c r="F38" s="4"/>
      <c r="G38" s="4"/>
      <c r="H38" s="4"/>
      <c r="I38" s="4"/>
      <c r="J38" s="4"/>
    </row>
    <row r="39" spans="1:10" x14ac:dyDescent="0.35">
      <c r="A39" s="6"/>
      <c r="B39" s="6"/>
      <c r="C39" s="6"/>
      <c r="D39" s="6"/>
      <c r="E39" s="6"/>
      <c r="F39" s="6"/>
      <c r="G39" s="6"/>
      <c r="H39" s="6"/>
      <c r="I39" s="6"/>
      <c r="J39" s="6"/>
    </row>
    <row r="40" spans="1:10" x14ac:dyDescent="0.35">
      <c r="A40" s="4"/>
      <c r="B40" s="4"/>
      <c r="C40" s="4"/>
      <c r="D40" s="4"/>
      <c r="E40" s="4"/>
      <c r="F40" s="4"/>
      <c r="G40" s="4"/>
      <c r="H40" s="4"/>
      <c r="I40" s="4"/>
      <c r="J40" s="4"/>
    </row>
    <row r="41" spans="1:10" x14ac:dyDescent="0.35">
      <c r="A41" s="6"/>
      <c r="B41" s="6"/>
      <c r="C41" s="6"/>
      <c r="D41" s="6"/>
      <c r="E41" s="6"/>
      <c r="F41" s="6"/>
      <c r="G41" s="6"/>
      <c r="H41" s="6"/>
      <c r="I41" s="6"/>
      <c r="J41" s="6"/>
    </row>
    <row r="42" spans="1:10" x14ac:dyDescent="0.35">
      <c r="A42" s="4"/>
      <c r="B42" s="4"/>
      <c r="C42" s="4"/>
      <c r="D42" s="4"/>
      <c r="E42" s="4"/>
      <c r="F42" s="4"/>
      <c r="G42" s="4"/>
      <c r="H42" s="4"/>
      <c r="I42" s="4"/>
      <c r="J42" s="4"/>
    </row>
    <row r="43" spans="1:10" x14ac:dyDescent="0.35">
      <c r="A43" s="6"/>
      <c r="B43" s="6"/>
      <c r="C43" s="6"/>
      <c r="D43" s="6"/>
      <c r="E43" s="6"/>
      <c r="F43" s="6"/>
      <c r="G43" s="6"/>
      <c r="H43" s="6"/>
      <c r="I43" s="6"/>
      <c r="J43" s="6"/>
    </row>
    <row r="44" spans="1:10" x14ac:dyDescent="0.35">
      <c r="A44" s="4"/>
      <c r="B44" s="4"/>
      <c r="C44" s="4"/>
      <c r="D44" s="4"/>
      <c r="E44" s="4"/>
      <c r="F44" s="4"/>
      <c r="G44" s="4"/>
      <c r="H44" s="4"/>
      <c r="I44" s="4"/>
      <c r="J44" s="4"/>
    </row>
    <row r="45" spans="1:10" x14ac:dyDescent="0.35">
      <c r="A45" s="6"/>
      <c r="B45" s="6"/>
      <c r="C45" s="6"/>
      <c r="D45" s="6"/>
      <c r="E45" s="6"/>
      <c r="F45" s="6"/>
      <c r="G45" s="6"/>
      <c r="H45" s="6"/>
      <c r="I45" s="6"/>
      <c r="J45" s="6"/>
    </row>
    <row r="46" spans="1:10" x14ac:dyDescent="0.35">
      <c r="A46" s="4"/>
      <c r="B46" s="4"/>
      <c r="C46" s="4"/>
      <c r="D46" s="4"/>
      <c r="E46" s="4"/>
      <c r="F46" s="4"/>
      <c r="G46" s="4"/>
      <c r="H46" s="4"/>
      <c r="I46" s="4"/>
      <c r="J46" s="4"/>
    </row>
    <row r="47" spans="1:10" x14ac:dyDescent="0.35">
      <c r="A47" s="6"/>
      <c r="B47" s="6"/>
      <c r="C47" s="6"/>
      <c r="D47" s="6"/>
      <c r="E47" s="6"/>
      <c r="F47" s="6"/>
      <c r="G47" s="6"/>
      <c r="H47" s="6"/>
      <c r="I47" s="6"/>
      <c r="J47" s="6"/>
    </row>
    <row r="48" spans="1:10" x14ac:dyDescent="0.35">
      <c r="A48" s="4"/>
      <c r="B48" s="4"/>
      <c r="C48" s="4"/>
      <c r="D48" s="4"/>
      <c r="E48" s="4"/>
      <c r="F48" s="4"/>
      <c r="G48" s="4"/>
      <c r="H48" s="4"/>
      <c r="I48" s="4"/>
      <c r="J48" s="4"/>
    </row>
    <row r="49" spans="1:10" x14ac:dyDescent="0.35">
      <c r="A49" s="6"/>
      <c r="B49" s="6"/>
      <c r="C49" s="6"/>
      <c r="D49" s="6"/>
      <c r="E49" s="6"/>
      <c r="F49" s="6"/>
      <c r="G49" s="6"/>
      <c r="H49" s="6"/>
      <c r="I49" s="6"/>
      <c r="J49" s="6"/>
    </row>
    <row r="50" spans="1:10" x14ac:dyDescent="0.35">
      <c r="A50" s="4"/>
      <c r="B50" s="4"/>
      <c r="C50" s="4"/>
      <c r="D50" s="4"/>
      <c r="E50" s="4"/>
      <c r="F50" s="4"/>
      <c r="G50" s="4"/>
      <c r="H50" s="4"/>
      <c r="I50" s="4"/>
      <c r="J50" s="4"/>
    </row>
    <row r="51" spans="1:10" x14ac:dyDescent="0.35">
      <c r="A51" s="6"/>
      <c r="B51" s="6"/>
      <c r="C51" s="6"/>
      <c r="D51" s="6"/>
      <c r="E51" s="6"/>
      <c r="F51" s="6"/>
      <c r="G51" s="6"/>
      <c r="H51" s="6"/>
      <c r="I51" s="6"/>
      <c r="J51" s="6"/>
    </row>
    <row r="52" spans="1:10" x14ac:dyDescent="0.35">
      <c r="A52" s="4"/>
      <c r="B52" s="4"/>
      <c r="C52" s="4"/>
      <c r="D52" s="4"/>
      <c r="E52" s="4"/>
      <c r="F52" s="4"/>
      <c r="G52" s="4"/>
      <c r="H52" s="4"/>
      <c r="I52" s="4"/>
      <c r="J52" s="4"/>
    </row>
    <row r="53" spans="1:10" x14ac:dyDescent="0.35">
      <c r="A53" s="6"/>
      <c r="B53" s="6"/>
      <c r="C53" s="6"/>
      <c r="D53" s="6"/>
      <c r="E53" s="6"/>
      <c r="F53" s="6"/>
      <c r="G53" s="6"/>
      <c r="H53" s="6"/>
      <c r="I53" s="6"/>
      <c r="J53" s="6"/>
    </row>
    <row r="54" spans="1:10" x14ac:dyDescent="0.35">
      <c r="A54" s="4"/>
      <c r="B54" s="4"/>
      <c r="C54" s="4"/>
      <c r="D54" s="4"/>
      <c r="E54" s="4"/>
      <c r="F54" s="4"/>
      <c r="G54" s="4"/>
      <c r="H54" s="4"/>
      <c r="I54" s="4"/>
      <c r="J54" s="4"/>
    </row>
    <row r="55" spans="1:10" x14ac:dyDescent="0.35">
      <c r="A55" s="6"/>
      <c r="B55" s="6"/>
      <c r="C55" s="6"/>
      <c r="D55" s="6"/>
      <c r="E55" s="6"/>
      <c r="F55" s="6"/>
      <c r="G55" s="6"/>
      <c r="H55" s="6"/>
      <c r="I55" s="6"/>
      <c r="J55" s="6"/>
    </row>
  </sheetData>
  <mergeCells count="1">
    <mergeCell ref="A1:J1"/>
  </mergeCells>
  <dataValidations count="1">
    <dataValidation type="list" allowBlank="1" sqref="I6:I55" xr:uid="{00000000-0002-0000-0400-000000000000}">
      <formula1>"Scheduled,In Progress,Closed"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3"/>
  <sheetViews>
    <sheetView showGridLines="0" zoomScale="90" zoomScaleNormal="90" workbookViewId="0">
      <pane ySplit="5" topLeftCell="A6" activePane="bottomLeft" state="frozen"/>
      <selection pane="bottomLeft" activeCell="A15" sqref="A15"/>
    </sheetView>
  </sheetViews>
  <sheetFormatPr defaultColWidth="8.6328125" defaultRowHeight="14.5" x14ac:dyDescent="0.35"/>
  <cols>
    <col min="1" max="1" width="12" customWidth="1"/>
    <col min="2" max="2" width="26" customWidth="1"/>
    <col min="3" max="3" width="16" customWidth="1"/>
    <col min="4" max="4" width="13" customWidth="1"/>
    <col min="5" max="5" width="15" customWidth="1"/>
    <col min="6" max="6" width="10" customWidth="1"/>
    <col min="7" max="7" width="12" customWidth="1"/>
    <col min="8" max="8" width="16" customWidth="1"/>
    <col min="9" max="9" width="11" customWidth="1"/>
    <col min="10" max="10" width="81.26953125" customWidth="1"/>
  </cols>
  <sheetData>
    <row r="1" spans="1:10" ht="25.5" customHeight="1" x14ac:dyDescent="0.35">
      <c r="A1" s="21" t="s">
        <v>183</v>
      </c>
      <c r="B1" s="21"/>
      <c r="C1" s="21"/>
      <c r="D1" s="21"/>
      <c r="E1" s="21"/>
      <c r="F1" s="21"/>
      <c r="G1" s="21"/>
      <c r="H1" s="21"/>
      <c r="I1" s="21"/>
      <c r="J1" s="21"/>
    </row>
    <row r="2" spans="1:10" x14ac:dyDescent="0.35">
      <c r="A2" s="2" t="s">
        <v>36</v>
      </c>
    </row>
    <row r="3" spans="1:10" x14ac:dyDescent="0.35">
      <c r="A3" s="2" t="s">
        <v>37</v>
      </c>
    </row>
    <row r="5" spans="1:10" ht="30" customHeight="1" x14ac:dyDescent="0.35">
      <c r="A5" s="3" t="s">
        <v>184</v>
      </c>
      <c r="B5" s="3" t="s">
        <v>185</v>
      </c>
      <c r="C5" s="3" t="s">
        <v>186</v>
      </c>
      <c r="D5" s="3" t="s">
        <v>187</v>
      </c>
      <c r="E5" s="3" t="s">
        <v>188</v>
      </c>
      <c r="F5" s="3" t="s">
        <v>189</v>
      </c>
      <c r="G5" s="3" t="s">
        <v>190</v>
      </c>
      <c r="H5" s="3" t="s">
        <v>191</v>
      </c>
      <c r="I5" s="3" t="s">
        <v>48</v>
      </c>
      <c r="J5" s="3" t="s">
        <v>192</v>
      </c>
    </row>
    <row r="6" spans="1:10" x14ac:dyDescent="0.35">
      <c r="A6" s="4" t="s">
        <v>489</v>
      </c>
      <c r="B6" s="4" t="s">
        <v>499</v>
      </c>
      <c r="C6" s="4" t="s">
        <v>509</v>
      </c>
      <c r="D6" s="4" t="s">
        <v>103</v>
      </c>
      <c r="E6" s="4" t="s">
        <v>515</v>
      </c>
      <c r="F6" s="4">
        <v>12</v>
      </c>
      <c r="G6" s="40">
        <v>46477</v>
      </c>
      <c r="H6" s="4" t="s">
        <v>521</v>
      </c>
      <c r="I6" s="5" t="str">
        <f t="shared" ref="I6:I15" ca="1" si="0">IF(G6&lt;TODAY(),"Overdue",IF(G6&lt;TODAY()+30,"Due Soon","Valid"))</f>
        <v>Valid</v>
      </c>
      <c r="J6" s="41">
        <f ca="1">G6-TODAY()</f>
        <v>175</v>
      </c>
    </row>
    <row r="7" spans="1:10" x14ac:dyDescent="0.35">
      <c r="A7" s="6" t="s">
        <v>490</v>
      </c>
      <c r="B7" s="6" t="s">
        <v>500</v>
      </c>
      <c r="C7" s="6" t="s">
        <v>509</v>
      </c>
      <c r="D7" s="6" t="s">
        <v>103</v>
      </c>
      <c r="E7" s="6" t="s">
        <v>515</v>
      </c>
      <c r="F7" s="6">
        <v>12</v>
      </c>
      <c r="G7" s="40">
        <v>46477</v>
      </c>
      <c r="H7" s="6" t="s">
        <v>522</v>
      </c>
      <c r="I7" s="7" t="str">
        <f t="shared" ca="1" si="0"/>
        <v>Valid</v>
      </c>
      <c r="J7" s="42">
        <f t="shared" ref="J6:J16" ca="1" si="1">G7-TODAY()</f>
        <v>175</v>
      </c>
    </row>
    <row r="8" spans="1:10" x14ac:dyDescent="0.35">
      <c r="A8" s="4" t="s">
        <v>491</v>
      </c>
      <c r="B8" s="4" t="s">
        <v>501</v>
      </c>
      <c r="C8" s="4" t="s">
        <v>510</v>
      </c>
      <c r="D8" s="4" t="s">
        <v>103</v>
      </c>
      <c r="E8" s="4" t="s">
        <v>515</v>
      </c>
      <c r="F8" s="4">
        <v>12</v>
      </c>
      <c r="G8" s="40">
        <v>46477</v>
      </c>
      <c r="H8" s="4" t="s">
        <v>523</v>
      </c>
      <c r="I8" s="5" t="str">
        <f t="shared" ca="1" si="0"/>
        <v>Valid</v>
      </c>
      <c r="J8" s="41">
        <f t="shared" ca="1" si="1"/>
        <v>175</v>
      </c>
    </row>
    <row r="9" spans="1:10" x14ac:dyDescent="0.35">
      <c r="A9" s="6" t="s">
        <v>492</v>
      </c>
      <c r="B9" s="6" t="s">
        <v>502</v>
      </c>
      <c r="C9" s="6" t="s">
        <v>510</v>
      </c>
      <c r="D9" s="6" t="s">
        <v>103</v>
      </c>
      <c r="E9" s="6" t="s">
        <v>516</v>
      </c>
      <c r="F9" s="6">
        <v>12</v>
      </c>
      <c r="G9" s="40">
        <v>46477</v>
      </c>
      <c r="H9" s="6" t="s">
        <v>524</v>
      </c>
      <c r="I9" s="7" t="str">
        <f t="shared" ca="1" si="0"/>
        <v>Valid</v>
      </c>
      <c r="J9" s="42">
        <f t="shared" ca="1" si="1"/>
        <v>175</v>
      </c>
    </row>
    <row r="10" spans="1:10" x14ac:dyDescent="0.35">
      <c r="A10" s="4" t="s">
        <v>493</v>
      </c>
      <c r="B10" s="4" t="s">
        <v>503</v>
      </c>
      <c r="C10" s="4" t="s">
        <v>511</v>
      </c>
      <c r="D10" s="4" t="s">
        <v>103</v>
      </c>
      <c r="E10" s="4" t="s">
        <v>515</v>
      </c>
      <c r="F10" s="4">
        <v>12</v>
      </c>
      <c r="G10" s="40">
        <v>46477</v>
      </c>
      <c r="H10" s="4" t="s">
        <v>525</v>
      </c>
      <c r="I10" s="5" t="str">
        <f t="shared" ca="1" si="0"/>
        <v>Valid</v>
      </c>
      <c r="J10" s="41">
        <f t="shared" ca="1" si="1"/>
        <v>175</v>
      </c>
    </row>
    <row r="11" spans="1:10" x14ac:dyDescent="0.35">
      <c r="A11" s="6" t="s">
        <v>494</v>
      </c>
      <c r="B11" s="6" t="s">
        <v>504</v>
      </c>
      <c r="C11" s="6" t="s">
        <v>511</v>
      </c>
      <c r="D11" s="6" t="s">
        <v>103</v>
      </c>
      <c r="E11" s="6" t="s">
        <v>515</v>
      </c>
      <c r="F11" s="6">
        <v>12</v>
      </c>
      <c r="G11" s="40">
        <v>46477</v>
      </c>
      <c r="H11" s="6" t="s">
        <v>526</v>
      </c>
      <c r="I11" s="7" t="str">
        <f t="shared" ca="1" si="0"/>
        <v>Valid</v>
      </c>
      <c r="J11" s="42">
        <f t="shared" ca="1" si="1"/>
        <v>175</v>
      </c>
    </row>
    <row r="12" spans="1:10" x14ac:dyDescent="0.35">
      <c r="A12" s="4" t="s">
        <v>495</v>
      </c>
      <c r="B12" s="4" t="s">
        <v>505</v>
      </c>
      <c r="C12" s="4" t="s">
        <v>512</v>
      </c>
      <c r="D12" s="4" t="s">
        <v>103</v>
      </c>
      <c r="E12" s="4" t="s">
        <v>515</v>
      </c>
      <c r="F12" s="4">
        <v>12</v>
      </c>
      <c r="G12" s="40">
        <v>46477</v>
      </c>
      <c r="H12" s="4" t="s">
        <v>527</v>
      </c>
      <c r="I12" s="5" t="str">
        <f t="shared" ca="1" si="0"/>
        <v>Valid</v>
      </c>
      <c r="J12" s="41">
        <f t="shared" ca="1" si="1"/>
        <v>175</v>
      </c>
    </row>
    <row r="13" spans="1:10" x14ac:dyDescent="0.35">
      <c r="A13" s="6" t="s">
        <v>496</v>
      </c>
      <c r="B13" s="6" t="s">
        <v>506</v>
      </c>
      <c r="C13" s="6" t="s">
        <v>512</v>
      </c>
      <c r="D13" s="6" t="s">
        <v>103</v>
      </c>
      <c r="E13" s="6" t="s">
        <v>517</v>
      </c>
      <c r="F13" s="6">
        <v>12</v>
      </c>
      <c r="G13" s="40">
        <v>46477</v>
      </c>
      <c r="H13" s="6" t="s">
        <v>528</v>
      </c>
      <c r="I13" s="7" t="str">
        <f t="shared" ca="1" si="0"/>
        <v>Valid</v>
      </c>
      <c r="J13" s="42">
        <f t="shared" ca="1" si="1"/>
        <v>175</v>
      </c>
    </row>
    <row r="14" spans="1:10" x14ac:dyDescent="0.35">
      <c r="A14" s="4" t="s">
        <v>497</v>
      </c>
      <c r="B14" s="4" t="s">
        <v>507</v>
      </c>
      <c r="C14" s="4" t="s">
        <v>513</v>
      </c>
      <c r="D14" s="4" t="s">
        <v>103</v>
      </c>
      <c r="E14" s="4" t="s">
        <v>518</v>
      </c>
      <c r="F14" s="4">
        <v>12</v>
      </c>
      <c r="G14" s="40">
        <v>46477</v>
      </c>
      <c r="H14" s="4" t="s">
        <v>193</v>
      </c>
      <c r="I14" s="5" t="str">
        <f t="shared" ca="1" si="0"/>
        <v>Valid</v>
      </c>
      <c r="J14" s="41">
        <f t="shared" ca="1" si="1"/>
        <v>175</v>
      </c>
    </row>
    <row r="15" spans="1:10" x14ac:dyDescent="0.35">
      <c r="A15" s="39"/>
      <c r="B15" s="6" t="s">
        <v>507</v>
      </c>
      <c r="C15" s="6" t="s">
        <v>513</v>
      </c>
      <c r="D15" s="6" t="s">
        <v>103</v>
      </c>
      <c r="E15" s="6" t="s">
        <v>519</v>
      </c>
      <c r="F15" s="6">
        <v>12</v>
      </c>
      <c r="G15" s="40">
        <v>46477</v>
      </c>
      <c r="H15" s="6" t="s">
        <v>529</v>
      </c>
      <c r="I15" s="6" t="s">
        <v>271</v>
      </c>
      <c r="J15" s="6">
        <f t="shared" ca="1" si="1"/>
        <v>175</v>
      </c>
    </row>
    <row r="16" spans="1:10" x14ac:dyDescent="0.35">
      <c r="A16" s="4" t="s">
        <v>498</v>
      </c>
      <c r="B16" s="4" t="s">
        <v>508</v>
      </c>
      <c r="C16" s="4" t="s">
        <v>514</v>
      </c>
      <c r="D16" s="4" t="s">
        <v>103</v>
      </c>
      <c r="E16" s="4" t="s">
        <v>520</v>
      </c>
      <c r="F16" s="4">
        <v>12</v>
      </c>
      <c r="G16" s="22">
        <v>46387</v>
      </c>
      <c r="H16" s="4" t="s">
        <v>530</v>
      </c>
      <c r="I16" s="4" t="s">
        <v>271</v>
      </c>
      <c r="J16" s="6">
        <f t="shared" ca="1" si="1"/>
        <v>85</v>
      </c>
    </row>
    <row r="17" spans="1:10" x14ac:dyDescent="0.35">
      <c r="A17" s="6"/>
      <c r="B17" s="6"/>
      <c r="C17" s="6"/>
      <c r="D17" s="6"/>
      <c r="E17" s="6"/>
      <c r="F17" s="6"/>
      <c r="G17" s="6"/>
      <c r="H17" s="6"/>
      <c r="I17" s="6"/>
      <c r="J17" s="6"/>
    </row>
    <row r="18" spans="1:10" x14ac:dyDescent="0.35">
      <c r="A18" s="4"/>
      <c r="B18" s="4"/>
      <c r="C18" s="4"/>
      <c r="D18" s="4"/>
      <c r="E18" s="4"/>
      <c r="F18" s="4"/>
      <c r="G18" s="4"/>
      <c r="H18" s="4"/>
      <c r="I18" s="4"/>
      <c r="J18" s="4"/>
    </row>
    <row r="19" spans="1:10" x14ac:dyDescent="0.35">
      <c r="A19" s="6"/>
      <c r="B19" s="6"/>
      <c r="C19" s="6"/>
      <c r="D19" s="6"/>
      <c r="E19" s="6"/>
      <c r="F19" s="6"/>
      <c r="G19" s="6"/>
      <c r="H19" s="6"/>
      <c r="I19" s="6"/>
      <c r="J19" s="6"/>
    </row>
    <row r="20" spans="1:10" x14ac:dyDescent="0.35">
      <c r="A20" s="4"/>
      <c r="B20" s="4"/>
      <c r="C20" s="4"/>
      <c r="D20" s="4"/>
      <c r="E20" s="4"/>
      <c r="F20" s="4"/>
      <c r="G20" s="4"/>
      <c r="H20" s="4"/>
      <c r="I20" s="4"/>
      <c r="J20" s="4"/>
    </row>
    <row r="21" spans="1:10" x14ac:dyDescent="0.35">
      <c r="A21" s="6"/>
      <c r="B21" s="6"/>
      <c r="C21" s="6"/>
      <c r="D21" s="6"/>
      <c r="E21" s="6"/>
      <c r="F21" s="6"/>
      <c r="G21" s="6"/>
      <c r="H21" s="6"/>
      <c r="I21" s="6"/>
      <c r="J21" s="6"/>
    </row>
    <row r="22" spans="1:10" x14ac:dyDescent="0.35">
      <c r="A22" s="4"/>
      <c r="B22" s="4"/>
      <c r="C22" s="4"/>
      <c r="D22" s="4"/>
      <c r="E22" s="4"/>
      <c r="F22" s="4"/>
      <c r="G22" s="4"/>
      <c r="H22" s="4"/>
      <c r="I22" s="4"/>
      <c r="J22" s="4"/>
    </row>
    <row r="23" spans="1:10" x14ac:dyDescent="0.35">
      <c r="A23" s="6"/>
      <c r="B23" s="6"/>
      <c r="C23" s="6"/>
      <c r="D23" s="6"/>
      <c r="E23" s="6"/>
      <c r="F23" s="6"/>
      <c r="G23" s="6"/>
      <c r="H23" s="6"/>
      <c r="I23" s="6"/>
      <c r="J23" s="6"/>
    </row>
    <row r="24" spans="1:10" x14ac:dyDescent="0.35">
      <c r="A24" s="4"/>
      <c r="B24" s="4"/>
      <c r="C24" s="4"/>
      <c r="D24" s="4"/>
      <c r="E24" s="4"/>
      <c r="F24" s="4"/>
      <c r="G24" s="4"/>
      <c r="H24" s="4"/>
      <c r="I24" s="4"/>
      <c r="J24" s="4"/>
    </row>
    <row r="25" spans="1:10" x14ac:dyDescent="0.35">
      <c r="A25" s="6"/>
      <c r="B25" s="6"/>
      <c r="C25" s="6"/>
      <c r="D25" s="6"/>
      <c r="E25" s="6"/>
      <c r="F25" s="6"/>
      <c r="G25" s="6"/>
      <c r="H25" s="6"/>
      <c r="I25" s="6"/>
      <c r="J25" s="6"/>
    </row>
    <row r="26" spans="1:10" x14ac:dyDescent="0.35">
      <c r="A26" s="4"/>
      <c r="B26" s="4"/>
      <c r="C26" s="4"/>
      <c r="D26" s="4"/>
      <c r="E26" s="4"/>
      <c r="F26" s="4"/>
      <c r="G26" s="4"/>
      <c r="H26" s="4"/>
      <c r="I26" s="4"/>
      <c r="J26" s="4"/>
    </row>
    <row r="27" spans="1:10" x14ac:dyDescent="0.35">
      <c r="A27" s="6"/>
      <c r="B27" s="6"/>
      <c r="C27" s="6"/>
      <c r="D27" s="6"/>
      <c r="E27" s="6"/>
      <c r="F27" s="6"/>
      <c r="G27" s="6"/>
      <c r="H27" s="6"/>
      <c r="I27" s="6"/>
      <c r="J27" s="6"/>
    </row>
    <row r="28" spans="1:10" x14ac:dyDescent="0.35">
      <c r="A28" s="4"/>
      <c r="B28" s="4"/>
      <c r="C28" s="4"/>
      <c r="D28" s="4"/>
      <c r="E28" s="4"/>
      <c r="F28" s="4"/>
      <c r="G28" s="4"/>
      <c r="H28" s="4"/>
      <c r="I28" s="4"/>
      <c r="J28" s="4"/>
    </row>
    <row r="29" spans="1:10" x14ac:dyDescent="0.35">
      <c r="A29" s="6"/>
      <c r="B29" s="6"/>
      <c r="C29" s="6"/>
      <c r="D29" s="6"/>
      <c r="E29" s="6"/>
      <c r="F29" s="6"/>
      <c r="G29" s="6"/>
      <c r="H29" s="6"/>
      <c r="I29" s="6"/>
      <c r="J29" s="6"/>
    </row>
    <row r="30" spans="1:10" x14ac:dyDescent="0.35">
      <c r="A30" s="4"/>
      <c r="B30" s="4"/>
      <c r="C30" s="4"/>
      <c r="D30" s="4"/>
      <c r="E30" s="4"/>
      <c r="F30" s="4"/>
      <c r="G30" s="4"/>
      <c r="H30" s="4"/>
      <c r="I30" s="4"/>
      <c r="J30" s="4"/>
    </row>
    <row r="31" spans="1:10" x14ac:dyDescent="0.35">
      <c r="A31" s="6"/>
      <c r="B31" s="6"/>
      <c r="C31" s="6"/>
      <c r="D31" s="6"/>
      <c r="E31" s="6"/>
      <c r="F31" s="6"/>
      <c r="G31" s="6"/>
      <c r="H31" s="6"/>
      <c r="I31" s="6"/>
      <c r="J31" s="6"/>
    </row>
    <row r="32" spans="1:10" x14ac:dyDescent="0.35">
      <c r="A32" s="4"/>
      <c r="B32" s="4"/>
      <c r="C32" s="4"/>
      <c r="D32" s="4"/>
      <c r="E32" s="4"/>
      <c r="F32" s="4"/>
      <c r="G32" s="4"/>
      <c r="H32" s="4"/>
      <c r="I32" s="4"/>
      <c r="J32" s="4"/>
    </row>
    <row r="33" spans="1:10" x14ac:dyDescent="0.35">
      <c r="A33" s="6"/>
      <c r="B33" s="6"/>
      <c r="C33" s="6"/>
      <c r="D33" s="6"/>
      <c r="E33" s="6"/>
      <c r="F33" s="6"/>
      <c r="G33" s="6"/>
      <c r="H33" s="6"/>
      <c r="I33" s="6"/>
      <c r="J33" s="6"/>
    </row>
    <row r="34" spans="1:10" x14ac:dyDescent="0.35">
      <c r="A34" s="4"/>
      <c r="B34" s="4"/>
      <c r="C34" s="4"/>
      <c r="D34" s="4"/>
      <c r="E34" s="4"/>
      <c r="F34" s="4"/>
      <c r="G34" s="4"/>
      <c r="H34" s="4"/>
      <c r="I34" s="4"/>
      <c r="J34" s="4"/>
    </row>
    <row r="35" spans="1:10" x14ac:dyDescent="0.35">
      <c r="A35" s="6"/>
      <c r="B35" s="6"/>
      <c r="C35" s="6"/>
      <c r="D35" s="6"/>
      <c r="E35" s="6"/>
      <c r="F35" s="6"/>
      <c r="G35" s="6"/>
      <c r="H35" s="6"/>
      <c r="I35" s="6"/>
      <c r="J35" s="6"/>
    </row>
    <row r="36" spans="1:10" x14ac:dyDescent="0.35">
      <c r="A36" s="4"/>
      <c r="B36" s="4"/>
      <c r="C36" s="4"/>
      <c r="D36" s="4"/>
      <c r="E36" s="4"/>
      <c r="F36" s="4"/>
      <c r="G36" s="4"/>
      <c r="H36" s="4"/>
      <c r="I36" s="4"/>
      <c r="J36" s="4"/>
    </row>
    <row r="37" spans="1:10" x14ac:dyDescent="0.35">
      <c r="A37" s="6"/>
      <c r="B37" s="6"/>
      <c r="C37" s="6"/>
      <c r="D37" s="6"/>
      <c r="E37" s="6"/>
      <c r="F37" s="6"/>
      <c r="G37" s="6"/>
      <c r="H37" s="6"/>
      <c r="I37" s="6"/>
      <c r="J37" s="6"/>
    </row>
    <row r="38" spans="1:10" x14ac:dyDescent="0.35">
      <c r="A38" s="4"/>
      <c r="B38" s="4"/>
      <c r="C38" s="4"/>
      <c r="D38" s="4"/>
      <c r="E38" s="4"/>
      <c r="F38" s="4"/>
      <c r="G38" s="4"/>
      <c r="H38" s="4"/>
      <c r="I38" s="4"/>
      <c r="J38" s="4"/>
    </row>
    <row r="39" spans="1:10" x14ac:dyDescent="0.35">
      <c r="A39" s="6"/>
      <c r="B39" s="6"/>
      <c r="C39" s="6"/>
      <c r="D39" s="6"/>
      <c r="E39" s="6"/>
      <c r="F39" s="6"/>
      <c r="G39" s="6"/>
      <c r="H39" s="6"/>
      <c r="I39" s="6"/>
      <c r="J39" s="6"/>
    </row>
    <row r="40" spans="1:10" x14ac:dyDescent="0.35">
      <c r="A40" s="4"/>
      <c r="B40" s="4"/>
      <c r="C40" s="4"/>
      <c r="D40" s="4"/>
      <c r="E40" s="4"/>
      <c r="F40" s="4"/>
      <c r="G40" s="4"/>
      <c r="H40" s="4"/>
      <c r="I40" s="4"/>
      <c r="J40" s="4"/>
    </row>
    <row r="41" spans="1:10" x14ac:dyDescent="0.35">
      <c r="A41" s="6"/>
      <c r="B41" s="6"/>
      <c r="C41" s="6"/>
      <c r="D41" s="6"/>
      <c r="E41" s="6"/>
      <c r="F41" s="6"/>
      <c r="G41" s="6"/>
      <c r="H41" s="6"/>
      <c r="I41" s="6"/>
      <c r="J41" s="6"/>
    </row>
    <row r="42" spans="1:10" x14ac:dyDescent="0.35">
      <c r="A42" s="4"/>
      <c r="B42" s="4"/>
      <c r="C42" s="4"/>
      <c r="D42" s="4"/>
      <c r="E42" s="4"/>
      <c r="F42" s="4"/>
      <c r="G42" s="4"/>
      <c r="H42" s="4"/>
      <c r="I42" s="4"/>
      <c r="J42" s="4"/>
    </row>
    <row r="43" spans="1:10" x14ac:dyDescent="0.35">
      <c r="A43" s="6"/>
      <c r="B43" s="6"/>
      <c r="C43" s="6"/>
      <c r="D43" s="6"/>
      <c r="E43" s="6"/>
      <c r="F43" s="6"/>
      <c r="G43" s="6"/>
      <c r="H43" s="6"/>
      <c r="I43" s="6"/>
      <c r="J43" s="6"/>
    </row>
    <row r="44" spans="1:10" x14ac:dyDescent="0.35">
      <c r="A44" s="4"/>
      <c r="B44" s="4"/>
      <c r="C44" s="4"/>
      <c r="D44" s="4"/>
      <c r="E44" s="4"/>
      <c r="F44" s="4"/>
      <c r="G44" s="4"/>
      <c r="H44" s="4"/>
      <c r="I44" s="4"/>
      <c r="J44" s="4"/>
    </row>
    <row r="45" spans="1:10" x14ac:dyDescent="0.35">
      <c r="A45" s="6"/>
      <c r="B45" s="6"/>
      <c r="C45" s="6"/>
      <c r="D45" s="6"/>
      <c r="E45" s="6"/>
      <c r="F45" s="6"/>
      <c r="G45" s="6"/>
      <c r="H45" s="6"/>
      <c r="I45" s="6"/>
      <c r="J45" s="6"/>
    </row>
    <row r="46" spans="1:10" x14ac:dyDescent="0.35">
      <c r="A46" s="4"/>
      <c r="B46" s="4"/>
      <c r="C46" s="4"/>
      <c r="D46" s="4"/>
      <c r="E46" s="4"/>
      <c r="F46" s="4"/>
      <c r="G46" s="4"/>
      <c r="H46" s="4"/>
      <c r="I46" s="4"/>
      <c r="J46" s="4"/>
    </row>
    <row r="47" spans="1:10" x14ac:dyDescent="0.35">
      <c r="A47" s="6"/>
      <c r="B47" s="6"/>
      <c r="C47" s="6"/>
      <c r="D47" s="6"/>
      <c r="E47" s="6"/>
      <c r="F47" s="6"/>
      <c r="G47" s="6"/>
      <c r="H47" s="6"/>
      <c r="I47" s="6"/>
      <c r="J47" s="6"/>
    </row>
    <row r="48" spans="1:10" x14ac:dyDescent="0.35">
      <c r="A48" s="4"/>
      <c r="B48" s="4"/>
      <c r="C48" s="4"/>
      <c r="D48" s="4"/>
      <c r="E48" s="4"/>
      <c r="F48" s="4"/>
      <c r="G48" s="4"/>
      <c r="H48" s="4"/>
      <c r="I48" s="4"/>
      <c r="J48" s="4"/>
    </row>
    <row r="49" spans="1:10" x14ac:dyDescent="0.35">
      <c r="A49" s="6"/>
      <c r="B49" s="6"/>
      <c r="C49" s="6"/>
      <c r="D49" s="6"/>
      <c r="E49" s="6"/>
      <c r="F49" s="6"/>
      <c r="G49" s="6"/>
      <c r="H49" s="6"/>
      <c r="I49" s="6"/>
      <c r="J49" s="6"/>
    </row>
    <row r="50" spans="1:10" x14ac:dyDescent="0.35">
      <c r="A50" s="4"/>
      <c r="B50" s="4"/>
      <c r="C50" s="4"/>
      <c r="D50" s="4"/>
      <c r="E50" s="4"/>
      <c r="F50" s="4"/>
      <c r="G50" s="4"/>
      <c r="H50" s="4"/>
      <c r="I50" s="4"/>
      <c r="J50" s="4"/>
    </row>
    <row r="51" spans="1:10" x14ac:dyDescent="0.35">
      <c r="A51" s="6"/>
      <c r="B51" s="6"/>
      <c r="C51" s="6"/>
      <c r="D51" s="6"/>
      <c r="E51" s="6"/>
      <c r="F51" s="6"/>
      <c r="G51" s="6"/>
      <c r="H51" s="6"/>
      <c r="I51" s="6"/>
      <c r="J51" s="6"/>
    </row>
    <row r="52" spans="1:10" x14ac:dyDescent="0.35">
      <c r="A52" s="4"/>
      <c r="B52" s="4"/>
      <c r="C52" s="4"/>
      <c r="D52" s="4"/>
      <c r="E52" s="4"/>
      <c r="F52" s="4"/>
      <c r="G52" s="4"/>
      <c r="H52" s="4"/>
      <c r="I52" s="4"/>
      <c r="J52" s="4"/>
    </row>
    <row r="53" spans="1:10" x14ac:dyDescent="0.35">
      <c r="A53" s="6"/>
      <c r="B53" s="6"/>
      <c r="C53" s="6"/>
      <c r="D53" s="6"/>
      <c r="E53" s="6"/>
      <c r="F53" s="6"/>
      <c r="G53" s="6"/>
      <c r="H53" s="6"/>
      <c r="I53" s="6"/>
      <c r="J53" s="6"/>
    </row>
  </sheetData>
  <mergeCells count="1">
    <mergeCell ref="A1:J1"/>
  </mergeCells>
  <dataValidations count="1">
    <dataValidation type="list" allowBlank="1" sqref="I6:I53" xr:uid="{00000000-0002-0000-0500-000000000000}">
      <formula1>"Valid,Due Soon,Overdue"</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80"/>
  <sheetViews>
    <sheetView showGridLines="0" zoomScale="90" zoomScaleNormal="90" workbookViewId="0">
      <pane ySplit="5" topLeftCell="A30" activePane="bottomLeft" state="frozen"/>
      <selection pane="bottomLeft" activeCell="H39" sqref="H39"/>
    </sheetView>
  </sheetViews>
  <sheetFormatPr defaultColWidth="8.6328125" defaultRowHeight="14.5" x14ac:dyDescent="0.35"/>
  <cols>
    <col min="1" max="2" width="16" style="43" customWidth="1"/>
    <col min="3" max="3" width="26" style="43" customWidth="1"/>
    <col min="4" max="4" width="21.26953125" style="43" customWidth="1"/>
    <col min="5" max="5" width="14" style="43" customWidth="1"/>
    <col min="6" max="6" width="15" style="43" customWidth="1"/>
    <col min="7" max="7" width="11" style="43" customWidth="1"/>
    <col min="8" max="8" width="19" style="43" customWidth="1"/>
    <col min="9" max="9" width="19.7265625" style="43" customWidth="1"/>
    <col min="10" max="10" width="40.1796875" style="43" customWidth="1"/>
    <col min="11" max="11" width="8.6328125" style="43"/>
    <col min="12" max="12" width="14.36328125" style="43" customWidth="1"/>
    <col min="13" max="14" width="8.6328125" style="43"/>
    <col min="15" max="15" width="17.1796875" style="43" customWidth="1"/>
    <col min="16" max="16" width="13" style="43" customWidth="1"/>
    <col min="17" max="17" width="11.54296875" style="43" customWidth="1"/>
    <col min="18" max="16384" width="8.6328125" style="43"/>
  </cols>
  <sheetData>
    <row r="1" spans="1:18" ht="25.5" customHeight="1" x14ac:dyDescent="0.35">
      <c r="A1" s="45" t="s">
        <v>194</v>
      </c>
      <c r="B1" s="45"/>
      <c r="C1" s="45"/>
      <c r="D1" s="45"/>
      <c r="E1" s="45"/>
      <c r="F1" s="45"/>
      <c r="G1" s="45"/>
      <c r="H1" s="45"/>
      <c r="I1" s="45"/>
      <c r="J1" s="45"/>
    </row>
    <row r="2" spans="1:18" x14ac:dyDescent="0.35">
      <c r="A2" s="24" t="s">
        <v>36</v>
      </c>
    </row>
    <row r="3" spans="1:18" x14ac:dyDescent="0.35">
      <c r="A3" s="24" t="s">
        <v>37</v>
      </c>
    </row>
    <row r="5" spans="1:18" ht="54.5" customHeight="1" x14ac:dyDescent="0.35">
      <c r="A5" s="3" t="s">
        <v>195</v>
      </c>
      <c r="B5" s="3" t="s">
        <v>196</v>
      </c>
      <c r="C5" s="3" t="s">
        <v>197</v>
      </c>
      <c r="D5" s="3" t="s">
        <v>562</v>
      </c>
      <c r="E5" s="3" t="s">
        <v>198</v>
      </c>
      <c r="F5" s="3" t="s">
        <v>199</v>
      </c>
      <c r="G5" s="3" t="s">
        <v>48</v>
      </c>
      <c r="H5" s="3" t="s">
        <v>200</v>
      </c>
      <c r="I5" s="3" t="s">
        <v>564</v>
      </c>
      <c r="J5" s="3" t="s">
        <v>201</v>
      </c>
    </row>
    <row r="6" spans="1:18" ht="30" customHeight="1" x14ac:dyDescent="0.35">
      <c r="A6" s="46" t="s">
        <v>547</v>
      </c>
      <c r="B6" s="46" t="s">
        <v>551</v>
      </c>
      <c r="C6" s="46" t="s">
        <v>552</v>
      </c>
      <c r="D6" s="47">
        <v>46279</v>
      </c>
      <c r="E6" s="46">
        <v>12</v>
      </c>
      <c r="F6" s="48">
        <f t="shared" ref="F6:F41" si="0">D6+E6*30</f>
        <v>46639</v>
      </c>
      <c r="G6" s="49" t="str">
        <f t="shared" ref="G6:G41" ca="1" si="1">IF(F6&lt;TODAY(),"Overdue",IF(F6&lt;TODAY()+60,"Due Soon","Competent"))</f>
        <v>Competent</v>
      </c>
      <c r="H6" s="46" t="s">
        <v>563</v>
      </c>
      <c r="I6" s="46" t="s">
        <v>103</v>
      </c>
      <c r="J6" s="46" t="s">
        <v>565</v>
      </c>
      <c r="N6" s="43" t="s">
        <v>531</v>
      </c>
      <c r="O6" s="43" t="s">
        <v>532</v>
      </c>
      <c r="P6" s="43" t="s">
        <v>533</v>
      </c>
      <c r="Q6" s="43" t="s">
        <v>534</v>
      </c>
      <c r="R6" s="43" t="s">
        <v>535</v>
      </c>
    </row>
    <row r="7" spans="1:18" x14ac:dyDescent="0.35">
      <c r="A7" s="46"/>
      <c r="B7" s="46"/>
      <c r="C7" s="46" t="s">
        <v>553</v>
      </c>
      <c r="D7" s="47">
        <v>46279</v>
      </c>
      <c r="E7" s="46">
        <v>12</v>
      </c>
      <c r="F7" s="48">
        <f t="shared" si="0"/>
        <v>46639</v>
      </c>
      <c r="G7" s="49" t="str">
        <f t="shared" ca="1" si="1"/>
        <v>Competent</v>
      </c>
      <c r="H7" s="46" t="s">
        <v>563</v>
      </c>
      <c r="I7" s="46" t="s">
        <v>103</v>
      </c>
      <c r="J7" s="46" t="s">
        <v>565</v>
      </c>
    </row>
    <row r="8" spans="1:18" x14ac:dyDescent="0.35">
      <c r="A8" s="46"/>
      <c r="B8" s="46"/>
      <c r="C8" s="46" t="s">
        <v>554</v>
      </c>
      <c r="D8" s="47">
        <v>46279</v>
      </c>
      <c r="E8" s="46">
        <v>12</v>
      </c>
      <c r="F8" s="48">
        <f t="shared" si="0"/>
        <v>46639</v>
      </c>
      <c r="G8" s="49" t="str">
        <f t="shared" ca="1" si="1"/>
        <v>Competent</v>
      </c>
      <c r="H8" s="46" t="s">
        <v>563</v>
      </c>
      <c r="I8" s="46" t="s">
        <v>103</v>
      </c>
      <c r="J8" s="46" t="s">
        <v>565</v>
      </c>
    </row>
    <row r="9" spans="1:18" x14ac:dyDescent="0.35">
      <c r="A9" s="46"/>
      <c r="B9" s="46"/>
      <c r="C9" s="46" t="s">
        <v>555</v>
      </c>
      <c r="D9" s="47">
        <v>46279</v>
      </c>
      <c r="E9" s="46">
        <v>12</v>
      </c>
      <c r="F9" s="48">
        <f t="shared" si="0"/>
        <v>46639</v>
      </c>
      <c r="G9" s="49" t="str">
        <f t="shared" ca="1" si="1"/>
        <v>Competent</v>
      </c>
      <c r="H9" s="46" t="s">
        <v>563</v>
      </c>
      <c r="I9" s="46" t="s">
        <v>103</v>
      </c>
      <c r="J9" s="46" t="s">
        <v>565</v>
      </c>
    </row>
    <row r="10" spans="1:18" x14ac:dyDescent="0.35">
      <c r="A10" s="46"/>
      <c r="B10" s="46"/>
      <c r="C10" s="46" t="s">
        <v>556</v>
      </c>
      <c r="D10" s="50"/>
      <c r="E10" s="46">
        <v>12</v>
      </c>
      <c r="F10" s="48">
        <f t="shared" si="0"/>
        <v>360</v>
      </c>
      <c r="G10" s="49" t="str">
        <f t="shared" ca="1" si="1"/>
        <v>Overdue</v>
      </c>
      <c r="H10" s="46" t="s">
        <v>563</v>
      </c>
      <c r="I10" s="46" t="s">
        <v>103</v>
      </c>
      <c r="J10" s="46" t="s">
        <v>565</v>
      </c>
    </row>
    <row r="11" spans="1:18" x14ac:dyDescent="0.35">
      <c r="A11" s="46"/>
      <c r="B11" s="46"/>
      <c r="C11" s="46" t="s">
        <v>542</v>
      </c>
      <c r="D11" s="50"/>
      <c r="E11" s="46">
        <v>12</v>
      </c>
      <c r="F11" s="48">
        <f t="shared" si="0"/>
        <v>360</v>
      </c>
      <c r="G11" s="49" t="str">
        <f t="shared" ca="1" si="1"/>
        <v>Overdue</v>
      </c>
      <c r="H11" s="46" t="s">
        <v>563</v>
      </c>
      <c r="I11" s="46" t="s">
        <v>103</v>
      </c>
      <c r="J11" s="46" t="s">
        <v>565</v>
      </c>
    </row>
    <row r="12" spans="1:18" x14ac:dyDescent="0.35">
      <c r="A12" s="46"/>
      <c r="B12" s="46"/>
      <c r="C12" s="46" t="s">
        <v>543</v>
      </c>
      <c r="D12" s="50"/>
      <c r="E12" s="46">
        <v>12</v>
      </c>
      <c r="F12" s="48">
        <f t="shared" si="0"/>
        <v>360</v>
      </c>
      <c r="G12" s="49" t="str">
        <f t="shared" ca="1" si="1"/>
        <v>Overdue</v>
      </c>
      <c r="H12" s="46" t="s">
        <v>563</v>
      </c>
      <c r="I12" s="46" t="s">
        <v>103</v>
      </c>
      <c r="J12" s="46" t="s">
        <v>565</v>
      </c>
    </row>
    <row r="13" spans="1:18" x14ac:dyDescent="0.35">
      <c r="A13" s="46"/>
      <c r="B13" s="46"/>
      <c r="C13" s="46" t="s">
        <v>559</v>
      </c>
      <c r="D13" s="47">
        <v>46279</v>
      </c>
      <c r="E13" s="46">
        <v>12</v>
      </c>
      <c r="F13" s="48">
        <f t="shared" si="0"/>
        <v>46639</v>
      </c>
      <c r="G13" s="49" t="str">
        <f t="shared" ca="1" si="1"/>
        <v>Competent</v>
      </c>
      <c r="H13" s="46" t="s">
        <v>563</v>
      </c>
      <c r="I13" s="46" t="s">
        <v>103</v>
      </c>
      <c r="J13" s="46" t="s">
        <v>565</v>
      </c>
    </row>
    <row r="14" spans="1:18" x14ac:dyDescent="0.35">
      <c r="A14" s="46"/>
      <c r="B14" s="46"/>
      <c r="C14" s="46" t="s">
        <v>561</v>
      </c>
      <c r="D14" s="47">
        <v>46279</v>
      </c>
      <c r="E14" s="46">
        <v>12</v>
      </c>
      <c r="F14" s="48">
        <f t="shared" si="0"/>
        <v>46639</v>
      </c>
      <c r="G14" s="49" t="str">
        <f t="shared" ca="1" si="1"/>
        <v>Competent</v>
      </c>
      <c r="H14" s="46" t="s">
        <v>563</v>
      </c>
      <c r="I14" s="46" t="s">
        <v>103</v>
      </c>
      <c r="J14" s="46" t="s">
        <v>565</v>
      </c>
    </row>
    <row r="15" spans="1:18" x14ac:dyDescent="0.35">
      <c r="A15" s="46"/>
      <c r="B15" s="46"/>
      <c r="C15" s="46"/>
      <c r="D15" s="47"/>
      <c r="E15" s="46"/>
      <c r="F15" s="48"/>
      <c r="G15" s="49"/>
      <c r="H15" s="46"/>
      <c r="I15" s="46"/>
      <c r="J15" s="46"/>
    </row>
    <row r="16" spans="1:18" x14ac:dyDescent="0.35">
      <c r="A16" s="46"/>
      <c r="B16" s="46"/>
      <c r="C16" s="46"/>
      <c r="D16" s="47"/>
      <c r="E16" s="46"/>
      <c r="F16" s="48"/>
      <c r="G16" s="49"/>
      <c r="H16" s="46"/>
      <c r="I16" s="46"/>
      <c r="J16" s="46"/>
    </row>
    <row r="17" spans="1:18" x14ac:dyDescent="0.35">
      <c r="A17" s="51" t="s">
        <v>548</v>
      </c>
      <c r="B17" s="51" t="s">
        <v>56</v>
      </c>
      <c r="C17" s="51" t="s">
        <v>552</v>
      </c>
      <c r="D17" s="55"/>
      <c r="E17" s="51">
        <v>12</v>
      </c>
      <c r="F17" s="53">
        <f t="shared" si="0"/>
        <v>360</v>
      </c>
      <c r="G17" s="54" t="str">
        <f t="shared" ca="1" si="1"/>
        <v>Overdue</v>
      </c>
      <c r="H17" s="51" t="s">
        <v>551</v>
      </c>
      <c r="I17" s="51"/>
      <c r="J17" s="51"/>
      <c r="N17" s="43" t="s">
        <v>536</v>
      </c>
      <c r="O17" s="43" t="s">
        <v>540</v>
      </c>
      <c r="P17" s="43" t="s">
        <v>536</v>
      </c>
      <c r="Q17" s="43" t="s">
        <v>536</v>
      </c>
      <c r="R17" s="43" t="s">
        <v>536</v>
      </c>
    </row>
    <row r="18" spans="1:18" x14ac:dyDescent="0.35">
      <c r="A18" s="46"/>
      <c r="B18" s="46"/>
      <c r="C18" s="46" t="s">
        <v>553</v>
      </c>
      <c r="D18" s="50"/>
      <c r="E18" s="46">
        <v>12</v>
      </c>
      <c r="F18" s="48">
        <f t="shared" si="0"/>
        <v>360</v>
      </c>
      <c r="G18" s="49" t="str">
        <f t="shared" ref="G18:G22" ca="1" si="2">IF(F18&lt;TODAY(),"Overdue",IF(F18&lt;TODAY()+60,"Due Soon","Competent"))</f>
        <v>Overdue</v>
      </c>
      <c r="H18" s="51" t="s">
        <v>551</v>
      </c>
      <c r="I18" s="46"/>
      <c r="J18" s="46"/>
    </row>
    <row r="19" spans="1:18" x14ac:dyDescent="0.35">
      <c r="A19" s="46"/>
      <c r="B19" s="46"/>
      <c r="C19" s="46" t="s">
        <v>554</v>
      </c>
      <c r="D19" s="50"/>
      <c r="E19" s="46">
        <v>12</v>
      </c>
      <c r="F19" s="48">
        <f t="shared" si="0"/>
        <v>360</v>
      </c>
      <c r="G19" s="49" t="str">
        <f t="shared" ca="1" si="2"/>
        <v>Overdue</v>
      </c>
      <c r="H19" s="51" t="s">
        <v>551</v>
      </c>
      <c r="I19" s="46"/>
      <c r="J19" s="46"/>
    </row>
    <row r="20" spans="1:18" x14ac:dyDescent="0.35">
      <c r="A20" s="46"/>
      <c r="B20" s="46"/>
      <c r="C20" s="46" t="s">
        <v>555</v>
      </c>
      <c r="D20" s="50"/>
      <c r="E20" s="46">
        <v>12</v>
      </c>
      <c r="F20" s="48">
        <f t="shared" si="0"/>
        <v>360</v>
      </c>
      <c r="G20" s="49" t="str">
        <f t="shared" ca="1" si="2"/>
        <v>Overdue</v>
      </c>
      <c r="H20" s="51" t="s">
        <v>551</v>
      </c>
      <c r="I20" s="46"/>
      <c r="J20" s="46"/>
    </row>
    <row r="21" spans="1:18" x14ac:dyDescent="0.35">
      <c r="A21" s="46"/>
      <c r="B21" s="46"/>
      <c r="C21" s="46" t="s">
        <v>556</v>
      </c>
      <c r="D21" s="50"/>
      <c r="E21" s="46">
        <v>12</v>
      </c>
      <c r="F21" s="48">
        <f t="shared" si="0"/>
        <v>360</v>
      </c>
      <c r="G21" s="49" t="str">
        <f t="shared" ca="1" si="2"/>
        <v>Overdue</v>
      </c>
      <c r="H21" s="51" t="s">
        <v>551</v>
      </c>
      <c r="I21" s="46"/>
      <c r="J21" s="46"/>
    </row>
    <row r="22" spans="1:18" x14ac:dyDescent="0.35">
      <c r="A22" s="46"/>
      <c r="B22" s="46"/>
      <c r="C22" s="46" t="s">
        <v>542</v>
      </c>
      <c r="D22" s="50"/>
      <c r="E22" s="46">
        <v>12</v>
      </c>
      <c r="F22" s="48">
        <f t="shared" si="0"/>
        <v>360</v>
      </c>
      <c r="G22" s="49" t="str">
        <f t="shared" ca="1" si="2"/>
        <v>Overdue</v>
      </c>
      <c r="H22" s="51" t="s">
        <v>551</v>
      </c>
      <c r="I22" s="46"/>
      <c r="J22" s="46"/>
    </row>
    <row r="23" spans="1:18" x14ac:dyDescent="0.35">
      <c r="A23" s="46"/>
      <c r="B23" s="46"/>
      <c r="C23" s="46" t="s">
        <v>543</v>
      </c>
      <c r="D23" s="50"/>
      <c r="E23" s="46">
        <v>12</v>
      </c>
      <c r="F23" s="48">
        <f t="shared" si="0"/>
        <v>360</v>
      </c>
      <c r="G23" s="49" t="s">
        <v>272</v>
      </c>
      <c r="H23" s="51" t="s">
        <v>551</v>
      </c>
      <c r="I23" s="46"/>
      <c r="J23" s="46"/>
    </row>
    <row r="24" spans="1:18" x14ac:dyDescent="0.35">
      <c r="A24" s="46"/>
      <c r="B24" s="46"/>
      <c r="C24" s="46"/>
      <c r="D24" s="47"/>
      <c r="E24" s="46"/>
      <c r="F24" s="48"/>
      <c r="G24" s="49"/>
      <c r="H24" s="46"/>
      <c r="I24" s="46"/>
      <c r="J24" s="46"/>
    </row>
    <row r="25" spans="1:18" ht="23" x14ac:dyDescent="0.35">
      <c r="A25" s="46" t="s">
        <v>549</v>
      </c>
      <c r="B25" s="56" t="s">
        <v>568</v>
      </c>
      <c r="C25" s="51" t="s">
        <v>552</v>
      </c>
      <c r="D25" s="47">
        <v>46279</v>
      </c>
      <c r="E25" s="46">
        <v>12</v>
      </c>
      <c r="F25" s="48">
        <f t="shared" si="0"/>
        <v>46639</v>
      </c>
      <c r="G25" s="49" t="str">
        <f t="shared" ca="1" si="1"/>
        <v>Competent</v>
      </c>
      <c r="H25" s="51" t="s">
        <v>551</v>
      </c>
      <c r="I25" s="46" t="s">
        <v>103</v>
      </c>
      <c r="J25" s="46" t="s">
        <v>565</v>
      </c>
      <c r="N25" s="43" t="s">
        <v>537</v>
      </c>
      <c r="O25" s="43" t="s">
        <v>541</v>
      </c>
      <c r="P25" s="43" t="s">
        <v>537</v>
      </c>
      <c r="Q25" s="43" t="s">
        <v>537</v>
      </c>
      <c r="R25" s="43" t="s">
        <v>537</v>
      </c>
    </row>
    <row r="26" spans="1:18" x14ac:dyDescent="0.35">
      <c r="A26" s="46"/>
      <c r="B26" s="46"/>
      <c r="C26" s="46" t="s">
        <v>553</v>
      </c>
      <c r="D26" s="47">
        <v>46279</v>
      </c>
      <c r="E26" s="46">
        <v>12</v>
      </c>
      <c r="F26" s="48">
        <f t="shared" si="0"/>
        <v>46639</v>
      </c>
      <c r="G26" s="49" t="str">
        <f t="shared" ca="1" si="1"/>
        <v>Competent</v>
      </c>
      <c r="H26" s="51" t="s">
        <v>551</v>
      </c>
      <c r="I26" s="46" t="s">
        <v>103</v>
      </c>
      <c r="J26" s="46" t="s">
        <v>565</v>
      </c>
    </row>
    <row r="27" spans="1:18" x14ac:dyDescent="0.35">
      <c r="A27" s="46"/>
      <c r="B27" s="46"/>
      <c r="C27" s="46" t="s">
        <v>554</v>
      </c>
      <c r="D27" s="47">
        <v>46279</v>
      </c>
      <c r="E27" s="46">
        <v>12</v>
      </c>
      <c r="F27" s="48">
        <f t="shared" si="0"/>
        <v>46639</v>
      </c>
      <c r="G27" s="49" t="str">
        <f t="shared" ca="1" si="1"/>
        <v>Competent</v>
      </c>
      <c r="H27" s="51" t="s">
        <v>551</v>
      </c>
      <c r="I27" s="46" t="s">
        <v>103</v>
      </c>
      <c r="J27" s="46" t="s">
        <v>565</v>
      </c>
    </row>
    <row r="28" spans="1:18" x14ac:dyDescent="0.35">
      <c r="A28" s="46"/>
      <c r="B28" s="46"/>
      <c r="C28" s="46" t="s">
        <v>555</v>
      </c>
      <c r="D28" s="47">
        <v>46279</v>
      </c>
      <c r="E28" s="46">
        <v>12</v>
      </c>
      <c r="F28" s="48">
        <f t="shared" si="0"/>
        <v>46639</v>
      </c>
      <c r="G28" s="49" t="str">
        <f t="shared" ca="1" si="1"/>
        <v>Competent</v>
      </c>
      <c r="H28" s="51" t="s">
        <v>551</v>
      </c>
      <c r="I28" s="46" t="s">
        <v>103</v>
      </c>
      <c r="J28" s="46" t="s">
        <v>565</v>
      </c>
    </row>
    <row r="29" spans="1:18" x14ac:dyDescent="0.35">
      <c r="A29" s="46"/>
      <c r="B29" s="46"/>
      <c r="C29" s="46"/>
      <c r="D29" s="47"/>
      <c r="E29" s="46"/>
      <c r="F29" s="48"/>
      <c r="G29" s="49"/>
      <c r="H29" s="51"/>
      <c r="I29" s="46"/>
      <c r="J29" s="46"/>
    </row>
    <row r="30" spans="1:18" ht="23" x14ac:dyDescent="0.35">
      <c r="A30" s="51" t="s">
        <v>550</v>
      </c>
      <c r="B30" s="56" t="s">
        <v>568</v>
      </c>
      <c r="C30" s="51" t="s">
        <v>552</v>
      </c>
      <c r="D30" s="47">
        <v>46279</v>
      </c>
      <c r="E30" s="51">
        <v>12</v>
      </c>
      <c r="F30" s="53">
        <f t="shared" si="0"/>
        <v>46639</v>
      </c>
      <c r="G30" s="54" t="str">
        <f t="shared" ca="1" si="1"/>
        <v>Competent</v>
      </c>
      <c r="H30" s="51" t="s">
        <v>551</v>
      </c>
      <c r="I30" s="51" t="s">
        <v>103</v>
      </c>
      <c r="J30" s="46" t="s">
        <v>565</v>
      </c>
      <c r="N30" s="43" t="s">
        <v>538</v>
      </c>
      <c r="O30" s="43" t="s">
        <v>542</v>
      </c>
      <c r="P30" s="43" t="s">
        <v>538</v>
      </c>
      <c r="Q30" s="43" t="s">
        <v>538</v>
      </c>
      <c r="R30" s="43" t="s">
        <v>538</v>
      </c>
    </row>
    <row r="31" spans="1:18" x14ac:dyDescent="0.35">
      <c r="A31" s="46"/>
      <c r="B31" s="46"/>
      <c r="C31" s="46" t="s">
        <v>553</v>
      </c>
      <c r="D31" s="47">
        <v>46279</v>
      </c>
      <c r="E31" s="46">
        <v>12</v>
      </c>
      <c r="F31" s="48">
        <f t="shared" si="0"/>
        <v>46639</v>
      </c>
      <c r="G31" s="49" t="str">
        <f t="shared" ca="1" si="1"/>
        <v>Competent</v>
      </c>
      <c r="H31" s="51" t="s">
        <v>551</v>
      </c>
      <c r="I31" s="46" t="s">
        <v>103</v>
      </c>
      <c r="J31" s="46" t="s">
        <v>565</v>
      </c>
      <c r="N31" s="43" t="s">
        <v>539</v>
      </c>
      <c r="O31" s="43" t="s">
        <v>544</v>
      </c>
      <c r="P31" s="43" t="s">
        <v>539</v>
      </c>
      <c r="Q31" s="43" t="s">
        <v>539</v>
      </c>
      <c r="R31" s="43" t="s">
        <v>539</v>
      </c>
    </row>
    <row r="32" spans="1:18" x14ac:dyDescent="0.35">
      <c r="A32" s="51"/>
      <c r="B32" s="51"/>
      <c r="C32" s="46" t="s">
        <v>554</v>
      </c>
      <c r="D32" s="47">
        <v>46279</v>
      </c>
      <c r="E32" s="51">
        <v>12</v>
      </c>
      <c r="F32" s="53">
        <f t="shared" si="0"/>
        <v>46639</v>
      </c>
      <c r="G32" s="54" t="str">
        <f t="shared" ca="1" si="1"/>
        <v>Competent</v>
      </c>
      <c r="H32" s="51" t="s">
        <v>551</v>
      </c>
      <c r="I32" s="51" t="s">
        <v>103</v>
      </c>
      <c r="J32" s="46" t="s">
        <v>565</v>
      </c>
      <c r="N32" s="43" t="s">
        <v>546</v>
      </c>
      <c r="P32" s="43" t="s">
        <v>540</v>
      </c>
      <c r="Q32" s="43" t="s">
        <v>540</v>
      </c>
      <c r="R32" s="43" t="s">
        <v>540</v>
      </c>
    </row>
    <row r="33" spans="1:18" x14ac:dyDescent="0.35">
      <c r="A33" s="46"/>
      <c r="B33" s="46"/>
      <c r="C33" s="46" t="s">
        <v>555</v>
      </c>
      <c r="D33" s="47">
        <v>46279</v>
      </c>
      <c r="E33" s="46">
        <v>12</v>
      </c>
      <c r="F33" s="48">
        <f t="shared" si="0"/>
        <v>46639</v>
      </c>
      <c r="G33" s="49" t="str">
        <f t="shared" ca="1" si="1"/>
        <v>Competent</v>
      </c>
      <c r="H33" s="51" t="s">
        <v>551</v>
      </c>
      <c r="I33" s="46" t="s">
        <v>103</v>
      </c>
      <c r="J33" s="46" t="s">
        <v>565</v>
      </c>
      <c r="P33" s="43" t="s">
        <v>546</v>
      </c>
      <c r="Q33" s="43" t="s">
        <v>545</v>
      </c>
      <c r="R33" s="43" t="s">
        <v>545</v>
      </c>
    </row>
    <row r="34" spans="1:18" x14ac:dyDescent="0.35">
      <c r="A34" s="51"/>
      <c r="B34" s="51"/>
      <c r="C34" s="51"/>
      <c r="D34" s="52"/>
      <c r="E34" s="51"/>
      <c r="F34" s="48"/>
      <c r="G34" s="49"/>
      <c r="H34" s="51"/>
      <c r="I34" s="51"/>
      <c r="J34" s="51"/>
    </row>
    <row r="35" spans="1:18" x14ac:dyDescent="0.35">
      <c r="A35" s="51" t="s">
        <v>557</v>
      </c>
      <c r="B35" s="51" t="s">
        <v>569</v>
      </c>
      <c r="C35" s="51" t="s">
        <v>559</v>
      </c>
      <c r="D35" s="52">
        <v>46286</v>
      </c>
      <c r="E35" s="51">
        <v>12</v>
      </c>
      <c r="F35" s="48">
        <f t="shared" si="0"/>
        <v>46646</v>
      </c>
      <c r="G35" s="49" t="str">
        <f t="shared" ca="1" si="1"/>
        <v>Competent</v>
      </c>
      <c r="H35" s="51" t="s">
        <v>567</v>
      </c>
      <c r="I35" s="51" t="s">
        <v>136</v>
      </c>
      <c r="J35" s="51"/>
    </row>
    <row r="36" spans="1:18" x14ac:dyDescent="0.35">
      <c r="A36" s="51"/>
      <c r="B36" s="51"/>
      <c r="C36" s="51" t="s">
        <v>556</v>
      </c>
      <c r="D36" s="55">
        <v>46286</v>
      </c>
      <c r="E36" s="51">
        <v>12</v>
      </c>
      <c r="F36" s="48">
        <f t="shared" si="0"/>
        <v>46646</v>
      </c>
      <c r="G36" s="49" t="str">
        <f t="shared" ca="1" si="1"/>
        <v>Competent</v>
      </c>
      <c r="H36" s="51" t="s">
        <v>567</v>
      </c>
      <c r="I36" s="51" t="s">
        <v>136</v>
      </c>
      <c r="J36" s="51"/>
    </row>
    <row r="37" spans="1:18" x14ac:dyDescent="0.35">
      <c r="A37" s="51"/>
      <c r="B37" s="51"/>
      <c r="C37" s="51" t="s">
        <v>542</v>
      </c>
      <c r="D37" s="55">
        <v>46286</v>
      </c>
      <c r="E37" s="51">
        <v>12</v>
      </c>
      <c r="F37" s="48">
        <f t="shared" si="0"/>
        <v>46646</v>
      </c>
      <c r="G37" s="49" t="str">
        <f t="shared" ca="1" si="1"/>
        <v>Competent</v>
      </c>
      <c r="H37" s="51" t="s">
        <v>567</v>
      </c>
      <c r="I37" s="51" t="s">
        <v>136</v>
      </c>
      <c r="J37" s="51"/>
    </row>
    <row r="38" spans="1:18" x14ac:dyDescent="0.35">
      <c r="A38" s="51"/>
      <c r="B38" s="51"/>
      <c r="C38" s="51"/>
      <c r="D38" s="52"/>
      <c r="E38" s="51"/>
      <c r="F38" s="48"/>
      <c r="G38" s="49"/>
      <c r="H38" s="51"/>
      <c r="I38" s="51"/>
      <c r="J38" s="51"/>
    </row>
    <row r="39" spans="1:18" x14ac:dyDescent="0.35">
      <c r="A39" s="46" t="s">
        <v>558</v>
      </c>
      <c r="B39" s="51" t="s">
        <v>569</v>
      </c>
      <c r="C39" s="51" t="s">
        <v>559</v>
      </c>
      <c r="D39" s="52">
        <v>46286</v>
      </c>
      <c r="E39" s="46">
        <v>12</v>
      </c>
      <c r="F39" s="48">
        <f t="shared" si="0"/>
        <v>46646</v>
      </c>
      <c r="G39" s="49" t="str">
        <f t="shared" ca="1" si="1"/>
        <v>Competent</v>
      </c>
      <c r="H39" s="51" t="s">
        <v>567</v>
      </c>
      <c r="I39" s="46" t="s">
        <v>136</v>
      </c>
      <c r="J39" s="46"/>
    </row>
    <row r="40" spans="1:18" x14ac:dyDescent="0.35">
      <c r="A40" s="51"/>
      <c r="B40" s="51"/>
      <c r="C40" s="51" t="s">
        <v>556</v>
      </c>
      <c r="D40" s="55">
        <v>46286</v>
      </c>
      <c r="E40" s="51">
        <v>12</v>
      </c>
      <c r="F40" s="48">
        <f t="shared" si="0"/>
        <v>46646</v>
      </c>
      <c r="G40" s="49" t="str">
        <f t="shared" ca="1" si="1"/>
        <v>Competent</v>
      </c>
      <c r="H40" s="51" t="s">
        <v>567</v>
      </c>
      <c r="I40" s="51" t="s">
        <v>136</v>
      </c>
      <c r="J40" s="51"/>
      <c r="L40" s="43" t="s">
        <v>560</v>
      </c>
      <c r="M40" s="44" t="s">
        <v>566</v>
      </c>
      <c r="N40" s="44"/>
      <c r="O40" s="44"/>
      <c r="P40" s="44"/>
      <c r="Q40" s="44"/>
      <c r="R40" s="44"/>
    </row>
    <row r="41" spans="1:18" x14ac:dyDescent="0.35">
      <c r="A41" s="46"/>
      <c r="B41" s="46"/>
      <c r="C41" s="51" t="s">
        <v>542</v>
      </c>
      <c r="D41" s="55">
        <v>46286</v>
      </c>
      <c r="E41" s="46">
        <v>12</v>
      </c>
      <c r="F41" s="48">
        <f t="shared" si="0"/>
        <v>46646</v>
      </c>
      <c r="G41" s="49" t="str">
        <f t="shared" ca="1" si="1"/>
        <v>Competent</v>
      </c>
      <c r="H41" s="51" t="s">
        <v>567</v>
      </c>
      <c r="I41" s="46" t="s">
        <v>136</v>
      </c>
      <c r="J41" s="46"/>
    </row>
    <row r="42" spans="1:18" x14ac:dyDescent="0.35">
      <c r="A42" s="51"/>
      <c r="B42" s="51"/>
      <c r="C42" s="51"/>
      <c r="D42" s="52"/>
      <c r="E42" s="51"/>
      <c r="F42" s="52"/>
      <c r="G42" s="51"/>
      <c r="H42" s="51"/>
      <c r="I42" s="51"/>
      <c r="J42" s="51"/>
    </row>
    <row r="43" spans="1:18" x14ac:dyDescent="0.35">
      <c r="A43" s="46"/>
      <c r="B43" s="46"/>
      <c r="C43" s="46"/>
      <c r="D43" s="47"/>
      <c r="E43" s="46"/>
      <c r="F43" s="46"/>
      <c r="G43" s="46"/>
      <c r="H43" s="46"/>
      <c r="I43" s="46"/>
      <c r="J43" s="46"/>
    </row>
    <row r="44" spans="1:18" x14ac:dyDescent="0.35">
      <c r="A44" s="51"/>
      <c r="B44" s="51"/>
      <c r="C44" s="51"/>
      <c r="D44" s="52"/>
      <c r="E44" s="51"/>
      <c r="F44" s="51"/>
      <c r="G44" s="51"/>
      <c r="H44" s="51"/>
      <c r="I44" s="51"/>
      <c r="J44" s="51"/>
    </row>
    <row r="45" spans="1:18" x14ac:dyDescent="0.35">
      <c r="A45" s="46"/>
      <c r="B45" s="46"/>
      <c r="C45" s="46"/>
      <c r="D45" s="47"/>
      <c r="E45" s="46"/>
      <c r="F45" s="46"/>
      <c r="G45" s="46"/>
      <c r="H45" s="46"/>
      <c r="I45" s="46"/>
      <c r="J45" s="46"/>
    </row>
    <row r="46" spans="1:18" x14ac:dyDescent="0.35">
      <c r="A46" s="51"/>
      <c r="B46" s="51"/>
      <c r="C46" s="51"/>
      <c r="D46" s="52"/>
      <c r="E46" s="51"/>
      <c r="F46" s="51"/>
      <c r="G46" s="51"/>
      <c r="H46" s="51"/>
      <c r="I46" s="51"/>
      <c r="J46" s="51"/>
    </row>
    <row r="47" spans="1:18" x14ac:dyDescent="0.35">
      <c r="A47" s="46"/>
      <c r="B47" s="46"/>
      <c r="C47" s="46"/>
      <c r="D47" s="47"/>
      <c r="E47" s="46"/>
      <c r="F47" s="46"/>
      <c r="G47" s="46"/>
      <c r="H47" s="46"/>
      <c r="I47" s="46"/>
      <c r="J47" s="46"/>
    </row>
    <row r="48" spans="1:18" x14ac:dyDescent="0.35">
      <c r="A48" s="51"/>
      <c r="B48" s="51"/>
      <c r="C48" s="51"/>
      <c r="D48" s="52"/>
      <c r="E48" s="51"/>
      <c r="F48" s="51"/>
      <c r="G48" s="51"/>
      <c r="H48" s="51"/>
      <c r="I48" s="51"/>
      <c r="J48" s="51"/>
    </row>
    <row r="49" spans="1:10" x14ac:dyDescent="0.35">
      <c r="A49" s="46"/>
      <c r="B49" s="46"/>
      <c r="C49" s="46"/>
      <c r="D49" s="47"/>
      <c r="E49" s="46"/>
      <c r="F49" s="46"/>
      <c r="G49" s="46"/>
      <c r="H49" s="46"/>
      <c r="I49" s="46"/>
      <c r="J49" s="46"/>
    </row>
    <row r="50" spans="1:10" x14ac:dyDescent="0.35">
      <c r="A50" s="51"/>
      <c r="B50" s="51"/>
      <c r="C50" s="51"/>
      <c r="D50" s="52"/>
      <c r="E50" s="51"/>
      <c r="F50" s="51"/>
      <c r="G50" s="51"/>
      <c r="H50" s="51"/>
      <c r="I50" s="51"/>
      <c r="J50" s="51"/>
    </row>
    <row r="51" spans="1:10" x14ac:dyDescent="0.35">
      <c r="A51" s="46"/>
      <c r="B51" s="46"/>
      <c r="C51" s="46"/>
      <c r="D51" s="47"/>
      <c r="E51" s="46"/>
      <c r="F51" s="46"/>
      <c r="G51" s="46"/>
      <c r="H51" s="46"/>
      <c r="I51" s="46"/>
      <c r="J51" s="46"/>
    </row>
    <row r="52" spans="1:10" x14ac:dyDescent="0.35">
      <c r="A52" s="51"/>
      <c r="B52" s="51"/>
      <c r="C52" s="51"/>
      <c r="D52" s="52"/>
      <c r="E52" s="51"/>
      <c r="F52" s="51"/>
      <c r="G52" s="51"/>
      <c r="H52" s="51"/>
      <c r="I52" s="51"/>
      <c r="J52" s="51"/>
    </row>
    <row r="53" spans="1:10" x14ac:dyDescent="0.35">
      <c r="A53" s="46"/>
      <c r="B53" s="46"/>
      <c r="C53" s="46"/>
      <c r="D53" s="47"/>
      <c r="E53" s="46"/>
      <c r="F53" s="46"/>
      <c r="G53" s="46"/>
      <c r="H53" s="46"/>
      <c r="I53" s="46"/>
      <c r="J53" s="46"/>
    </row>
    <row r="54" spans="1:10" x14ac:dyDescent="0.35">
      <c r="A54" s="51"/>
      <c r="B54" s="51"/>
      <c r="C54" s="51"/>
      <c r="D54" s="52"/>
      <c r="E54" s="51"/>
      <c r="F54" s="51"/>
      <c r="G54" s="51"/>
      <c r="H54" s="51"/>
      <c r="I54" s="51"/>
      <c r="J54" s="51"/>
    </row>
    <row r="55" spans="1:10" x14ac:dyDescent="0.35">
      <c r="A55" s="46"/>
      <c r="B55" s="46"/>
      <c r="C55" s="46"/>
      <c r="D55" s="47"/>
      <c r="E55" s="46"/>
      <c r="F55" s="46"/>
      <c r="G55" s="46"/>
      <c r="H55" s="46"/>
      <c r="I55" s="46"/>
      <c r="J55" s="46"/>
    </row>
    <row r="56" spans="1:10" x14ac:dyDescent="0.35">
      <c r="A56" s="51"/>
      <c r="B56" s="51"/>
      <c r="C56" s="51"/>
      <c r="D56" s="52"/>
      <c r="E56" s="51"/>
      <c r="F56" s="51"/>
      <c r="G56" s="51"/>
      <c r="H56" s="51"/>
      <c r="I56" s="51"/>
      <c r="J56" s="51"/>
    </row>
    <row r="57" spans="1:10" x14ac:dyDescent="0.35">
      <c r="A57" s="46"/>
      <c r="B57" s="46"/>
      <c r="C57" s="46"/>
      <c r="D57" s="47"/>
      <c r="E57" s="46"/>
      <c r="F57" s="46"/>
      <c r="G57" s="46"/>
      <c r="H57" s="46"/>
      <c r="I57" s="46"/>
      <c r="J57" s="46"/>
    </row>
    <row r="58" spans="1:10" x14ac:dyDescent="0.35">
      <c r="A58" s="51"/>
      <c r="B58" s="51"/>
      <c r="C58" s="51"/>
      <c r="D58" s="52"/>
      <c r="E58" s="51"/>
      <c r="F58" s="51"/>
      <c r="G58" s="51"/>
      <c r="H58" s="51"/>
      <c r="I58" s="51"/>
      <c r="J58" s="51"/>
    </row>
    <row r="59" spans="1:10" x14ac:dyDescent="0.35">
      <c r="A59" s="46"/>
      <c r="B59" s="46"/>
      <c r="C59" s="46"/>
      <c r="D59" s="47"/>
      <c r="E59" s="46"/>
      <c r="F59" s="46"/>
      <c r="G59" s="46"/>
      <c r="H59" s="46"/>
      <c r="I59" s="46"/>
      <c r="J59" s="46"/>
    </row>
    <row r="60" spans="1:10" x14ac:dyDescent="0.35">
      <c r="A60" s="51"/>
      <c r="B60" s="51"/>
      <c r="C60" s="51"/>
      <c r="D60" s="52"/>
      <c r="E60" s="51"/>
      <c r="F60" s="51"/>
      <c r="G60" s="51"/>
      <c r="H60" s="51"/>
      <c r="I60" s="51"/>
      <c r="J60" s="51"/>
    </row>
    <row r="61" spans="1:10" x14ac:dyDescent="0.35">
      <c r="A61" s="46"/>
      <c r="B61" s="46"/>
      <c r="C61" s="46"/>
      <c r="D61" s="47"/>
      <c r="E61" s="46"/>
      <c r="F61" s="46"/>
      <c r="G61" s="46"/>
      <c r="H61" s="46"/>
      <c r="I61" s="46"/>
      <c r="J61" s="46"/>
    </row>
    <row r="62" spans="1:10" x14ac:dyDescent="0.35">
      <c r="A62" s="51"/>
      <c r="B62" s="51"/>
      <c r="C62" s="51"/>
      <c r="D62" s="52"/>
      <c r="E62" s="51"/>
      <c r="F62" s="51"/>
      <c r="G62" s="51"/>
      <c r="H62" s="51"/>
      <c r="I62" s="51"/>
      <c r="J62" s="51"/>
    </row>
    <row r="63" spans="1:10" x14ac:dyDescent="0.35">
      <c r="A63" s="46"/>
      <c r="B63" s="46"/>
      <c r="C63" s="46"/>
      <c r="D63" s="47"/>
      <c r="E63" s="46"/>
      <c r="F63" s="46"/>
      <c r="G63" s="46"/>
      <c r="H63" s="46"/>
      <c r="I63" s="46"/>
      <c r="J63" s="46"/>
    </row>
    <row r="64" spans="1:10" x14ac:dyDescent="0.35">
      <c r="A64" s="51"/>
      <c r="B64" s="51"/>
      <c r="C64" s="51"/>
      <c r="D64" s="52"/>
      <c r="E64" s="51"/>
      <c r="F64" s="51"/>
      <c r="G64" s="51"/>
      <c r="H64" s="51"/>
      <c r="I64" s="51"/>
      <c r="J64" s="51"/>
    </row>
    <row r="65" spans="1:10" x14ac:dyDescent="0.35">
      <c r="A65" s="46"/>
      <c r="B65" s="46"/>
      <c r="C65" s="46"/>
      <c r="D65" s="47"/>
      <c r="E65" s="46"/>
      <c r="F65" s="46"/>
      <c r="G65" s="46"/>
      <c r="H65" s="46"/>
      <c r="I65" s="46"/>
      <c r="J65" s="46"/>
    </row>
    <row r="66" spans="1:10" x14ac:dyDescent="0.35">
      <c r="A66" s="51"/>
      <c r="B66" s="51"/>
      <c r="C66" s="51"/>
      <c r="D66" s="51"/>
      <c r="E66" s="51"/>
      <c r="F66" s="51"/>
      <c r="G66" s="51"/>
      <c r="H66" s="51"/>
      <c r="I66" s="51"/>
      <c r="J66" s="51"/>
    </row>
    <row r="67" spans="1:10" x14ac:dyDescent="0.35">
      <c r="A67" s="46"/>
      <c r="B67" s="46"/>
      <c r="C67" s="46"/>
      <c r="D67" s="46"/>
      <c r="E67" s="46"/>
      <c r="F67" s="46"/>
      <c r="G67" s="46"/>
      <c r="H67" s="46"/>
      <c r="I67" s="46"/>
      <c r="J67" s="46"/>
    </row>
    <row r="68" spans="1:10" x14ac:dyDescent="0.35">
      <c r="A68" s="51"/>
      <c r="B68" s="51"/>
      <c r="C68" s="51"/>
      <c r="D68" s="51"/>
      <c r="E68" s="51"/>
      <c r="F68" s="51"/>
      <c r="G68" s="51"/>
      <c r="H68" s="51"/>
      <c r="I68" s="51"/>
      <c r="J68" s="51"/>
    </row>
    <row r="69" spans="1:10" x14ac:dyDescent="0.35">
      <c r="A69" s="46"/>
      <c r="B69" s="46"/>
      <c r="C69" s="46"/>
      <c r="D69" s="46"/>
      <c r="E69" s="46"/>
      <c r="F69" s="46"/>
      <c r="G69" s="46"/>
      <c r="H69" s="46"/>
      <c r="I69" s="46"/>
      <c r="J69" s="46"/>
    </row>
    <row r="70" spans="1:10" x14ac:dyDescent="0.35">
      <c r="A70" s="51"/>
      <c r="B70" s="51"/>
      <c r="C70" s="51"/>
      <c r="D70" s="51"/>
      <c r="E70" s="51"/>
      <c r="F70" s="51"/>
      <c r="G70" s="51"/>
      <c r="H70" s="51"/>
      <c r="I70" s="51"/>
      <c r="J70" s="51"/>
    </row>
    <row r="71" spans="1:10" x14ac:dyDescent="0.35">
      <c r="A71" s="46"/>
      <c r="B71" s="46"/>
      <c r="C71" s="46"/>
      <c r="D71" s="46"/>
      <c r="E71" s="46"/>
      <c r="F71" s="46"/>
      <c r="G71" s="46"/>
      <c r="H71" s="46"/>
      <c r="I71" s="46"/>
      <c r="J71" s="46"/>
    </row>
    <row r="72" spans="1:10" x14ac:dyDescent="0.35">
      <c r="A72" s="51"/>
      <c r="B72" s="51"/>
      <c r="C72" s="51"/>
      <c r="D72" s="51"/>
      <c r="E72" s="51"/>
      <c r="F72" s="51"/>
      <c r="G72" s="51"/>
      <c r="H72" s="51"/>
      <c r="I72" s="51"/>
      <c r="J72" s="51"/>
    </row>
    <row r="73" spans="1:10" x14ac:dyDescent="0.35">
      <c r="A73" s="46"/>
      <c r="B73" s="46"/>
      <c r="C73" s="46"/>
      <c r="D73" s="46"/>
      <c r="E73" s="46"/>
      <c r="F73" s="46"/>
      <c r="G73" s="46"/>
      <c r="H73" s="46"/>
      <c r="I73" s="46"/>
      <c r="J73" s="46"/>
    </row>
    <row r="74" spans="1:10" x14ac:dyDescent="0.35">
      <c r="A74" s="51"/>
      <c r="B74" s="51"/>
      <c r="C74" s="51"/>
      <c r="D74" s="51"/>
      <c r="E74" s="51"/>
      <c r="F74" s="51"/>
      <c r="G74" s="51"/>
      <c r="H74" s="51"/>
      <c r="I74" s="51"/>
      <c r="J74" s="51"/>
    </row>
    <row r="75" spans="1:10" x14ac:dyDescent="0.35">
      <c r="A75" s="46"/>
      <c r="B75" s="46"/>
      <c r="C75" s="46"/>
      <c r="D75" s="46"/>
      <c r="E75" s="46"/>
      <c r="F75" s="46"/>
      <c r="G75" s="46"/>
      <c r="H75" s="46"/>
      <c r="I75" s="46"/>
      <c r="J75" s="46"/>
    </row>
    <row r="76" spans="1:10" x14ac:dyDescent="0.35">
      <c r="A76" s="51"/>
      <c r="B76" s="51"/>
      <c r="C76" s="51"/>
      <c r="D76" s="51"/>
      <c r="E76" s="51"/>
      <c r="F76" s="51"/>
      <c r="G76" s="51"/>
      <c r="H76" s="51"/>
      <c r="I76" s="51"/>
      <c r="J76" s="51"/>
    </row>
    <row r="77" spans="1:10" x14ac:dyDescent="0.35">
      <c r="A77" s="46"/>
      <c r="B77" s="46"/>
      <c r="C77" s="46"/>
      <c r="D77" s="46"/>
      <c r="E77" s="46"/>
      <c r="F77" s="46"/>
      <c r="G77" s="46"/>
      <c r="H77" s="46"/>
      <c r="I77" s="46"/>
      <c r="J77" s="46"/>
    </row>
    <row r="78" spans="1:10" x14ac:dyDescent="0.35">
      <c r="A78" s="51"/>
      <c r="B78" s="51"/>
      <c r="C78" s="51"/>
      <c r="D78" s="51"/>
      <c r="E78" s="51"/>
      <c r="F78" s="51"/>
      <c r="G78" s="51"/>
      <c r="H78" s="51"/>
      <c r="I78" s="51"/>
      <c r="J78" s="51"/>
    </row>
    <row r="79" spans="1:10" x14ac:dyDescent="0.35">
      <c r="A79" s="46"/>
      <c r="B79" s="46"/>
      <c r="C79" s="46"/>
      <c r="D79" s="46"/>
      <c r="E79" s="46"/>
      <c r="F79" s="46"/>
      <c r="G79" s="46"/>
      <c r="H79" s="46"/>
      <c r="I79" s="46"/>
      <c r="J79" s="46"/>
    </row>
    <row r="80" spans="1:10" x14ac:dyDescent="0.35">
      <c r="A80" s="51"/>
      <c r="B80" s="51"/>
      <c r="C80" s="51"/>
      <c r="D80" s="51"/>
      <c r="E80" s="51"/>
      <c r="F80" s="51"/>
      <c r="G80" s="51"/>
      <c r="H80" s="51"/>
      <c r="I80" s="51"/>
      <c r="J80" s="51"/>
    </row>
  </sheetData>
  <mergeCells count="2">
    <mergeCell ref="A1:J1"/>
    <mergeCell ref="M40:R40"/>
  </mergeCells>
  <dataValidations count="1">
    <dataValidation type="list" allowBlank="1" sqref="G6:G80" xr:uid="{00000000-0002-0000-0600-000000000000}">
      <formula1>"Competent,Due Soon,Overdue"</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5"/>
  <sheetViews>
    <sheetView showGridLines="0" zoomScale="90" zoomScaleNormal="90" workbookViewId="0">
      <pane ySplit="5" topLeftCell="A6" activePane="bottomLeft" state="frozen"/>
      <selection pane="bottomLeft" activeCell="C14" sqref="C14"/>
    </sheetView>
  </sheetViews>
  <sheetFormatPr defaultColWidth="8.6328125" defaultRowHeight="14.5" x14ac:dyDescent="0.35"/>
  <cols>
    <col min="1" max="1" width="13" customWidth="1"/>
    <col min="2" max="2" width="12" customWidth="1"/>
    <col min="3" max="3" width="16" customWidth="1"/>
    <col min="4" max="4" width="48.90625" bestFit="1" customWidth="1"/>
    <col min="5" max="5" width="16" customWidth="1"/>
    <col min="6" max="6" width="44.08984375" bestFit="1" customWidth="1"/>
    <col min="7" max="8" width="10" customWidth="1"/>
    <col min="9" max="9" width="12" customWidth="1"/>
    <col min="10" max="10" width="9" customWidth="1"/>
    <col min="11" max="11" width="13" customWidth="1"/>
  </cols>
  <sheetData>
    <row r="1" spans="1:11" ht="25.5" customHeight="1" x14ac:dyDescent="0.35">
      <c r="A1" s="21" t="s">
        <v>202</v>
      </c>
      <c r="B1" s="21"/>
      <c r="C1" s="21"/>
      <c r="D1" s="21"/>
      <c r="E1" s="21"/>
      <c r="F1" s="21"/>
      <c r="G1" s="21"/>
      <c r="H1" s="21"/>
      <c r="I1" s="21"/>
      <c r="J1" s="21"/>
      <c r="K1" s="21"/>
    </row>
    <row r="2" spans="1:11" x14ac:dyDescent="0.35">
      <c r="A2" s="2" t="s">
        <v>36</v>
      </c>
    </row>
    <row r="3" spans="1:11" x14ac:dyDescent="0.35">
      <c r="A3" s="2" t="s">
        <v>37</v>
      </c>
    </row>
    <row r="5" spans="1:11" ht="30" customHeight="1" x14ac:dyDescent="0.35">
      <c r="A5" s="3" t="s">
        <v>203</v>
      </c>
      <c r="B5" s="3" t="s">
        <v>204</v>
      </c>
      <c r="C5" s="3" t="s">
        <v>205</v>
      </c>
      <c r="D5" s="3" t="s">
        <v>87</v>
      </c>
      <c r="E5" s="3" t="s">
        <v>206</v>
      </c>
      <c r="F5" s="3" t="s">
        <v>44</v>
      </c>
      <c r="G5" s="3" t="s">
        <v>176</v>
      </c>
      <c r="H5" s="3" t="s">
        <v>48</v>
      </c>
      <c r="I5" s="3" t="s">
        <v>207</v>
      </c>
      <c r="J5" s="3" t="s">
        <v>50</v>
      </c>
      <c r="K5" s="3" t="s">
        <v>208</v>
      </c>
    </row>
    <row r="6" spans="1:11" x14ac:dyDescent="0.35">
      <c r="A6" s="4" t="s">
        <v>209</v>
      </c>
      <c r="B6" s="4" t="s">
        <v>119</v>
      </c>
      <c r="C6" s="4" t="s">
        <v>210</v>
      </c>
      <c r="D6" s="4" t="s">
        <v>211</v>
      </c>
      <c r="E6" s="4" t="s">
        <v>212</v>
      </c>
      <c r="F6" s="4" t="s">
        <v>213</v>
      </c>
      <c r="G6" s="4" t="s">
        <v>118</v>
      </c>
      <c r="H6" s="4" t="s">
        <v>57</v>
      </c>
      <c r="I6" s="4" t="s">
        <v>73</v>
      </c>
      <c r="J6" s="5">
        <f>I6-B6</f>
        <v>24</v>
      </c>
      <c r="K6" s="4" t="s">
        <v>103</v>
      </c>
    </row>
    <row r="7" spans="1:11" x14ac:dyDescent="0.35">
      <c r="A7" s="6" t="s">
        <v>214</v>
      </c>
      <c r="B7" s="6" t="s">
        <v>125</v>
      </c>
      <c r="C7" s="6" t="s">
        <v>215</v>
      </c>
      <c r="D7" s="6" t="s">
        <v>216</v>
      </c>
      <c r="E7" s="6" t="s">
        <v>217</v>
      </c>
      <c r="F7" s="6" t="s">
        <v>218</v>
      </c>
      <c r="G7" s="6" t="s">
        <v>128</v>
      </c>
      <c r="H7" s="6" t="s">
        <v>57</v>
      </c>
      <c r="I7" s="6" t="s">
        <v>75</v>
      </c>
      <c r="J7" s="7">
        <f>I7-B7</f>
        <v>8</v>
      </c>
      <c r="K7" s="6" t="s">
        <v>103</v>
      </c>
    </row>
    <row r="8" spans="1:11" x14ac:dyDescent="0.35">
      <c r="A8" s="4" t="s">
        <v>219</v>
      </c>
      <c r="B8" s="4" t="s">
        <v>59</v>
      </c>
      <c r="C8" s="4" t="s">
        <v>220</v>
      </c>
      <c r="D8" s="4" t="s">
        <v>221</v>
      </c>
      <c r="E8" s="4" t="s">
        <v>222</v>
      </c>
      <c r="F8" s="4" t="s">
        <v>223</v>
      </c>
      <c r="G8" s="4" t="s">
        <v>128</v>
      </c>
      <c r="H8" s="4" t="s">
        <v>57</v>
      </c>
      <c r="I8" s="4" t="s">
        <v>224</v>
      </c>
      <c r="J8" s="5">
        <f>I8-B8</f>
        <v>4</v>
      </c>
      <c r="K8" s="4" t="s">
        <v>103</v>
      </c>
    </row>
    <row r="9" spans="1:11" x14ac:dyDescent="0.35">
      <c r="A9" s="6" t="s">
        <v>225</v>
      </c>
      <c r="B9" s="6" t="s">
        <v>226</v>
      </c>
      <c r="C9" s="6" t="s">
        <v>227</v>
      </c>
      <c r="D9" s="6" t="s">
        <v>228</v>
      </c>
      <c r="E9" s="6" t="s">
        <v>229</v>
      </c>
      <c r="F9" s="6" t="s">
        <v>230</v>
      </c>
      <c r="G9" s="6" t="s">
        <v>128</v>
      </c>
      <c r="H9" s="6" t="s">
        <v>78</v>
      </c>
      <c r="I9" s="6"/>
      <c r="J9" s="7">
        <f ca="1">IF(I9="",TODAY()-B9,I9-B9)</f>
        <v>127</v>
      </c>
      <c r="K9" s="6" t="s">
        <v>136</v>
      </c>
    </row>
    <row r="10" spans="1:11" x14ac:dyDescent="0.35">
      <c r="A10" s="4"/>
      <c r="B10" s="4"/>
      <c r="C10" s="4"/>
      <c r="D10" s="4"/>
      <c r="E10" s="4"/>
      <c r="F10" s="4"/>
      <c r="G10" s="4"/>
      <c r="H10" s="4"/>
      <c r="I10" s="4"/>
      <c r="J10" s="4"/>
      <c r="K10" s="4"/>
    </row>
    <row r="11" spans="1:11" x14ac:dyDescent="0.35">
      <c r="A11" s="6"/>
      <c r="B11" s="6"/>
      <c r="C11" s="6"/>
      <c r="D11" s="6"/>
      <c r="E11" s="6"/>
      <c r="F11" s="6"/>
      <c r="G11" s="6"/>
      <c r="H11" s="6"/>
      <c r="I11" s="6"/>
      <c r="J11" s="6"/>
      <c r="K11" s="6"/>
    </row>
    <row r="12" spans="1:11" x14ac:dyDescent="0.35">
      <c r="A12" s="4"/>
      <c r="B12" s="4"/>
      <c r="C12" s="4"/>
      <c r="D12" s="4"/>
      <c r="E12" s="4"/>
      <c r="F12" s="4"/>
      <c r="G12" s="4"/>
      <c r="H12" s="4"/>
      <c r="I12" s="4"/>
      <c r="J12" s="4"/>
      <c r="K12" s="4"/>
    </row>
    <row r="13" spans="1:11" x14ac:dyDescent="0.35">
      <c r="A13" s="6"/>
      <c r="B13" s="6"/>
      <c r="C13" s="6"/>
      <c r="D13" s="6"/>
      <c r="E13" s="6"/>
      <c r="F13" s="6"/>
      <c r="G13" s="6"/>
      <c r="H13" s="6"/>
      <c r="I13" s="6"/>
      <c r="J13" s="6"/>
      <c r="K13" s="6"/>
    </row>
    <row r="14" spans="1:11" x14ac:dyDescent="0.35">
      <c r="A14" s="4"/>
      <c r="B14" s="4"/>
      <c r="C14" s="4"/>
      <c r="D14" s="4"/>
      <c r="E14" s="4"/>
      <c r="F14" s="4"/>
      <c r="G14" s="4"/>
      <c r="H14" s="4"/>
      <c r="I14" s="4"/>
      <c r="J14" s="4"/>
      <c r="K14" s="4"/>
    </row>
    <row r="15" spans="1:11" x14ac:dyDescent="0.35">
      <c r="A15" s="6"/>
      <c r="B15" s="6"/>
      <c r="C15" s="6"/>
      <c r="D15" s="6"/>
      <c r="E15" s="6"/>
      <c r="F15" s="6"/>
      <c r="G15" s="6"/>
      <c r="H15" s="6"/>
      <c r="I15" s="6"/>
      <c r="J15" s="6"/>
      <c r="K15" s="6"/>
    </row>
    <row r="16" spans="1:11" x14ac:dyDescent="0.35">
      <c r="A16" s="4"/>
      <c r="B16" s="4"/>
      <c r="C16" s="4"/>
      <c r="D16" s="4"/>
      <c r="E16" s="4"/>
      <c r="F16" s="4"/>
      <c r="G16" s="4"/>
      <c r="H16" s="4"/>
      <c r="I16" s="4"/>
      <c r="J16" s="4"/>
      <c r="K16" s="4"/>
    </row>
    <row r="17" spans="1:11" x14ac:dyDescent="0.35">
      <c r="A17" s="6"/>
      <c r="B17" s="6"/>
      <c r="C17" s="6"/>
      <c r="D17" s="6"/>
      <c r="E17" s="6"/>
      <c r="F17" s="6"/>
      <c r="G17" s="6"/>
      <c r="H17" s="6"/>
      <c r="I17" s="6"/>
      <c r="J17" s="6"/>
      <c r="K17" s="6"/>
    </row>
    <row r="18" spans="1:11" x14ac:dyDescent="0.35">
      <c r="A18" s="4"/>
      <c r="B18" s="4"/>
      <c r="C18" s="4"/>
      <c r="D18" s="4"/>
      <c r="E18" s="4"/>
      <c r="F18" s="4"/>
      <c r="G18" s="4"/>
      <c r="H18" s="4"/>
      <c r="I18" s="4"/>
      <c r="J18" s="4"/>
      <c r="K18" s="4"/>
    </row>
    <row r="19" spans="1:11" x14ac:dyDescent="0.35">
      <c r="A19" s="6"/>
      <c r="B19" s="6"/>
      <c r="C19" s="6"/>
      <c r="D19" s="6"/>
      <c r="E19" s="6"/>
      <c r="F19" s="6"/>
      <c r="G19" s="6"/>
      <c r="H19" s="6"/>
      <c r="I19" s="6"/>
      <c r="J19" s="6"/>
      <c r="K19" s="6"/>
    </row>
    <row r="20" spans="1:11" x14ac:dyDescent="0.35">
      <c r="A20" s="4"/>
      <c r="B20" s="4"/>
      <c r="C20" s="4"/>
      <c r="D20" s="4"/>
      <c r="E20" s="4"/>
      <c r="F20" s="4"/>
      <c r="G20" s="4"/>
      <c r="H20" s="4"/>
      <c r="I20" s="4"/>
      <c r="J20" s="4"/>
      <c r="K20" s="4"/>
    </row>
    <row r="21" spans="1:11" x14ac:dyDescent="0.35">
      <c r="A21" s="6"/>
      <c r="B21" s="6"/>
      <c r="C21" s="6"/>
      <c r="D21" s="6"/>
      <c r="E21" s="6"/>
      <c r="F21" s="6"/>
      <c r="G21" s="6"/>
      <c r="H21" s="6"/>
      <c r="I21" s="6"/>
      <c r="J21" s="6"/>
      <c r="K21" s="6"/>
    </row>
    <row r="22" spans="1:11" x14ac:dyDescent="0.35">
      <c r="A22" s="4"/>
      <c r="B22" s="4"/>
      <c r="C22" s="4"/>
      <c r="D22" s="4"/>
      <c r="E22" s="4"/>
      <c r="F22" s="4"/>
      <c r="G22" s="4"/>
      <c r="H22" s="4"/>
      <c r="I22" s="4"/>
      <c r="J22" s="4"/>
      <c r="K22" s="4"/>
    </row>
    <row r="23" spans="1:11" x14ac:dyDescent="0.35">
      <c r="A23" s="6"/>
      <c r="B23" s="6"/>
      <c r="C23" s="6"/>
      <c r="D23" s="6"/>
      <c r="E23" s="6"/>
      <c r="F23" s="6"/>
      <c r="G23" s="6"/>
      <c r="H23" s="6"/>
      <c r="I23" s="6"/>
      <c r="J23" s="6"/>
      <c r="K23" s="6"/>
    </row>
    <row r="24" spans="1:11" x14ac:dyDescent="0.35">
      <c r="A24" s="4"/>
      <c r="B24" s="4"/>
      <c r="C24" s="4"/>
      <c r="D24" s="4"/>
      <c r="E24" s="4"/>
      <c r="F24" s="4"/>
      <c r="G24" s="4"/>
      <c r="H24" s="4"/>
      <c r="I24" s="4"/>
      <c r="J24" s="4"/>
      <c r="K24" s="4"/>
    </row>
    <row r="25" spans="1:11" x14ac:dyDescent="0.35">
      <c r="A25" s="6"/>
      <c r="B25" s="6"/>
      <c r="C25" s="6"/>
      <c r="D25" s="6"/>
      <c r="E25" s="6"/>
      <c r="F25" s="6"/>
      <c r="G25" s="6"/>
      <c r="H25" s="6"/>
      <c r="I25" s="6"/>
      <c r="J25" s="6"/>
      <c r="K25" s="6"/>
    </row>
    <row r="26" spans="1:11" x14ac:dyDescent="0.35">
      <c r="A26" s="4"/>
      <c r="B26" s="4"/>
      <c r="C26" s="4"/>
      <c r="D26" s="4"/>
      <c r="E26" s="4"/>
      <c r="F26" s="4"/>
      <c r="G26" s="4"/>
      <c r="H26" s="4"/>
      <c r="I26" s="4"/>
      <c r="J26" s="4"/>
      <c r="K26" s="4"/>
    </row>
    <row r="27" spans="1:11" x14ac:dyDescent="0.35">
      <c r="A27" s="6"/>
      <c r="B27" s="6"/>
      <c r="C27" s="6"/>
      <c r="D27" s="6"/>
      <c r="E27" s="6"/>
      <c r="F27" s="6"/>
      <c r="G27" s="6"/>
      <c r="H27" s="6"/>
      <c r="I27" s="6"/>
      <c r="J27" s="6"/>
      <c r="K27" s="6"/>
    </row>
    <row r="28" spans="1:11" x14ac:dyDescent="0.35">
      <c r="A28" s="4"/>
      <c r="B28" s="4"/>
      <c r="C28" s="4"/>
      <c r="D28" s="4"/>
      <c r="E28" s="4"/>
      <c r="F28" s="4"/>
      <c r="G28" s="4"/>
      <c r="H28" s="4"/>
      <c r="I28" s="4"/>
      <c r="J28" s="4"/>
      <c r="K28" s="4"/>
    </row>
    <row r="29" spans="1:11" x14ac:dyDescent="0.35">
      <c r="A29" s="6"/>
      <c r="B29" s="6"/>
      <c r="C29" s="6"/>
      <c r="D29" s="6"/>
      <c r="E29" s="6"/>
      <c r="F29" s="6"/>
      <c r="G29" s="6"/>
      <c r="H29" s="6"/>
      <c r="I29" s="6"/>
      <c r="J29" s="6"/>
      <c r="K29" s="6"/>
    </row>
    <row r="30" spans="1:11" x14ac:dyDescent="0.35">
      <c r="A30" s="4"/>
      <c r="B30" s="4"/>
      <c r="C30" s="4"/>
      <c r="D30" s="4"/>
      <c r="E30" s="4"/>
      <c r="F30" s="4"/>
      <c r="G30" s="4"/>
      <c r="H30" s="4"/>
      <c r="I30" s="4"/>
      <c r="J30" s="4"/>
      <c r="K30" s="4"/>
    </row>
    <row r="31" spans="1:11" x14ac:dyDescent="0.35">
      <c r="A31" s="6"/>
      <c r="B31" s="6"/>
      <c r="C31" s="6"/>
      <c r="D31" s="6"/>
      <c r="E31" s="6"/>
      <c r="F31" s="6"/>
      <c r="G31" s="6"/>
      <c r="H31" s="6"/>
      <c r="I31" s="6"/>
      <c r="J31" s="6"/>
      <c r="K31" s="6"/>
    </row>
    <row r="32" spans="1:11" x14ac:dyDescent="0.35">
      <c r="A32" s="4"/>
      <c r="B32" s="4"/>
      <c r="C32" s="4"/>
      <c r="D32" s="4"/>
      <c r="E32" s="4"/>
      <c r="F32" s="4"/>
      <c r="G32" s="4"/>
      <c r="H32" s="4"/>
      <c r="I32" s="4"/>
      <c r="J32" s="4"/>
      <c r="K32" s="4"/>
    </row>
    <row r="33" spans="1:11" x14ac:dyDescent="0.35">
      <c r="A33" s="6"/>
      <c r="B33" s="6"/>
      <c r="C33" s="6"/>
      <c r="D33" s="6"/>
      <c r="E33" s="6"/>
      <c r="F33" s="6"/>
      <c r="G33" s="6"/>
      <c r="H33" s="6"/>
      <c r="I33" s="6"/>
      <c r="J33" s="6"/>
      <c r="K33" s="6"/>
    </row>
    <row r="34" spans="1:11" x14ac:dyDescent="0.35">
      <c r="A34" s="4"/>
      <c r="B34" s="4"/>
      <c r="C34" s="4"/>
      <c r="D34" s="4"/>
      <c r="E34" s="4"/>
      <c r="F34" s="4"/>
      <c r="G34" s="4"/>
      <c r="H34" s="4"/>
      <c r="I34" s="4"/>
      <c r="J34" s="4"/>
      <c r="K34" s="4"/>
    </row>
    <row r="35" spans="1:11" x14ac:dyDescent="0.35">
      <c r="A35" s="6"/>
      <c r="B35" s="6"/>
      <c r="C35" s="6"/>
      <c r="D35" s="6"/>
      <c r="E35" s="6"/>
      <c r="F35" s="6"/>
      <c r="G35" s="6"/>
      <c r="H35" s="6"/>
      <c r="I35" s="6"/>
      <c r="J35" s="6"/>
      <c r="K35" s="6"/>
    </row>
    <row r="36" spans="1:11" x14ac:dyDescent="0.35">
      <c r="A36" s="4"/>
      <c r="B36" s="4"/>
      <c r="C36" s="4"/>
      <c r="D36" s="4"/>
      <c r="E36" s="4"/>
      <c r="F36" s="4"/>
      <c r="G36" s="4"/>
      <c r="H36" s="4"/>
      <c r="I36" s="4"/>
      <c r="J36" s="4"/>
      <c r="K36" s="4"/>
    </row>
    <row r="37" spans="1:11" x14ac:dyDescent="0.35">
      <c r="A37" s="6"/>
      <c r="B37" s="6"/>
      <c r="C37" s="6"/>
      <c r="D37" s="6"/>
      <c r="E37" s="6"/>
      <c r="F37" s="6"/>
      <c r="G37" s="6"/>
      <c r="H37" s="6"/>
      <c r="I37" s="6"/>
      <c r="J37" s="6"/>
      <c r="K37" s="6"/>
    </row>
    <row r="38" spans="1:11" x14ac:dyDescent="0.35">
      <c r="A38" s="4"/>
      <c r="B38" s="4"/>
      <c r="C38" s="4"/>
      <c r="D38" s="4"/>
      <c r="E38" s="4"/>
      <c r="F38" s="4"/>
      <c r="G38" s="4"/>
      <c r="H38" s="4"/>
      <c r="I38" s="4"/>
      <c r="J38" s="4"/>
      <c r="K38" s="4"/>
    </row>
    <row r="39" spans="1:11" x14ac:dyDescent="0.35">
      <c r="A39" s="6"/>
      <c r="B39" s="6"/>
      <c r="C39" s="6"/>
      <c r="D39" s="6"/>
      <c r="E39" s="6"/>
      <c r="F39" s="6"/>
      <c r="G39" s="6"/>
      <c r="H39" s="6"/>
      <c r="I39" s="6"/>
      <c r="J39" s="6"/>
      <c r="K39" s="6"/>
    </row>
    <row r="40" spans="1:11" x14ac:dyDescent="0.35">
      <c r="A40" s="4"/>
      <c r="B40" s="4"/>
      <c r="C40" s="4"/>
      <c r="D40" s="4"/>
      <c r="E40" s="4"/>
      <c r="F40" s="4"/>
      <c r="G40" s="4"/>
      <c r="H40" s="4"/>
      <c r="I40" s="4"/>
      <c r="J40" s="4"/>
      <c r="K40" s="4"/>
    </row>
    <row r="41" spans="1:11" x14ac:dyDescent="0.35">
      <c r="A41" s="6"/>
      <c r="B41" s="6"/>
      <c r="C41" s="6"/>
      <c r="D41" s="6"/>
      <c r="E41" s="6"/>
      <c r="F41" s="6"/>
      <c r="G41" s="6"/>
      <c r="H41" s="6"/>
      <c r="I41" s="6"/>
      <c r="J41" s="6"/>
      <c r="K41" s="6"/>
    </row>
    <row r="42" spans="1:11" x14ac:dyDescent="0.35">
      <c r="A42" s="4"/>
      <c r="B42" s="4"/>
      <c r="C42" s="4"/>
      <c r="D42" s="4"/>
      <c r="E42" s="4"/>
      <c r="F42" s="4"/>
      <c r="G42" s="4"/>
      <c r="H42" s="4"/>
      <c r="I42" s="4"/>
      <c r="J42" s="4"/>
      <c r="K42" s="4"/>
    </row>
    <row r="43" spans="1:11" x14ac:dyDescent="0.35">
      <c r="A43" s="6"/>
      <c r="B43" s="6"/>
      <c r="C43" s="6"/>
      <c r="D43" s="6"/>
      <c r="E43" s="6"/>
      <c r="F43" s="6"/>
      <c r="G43" s="6"/>
      <c r="H43" s="6"/>
      <c r="I43" s="6"/>
      <c r="J43" s="6"/>
      <c r="K43" s="6"/>
    </row>
    <row r="44" spans="1:11" x14ac:dyDescent="0.35">
      <c r="A44" s="4"/>
      <c r="B44" s="4"/>
      <c r="C44" s="4"/>
      <c r="D44" s="4"/>
      <c r="E44" s="4"/>
      <c r="F44" s="4"/>
      <c r="G44" s="4"/>
      <c r="H44" s="4"/>
      <c r="I44" s="4"/>
      <c r="J44" s="4"/>
      <c r="K44" s="4"/>
    </row>
    <row r="45" spans="1:11" x14ac:dyDescent="0.35">
      <c r="A45" s="6"/>
      <c r="B45" s="6"/>
      <c r="C45" s="6"/>
      <c r="D45" s="6"/>
      <c r="E45" s="6"/>
      <c r="F45" s="6"/>
      <c r="G45" s="6"/>
      <c r="H45" s="6"/>
      <c r="I45" s="6"/>
      <c r="J45" s="6"/>
      <c r="K45" s="6"/>
    </row>
    <row r="46" spans="1:11" x14ac:dyDescent="0.35">
      <c r="A46" s="4"/>
      <c r="B46" s="4"/>
      <c r="C46" s="4"/>
      <c r="D46" s="4"/>
      <c r="E46" s="4"/>
      <c r="F46" s="4"/>
      <c r="G46" s="4"/>
      <c r="H46" s="4"/>
      <c r="I46" s="4"/>
      <c r="J46" s="4"/>
      <c r="K46" s="4"/>
    </row>
    <row r="47" spans="1:11" x14ac:dyDescent="0.35">
      <c r="A47" s="6"/>
      <c r="B47" s="6"/>
      <c r="C47" s="6"/>
      <c r="D47" s="6"/>
      <c r="E47" s="6"/>
      <c r="F47" s="6"/>
      <c r="G47" s="6"/>
      <c r="H47" s="6"/>
      <c r="I47" s="6"/>
      <c r="J47" s="6"/>
      <c r="K47" s="6"/>
    </row>
    <row r="48" spans="1:11" x14ac:dyDescent="0.35">
      <c r="A48" s="4"/>
      <c r="B48" s="4"/>
      <c r="C48" s="4"/>
      <c r="D48" s="4"/>
      <c r="E48" s="4"/>
      <c r="F48" s="4"/>
      <c r="G48" s="4"/>
      <c r="H48" s="4"/>
      <c r="I48" s="4"/>
      <c r="J48" s="4"/>
      <c r="K48" s="4"/>
    </row>
    <row r="49" spans="1:11" x14ac:dyDescent="0.35">
      <c r="A49" s="6"/>
      <c r="B49" s="6"/>
      <c r="C49" s="6"/>
      <c r="D49" s="6"/>
      <c r="E49" s="6"/>
      <c r="F49" s="6"/>
      <c r="G49" s="6"/>
      <c r="H49" s="6"/>
      <c r="I49" s="6"/>
      <c r="J49" s="6"/>
      <c r="K49" s="6"/>
    </row>
    <row r="50" spans="1:11" x14ac:dyDescent="0.35">
      <c r="A50" s="4"/>
      <c r="B50" s="4"/>
      <c r="C50" s="4"/>
      <c r="D50" s="4"/>
      <c r="E50" s="4"/>
      <c r="F50" s="4"/>
      <c r="G50" s="4"/>
      <c r="H50" s="4"/>
      <c r="I50" s="4"/>
      <c r="J50" s="4"/>
      <c r="K50" s="4"/>
    </row>
    <row r="51" spans="1:11" x14ac:dyDescent="0.35">
      <c r="A51" s="6"/>
      <c r="B51" s="6"/>
      <c r="C51" s="6"/>
      <c r="D51" s="6"/>
      <c r="E51" s="6"/>
      <c r="F51" s="6"/>
      <c r="G51" s="6"/>
      <c r="H51" s="6"/>
      <c r="I51" s="6"/>
      <c r="J51" s="6"/>
      <c r="K51" s="6"/>
    </row>
    <row r="52" spans="1:11" x14ac:dyDescent="0.35">
      <c r="A52" s="4"/>
      <c r="B52" s="4"/>
      <c r="C52" s="4"/>
      <c r="D52" s="4"/>
      <c r="E52" s="4"/>
      <c r="F52" s="4"/>
      <c r="G52" s="4"/>
      <c r="H52" s="4"/>
      <c r="I52" s="4"/>
      <c r="J52" s="4"/>
      <c r="K52" s="4"/>
    </row>
    <row r="53" spans="1:11" x14ac:dyDescent="0.35">
      <c r="A53" s="6"/>
      <c r="B53" s="6"/>
      <c r="C53" s="6"/>
      <c r="D53" s="6"/>
      <c r="E53" s="6"/>
      <c r="F53" s="6"/>
      <c r="G53" s="6"/>
      <c r="H53" s="6"/>
      <c r="I53" s="6"/>
      <c r="J53" s="6"/>
      <c r="K53" s="6"/>
    </row>
    <row r="54" spans="1:11" x14ac:dyDescent="0.35">
      <c r="A54" s="4"/>
      <c r="B54" s="4"/>
      <c r="C54" s="4"/>
      <c r="D54" s="4"/>
      <c r="E54" s="4"/>
      <c r="F54" s="4"/>
      <c r="G54" s="4"/>
      <c r="H54" s="4"/>
      <c r="I54" s="4"/>
      <c r="J54" s="4"/>
      <c r="K54" s="4"/>
    </row>
    <row r="55" spans="1:11" x14ac:dyDescent="0.35">
      <c r="A55" s="6"/>
      <c r="B55" s="6"/>
      <c r="C55" s="6"/>
      <c r="D55" s="6"/>
      <c r="E55" s="6"/>
      <c r="F55" s="6"/>
      <c r="G55" s="6"/>
      <c r="H55" s="6"/>
      <c r="I55" s="6"/>
      <c r="J55" s="6"/>
      <c r="K55" s="6"/>
    </row>
  </sheetData>
  <mergeCells count="1">
    <mergeCell ref="A1:K1"/>
  </mergeCells>
  <dataValidations count="1">
    <dataValidation type="list" allowBlank="1" sqref="H6:H55" xr:uid="{00000000-0002-0000-0700-000000000000}">
      <formula1>"Open,Closed"</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5"/>
  <sheetViews>
    <sheetView showGridLines="0" zoomScale="90" zoomScaleNormal="90" workbookViewId="0">
      <pane ySplit="5" topLeftCell="A6" activePane="bottomLeft" state="frozen"/>
      <selection pane="bottomLeft" activeCell="I6" sqref="I6:I12"/>
    </sheetView>
  </sheetViews>
  <sheetFormatPr defaultColWidth="8.6328125" defaultRowHeight="14.5" x14ac:dyDescent="0.35"/>
  <cols>
    <col min="1" max="1" width="11" customWidth="1"/>
    <col min="2" max="2" width="28" customWidth="1"/>
    <col min="3" max="3" width="16" customWidth="1"/>
    <col min="4" max="4" width="9" customWidth="1"/>
    <col min="5" max="5" width="12" customWidth="1"/>
    <col min="6" max="7" width="13" customWidth="1"/>
    <col min="8" max="8" width="11" customWidth="1"/>
    <col min="9" max="9" width="15.90625" bestFit="1" customWidth="1"/>
  </cols>
  <sheetData>
    <row r="1" spans="1:9" ht="25.5" customHeight="1" x14ac:dyDescent="0.35">
      <c r="A1" s="21" t="s">
        <v>231</v>
      </c>
      <c r="B1" s="21"/>
      <c r="C1" s="21"/>
      <c r="D1" s="21"/>
      <c r="E1" s="21"/>
      <c r="F1" s="21"/>
      <c r="G1" s="21"/>
      <c r="H1" s="21"/>
      <c r="I1" s="21"/>
    </row>
    <row r="2" spans="1:9" x14ac:dyDescent="0.35">
      <c r="A2" s="2" t="s">
        <v>36</v>
      </c>
    </row>
    <row r="3" spans="1:9" x14ac:dyDescent="0.35">
      <c r="A3" s="2" t="s">
        <v>37</v>
      </c>
    </row>
    <row r="5" spans="1:9" ht="30" customHeight="1" x14ac:dyDescent="0.35">
      <c r="A5" s="3" t="s">
        <v>232</v>
      </c>
      <c r="B5" s="3" t="s">
        <v>233</v>
      </c>
      <c r="C5" s="3" t="s">
        <v>86</v>
      </c>
      <c r="D5" s="3" t="s">
        <v>234</v>
      </c>
      <c r="E5" s="3" t="s">
        <v>235</v>
      </c>
      <c r="F5" s="3" t="s">
        <v>236</v>
      </c>
      <c r="G5" s="3" t="s">
        <v>237</v>
      </c>
      <c r="H5" s="3" t="s">
        <v>48</v>
      </c>
      <c r="I5" s="3" t="s">
        <v>238</v>
      </c>
    </row>
    <row r="6" spans="1:9" x14ac:dyDescent="0.35">
      <c r="A6" s="4"/>
      <c r="B6" s="4"/>
      <c r="C6" s="4"/>
      <c r="D6" s="4"/>
      <c r="E6" s="4"/>
      <c r="F6" s="4"/>
      <c r="G6" s="5">
        <f t="shared" ref="G6:G12" si="0">E6+F6*365</f>
        <v>0</v>
      </c>
      <c r="H6" s="5" t="str">
        <f t="shared" ref="H6:H12" ca="1" si="1">IF(G6&lt;TODAY(),"Overdue",IF(G6&lt;TODAY()+90,"Due Soon","Current"))</f>
        <v>Overdue</v>
      </c>
      <c r="I6" s="4"/>
    </row>
    <row r="7" spans="1:9" x14ac:dyDescent="0.35">
      <c r="A7" s="6"/>
      <c r="B7" s="6"/>
      <c r="C7" s="6"/>
      <c r="D7" s="6"/>
      <c r="E7" s="6"/>
      <c r="F7" s="6"/>
      <c r="G7" s="7">
        <f t="shared" si="0"/>
        <v>0</v>
      </c>
      <c r="H7" s="7" t="str">
        <f t="shared" ca="1" si="1"/>
        <v>Overdue</v>
      </c>
      <c r="I7" s="6"/>
    </row>
    <row r="8" spans="1:9" x14ac:dyDescent="0.35">
      <c r="A8" s="4"/>
      <c r="B8" s="4"/>
      <c r="C8" s="4"/>
      <c r="D8" s="4"/>
      <c r="E8" s="4"/>
      <c r="F8" s="4"/>
      <c r="G8" s="5">
        <f t="shared" si="0"/>
        <v>0</v>
      </c>
      <c r="H8" s="5" t="str">
        <f t="shared" ca="1" si="1"/>
        <v>Overdue</v>
      </c>
      <c r="I8" s="4"/>
    </row>
    <row r="9" spans="1:9" x14ac:dyDescent="0.35">
      <c r="A9" s="6"/>
      <c r="B9" s="6"/>
      <c r="C9" s="6"/>
      <c r="D9" s="6"/>
      <c r="E9" s="6"/>
      <c r="F9" s="6"/>
      <c r="G9" s="7">
        <f t="shared" si="0"/>
        <v>0</v>
      </c>
      <c r="H9" s="7" t="str">
        <f t="shared" ca="1" si="1"/>
        <v>Overdue</v>
      </c>
      <c r="I9" s="6"/>
    </row>
    <row r="10" spans="1:9" x14ac:dyDescent="0.35">
      <c r="A10" s="4"/>
      <c r="B10" s="4"/>
      <c r="C10" s="4"/>
      <c r="D10" s="4"/>
      <c r="E10" s="4"/>
      <c r="F10" s="4"/>
      <c r="G10" s="5">
        <f t="shared" si="0"/>
        <v>0</v>
      </c>
      <c r="H10" s="5" t="str">
        <f t="shared" ca="1" si="1"/>
        <v>Overdue</v>
      </c>
      <c r="I10" s="4"/>
    </row>
    <row r="11" spans="1:9" x14ac:dyDescent="0.35">
      <c r="A11" s="6"/>
      <c r="B11" s="6"/>
      <c r="C11" s="6"/>
      <c r="D11" s="6"/>
      <c r="E11" s="6"/>
      <c r="F11" s="6"/>
      <c r="G11" s="7">
        <f t="shared" si="0"/>
        <v>0</v>
      </c>
      <c r="H11" s="7" t="str">
        <f t="shared" ca="1" si="1"/>
        <v>Overdue</v>
      </c>
      <c r="I11" s="6"/>
    </row>
    <row r="12" spans="1:9" x14ac:dyDescent="0.35">
      <c r="A12" s="4"/>
      <c r="B12" s="4"/>
      <c r="C12" s="4"/>
      <c r="D12" s="4"/>
      <c r="E12" s="4"/>
      <c r="F12" s="4"/>
      <c r="G12" s="5">
        <f t="shared" si="0"/>
        <v>0</v>
      </c>
      <c r="H12" s="5" t="str">
        <f t="shared" ca="1" si="1"/>
        <v>Overdue</v>
      </c>
      <c r="I12" s="4"/>
    </row>
    <row r="13" spans="1:9" x14ac:dyDescent="0.35">
      <c r="A13" s="6"/>
      <c r="B13" s="6"/>
      <c r="C13" s="6"/>
      <c r="D13" s="6"/>
      <c r="E13" s="6"/>
      <c r="F13" s="6"/>
      <c r="G13" s="6"/>
      <c r="H13" s="6"/>
      <c r="I13" s="6"/>
    </row>
    <row r="14" spans="1:9" x14ac:dyDescent="0.35">
      <c r="A14" s="4"/>
      <c r="B14" s="4"/>
      <c r="C14" s="4"/>
      <c r="D14" s="4"/>
      <c r="E14" s="4"/>
      <c r="F14" s="4"/>
      <c r="G14" s="4"/>
      <c r="H14" s="4"/>
      <c r="I14" s="4"/>
    </row>
    <row r="15" spans="1:9" x14ac:dyDescent="0.35">
      <c r="A15" s="6"/>
      <c r="B15" s="6"/>
      <c r="C15" s="6"/>
      <c r="D15" s="6"/>
      <c r="E15" s="6"/>
      <c r="F15" s="6"/>
      <c r="G15" s="6"/>
      <c r="H15" s="6"/>
      <c r="I15" s="6"/>
    </row>
    <row r="16" spans="1:9" x14ac:dyDescent="0.35">
      <c r="A16" s="4"/>
      <c r="B16" s="4"/>
      <c r="C16" s="4"/>
      <c r="D16" s="4"/>
      <c r="E16" s="4"/>
      <c r="F16" s="4"/>
      <c r="G16" s="4"/>
      <c r="H16" s="4"/>
      <c r="I16" s="4"/>
    </row>
    <row r="17" spans="1:9" x14ac:dyDescent="0.35">
      <c r="A17" s="6"/>
      <c r="B17" s="6"/>
      <c r="C17" s="6"/>
      <c r="D17" s="6"/>
      <c r="E17" s="6"/>
      <c r="F17" s="6"/>
      <c r="G17" s="6"/>
      <c r="H17" s="6"/>
      <c r="I17" s="6"/>
    </row>
    <row r="18" spans="1:9" x14ac:dyDescent="0.35">
      <c r="A18" s="4"/>
      <c r="B18" s="4"/>
      <c r="C18" s="4"/>
      <c r="D18" s="4"/>
      <c r="E18" s="4"/>
      <c r="F18" s="4"/>
      <c r="G18" s="4"/>
      <c r="H18" s="4"/>
      <c r="I18" s="4"/>
    </row>
    <row r="19" spans="1:9" x14ac:dyDescent="0.35">
      <c r="A19" s="6"/>
      <c r="B19" s="6"/>
      <c r="C19" s="6"/>
      <c r="D19" s="6"/>
      <c r="E19" s="6"/>
      <c r="F19" s="6"/>
      <c r="G19" s="6"/>
      <c r="H19" s="6"/>
      <c r="I19" s="6"/>
    </row>
    <row r="20" spans="1:9" x14ac:dyDescent="0.35">
      <c r="A20" s="4"/>
      <c r="B20" s="4"/>
      <c r="C20" s="4"/>
      <c r="D20" s="4"/>
      <c r="E20" s="4"/>
      <c r="F20" s="4"/>
      <c r="G20" s="4"/>
      <c r="H20" s="4"/>
      <c r="I20" s="4"/>
    </row>
    <row r="21" spans="1:9" x14ac:dyDescent="0.35">
      <c r="A21" s="6"/>
      <c r="B21" s="6"/>
      <c r="C21" s="6"/>
      <c r="D21" s="6"/>
      <c r="E21" s="6"/>
      <c r="F21" s="6"/>
      <c r="G21" s="6"/>
      <c r="H21" s="6"/>
      <c r="I21" s="6"/>
    </row>
    <row r="22" spans="1:9" x14ac:dyDescent="0.35">
      <c r="A22" s="4"/>
      <c r="B22" s="4"/>
      <c r="C22" s="4"/>
      <c r="D22" s="4"/>
      <c r="E22" s="4"/>
      <c r="F22" s="4"/>
      <c r="G22" s="4"/>
      <c r="H22" s="4"/>
      <c r="I22" s="4"/>
    </row>
    <row r="23" spans="1:9" x14ac:dyDescent="0.35">
      <c r="A23" s="6"/>
      <c r="B23" s="6"/>
      <c r="C23" s="6"/>
      <c r="D23" s="6"/>
      <c r="E23" s="6"/>
      <c r="F23" s="6"/>
      <c r="G23" s="6"/>
      <c r="H23" s="6"/>
      <c r="I23" s="6"/>
    </row>
    <row r="24" spans="1:9" x14ac:dyDescent="0.35">
      <c r="A24" s="4"/>
      <c r="B24" s="4"/>
      <c r="C24" s="4"/>
      <c r="D24" s="4"/>
      <c r="E24" s="4"/>
      <c r="F24" s="4"/>
      <c r="G24" s="4"/>
      <c r="H24" s="4"/>
      <c r="I24" s="4"/>
    </row>
    <row r="25" spans="1:9" x14ac:dyDescent="0.35">
      <c r="A25" s="6"/>
      <c r="B25" s="6"/>
      <c r="C25" s="6"/>
      <c r="D25" s="6"/>
      <c r="E25" s="6"/>
      <c r="F25" s="6"/>
      <c r="G25" s="6"/>
      <c r="H25" s="6"/>
      <c r="I25" s="6"/>
    </row>
    <row r="26" spans="1:9" x14ac:dyDescent="0.35">
      <c r="A26" s="4"/>
      <c r="B26" s="4"/>
      <c r="C26" s="4"/>
      <c r="D26" s="4"/>
      <c r="E26" s="4"/>
      <c r="F26" s="4"/>
      <c r="G26" s="4"/>
      <c r="H26" s="4"/>
      <c r="I26" s="4"/>
    </row>
    <row r="27" spans="1:9" x14ac:dyDescent="0.35">
      <c r="A27" s="6"/>
      <c r="B27" s="6"/>
      <c r="C27" s="6"/>
      <c r="D27" s="6"/>
      <c r="E27" s="6"/>
      <c r="F27" s="6"/>
      <c r="G27" s="6"/>
      <c r="H27" s="6"/>
      <c r="I27" s="6"/>
    </row>
    <row r="28" spans="1:9" x14ac:dyDescent="0.35">
      <c r="A28" s="4"/>
      <c r="B28" s="4"/>
      <c r="C28" s="4"/>
      <c r="D28" s="4"/>
      <c r="E28" s="4"/>
      <c r="F28" s="4"/>
      <c r="G28" s="4"/>
      <c r="H28" s="4"/>
      <c r="I28" s="4"/>
    </row>
    <row r="29" spans="1:9" x14ac:dyDescent="0.35">
      <c r="A29" s="6"/>
      <c r="B29" s="6"/>
      <c r="C29" s="6"/>
      <c r="D29" s="6"/>
      <c r="E29" s="6"/>
      <c r="F29" s="6"/>
      <c r="G29" s="6"/>
      <c r="H29" s="6"/>
      <c r="I29" s="6"/>
    </row>
    <row r="30" spans="1:9" x14ac:dyDescent="0.35">
      <c r="A30" s="4"/>
      <c r="B30" s="4"/>
      <c r="C30" s="4"/>
      <c r="D30" s="4"/>
      <c r="E30" s="4"/>
      <c r="F30" s="4"/>
      <c r="G30" s="4"/>
      <c r="H30" s="4"/>
      <c r="I30" s="4"/>
    </row>
    <row r="31" spans="1:9" x14ac:dyDescent="0.35">
      <c r="A31" s="6"/>
      <c r="B31" s="6"/>
      <c r="C31" s="6"/>
      <c r="D31" s="6"/>
      <c r="E31" s="6"/>
      <c r="F31" s="6"/>
      <c r="G31" s="6"/>
      <c r="H31" s="6"/>
      <c r="I31" s="6"/>
    </row>
    <row r="32" spans="1:9" x14ac:dyDescent="0.35">
      <c r="A32" s="4"/>
      <c r="B32" s="4"/>
      <c r="C32" s="4"/>
      <c r="D32" s="4"/>
      <c r="E32" s="4"/>
      <c r="F32" s="4"/>
      <c r="G32" s="4"/>
      <c r="H32" s="4"/>
      <c r="I32" s="4"/>
    </row>
    <row r="33" spans="1:9" x14ac:dyDescent="0.35">
      <c r="A33" s="6"/>
      <c r="B33" s="6"/>
      <c r="C33" s="6"/>
      <c r="D33" s="6"/>
      <c r="E33" s="6"/>
      <c r="F33" s="6"/>
      <c r="G33" s="6"/>
      <c r="H33" s="6"/>
      <c r="I33" s="6"/>
    </row>
    <row r="34" spans="1:9" x14ac:dyDescent="0.35">
      <c r="A34" s="4"/>
      <c r="B34" s="4"/>
      <c r="C34" s="4"/>
      <c r="D34" s="4"/>
      <c r="E34" s="4"/>
      <c r="F34" s="4"/>
      <c r="G34" s="4"/>
      <c r="H34" s="4"/>
      <c r="I34" s="4"/>
    </row>
    <row r="35" spans="1:9" x14ac:dyDescent="0.35">
      <c r="A35" s="6"/>
      <c r="B35" s="6"/>
      <c r="C35" s="6"/>
      <c r="D35" s="6"/>
      <c r="E35" s="6"/>
      <c r="F35" s="6"/>
      <c r="G35" s="6"/>
      <c r="H35" s="6"/>
      <c r="I35" s="6"/>
    </row>
    <row r="36" spans="1:9" x14ac:dyDescent="0.35">
      <c r="A36" s="4"/>
      <c r="B36" s="4"/>
      <c r="C36" s="4"/>
      <c r="D36" s="4"/>
      <c r="E36" s="4"/>
      <c r="F36" s="4"/>
      <c r="G36" s="4"/>
      <c r="H36" s="4"/>
      <c r="I36" s="4"/>
    </row>
    <row r="37" spans="1:9" x14ac:dyDescent="0.35">
      <c r="A37" s="6"/>
      <c r="B37" s="6"/>
      <c r="C37" s="6"/>
      <c r="D37" s="6"/>
      <c r="E37" s="6"/>
      <c r="F37" s="6"/>
      <c r="G37" s="6"/>
      <c r="H37" s="6"/>
      <c r="I37" s="6"/>
    </row>
    <row r="38" spans="1:9" x14ac:dyDescent="0.35">
      <c r="A38" s="4"/>
      <c r="B38" s="4"/>
      <c r="C38" s="4"/>
      <c r="D38" s="4"/>
      <c r="E38" s="4"/>
      <c r="F38" s="4"/>
      <c r="G38" s="4"/>
      <c r="H38" s="4"/>
      <c r="I38" s="4"/>
    </row>
    <row r="39" spans="1:9" x14ac:dyDescent="0.35">
      <c r="A39" s="6"/>
      <c r="B39" s="6"/>
      <c r="C39" s="6"/>
      <c r="D39" s="6"/>
      <c r="E39" s="6"/>
      <c r="F39" s="6"/>
      <c r="G39" s="6"/>
      <c r="H39" s="6"/>
      <c r="I39" s="6"/>
    </row>
    <row r="40" spans="1:9" x14ac:dyDescent="0.35">
      <c r="A40" s="4"/>
      <c r="B40" s="4"/>
      <c r="C40" s="4"/>
      <c r="D40" s="4"/>
      <c r="E40" s="4"/>
      <c r="F40" s="4"/>
      <c r="G40" s="4"/>
      <c r="H40" s="4"/>
      <c r="I40" s="4"/>
    </row>
    <row r="41" spans="1:9" x14ac:dyDescent="0.35">
      <c r="A41" s="6"/>
      <c r="B41" s="6"/>
      <c r="C41" s="6"/>
      <c r="D41" s="6"/>
      <c r="E41" s="6"/>
      <c r="F41" s="6"/>
      <c r="G41" s="6"/>
      <c r="H41" s="6"/>
      <c r="I41" s="6"/>
    </row>
    <row r="42" spans="1:9" x14ac:dyDescent="0.35">
      <c r="A42" s="4"/>
      <c r="B42" s="4"/>
      <c r="C42" s="4"/>
      <c r="D42" s="4"/>
      <c r="E42" s="4"/>
      <c r="F42" s="4"/>
      <c r="G42" s="4"/>
      <c r="H42" s="4"/>
      <c r="I42" s="4"/>
    </row>
    <row r="43" spans="1:9" x14ac:dyDescent="0.35">
      <c r="A43" s="6"/>
      <c r="B43" s="6"/>
      <c r="C43" s="6"/>
      <c r="D43" s="6"/>
      <c r="E43" s="6"/>
      <c r="F43" s="6"/>
      <c r="G43" s="6"/>
      <c r="H43" s="6"/>
      <c r="I43" s="6"/>
    </row>
    <row r="44" spans="1:9" x14ac:dyDescent="0.35">
      <c r="A44" s="4"/>
      <c r="B44" s="4"/>
      <c r="C44" s="4"/>
      <c r="D44" s="4"/>
      <c r="E44" s="4"/>
      <c r="F44" s="4"/>
      <c r="G44" s="4"/>
      <c r="H44" s="4"/>
      <c r="I44" s="4"/>
    </row>
    <row r="45" spans="1:9" x14ac:dyDescent="0.35">
      <c r="A45" s="6"/>
      <c r="B45" s="6"/>
      <c r="C45" s="6"/>
      <c r="D45" s="6"/>
      <c r="E45" s="6"/>
      <c r="F45" s="6"/>
      <c r="G45" s="6"/>
      <c r="H45" s="6"/>
      <c r="I45" s="6"/>
    </row>
    <row r="46" spans="1:9" x14ac:dyDescent="0.35">
      <c r="A46" s="4"/>
      <c r="B46" s="4"/>
      <c r="C46" s="4"/>
      <c r="D46" s="4"/>
      <c r="E46" s="4"/>
      <c r="F46" s="4"/>
      <c r="G46" s="4"/>
      <c r="H46" s="4"/>
      <c r="I46" s="4"/>
    </row>
    <row r="47" spans="1:9" x14ac:dyDescent="0.35">
      <c r="A47" s="6"/>
      <c r="B47" s="6"/>
      <c r="C47" s="6"/>
      <c r="D47" s="6"/>
      <c r="E47" s="6"/>
      <c r="F47" s="6"/>
      <c r="G47" s="6"/>
      <c r="H47" s="6"/>
      <c r="I47" s="6"/>
    </row>
    <row r="48" spans="1:9" x14ac:dyDescent="0.35">
      <c r="A48" s="4"/>
      <c r="B48" s="4"/>
      <c r="C48" s="4"/>
      <c r="D48" s="4"/>
      <c r="E48" s="4"/>
      <c r="F48" s="4"/>
      <c r="G48" s="4"/>
      <c r="H48" s="4"/>
      <c r="I48" s="4"/>
    </row>
    <row r="49" spans="1:9" x14ac:dyDescent="0.35">
      <c r="A49" s="6"/>
      <c r="B49" s="6"/>
      <c r="C49" s="6"/>
      <c r="D49" s="6"/>
      <c r="E49" s="6"/>
      <c r="F49" s="6"/>
      <c r="G49" s="6"/>
      <c r="H49" s="6"/>
      <c r="I49" s="6"/>
    </row>
    <row r="50" spans="1:9" x14ac:dyDescent="0.35">
      <c r="A50" s="4"/>
      <c r="B50" s="4"/>
      <c r="C50" s="4"/>
      <c r="D50" s="4"/>
      <c r="E50" s="4"/>
      <c r="F50" s="4"/>
      <c r="G50" s="4"/>
      <c r="H50" s="4"/>
      <c r="I50" s="4"/>
    </row>
    <row r="51" spans="1:9" x14ac:dyDescent="0.35">
      <c r="A51" s="6"/>
      <c r="B51" s="6"/>
      <c r="C51" s="6"/>
      <c r="D51" s="6"/>
      <c r="E51" s="6"/>
      <c r="F51" s="6"/>
      <c r="G51" s="6"/>
      <c r="H51" s="6"/>
      <c r="I51" s="6"/>
    </row>
    <row r="52" spans="1:9" x14ac:dyDescent="0.35">
      <c r="A52" s="4"/>
      <c r="B52" s="4"/>
      <c r="C52" s="4"/>
      <c r="D52" s="4"/>
      <c r="E52" s="4"/>
      <c r="F52" s="4"/>
      <c r="G52" s="4"/>
      <c r="H52" s="4"/>
      <c r="I52" s="4"/>
    </row>
    <row r="53" spans="1:9" x14ac:dyDescent="0.35">
      <c r="A53" s="6"/>
      <c r="B53" s="6"/>
      <c r="C53" s="6"/>
      <c r="D53" s="6"/>
      <c r="E53" s="6"/>
      <c r="F53" s="6"/>
      <c r="G53" s="6"/>
      <c r="H53" s="6"/>
      <c r="I53" s="6"/>
    </row>
    <row r="54" spans="1:9" x14ac:dyDescent="0.35">
      <c r="A54" s="4"/>
      <c r="B54" s="4"/>
      <c r="C54" s="4"/>
      <c r="D54" s="4"/>
      <c r="E54" s="4"/>
      <c r="F54" s="4"/>
      <c r="G54" s="4"/>
      <c r="H54" s="4"/>
      <c r="I54" s="4"/>
    </row>
    <row r="55" spans="1:9" x14ac:dyDescent="0.35">
      <c r="A55" s="6"/>
      <c r="B55" s="6"/>
      <c r="C55" s="6"/>
      <c r="D55" s="6"/>
      <c r="E55" s="6"/>
      <c r="F55" s="6"/>
      <c r="G55" s="6"/>
      <c r="H55" s="6"/>
      <c r="I55" s="6"/>
    </row>
  </sheetData>
  <mergeCells count="1">
    <mergeCell ref="A1:I1"/>
  </mergeCells>
  <dataValidations count="1">
    <dataValidation type="list" allowBlank="1" sqref="H6:H55" xr:uid="{00000000-0002-0000-0800-000000000000}">
      <formula1>"Current,Due Soon,Overdue"</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5"/>
  <sheetViews>
    <sheetView showGridLines="0" tabSelected="1" zoomScale="90" zoomScaleNormal="90" workbookViewId="0">
      <pane ySplit="5" topLeftCell="A57" activePane="bottomLeft" state="frozen"/>
      <selection pane="bottomLeft" activeCell="B75" sqref="B75"/>
    </sheetView>
  </sheetViews>
  <sheetFormatPr defaultColWidth="8.6328125" defaultRowHeight="14.5" x14ac:dyDescent="0.35"/>
  <cols>
    <col min="1" max="1" width="11" customWidth="1"/>
    <col min="2" max="2" width="12" customWidth="1"/>
    <col min="3" max="3" width="24" customWidth="1"/>
    <col min="4" max="4" width="30" customWidth="1"/>
    <col min="5" max="5" width="14" customWidth="1"/>
    <col min="6" max="6" width="12" customWidth="1"/>
    <col min="7" max="7" width="11" customWidth="1"/>
    <col min="8" max="8" width="12" customWidth="1"/>
  </cols>
  <sheetData>
    <row r="1" spans="1:8" ht="25.5" customHeight="1" x14ac:dyDescent="0.35">
      <c r="A1" s="21" t="s">
        <v>239</v>
      </c>
      <c r="B1" s="21"/>
      <c r="C1" s="21"/>
      <c r="D1" s="21"/>
      <c r="E1" s="21"/>
      <c r="F1" s="21"/>
      <c r="G1" s="21"/>
      <c r="H1" s="21"/>
    </row>
    <row r="2" spans="1:8" x14ac:dyDescent="0.35">
      <c r="A2" s="2" t="s">
        <v>36</v>
      </c>
    </row>
    <row r="3" spans="1:8" x14ac:dyDescent="0.35">
      <c r="A3" s="2" t="s">
        <v>37</v>
      </c>
    </row>
    <row r="5" spans="1:8" ht="30" customHeight="1" x14ac:dyDescent="0.35">
      <c r="A5" s="3" t="s">
        <v>240</v>
      </c>
      <c r="B5" s="3" t="s">
        <v>241</v>
      </c>
      <c r="C5" s="3" t="s">
        <v>242</v>
      </c>
      <c r="D5" s="3" t="s">
        <v>243</v>
      </c>
      <c r="E5" s="3" t="s">
        <v>46</v>
      </c>
      <c r="F5" s="3" t="s">
        <v>90</v>
      </c>
      <c r="G5" s="3" t="s">
        <v>48</v>
      </c>
      <c r="H5" s="3" t="s">
        <v>91</v>
      </c>
    </row>
    <row r="6" spans="1:8" x14ac:dyDescent="0.35">
      <c r="A6" s="4" t="s">
        <v>244</v>
      </c>
      <c r="B6" s="4" t="s">
        <v>245</v>
      </c>
      <c r="C6" s="4" t="s">
        <v>246</v>
      </c>
      <c r="D6" s="4" t="s">
        <v>247</v>
      </c>
      <c r="E6" s="4" t="s">
        <v>248</v>
      </c>
      <c r="F6" s="4" t="s">
        <v>180</v>
      </c>
      <c r="G6" s="4" t="s">
        <v>57</v>
      </c>
      <c r="H6" s="4" t="s">
        <v>249</v>
      </c>
    </row>
    <row r="7" spans="1:8" x14ac:dyDescent="0.35">
      <c r="A7" s="6" t="s">
        <v>250</v>
      </c>
      <c r="B7" s="6" t="s">
        <v>245</v>
      </c>
      <c r="C7" s="6" t="s">
        <v>251</v>
      </c>
      <c r="D7" s="6" t="s">
        <v>252</v>
      </c>
      <c r="E7" s="6" t="s">
        <v>82</v>
      </c>
      <c r="F7" s="6" t="s">
        <v>253</v>
      </c>
      <c r="G7" s="6" t="s">
        <v>57</v>
      </c>
      <c r="H7" s="6" t="s">
        <v>58</v>
      </c>
    </row>
    <row r="8" spans="1:8" x14ac:dyDescent="0.35">
      <c r="A8" s="4" t="s">
        <v>254</v>
      </c>
      <c r="B8" s="4" t="s">
        <v>245</v>
      </c>
      <c r="C8" s="4" t="s">
        <v>255</v>
      </c>
      <c r="D8" s="4" t="s">
        <v>256</v>
      </c>
      <c r="E8" s="4" t="s">
        <v>248</v>
      </c>
      <c r="F8" s="4" t="s">
        <v>134</v>
      </c>
      <c r="G8" s="4" t="s">
        <v>78</v>
      </c>
      <c r="H8" s="4"/>
    </row>
    <row r="9" spans="1:8" x14ac:dyDescent="0.35">
      <c r="A9" s="6" t="s">
        <v>257</v>
      </c>
      <c r="B9" s="6" t="s">
        <v>245</v>
      </c>
      <c r="C9" s="6" t="s">
        <v>258</v>
      </c>
      <c r="D9" s="6" t="s">
        <v>259</v>
      </c>
      <c r="E9" s="6" t="s">
        <v>62</v>
      </c>
      <c r="F9" s="6" t="s">
        <v>260</v>
      </c>
      <c r="G9" s="6" t="s">
        <v>78</v>
      </c>
      <c r="H9" s="6"/>
    </row>
    <row r="10" spans="1:8" x14ac:dyDescent="0.35">
      <c r="A10" s="4"/>
      <c r="B10" s="4"/>
      <c r="C10" s="4"/>
      <c r="D10" s="4"/>
      <c r="E10" s="4"/>
      <c r="F10" s="4"/>
      <c r="G10" s="4"/>
      <c r="H10" s="4"/>
    </row>
    <row r="11" spans="1:8" x14ac:dyDescent="0.35">
      <c r="A11" s="6"/>
      <c r="B11" s="6"/>
      <c r="C11" s="6"/>
      <c r="D11" s="6"/>
      <c r="E11" s="6"/>
      <c r="F11" s="6"/>
      <c r="G11" s="6"/>
      <c r="H11" s="6"/>
    </row>
    <row r="12" spans="1:8" x14ac:dyDescent="0.35">
      <c r="A12" s="4"/>
      <c r="B12" s="4"/>
      <c r="C12" s="4"/>
      <c r="D12" s="4"/>
      <c r="E12" s="4"/>
      <c r="F12" s="4"/>
      <c r="G12" s="4"/>
      <c r="H12" s="4"/>
    </row>
    <row r="13" spans="1:8" x14ac:dyDescent="0.35">
      <c r="A13" s="6"/>
      <c r="B13" s="6"/>
      <c r="C13" s="6"/>
      <c r="D13" s="6"/>
      <c r="E13" s="6"/>
      <c r="F13" s="6"/>
      <c r="G13" s="6"/>
      <c r="H13" s="6"/>
    </row>
    <row r="14" spans="1:8" x14ac:dyDescent="0.35">
      <c r="A14" s="4"/>
      <c r="B14" s="4"/>
      <c r="C14" s="4"/>
      <c r="D14" s="4"/>
      <c r="E14" s="4"/>
      <c r="F14" s="4"/>
      <c r="G14" s="4"/>
      <c r="H14" s="4"/>
    </row>
    <row r="15" spans="1:8" x14ac:dyDescent="0.35">
      <c r="A15" s="6"/>
      <c r="B15" s="6"/>
      <c r="C15" s="6"/>
      <c r="D15" s="6"/>
      <c r="E15" s="6"/>
      <c r="F15" s="6"/>
      <c r="G15" s="6"/>
      <c r="H15" s="6"/>
    </row>
    <row r="16" spans="1:8" x14ac:dyDescent="0.35">
      <c r="A16" s="4"/>
      <c r="B16" s="4"/>
      <c r="C16" s="4"/>
      <c r="D16" s="4"/>
      <c r="E16" s="4"/>
      <c r="F16" s="4"/>
      <c r="G16" s="4"/>
      <c r="H16" s="4"/>
    </row>
    <row r="17" spans="1:8" x14ac:dyDescent="0.35">
      <c r="A17" s="6"/>
      <c r="B17" s="6"/>
      <c r="C17" s="6"/>
      <c r="D17" s="6"/>
      <c r="E17" s="6"/>
      <c r="F17" s="6"/>
      <c r="G17" s="6"/>
      <c r="H17" s="6"/>
    </row>
    <row r="18" spans="1:8" x14ac:dyDescent="0.35">
      <c r="A18" s="4"/>
      <c r="B18" s="4"/>
      <c r="C18" s="4"/>
      <c r="D18" s="4"/>
      <c r="E18" s="4"/>
      <c r="F18" s="4"/>
      <c r="G18" s="4"/>
      <c r="H18" s="4"/>
    </row>
    <row r="19" spans="1:8" x14ac:dyDescent="0.35">
      <c r="A19" s="6"/>
      <c r="B19" s="6"/>
      <c r="C19" s="6"/>
      <c r="D19" s="6"/>
      <c r="E19" s="6"/>
      <c r="F19" s="6"/>
      <c r="G19" s="6"/>
      <c r="H19" s="6"/>
    </row>
    <row r="20" spans="1:8" x14ac:dyDescent="0.35">
      <c r="A20" s="4"/>
      <c r="B20" s="4"/>
      <c r="C20" s="4"/>
      <c r="D20" s="4"/>
      <c r="E20" s="4"/>
      <c r="F20" s="4"/>
      <c r="G20" s="4"/>
      <c r="H20" s="4"/>
    </row>
    <row r="21" spans="1:8" x14ac:dyDescent="0.35">
      <c r="A21" s="6"/>
      <c r="B21" s="6"/>
      <c r="C21" s="6"/>
      <c r="D21" s="6"/>
      <c r="E21" s="6"/>
      <c r="F21" s="6"/>
      <c r="G21" s="6"/>
      <c r="H21" s="6"/>
    </row>
    <row r="22" spans="1:8" x14ac:dyDescent="0.35">
      <c r="A22" s="4"/>
      <c r="B22" s="4"/>
      <c r="C22" s="4"/>
      <c r="D22" s="4"/>
      <c r="E22" s="4"/>
      <c r="F22" s="4"/>
      <c r="G22" s="4"/>
      <c r="H22" s="4"/>
    </row>
    <row r="23" spans="1:8" x14ac:dyDescent="0.35">
      <c r="A23" s="6"/>
      <c r="B23" s="6"/>
      <c r="C23" s="6"/>
      <c r="D23" s="6"/>
      <c r="E23" s="6"/>
      <c r="F23" s="6"/>
      <c r="G23" s="6"/>
      <c r="H23" s="6"/>
    </row>
    <row r="24" spans="1:8" x14ac:dyDescent="0.35">
      <c r="A24" s="4"/>
      <c r="B24" s="4"/>
      <c r="C24" s="4"/>
      <c r="D24" s="4"/>
      <c r="E24" s="4"/>
      <c r="F24" s="4"/>
      <c r="G24" s="4"/>
      <c r="H24" s="4"/>
    </row>
    <row r="25" spans="1:8" x14ac:dyDescent="0.35">
      <c r="A25" s="6"/>
      <c r="B25" s="6"/>
      <c r="C25" s="6"/>
      <c r="D25" s="6"/>
      <c r="E25" s="6"/>
      <c r="F25" s="6"/>
      <c r="G25" s="6"/>
      <c r="H25" s="6"/>
    </row>
    <row r="26" spans="1:8" x14ac:dyDescent="0.35">
      <c r="A26" s="4"/>
      <c r="B26" s="4"/>
      <c r="C26" s="4"/>
      <c r="D26" s="4"/>
      <c r="E26" s="4"/>
      <c r="F26" s="4"/>
      <c r="G26" s="4"/>
      <c r="H26" s="4"/>
    </row>
    <row r="27" spans="1:8" x14ac:dyDescent="0.35">
      <c r="A27" s="6"/>
      <c r="B27" s="6"/>
      <c r="C27" s="6"/>
      <c r="D27" s="6"/>
      <c r="E27" s="6"/>
      <c r="F27" s="6"/>
      <c r="G27" s="6"/>
      <c r="H27" s="6"/>
    </row>
    <row r="28" spans="1:8" x14ac:dyDescent="0.35">
      <c r="A28" s="4"/>
      <c r="B28" s="4"/>
      <c r="C28" s="4"/>
      <c r="D28" s="4"/>
      <c r="E28" s="4"/>
      <c r="F28" s="4"/>
      <c r="G28" s="4"/>
      <c r="H28" s="4"/>
    </row>
    <row r="29" spans="1:8" x14ac:dyDescent="0.35">
      <c r="A29" s="6"/>
      <c r="B29" s="6"/>
      <c r="C29" s="6"/>
      <c r="D29" s="6"/>
      <c r="E29" s="6"/>
      <c r="F29" s="6"/>
      <c r="G29" s="6"/>
      <c r="H29" s="6"/>
    </row>
    <row r="30" spans="1:8" x14ac:dyDescent="0.35">
      <c r="A30" s="4"/>
      <c r="B30" s="4"/>
      <c r="C30" s="4"/>
      <c r="D30" s="4"/>
      <c r="E30" s="4"/>
      <c r="F30" s="4"/>
      <c r="G30" s="4"/>
      <c r="H30" s="4"/>
    </row>
    <row r="31" spans="1:8" x14ac:dyDescent="0.35">
      <c r="A31" s="6"/>
      <c r="B31" s="6"/>
      <c r="C31" s="6"/>
      <c r="D31" s="6"/>
      <c r="E31" s="6"/>
      <c r="F31" s="6"/>
      <c r="G31" s="6"/>
      <c r="H31" s="6"/>
    </row>
    <row r="32" spans="1:8" x14ac:dyDescent="0.35">
      <c r="A32" s="4"/>
      <c r="B32" s="4"/>
      <c r="C32" s="4"/>
      <c r="D32" s="4"/>
      <c r="E32" s="4"/>
      <c r="F32" s="4"/>
      <c r="G32" s="4"/>
      <c r="H32" s="4"/>
    </row>
    <row r="33" spans="1:8" x14ac:dyDescent="0.35">
      <c r="A33" s="6"/>
      <c r="B33" s="6"/>
      <c r="C33" s="6"/>
      <c r="D33" s="6"/>
      <c r="E33" s="6"/>
      <c r="F33" s="6"/>
      <c r="G33" s="6"/>
      <c r="H33" s="6"/>
    </row>
    <row r="34" spans="1:8" x14ac:dyDescent="0.35">
      <c r="A34" s="4"/>
      <c r="B34" s="4"/>
      <c r="C34" s="4"/>
      <c r="D34" s="4"/>
      <c r="E34" s="4"/>
      <c r="F34" s="4"/>
      <c r="G34" s="4"/>
      <c r="H34" s="4"/>
    </row>
    <row r="35" spans="1:8" x14ac:dyDescent="0.35">
      <c r="A35" s="6"/>
      <c r="B35" s="6"/>
      <c r="C35" s="6"/>
      <c r="D35" s="6"/>
      <c r="E35" s="6"/>
      <c r="F35" s="6"/>
      <c r="G35" s="6"/>
      <c r="H35" s="6"/>
    </row>
    <row r="36" spans="1:8" x14ac:dyDescent="0.35">
      <c r="A36" s="4"/>
      <c r="B36" s="4"/>
      <c r="C36" s="4"/>
      <c r="D36" s="4"/>
      <c r="E36" s="4"/>
      <c r="F36" s="4"/>
      <c r="G36" s="4"/>
      <c r="H36" s="4"/>
    </row>
    <row r="37" spans="1:8" x14ac:dyDescent="0.35">
      <c r="A37" s="6"/>
      <c r="B37" s="6"/>
      <c r="C37" s="6"/>
      <c r="D37" s="6"/>
      <c r="E37" s="6"/>
      <c r="F37" s="6"/>
      <c r="G37" s="6"/>
      <c r="H37" s="6"/>
    </row>
    <row r="38" spans="1:8" x14ac:dyDescent="0.35">
      <c r="A38" s="4"/>
      <c r="B38" s="4"/>
      <c r="C38" s="4"/>
      <c r="D38" s="4"/>
      <c r="E38" s="4"/>
      <c r="F38" s="4"/>
      <c r="G38" s="4"/>
      <c r="H38" s="4"/>
    </row>
    <row r="39" spans="1:8" x14ac:dyDescent="0.35">
      <c r="A39" s="6"/>
      <c r="B39" s="6"/>
      <c r="C39" s="6"/>
      <c r="D39" s="6"/>
      <c r="E39" s="6"/>
      <c r="F39" s="6"/>
      <c r="G39" s="6"/>
      <c r="H39" s="6"/>
    </row>
    <row r="40" spans="1:8" x14ac:dyDescent="0.35">
      <c r="A40" s="4"/>
      <c r="B40" s="4"/>
      <c r="C40" s="4"/>
      <c r="D40" s="4"/>
      <c r="E40" s="4"/>
      <c r="F40" s="4"/>
      <c r="G40" s="4"/>
      <c r="H40" s="4"/>
    </row>
    <row r="41" spans="1:8" x14ac:dyDescent="0.35">
      <c r="A41" s="6"/>
      <c r="B41" s="6"/>
      <c r="C41" s="6"/>
      <c r="D41" s="6"/>
      <c r="E41" s="6"/>
      <c r="F41" s="6"/>
      <c r="G41" s="6"/>
      <c r="H41" s="6"/>
    </row>
    <row r="42" spans="1:8" x14ac:dyDescent="0.35">
      <c r="A42" s="4"/>
      <c r="B42" s="4"/>
      <c r="C42" s="4"/>
      <c r="D42" s="4"/>
      <c r="E42" s="4"/>
      <c r="F42" s="4"/>
      <c r="G42" s="4"/>
      <c r="H42" s="4"/>
    </row>
    <row r="43" spans="1:8" x14ac:dyDescent="0.35">
      <c r="A43" s="6"/>
      <c r="B43" s="6"/>
      <c r="C43" s="6"/>
      <c r="D43" s="6"/>
      <c r="E43" s="6"/>
      <c r="F43" s="6"/>
      <c r="G43" s="6"/>
      <c r="H43" s="6"/>
    </row>
    <row r="44" spans="1:8" x14ac:dyDescent="0.35">
      <c r="A44" s="4"/>
      <c r="B44" s="4"/>
      <c r="C44" s="4"/>
      <c r="D44" s="4"/>
      <c r="E44" s="4"/>
      <c r="F44" s="4"/>
      <c r="G44" s="4"/>
      <c r="H44" s="4"/>
    </row>
    <row r="45" spans="1:8" x14ac:dyDescent="0.35">
      <c r="A45" s="6"/>
      <c r="B45" s="6"/>
      <c r="C45" s="6"/>
      <c r="D45" s="6"/>
      <c r="E45" s="6"/>
      <c r="F45" s="6"/>
      <c r="G45" s="6"/>
      <c r="H45" s="6"/>
    </row>
    <row r="46" spans="1:8" x14ac:dyDescent="0.35">
      <c r="A46" s="4"/>
      <c r="B46" s="4"/>
      <c r="C46" s="4"/>
      <c r="D46" s="4"/>
      <c r="E46" s="4"/>
      <c r="F46" s="4"/>
      <c r="G46" s="4"/>
      <c r="H46" s="4"/>
    </row>
    <row r="47" spans="1:8" x14ac:dyDescent="0.35">
      <c r="A47" s="6"/>
      <c r="B47" s="6"/>
      <c r="C47" s="6"/>
      <c r="D47" s="6"/>
      <c r="E47" s="6"/>
      <c r="F47" s="6"/>
      <c r="G47" s="6"/>
      <c r="H47" s="6"/>
    </row>
    <row r="48" spans="1:8" x14ac:dyDescent="0.35">
      <c r="A48" s="4"/>
      <c r="B48" s="4"/>
      <c r="C48" s="4"/>
      <c r="D48" s="4"/>
      <c r="E48" s="4"/>
      <c r="F48" s="4"/>
      <c r="G48" s="4"/>
      <c r="H48" s="4"/>
    </row>
    <row r="49" spans="1:8" x14ac:dyDescent="0.35">
      <c r="A49" s="6"/>
      <c r="B49" s="6"/>
      <c r="C49" s="6"/>
      <c r="D49" s="6"/>
      <c r="E49" s="6"/>
      <c r="F49" s="6"/>
      <c r="G49" s="6"/>
      <c r="H49" s="6"/>
    </row>
    <row r="50" spans="1:8" x14ac:dyDescent="0.35">
      <c r="A50" s="4"/>
      <c r="B50" s="4"/>
      <c r="C50" s="4"/>
      <c r="D50" s="4"/>
      <c r="E50" s="4"/>
      <c r="F50" s="4"/>
      <c r="G50" s="4"/>
      <c r="H50" s="4"/>
    </row>
    <row r="51" spans="1:8" x14ac:dyDescent="0.35">
      <c r="A51" s="6"/>
      <c r="B51" s="6"/>
      <c r="C51" s="6"/>
      <c r="D51" s="6"/>
      <c r="E51" s="6"/>
      <c r="F51" s="6"/>
      <c r="G51" s="6"/>
      <c r="H51" s="6"/>
    </row>
    <row r="52" spans="1:8" x14ac:dyDescent="0.35">
      <c r="A52" s="4"/>
      <c r="B52" s="4"/>
      <c r="C52" s="4"/>
      <c r="D52" s="4"/>
      <c r="E52" s="4"/>
      <c r="F52" s="4"/>
      <c r="G52" s="4"/>
      <c r="H52" s="4"/>
    </row>
    <row r="53" spans="1:8" x14ac:dyDescent="0.35">
      <c r="A53" s="6"/>
      <c r="B53" s="6"/>
      <c r="C53" s="6"/>
      <c r="D53" s="6"/>
      <c r="E53" s="6"/>
      <c r="F53" s="6"/>
      <c r="G53" s="6"/>
      <c r="H53" s="6"/>
    </row>
    <row r="54" spans="1:8" x14ac:dyDescent="0.35">
      <c r="A54" s="4"/>
      <c r="B54" s="4"/>
      <c r="C54" s="4"/>
      <c r="D54" s="4"/>
      <c r="E54" s="4"/>
      <c r="F54" s="4"/>
      <c r="G54" s="4"/>
      <c r="H54" s="4"/>
    </row>
    <row r="55" spans="1:8" x14ac:dyDescent="0.35">
      <c r="A55" s="6"/>
      <c r="B55" s="6"/>
      <c r="C55" s="6"/>
      <c r="D55" s="6"/>
      <c r="E55" s="6"/>
      <c r="F55" s="6"/>
      <c r="G55" s="6"/>
      <c r="H55" s="6"/>
    </row>
  </sheetData>
  <mergeCells count="1">
    <mergeCell ref="A1:H1"/>
  </mergeCells>
  <dataValidations count="1">
    <dataValidation type="list" allowBlank="1" sqref="G6:G55" xr:uid="{00000000-0002-0000-0900-000000000000}">
      <formula1>"Open,Closed"</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2"/>
  <sheetViews>
    <sheetView showGridLines="0" zoomScaleNormal="100" workbookViewId="0"/>
  </sheetViews>
  <sheetFormatPr defaultColWidth="8.6328125" defaultRowHeight="14.5" x14ac:dyDescent="0.35"/>
  <cols>
    <col min="1" max="1" width="30" customWidth="1"/>
    <col min="2" max="2" width="12" customWidth="1"/>
  </cols>
  <sheetData>
    <row r="1" spans="1:2" x14ac:dyDescent="0.35">
      <c r="A1" s="8" t="s">
        <v>261</v>
      </c>
    </row>
    <row r="3" spans="1:2" x14ac:dyDescent="0.35">
      <c r="A3" s="1" t="s">
        <v>262</v>
      </c>
    </row>
    <row r="4" spans="1:2" x14ac:dyDescent="0.35">
      <c r="A4" s="9" t="s">
        <v>78</v>
      </c>
      <c r="B4" s="9">
        <f>COUNTIFS('NCR Register'!K6:K54,"Open")</f>
        <v>0</v>
      </c>
    </row>
    <row r="5" spans="1:2" x14ac:dyDescent="0.35">
      <c r="A5" s="9" t="s">
        <v>57</v>
      </c>
      <c r="B5" s="9">
        <f>COUNTIFS('NCR Register'!K6:K54,"Closed")</f>
        <v>23</v>
      </c>
    </row>
    <row r="7" spans="1:2" x14ac:dyDescent="0.35">
      <c r="A7" s="1" t="s">
        <v>263</v>
      </c>
    </row>
    <row r="8" spans="1:2" x14ac:dyDescent="0.35">
      <c r="A8" s="9" t="s">
        <v>55</v>
      </c>
      <c r="B8" s="9">
        <f>COUNTIFS('NCR Register'!F6:F54,"Major")</f>
        <v>25</v>
      </c>
    </row>
    <row r="9" spans="1:2" x14ac:dyDescent="0.35">
      <c r="A9" s="9" t="s">
        <v>72</v>
      </c>
      <c r="B9" s="9">
        <f>COUNTIFS('NCR Register'!F6:F54,"Minor")</f>
        <v>3</v>
      </c>
    </row>
    <row r="11" spans="1:2" x14ac:dyDescent="0.35">
      <c r="A11" s="1" t="s">
        <v>264</v>
      </c>
    </row>
    <row r="12" spans="1:2" x14ac:dyDescent="0.35">
      <c r="A12" s="9" t="s">
        <v>54</v>
      </c>
      <c r="B12" s="9">
        <f>COUNTIFS('NCR Register'!C6:C54,"Internal Audit")</f>
        <v>2</v>
      </c>
    </row>
    <row r="13" spans="1:2" x14ac:dyDescent="0.35">
      <c r="A13" s="9" t="s">
        <v>61</v>
      </c>
      <c r="B13" s="9">
        <f>COUNTIFS('NCR Register'!C6:C54,"Equipment")</f>
        <v>1</v>
      </c>
    </row>
    <row r="14" spans="1:2" x14ac:dyDescent="0.35">
      <c r="A14" s="9" t="s">
        <v>66</v>
      </c>
      <c r="B14" s="9">
        <f>COUNTIFS('NCR Register'!C6:C54,"PT/ILC")</f>
        <v>0</v>
      </c>
    </row>
    <row r="15" spans="1:2" x14ac:dyDescent="0.35">
      <c r="A15" s="9" t="s">
        <v>71</v>
      </c>
      <c r="B15" s="9">
        <f>COUNTIFS('NCR Register'!C6:C54,"Customer Complaint")</f>
        <v>0</v>
      </c>
    </row>
    <row r="16" spans="1:2" x14ac:dyDescent="0.35">
      <c r="A16" s="9" t="s">
        <v>74</v>
      </c>
      <c r="B16" s="9">
        <f>COUNTIFS('NCR Register'!C6:C54,"Staff Observation")</f>
        <v>0</v>
      </c>
    </row>
    <row r="17" spans="1:2" x14ac:dyDescent="0.35">
      <c r="A17" s="9" t="s">
        <v>81</v>
      </c>
      <c r="B17" s="9">
        <f>COUNTIFS('NCR Register'!C6:C54,"Management Review")</f>
        <v>1</v>
      </c>
    </row>
    <row r="19" spans="1:2" x14ac:dyDescent="0.35">
      <c r="A19" s="1" t="s">
        <v>265</v>
      </c>
    </row>
    <row r="20" spans="1:2" x14ac:dyDescent="0.35">
      <c r="A20" s="9" t="s">
        <v>78</v>
      </c>
      <c r="B20" s="9">
        <f>COUNTIFS('CAPA Tracker'!J6:J55,"Open")</f>
        <v>2</v>
      </c>
    </row>
    <row r="21" spans="1:2" x14ac:dyDescent="0.35">
      <c r="A21" s="9" t="s">
        <v>135</v>
      </c>
      <c r="B21" s="9">
        <f>COUNTIFS('CAPA Tracker'!J6:J55,"In Progress")</f>
        <v>2</v>
      </c>
    </row>
    <row r="22" spans="1:2" x14ac:dyDescent="0.35">
      <c r="A22" s="9" t="s">
        <v>57</v>
      </c>
      <c r="B22" s="9">
        <f>COUNTIFS('CAPA Tracker'!J6:J55,"Closed")</f>
        <v>4</v>
      </c>
    </row>
    <row r="24" spans="1:2" x14ac:dyDescent="0.35">
      <c r="A24" s="1" t="s">
        <v>266</v>
      </c>
    </row>
    <row r="25" spans="1:2" x14ac:dyDescent="0.35">
      <c r="A25" s="9" t="s">
        <v>267</v>
      </c>
      <c r="B25" s="9">
        <f>SUM('Internal Audits'!E6:E55)</f>
        <v>0</v>
      </c>
    </row>
    <row r="26" spans="1:2" x14ac:dyDescent="0.35">
      <c r="A26" s="9" t="s">
        <v>268</v>
      </c>
      <c r="B26" s="9">
        <f>SUM('Internal Audits'!F6:F55)</f>
        <v>0</v>
      </c>
    </row>
    <row r="27" spans="1:2" x14ac:dyDescent="0.35">
      <c r="A27" s="9" t="s">
        <v>269</v>
      </c>
      <c r="B27" s="9">
        <f>SUM('Internal Audits'!G6:G55)</f>
        <v>0</v>
      </c>
    </row>
    <row r="29" spans="1:2" x14ac:dyDescent="0.35">
      <c r="A29" s="1" t="s">
        <v>270</v>
      </c>
    </row>
    <row r="30" spans="1:2" x14ac:dyDescent="0.35">
      <c r="A30" s="9" t="s">
        <v>271</v>
      </c>
      <c r="B30" s="9">
        <f ca="1">COUNTIFS(Calibration!I6:I53,"Valid")</f>
        <v>11</v>
      </c>
    </row>
    <row r="31" spans="1:2" x14ac:dyDescent="0.35">
      <c r="A31" s="9" t="s">
        <v>272</v>
      </c>
      <c r="B31" s="9">
        <f ca="1">COUNTIFS(Calibration!I6:I53,"Due Soon")</f>
        <v>0</v>
      </c>
    </row>
    <row r="32" spans="1:2" x14ac:dyDescent="0.35">
      <c r="A32" s="9" t="s">
        <v>273</v>
      </c>
      <c r="B32" s="9">
        <f ca="1">COUNTIFS(Calibration!I6:I53,"Overdue")</f>
        <v>0</v>
      </c>
    </row>
    <row r="34" spans="1:2" x14ac:dyDescent="0.35">
      <c r="A34" s="1" t="s">
        <v>274</v>
      </c>
    </row>
    <row r="35" spans="1:2" x14ac:dyDescent="0.35">
      <c r="A35" s="9" t="s">
        <v>275</v>
      </c>
      <c r="B35" s="9">
        <f ca="1">COUNTIFS('Staff Competency'!G6:G80,"Competent")</f>
        <v>20</v>
      </c>
    </row>
    <row r="36" spans="1:2" x14ac:dyDescent="0.35">
      <c r="A36" s="9" t="s">
        <v>272</v>
      </c>
      <c r="B36" s="9">
        <f ca="1">COUNTIFS('Staff Competency'!G6:G80,"Due Soon")</f>
        <v>1</v>
      </c>
    </row>
    <row r="37" spans="1:2" x14ac:dyDescent="0.35">
      <c r="A37" s="9" t="s">
        <v>273</v>
      </c>
      <c r="B37" s="9">
        <f ca="1">COUNTIFS('Staff Competency'!G6:G80,"Overdue")</f>
        <v>9</v>
      </c>
    </row>
    <row r="39" spans="1:2" x14ac:dyDescent="0.35">
      <c r="A39" s="1" t="s">
        <v>276</v>
      </c>
    </row>
    <row r="40" spans="1:2" x14ac:dyDescent="0.35">
      <c r="A40" s="9" t="s">
        <v>178</v>
      </c>
      <c r="B40" s="9">
        <f>COUNTIFS('PT-ILC'!F6:F55,"Satisfactory")</f>
        <v>0</v>
      </c>
    </row>
    <row r="41" spans="1:2" x14ac:dyDescent="0.35">
      <c r="A41" s="9" t="s">
        <v>181</v>
      </c>
      <c r="B41" s="9">
        <f>COUNTIFS('PT-ILC'!F6:F55,"Questionable")</f>
        <v>0</v>
      </c>
    </row>
    <row r="42" spans="1:2" x14ac:dyDescent="0.35">
      <c r="A42" s="9" t="s">
        <v>179</v>
      </c>
      <c r="B42" s="9">
        <f>COUNTIFS('PT-ILC'!F6:F55,"Unsatisfactory")</f>
        <v>0</v>
      </c>
    </row>
    <row r="44" spans="1:2" x14ac:dyDescent="0.35">
      <c r="A44" s="1" t="s">
        <v>277</v>
      </c>
    </row>
    <row r="45" spans="1:2" x14ac:dyDescent="0.35">
      <c r="A45" s="9" t="s">
        <v>278</v>
      </c>
      <c r="B45" s="9" t="str">
        <f ca="1">IF('NCR Register'!K6="Open",TODAY()-'NCR Register'!B6,"")</f>
        <v/>
      </c>
    </row>
    <row r="46" spans="1:2" x14ac:dyDescent="0.35">
      <c r="A46" s="9" t="s">
        <v>279</v>
      </c>
      <c r="B46" s="9" t="str">
        <f ca="1">IF('NCR Register'!K7="Open",TODAY()-'NCR Register'!B7,"")</f>
        <v/>
      </c>
    </row>
    <row r="47" spans="1:2" x14ac:dyDescent="0.35">
      <c r="A47" s="9" t="s">
        <v>280</v>
      </c>
      <c r="B47" s="9" t="str">
        <f ca="1">IF('NCR Register'!K8="Open",TODAY()-'NCR Register'!B8,"")</f>
        <v/>
      </c>
    </row>
    <row r="48" spans="1:2" x14ac:dyDescent="0.35">
      <c r="A48" s="9" t="s">
        <v>281</v>
      </c>
      <c r="B48" s="9" t="str">
        <f ca="1">IF('NCR Register'!K9="Open",TODAY()-'NCR Register'!B9,"")</f>
        <v/>
      </c>
    </row>
    <row r="49" spans="1:2" x14ac:dyDescent="0.35">
      <c r="A49" s="9" t="s">
        <v>282</v>
      </c>
      <c r="B49" s="9" t="str">
        <f ca="1">IF('NCR Register'!K10="Open",TODAY()-'NCR Register'!B10,"")</f>
        <v/>
      </c>
    </row>
    <row r="50" spans="1:2" x14ac:dyDescent="0.35">
      <c r="A50" s="9" t="s">
        <v>283</v>
      </c>
      <c r="B50" s="9" t="str">
        <f ca="1">IF('NCR Register'!K11="Open",TODAY()-'NCR Register'!B11,"")</f>
        <v/>
      </c>
    </row>
    <row r="51" spans="1:2" x14ac:dyDescent="0.35">
      <c r="A51" s="9" t="s">
        <v>284</v>
      </c>
      <c r="B51" s="9" t="str">
        <f ca="1">IF('NCR Register'!K12="Open",TODAY()-'NCR Register'!B12,"")</f>
        <v/>
      </c>
    </row>
    <row r="52" spans="1:2" x14ac:dyDescent="0.35">
      <c r="A52" s="9" t="s">
        <v>285</v>
      </c>
      <c r="B52" s="9" t="str">
        <f ca="1">IF('NCR Register'!K13="Open",TODAY()-'NCR Register'!B13,"")</f>
        <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Dashboard</vt:lpstr>
      <vt:lpstr>NCR Register</vt:lpstr>
      <vt:lpstr>CAPA Tracker</vt:lpstr>
      <vt:lpstr>Internal Audits</vt:lpstr>
      <vt:lpstr>PT-ILC</vt:lpstr>
      <vt:lpstr>Calibration</vt:lpstr>
      <vt:lpstr>Staff Competency</vt:lpstr>
      <vt:lpstr>Customer Feedback</vt:lpstr>
      <vt:lpstr>Document Control</vt:lpstr>
      <vt:lpstr>Management Review</vt:lpstr>
      <vt:lpstr>Chart 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Sifiso Nyambi</cp:lastModifiedBy>
  <cp:revision>1</cp:revision>
  <cp:lastPrinted>2026-07-20T22:46:48Z</cp:lastPrinted>
  <dcterms:created xsi:type="dcterms:W3CDTF">2026-07-18T10:44:07Z</dcterms:created>
  <dcterms:modified xsi:type="dcterms:W3CDTF">2026-10-07T12:16:19Z</dcterms:modified>
  <dc:language>en-US</dc:language>
</cp:coreProperties>
</file>