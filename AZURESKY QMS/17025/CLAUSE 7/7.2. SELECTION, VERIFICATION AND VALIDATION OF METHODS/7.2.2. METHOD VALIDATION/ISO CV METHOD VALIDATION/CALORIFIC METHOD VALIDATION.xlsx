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azureasuslap\QMWARELIMS12\AZURESKY SYSTEM\METHOD VALIDATION\ISO CV METHOD VALIDATION\"/>
    </mc:Choice>
  </mc:AlternateContent>
  <xr:revisionPtr revIDLastSave="0" documentId="13_ncr:1_{D4F7C3D5-1D17-41C5-89A1-8C98C447A2F8}" xr6:coauthVersionLast="47" xr6:coauthVersionMax="47" xr10:uidLastSave="{00000000-0000-0000-0000-000000000000}"/>
  <bookViews>
    <workbookView xWindow="-110" yWindow="-110" windowWidth="19420" windowHeight="10300" firstSheet="3" activeTab="6" xr2:uid="{500F4B89-6BB5-4229-8145-8AF99589BDFD}"/>
  </bookViews>
  <sheets>
    <sheet name="PRECISION" sheetId="3" r:id="rId1"/>
    <sheet name="ACCURACY" sheetId="4" r:id="rId2"/>
    <sheet name="REPEATABILITY AND REPRODUCIBILI" sheetId="7" r:id="rId3"/>
    <sheet name="LINEARITY" sheetId="2" r:id="rId4"/>
    <sheet name="RUGGEDNESS-ROBUSTNESS" sheetId="5" r:id="rId5"/>
    <sheet name="HOMOGENEITY ASSESSMENT" sheetId="8" r:id="rId6"/>
    <sheet name="UoM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0" l="1"/>
  <c r="D16" i="10"/>
  <c r="D5" i="10" s="1"/>
  <c r="E5" i="10" s="1"/>
  <c r="D6" i="10"/>
  <c r="E6" i="10" s="1"/>
  <c r="B13" i="10" l="1"/>
  <c r="B17" i="10" s="1"/>
  <c r="B21" i="10" s="1"/>
  <c r="E25" i="8" l="1"/>
  <c r="E24" i="8"/>
  <c r="E36" i="8" s="1"/>
  <c r="D18" i="8"/>
  <c r="F18" i="8" s="1"/>
  <c r="D17" i="8"/>
  <c r="F17" i="8" s="1"/>
  <c r="D16" i="8"/>
  <c r="F16" i="8" s="1"/>
  <c r="D15" i="8"/>
  <c r="F15" i="8" s="1"/>
  <c r="D14" i="8"/>
  <c r="F14" i="8" s="1"/>
  <c r="D13" i="8"/>
  <c r="F13" i="8" s="1"/>
  <c r="D12" i="8"/>
  <c r="D11" i="8"/>
  <c r="F11" i="8" s="1"/>
  <c r="D10" i="8"/>
  <c r="F10" i="8" s="1"/>
  <c r="D9" i="8"/>
  <c r="G13" i="7"/>
  <c r="G12" i="7"/>
  <c r="G15" i="7" s="1"/>
  <c r="E13" i="7"/>
  <c r="E12" i="7"/>
  <c r="E15" i="7" s="1"/>
  <c r="C13" i="7"/>
  <c r="C12" i="7"/>
  <c r="C15" i="7" s="1"/>
  <c r="B15" i="5"/>
  <c r="B14" i="5"/>
  <c r="B13" i="5"/>
  <c r="F12" i="8" l="1"/>
  <c r="F9" i="8"/>
  <c r="D22" i="8"/>
  <c r="E12" i="8" s="1"/>
  <c r="F22" i="8" l="1"/>
  <c r="E28" i="8" s="1"/>
  <c r="E33" i="8" s="1"/>
  <c r="E15" i="8"/>
  <c r="E9" i="8"/>
  <c r="E18" i="8"/>
  <c r="E10" i="8"/>
  <c r="E11" i="8"/>
  <c r="E14" i="8"/>
  <c r="E16" i="8"/>
  <c r="E13" i="8"/>
  <c r="E17" i="8"/>
  <c r="E22" i="8" l="1"/>
  <c r="E27" i="8" s="1"/>
  <c r="E30" i="8" s="1"/>
  <c r="C9" i="4"/>
  <c r="B9" i="4"/>
  <c r="C7" i="4"/>
  <c r="B7" i="4"/>
  <c r="C5" i="4"/>
  <c r="B5" i="4"/>
  <c r="C14" i="3"/>
  <c r="C15" i="3" s="1"/>
  <c r="E15" i="3"/>
  <c r="E14" i="3"/>
  <c r="E12" i="3"/>
  <c r="C12" i="3"/>
  <c r="C13" i="3" s="1"/>
  <c r="E35" i="8" l="1"/>
  <c r="E31" i="8"/>
</calcChain>
</file>

<file path=xl/sharedStrings.xml><?xml version="1.0" encoding="utf-8"?>
<sst xmlns="http://schemas.openxmlformats.org/spreadsheetml/2006/main" count="174" uniqueCount="130">
  <si>
    <t>Analyst 2 (avergae)</t>
  </si>
  <si>
    <t>LIMS NO</t>
  </si>
  <si>
    <t>Mass: 0.5000-0.5099 (g)</t>
  </si>
  <si>
    <t>Average</t>
  </si>
  <si>
    <t>Set</t>
  </si>
  <si>
    <t>Absolute difference</t>
  </si>
  <si>
    <t>Analyst 1 (Average) 04/07</t>
  </si>
  <si>
    <t>Std deviation</t>
  </si>
  <si>
    <t>RSD</t>
  </si>
  <si>
    <t>Assigned Value</t>
  </si>
  <si>
    <t>Assigned Value (AD base)</t>
  </si>
  <si>
    <t>The RSD values of the masurements indicate that there is low variability and high precision within the data set. This is a good indication that the data is clustered relatively closer to the mean</t>
  </si>
  <si>
    <t>Precision is confirmed.</t>
  </si>
  <si>
    <t>Using the data under the PRECISION SHEET</t>
  </si>
  <si>
    <t>Analyst 1</t>
  </si>
  <si>
    <t>Analyst 2</t>
  </si>
  <si>
    <t>Assigned value</t>
  </si>
  <si>
    <t xml:space="preserve">Acceptance criteria ≤0.30 MJ/KG </t>
  </si>
  <si>
    <t>Recovery</t>
  </si>
  <si>
    <t>LIMS no</t>
  </si>
  <si>
    <t>Normal Conditions (19-26 oC)</t>
  </si>
  <si>
    <t>Anova: Single Factor</t>
  </si>
  <si>
    <t>SUMMARY</t>
  </si>
  <si>
    <t>Groups</t>
  </si>
  <si>
    <t>Count</t>
  </si>
  <si>
    <t>Sum</t>
  </si>
  <si>
    <t>Variance</t>
  </si>
  <si>
    <t>Elevated temperature (average temp of 27.56oC) (08-09 July 2025)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</si>
  <si>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</si>
  <si>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</si>
  <si>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</si>
  <si>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</si>
  <si>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</si>
  <si>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</si>
  <si>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</si>
  <si>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</si>
  <si>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</si>
  <si>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</si>
  <si>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</si>
  <si>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r>
      <t xml:space="preserve">Elevated temperature (average temp of </t>
    </r>
    <r>
      <rPr>
        <b/>
        <sz val="11"/>
        <color rgb="FFEE0000"/>
        <rFont val="Aptos Narrow"/>
        <family val="2"/>
        <scheme val="minor"/>
      </rPr>
      <t>27.56oC</t>
    </r>
    <r>
      <rPr>
        <b/>
        <sz val="11"/>
        <color theme="1"/>
        <rFont val="Aptos Narrow"/>
        <family val="2"/>
        <scheme val="minor"/>
      </rPr>
      <t>) (08-09 July 2025)</t>
    </r>
  </si>
  <si>
    <t>F-crtical</t>
  </si>
  <si>
    <t>F-test</t>
  </si>
  <si>
    <t>p-value</t>
  </si>
  <si>
    <t>Since F-stat is less than the F-critical, and also the p-value is &gt;0.05. There is no significant difference between the different conditions</t>
  </si>
  <si>
    <t>Which implies that the method passes the ruggedness/robustness assessment</t>
  </si>
  <si>
    <t>Analyst 2 (average)</t>
  </si>
  <si>
    <t>Analyst 3 (Average)</t>
  </si>
  <si>
    <t>Std Dev</t>
  </si>
  <si>
    <t>Abs Difference</t>
  </si>
  <si>
    <t>Repeatability and reproducibility conditions are met</t>
  </si>
  <si>
    <t>Unit</t>
  </si>
  <si>
    <t>Replicate 1</t>
  </si>
  <si>
    <t>Replicate 2</t>
  </si>
  <si>
    <t>Unit Mean</t>
  </si>
  <si>
    <t>Between SS</t>
  </si>
  <si>
    <t>Within SS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</si>
  <si>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</si>
  <si>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</si>
  <si>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</si>
  <si>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</si>
  <si>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</si>
  <si>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</si>
  <si>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</si>
  <si>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</si>
  <si>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</si>
  <si>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</si>
  <si>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df_B:</t>
  </si>
  <si>
    <t>df_W:</t>
  </si>
  <si>
    <t>MSB:</t>
  </si>
  <si>
    <t>MSW:</t>
  </si>
  <si>
    <t>s_bb^2:</t>
  </si>
  <si>
    <t>s_bb:</t>
  </si>
  <si>
    <t>Repeatability SD:</t>
  </si>
  <si>
    <t>Fcalc:</t>
  </si>
  <si>
    <t>Fcrit (α=0.05):</t>
  </si>
  <si>
    <t>Conclusion:</t>
  </si>
  <si>
    <t>If Fcalc &gt; Fcrit → Significant between-unit variation</t>
  </si>
  <si>
    <t>Since Fstat&lt; Fcritical, Homogeneity Assesment passes</t>
  </si>
  <si>
    <r>
      <t xml:space="preserve">Since we're comparing two </t>
    </r>
    <r>
      <rPr>
        <i/>
        <sz val="11"/>
        <color rgb="FFFF0000"/>
        <rFont val="Aptos Narrow"/>
        <family val="2"/>
        <scheme val="minor"/>
      </rPr>
      <t>conditions</t>
    </r>
    <r>
      <rPr>
        <sz val="11"/>
        <color rgb="FFFF0000"/>
        <rFont val="Aptos Narrow"/>
        <family val="2"/>
        <scheme val="minor"/>
      </rPr>
      <t xml:space="preserve"> (~0.3 and ~0.5 g) with the </t>
    </r>
    <r>
      <rPr>
        <b/>
        <sz val="11"/>
        <color rgb="FFFF0000"/>
        <rFont val="Aptos Narrow"/>
        <family val="2"/>
        <scheme val="minor"/>
      </rPr>
      <t>same sample set</t>
    </r>
    <r>
      <rPr>
        <sz val="11"/>
        <color rgb="FFFF0000"/>
        <rFont val="Aptos Narrow"/>
        <family val="2"/>
        <scheme val="minor"/>
      </rPr>
      <t xml:space="preserve">, linearity isn't directly applicable </t>
    </r>
    <r>
      <rPr>
        <b/>
        <sz val="11"/>
        <color rgb="FFFF0000"/>
        <rFont val="Aptos Narrow"/>
        <family val="2"/>
        <scheme val="minor"/>
      </rPr>
      <t>unless</t>
    </r>
    <r>
      <rPr>
        <sz val="11"/>
        <color rgb="FFFF0000"/>
        <rFont val="Aptos Narrow"/>
        <family val="2"/>
        <scheme val="minor"/>
      </rPr>
      <t xml:space="preserve"> these are collected over a concentration or time gradient. In this case, the lab is validating method </t>
    </r>
    <r>
      <rPr>
        <b/>
        <sz val="11"/>
        <color rgb="FFFF0000"/>
        <rFont val="Aptos Narrow"/>
        <family val="2"/>
        <scheme val="minor"/>
      </rPr>
      <t>robustness/ruggedness</t>
    </r>
    <r>
      <rPr>
        <sz val="11"/>
        <color rgb="FFFF0000"/>
        <rFont val="Aptos Narrow"/>
        <family val="2"/>
        <scheme val="minor"/>
      </rPr>
      <t>.</t>
    </r>
  </si>
  <si>
    <t>RM name</t>
  </si>
  <si>
    <t>GA CRM AS002</t>
  </si>
  <si>
    <t>Measurement  Method</t>
  </si>
  <si>
    <t>ISO 1928</t>
  </si>
  <si>
    <t>Date of characterisation</t>
  </si>
  <si>
    <t>Analyst</t>
  </si>
  <si>
    <t>Keitumetse</t>
  </si>
  <si>
    <t>Number of replicates</t>
  </si>
  <si>
    <t>10 units * 2 replicates</t>
  </si>
  <si>
    <t>Sources of UoM</t>
  </si>
  <si>
    <t>Symbol</t>
  </si>
  <si>
    <t>Type (A/B)</t>
  </si>
  <si>
    <t>Standard Uncertainty (U)</t>
  </si>
  <si>
    <t>Distribution</t>
  </si>
  <si>
    <t>Divisor</t>
  </si>
  <si>
    <t>Sensitivity coefficient</t>
  </si>
  <si>
    <t>Repeatability (within lab)</t>
  </si>
  <si>
    <t>U1</t>
  </si>
  <si>
    <t>A</t>
  </si>
  <si>
    <t>Normal</t>
  </si>
  <si>
    <t>Balance Calibration</t>
  </si>
  <si>
    <t>U2</t>
  </si>
  <si>
    <t>B</t>
  </si>
  <si>
    <t>Rectangular</t>
  </si>
  <si>
    <t>√3</t>
  </si>
  <si>
    <t>Homogeneity test (b/w units)</t>
  </si>
  <si>
    <t>U3</t>
  </si>
  <si>
    <t>Stability (predicted drift)</t>
  </si>
  <si>
    <t>U4</t>
  </si>
  <si>
    <t>U5</t>
  </si>
  <si>
    <t>Combined uncetainty (Uc)</t>
  </si>
  <si>
    <t>Expanded uncertainty (k=2)</t>
  </si>
  <si>
    <t>Expanded Uncertainty (k=2)</t>
  </si>
  <si>
    <t>Confidence level:</t>
  </si>
  <si>
    <t xml:space="preserve">Traceability </t>
  </si>
  <si>
    <t>All components traceable to SI unit via calibrated instruments</t>
  </si>
  <si>
    <t>NA</t>
  </si>
  <si>
    <t>Uchar of PT</t>
  </si>
  <si>
    <t>To calculate Uom of balance</t>
  </si>
  <si>
    <t>UoM on calibration certifcate</t>
  </si>
  <si>
    <t>Average mass of sample</t>
  </si>
  <si>
    <t>Benzoic AV</t>
  </si>
  <si>
    <t>UoM</t>
  </si>
  <si>
    <t>U^2</t>
  </si>
  <si>
    <t>Since the absolute differences do not exceed the 0.3 MJ/kg limit and the recoveries are so high, the method is deemed accurate.</t>
  </si>
  <si>
    <t>Acceptance criteria:</t>
  </si>
  <si>
    <t>Difference b/w results and assigned value should be ≤0.30 MJ/kg</t>
  </si>
  <si>
    <t>1. Uncertainty sources table</t>
  </si>
  <si>
    <t>2. Combined Uncertainty</t>
  </si>
  <si>
    <t>3. Expanded Uncertainty</t>
  </si>
  <si>
    <t>4. Final Reporting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</si>
</sst>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EE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ck">
        <color auto="1"/>
      </right>
      <top/>
      <bottom style="hair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15" fontId="0" fillId="0" borderId="0" xfId="0" applyNumberFormat="1"/>
    <xf numFmtId="0" fontId="0" fillId="0" borderId="12" xfId="0" applyBorder="1"/>
    <xf numFmtId="0" fontId="3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2" fontId="0" fillId="0" borderId="9" xfId="0" applyNumberFormat="1" applyBorder="1"/>
    <xf numFmtId="0" fontId="2" fillId="0" borderId="18" xfId="0" applyFont="1" applyBorder="1"/>
    <xf numFmtId="0" fontId="2" fillId="0" borderId="19" xfId="0" applyFont="1" applyBorder="1"/>
    <xf numFmtId="2" fontId="0" fillId="0" borderId="20" xfId="0" applyNumberFormat="1" applyBorder="1"/>
    <xf numFmtId="0" fontId="2" fillId="0" borderId="21" xfId="0" applyFont="1" applyBorder="1"/>
    <xf numFmtId="0" fontId="2" fillId="0" borderId="22" xfId="0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9" xfId="0" applyBorder="1"/>
    <xf numFmtId="0" fontId="0" fillId="0" borderId="43" xfId="0" applyBorder="1"/>
    <xf numFmtId="0" fontId="0" fillId="0" borderId="11" xfId="0" applyBorder="1"/>
    <xf numFmtId="0" fontId="0" fillId="0" borderId="44" xfId="0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6" xfId="0" applyBorder="1"/>
    <xf numFmtId="0" fontId="0" fillId="0" borderId="7" xfId="0" applyBorder="1"/>
    <xf numFmtId="0" fontId="2" fillId="0" borderId="10" xfId="0" applyFont="1" applyBorder="1"/>
    <xf numFmtId="0" fontId="2" fillId="0" borderId="11" xfId="0" applyFont="1" applyBorder="1"/>
    <xf numFmtId="0" fontId="2" fillId="0" borderId="44" xfId="0" applyFont="1" applyBorder="1"/>
    <xf numFmtId="0" fontId="2" fillId="0" borderId="5" xfId="0" applyFont="1" applyBorder="1"/>
    <xf numFmtId="0" fontId="2" fillId="0" borderId="6" xfId="0" applyFont="1" applyBorder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ont="1" applyFill="1"/>
    <xf numFmtId="0" fontId="7" fillId="2" borderId="0" xfId="0" applyFont="1" applyFill="1"/>
    <xf numFmtId="0" fontId="0" fillId="2" borderId="0" xfId="0" applyFill="1"/>
    <xf numFmtId="0" fontId="2" fillId="2" borderId="0" xfId="0" applyFont="1" applyFill="1"/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C155-3D21-4487-A669-BF82164BF2BD}">
  <dimension ref="A1:E20"/>
  <sheetViews>
    <sheetView topLeftCell="A9" workbookViewId="0">
      <selection activeCell="E4" sqref="E4:E11"/>
    </sheetView>
  </sheetViews>
  <sheetFormatPr defaultRowHeight="14.5" x14ac:dyDescent="0.35"/>
  <cols>
    <col min="1" max="1" width="24.7265625" style="10" customWidth="1"/>
    <col min="2" max="2" width="8.7265625" style="10"/>
    <col min="3" max="3" width="24.54296875" style="10" customWidth="1"/>
    <col min="4" max="4" width="21.1796875" style="10" customWidth="1"/>
    <col min="5" max="5" width="23.26953125" style="10" customWidth="1"/>
    <col min="6" max="16384" width="8.7265625" style="10"/>
  </cols>
  <sheetData>
    <row r="1" spans="1:5" ht="15" thickBot="1" x14ac:dyDescent="0.4"/>
    <row r="2" spans="1:5" ht="15" thickBot="1" x14ac:dyDescent="0.4">
      <c r="B2" s="27"/>
      <c r="C2" s="28" t="s">
        <v>6</v>
      </c>
      <c r="D2" s="27"/>
      <c r="E2" s="28" t="s">
        <v>0</v>
      </c>
    </row>
    <row r="3" spans="1:5" ht="15.5" thickTop="1" thickBot="1" x14ac:dyDescent="0.4">
      <c r="A3" s="27" t="s">
        <v>4</v>
      </c>
      <c r="B3" s="2" t="s">
        <v>1</v>
      </c>
      <c r="C3" s="3" t="s">
        <v>2</v>
      </c>
      <c r="D3" s="3" t="s">
        <v>1</v>
      </c>
      <c r="E3" s="29" t="s">
        <v>2</v>
      </c>
    </row>
    <row r="4" spans="1:5" x14ac:dyDescent="0.35">
      <c r="A4" s="27">
        <v>1</v>
      </c>
      <c r="B4" s="23">
        <v>1168</v>
      </c>
      <c r="C4" s="24">
        <v>23.814</v>
      </c>
      <c r="D4" s="25">
        <v>1303</v>
      </c>
      <c r="E4" s="30">
        <v>23.795000000000002</v>
      </c>
    </row>
    <row r="5" spans="1:5" x14ac:dyDescent="0.35">
      <c r="A5" s="27">
        <v>2</v>
      </c>
      <c r="B5" s="4">
        <v>1169</v>
      </c>
      <c r="C5" s="5">
        <v>23.882999999999999</v>
      </c>
      <c r="D5" s="8">
        <v>1304</v>
      </c>
      <c r="E5" s="31">
        <v>23.759999999999998</v>
      </c>
    </row>
    <row r="6" spans="1:5" x14ac:dyDescent="0.35">
      <c r="A6" s="27">
        <v>3</v>
      </c>
      <c r="B6" s="4">
        <v>1170</v>
      </c>
      <c r="C6" s="5">
        <v>23.9695</v>
      </c>
      <c r="D6" s="8">
        <v>1305</v>
      </c>
      <c r="E6" s="31">
        <v>23.71</v>
      </c>
    </row>
    <row r="7" spans="1:5" x14ac:dyDescent="0.35">
      <c r="A7" s="27">
        <v>4</v>
      </c>
      <c r="B7" s="4">
        <v>1171</v>
      </c>
      <c r="C7" s="5">
        <v>23.974</v>
      </c>
      <c r="D7" s="8">
        <v>1306</v>
      </c>
      <c r="E7" s="31">
        <v>23.824999999999999</v>
      </c>
    </row>
    <row r="8" spans="1:5" x14ac:dyDescent="0.35">
      <c r="A8" s="27">
        <v>5</v>
      </c>
      <c r="B8" s="4">
        <v>1172</v>
      </c>
      <c r="C8" s="5">
        <v>23.871000000000002</v>
      </c>
      <c r="D8" s="8">
        <v>1307</v>
      </c>
      <c r="E8" s="31">
        <v>23.734999999999999</v>
      </c>
    </row>
    <row r="9" spans="1:5" x14ac:dyDescent="0.35">
      <c r="A9" s="27">
        <v>6</v>
      </c>
      <c r="B9" s="4">
        <v>1173</v>
      </c>
      <c r="C9" s="5">
        <v>23.948999999999998</v>
      </c>
      <c r="D9" s="8">
        <v>1308</v>
      </c>
      <c r="E9" s="31">
        <v>23.814999999999998</v>
      </c>
    </row>
    <row r="10" spans="1:5" x14ac:dyDescent="0.35">
      <c r="A10" s="27">
        <v>7</v>
      </c>
      <c r="B10" s="4">
        <v>1174</v>
      </c>
      <c r="C10" s="5">
        <v>23.8735</v>
      </c>
      <c r="D10" s="8">
        <v>1309</v>
      </c>
      <c r="E10" s="31">
        <v>23.71</v>
      </c>
    </row>
    <row r="11" spans="1:5" ht="15" thickBot="1" x14ac:dyDescent="0.4">
      <c r="A11" s="27">
        <v>8</v>
      </c>
      <c r="B11" s="6">
        <v>1175</v>
      </c>
      <c r="C11" s="7">
        <v>24.118000000000002</v>
      </c>
      <c r="D11" s="26">
        <v>1310</v>
      </c>
      <c r="E11" s="32">
        <v>23.82</v>
      </c>
    </row>
    <row r="12" spans="1:5" ht="15" thickTop="1" x14ac:dyDescent="0.35">
      <c r="A12" s="27" t="s">
        <v>3</v>
      </c>
      <c r="C12" s="33">
        <f>AVERAGE(C4:C11)</f>
        <v>23.931500000000003</v>
      </c>
      <c r="E12" s="10">
        <f>AVERAGE(E4:E11)</f>
        <v>23.771249999999998</v>
      </c>
    </row>
    <row r="13" spans="1:5" x14ac:dyDescent="0.35">
      <c r="A13" s="27" t="s">
        <v>5</v>
      </c>
      <c r="C13" s="10">
        <f>ABS(C12-E12)</f>
        <v>0.16025000000000489</v>
      </c>
    </row>
    <row r="14" spans="1:5" x14ac:dyDescent="0.35">
      <c r="A14" s="27" t="s">
        <v>7</v>
      </c>
      <c r="C14" s="10">
        <f>_xlfn.STDEV.S(C4:C11)</f>
        <v>9.3748523797901967E-2</v>
      </c>
      <c r="E14" s="10">
        <f>_xlfn.STDEV.S(E4:E11)</f>
        <v>4.8825491000383497E-2</v>
      </c>
    </row>
    <row r="15" spans="1:5" x14ac:dyDescent="0.35">
      <c r="A15" s="27" t="s">
        <v>8</v>
      </c>
      <c r="C15" s="10">
        <f>(C14/C12)*100</f>
        <v>0.39173693165034351</v>
      </c>
      <c r="E15" s="10">
        <f>(E14/E12)*100</f>
        <v>0.20539723826211706</v>
      </c>
    </row>
    <row r="16" spans="1:5" x14ac:dyDescent="0.35">
      <c r="A16" s="27" t="s">
        <v>10</v>
      </c>
      <c r="C16" s="10">
        <v>24.07</v>
      </c>
    </row>
    <row r="17" spans="1:5" x14ac:dyDescent="0.35">
      <c r="A17" s="27"/>
    </row>
    <row r="18" spans="1:5" x14ac:dyDescent="0.35">
      <c r="A18" s="34" t="s">
        <v>11</v>
      </c>
      <c r="B18" s="35"/>
      <c r="C18" s="35"/>
      <c r="D18" s="35"/>
      <c r="E18" s="35"/>
    </row>
    <row r="19" spans="1:5" x14ac:dyDescent="0.35">
      <c r="A19" s="34" t="s">
        <v>12</v>
      </c>
      <c r="B19" s="35"/>
      <c r="C19" s="35"/>
      <c r="D19" s="35"/>
      <c r="E19" s="35"/>
    </row>
    <row r="20" spans="1:5" x14ac:dyDescent="0.35">
      <c r="A20" s="35"/>
      <c r="B20" s="35"/>
      <c r="C20" s="35"/>
      <c r="D20" s="35"/>
      <c r="E20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280E-1460-4BEC-B2E8-64C6C99CCF9D}">
  <dimension ref="A2:C11"/>
  <sheetViews>
    <sheetView workbookViewId="0">
      <selection activeCell="A12" sqref="A12"/>
    </sheetView>
  </sheetViews>
  <sheetFormatPr defaultRowHeight="14.5" x14ac:dyDescent="0.35"/>
  <cols>
    <col min="1" max="1" width="27.26953125" style="10" customWidth="1"/>
    <col min="2" max="2" width="13.453125" style="10" customWidth="1"/>
    <col min="3" max="16384" width="8.7265625" style="10"/>
  </cols>
  <sheetData>
    <row r="2" spans="1:3" x14ac:dyDescent="0.35">
      <c r="A2" s="82" t="s">
        <v>13</v>
      </c>
      <c r="B2" s="82"/>
      <c r="C2" s="82"/>
    </row>
    <row r="3" spans="1:3" ht="15" thickBot="1" x14ac:dyDescent="0.4"/>
    <row r="4" spans="1:3" ht="15.5" thickTop="1" thickBot="1" x14ac:dyDescent="0.4">
      <c r="A4" s="36"/>
      <c r="B4" s="37" t="s">
        <v>14</v>
      </c>
      <c r="C4" s="38" t="s">
        <v>15</v>
      </c>
    </row>
    <row r="5" spans="1:3" ht="15" thickBot="1" x14ac:dyDescent="0.4">
      <c r="A5" s="39" t="s">
        <v>3</v>
      </c>
      <c r="B5" s="40">
        <f>PRECISION!C12</f>
        <v>23.931500000000003</v>
      </c>
      <c r="C5" s="41">
        <f>PRECISION!E12</f>
        <v>23.771249999999998</v>
      </c>
    </row>
    <row r="6" spans="1:3" ht="15.5" thickTop="1" thickBot="1" x14ac:dyDescent="0.4">
      <c r="A6" s="39" t="s">
        <v>16</v>
      </c>
      <c r="B6" s="80">
        <v>24.07</v>
      </c>
      <c r="C6" s="81"/>
    </row>
    <row r="7" spans="1:3" x14ac:dyDescent="0.35">
      <c r="A7" s="39" t="s">
        <v>5</v>
      </c>
      <c r="B7" s="42">
        <f>ABS($B$6-B5)</f>
        <v>0.13849999999999696</v>
      </c>
      <c r="C7" s="43">
        <f>ABS($B$6-C5)</f>
        <v>0.29875000000000185</v>
      </c>
    </row>
    <row r="8" spans="1:3" x14ac:dyDescent="0.35">
      <c r="A8" s="39" t="s">
        <v>17</v>
      </c>
      <c r="B8" s="44"/>
      <c r="C8" s="45"/>
    </row>
    <row r="9" spans="1:3" ht="15" thickBot="1" x14ac:dyDescent="0.4">
      <c r="A9" s="46" t="s">
        <v>18</v>
      </c>
      <c r="B9" s="47">
        <f>(B5/$B$6)*100</f>
        <v>99.424594931449946</v>
      </c>
      <c r="C9" s="48">
        <f>(C5/$B$6)*100</f>
        <v>98.758828417116746</v>
      </c>
    </row>
    <row r="10" spans="1:3" ht="15" thickTop="1" x14ac:dyDescent="0.35"/>
    <row r="11" spans="1:3" x14ac:dyDescent="0.35">
      <c r="A11" s="34" t="s">
        <v>123</v>
      </c>
    </row>
  </sheetData>
  <mergeCells count="2">
    <mergeCell ref="B6:C6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9925-FCD4-4A8E-87B3-C1F899B9F9D8}">
  <dimension ref="A1:G18"/>
  <sheetViews>
    <sheetView topLeftCell="A6" workbookViewId="0">
      <selection activeCell="B19" sqref="B19"/>
    </sheetView>
  </sheetViews>
  <sheetFormatPr defaultRowHeight="14.5" x14ac:dyDescent="0.35"/>
  <cols>
    <col min="1" max="1" width="17.453125" customWidth="1"/>
    <col min="2" max="2" width="9" customWidth="1"/>
    <col min="3" max="3" width="22.7265625" customWidth="1"/>
    <col min="4" max="4" width="16.81640625" customWidth="1"/>
    <col min="5" max="6" width="21.1796875" customWidth="1"/>
    <col min="7" max="7" width="20.26953125" customWidth="1"/>
  </cols>
  <sheetData>
    <row r="1" spans="1:7" ht="15" thickBot="1" x14ac:dyDescent="0.4"/>
    <row r="2" spans="1:7" ht="15" thickTop="1" x14ac:dyDescent="0.35">
      <c r="A2" s="53"/>
      <c r="B2" s="54"/>
      <c r="C2" s="54" t="s">
        <v>6</v>
      </c>
      <c r="D2" s="54"/>
      <c r="E2" s="54" t="s">
        <v>45</v>
      </c>
      <c r="F2" s="54" t="s">
        <v>1</v>
      </c>
      <c r="G2" s="55" t="s">
        <v>46</v>
      </c>
    </row>
    <row r="3" spans="1:7" ht="15" thickBot="1" x14ac:dyDescent="0.4">
      <c r="A3" s="60" t="s">
        <v>4</v>
      </c>
      <c r="B3" s="61" t="s">
        <v>1</v>
      </c>
      <c r="C3" s="61" t="s">
        <v>2</v>
      </c>
      <c r="D3" s="61" t="s">
        <v>1</v>
      </c>
      <c r="E3" s="61" t="s">
        <v>2</v>
      </c>
      <c r="F3" s="61"/>
      <c r="G3" s="62" t="s">
        <v>2</v>
      </c>
    </row>
    <row r="4" spans="1:7" ht="15" thickTop="1" x14ac:dyDescent="0.35">
      <c r="A4" s="63">
        <v>1</v>
      </c>
      <c r="B4" s="64">
        <v>1168</v>
      </c>
      <c r="C4" s="58">
        <v>23.814</v>
      </c>
      <c r="D4" s="64">
        <v>1303</v>
      </c>
      <c r="E4" s="58">
        <v>23.795000000000002</v>
      </c>
      <c r="F4" s="64">
        <v>1366</v>
      </c>
      <c r="G4" s="59">
        <v>23.85</v>
      </c>
    </row>
    <row r="5" spans="1:7" x14ac:dyDescent="0.35">
      <c r="A5" s="56">
        <v>2</v>
      </c>
      <c r="B5" s="57">
        <v>1169</v>
      </c>
      <c r="C5" s="49">
        <v>23.882999999999999</v>
      </c>
      <c r="D5" s="57">
        <v>1304</v>
      </c>
      <c r="E5" s="49">
        <v>23.759999999999998</v>
      </c>
      <c r="F5" s="57">
        <v>1367</v>
      </c>
      <c r="G5" s="50">
        <v>23.89</v>
      </c>
    </row>
    <row r="6" spans="1:7" x14ac:dyDescent="0.35">
      <c r="A6" s="56">
        <v>3</v>
      </c>
      <c r="B6" s="57">
        <v>1170</v>
      </c>
      <c r="C6" s="49">
        <v>23.9695</v>
      </c>
      <c r="D6" s="57">
        <v>1305</v>
      </c>
      <c r="E6" s="49">
        <v>23.71</v>
      </c>
      <c r="F6" s="57">
        <v>1368</v>
      </c>
      <c r="G6" s="50">
        <v>23.92</v>
      </c>
    </row>
    <row r="7" spans="1:7" x14ac:dyDescent="0.35">
      <c r="A7" s="56">
        <v>4</v>
      </c>
      <c r="B7" s="57">
        <v>1171</v>
      </c>
      <c r="C7" s="49">
        <v>23.974</v>
      </c>
      <c r="D7" s="57">
        <v>1306</v>
      </c>
      <c r="E7" s="49">
        <v>23.824999999999999</v>
      </c>
      <c r="F7" s="57">
        <v>1369</v>
      </c>
      <c r="G7" s="50">
        <v>23.92</v>
      </c>
    </row>
    <row r="8" spans="1:7" x14ac:dyDescent="0.35">
      <c r="A8" s="56">
        <v>5</v>
      </c>
      <c r="B8" s="57">
        <v>1172</v>
      </c>
      <c r="C8" s="49">
        <v>23.871000000000002</v>
      </c>
      <c r="D8" s="57">
        <v>1307</v>
      </c>
      <c r="E8" s="49">
        <v>23.734999999999999</v>
      </c>
      <c r="F8" s="57">
        <v>1370</v>
      </c>
      <c r="G8" s="50">
        <v>23.95</v>
      </c>
    </row>
    <row r="9" spans="1:7" x14ac:dyDescent="0.35">
      <c r="A9" s="56">
        <v>6</v>
      </c>
      <c r="B9" s="57">
        <v>1173</v>
      </c>
      <c r="C9" s="49">
        <v>23.948999999999998</v>
      </c>
      <c r="D9" s="57">
        <v>1308</v>
      </c>
      <c r="E9" s="49">
        <v>23.814999999999998</v>
      </c>
      <c r="F9" s="57">
        <v>1371</v>
      </c>
      <c r="G9" s="50">
        <v>24.01</v>
      </c>
    </row>
    <row r="10" spans="1:7" x14ac:dyDescent="0.35">
      <c r="A10" s="56">
        <v>7</v>
      </c>
      <c r="B10" s="57">
        <v>1174</v>
      </c>
      <c r="C10" s="49">
        <v>23.8735</v>
      </c>
      <c r="D10" s="57">
        <v>1309</v>
      </c>
      <c r="E10" s="49">
        <v>23.71</v>
      </c>
      <c r="F10" s="57">
        <v>1372</v>
      </c>
      <c r="G10" s="50">
        <v>23.94</v>
      </c>
    </row>
    <row r="11" spans="1:7" ht="15" thickBot="1" x14ac:dyDescent="0.4">
      <c r="A11" s="60">
        <v>8</v>
      </c>
      <c r="B11" s="61">
        <v>1175</v>
      </c>
      <c r="C11" s="51">
        <v>24.118000000000002</v>
      </c>
      <c r="D11" s="61">
        <v>1310</v>
      </c>
      <c r="E11" s="51">
        <v>23.82</v>
      </c>
      <c r="F11" s="61">
        <v>1373</v>
      </c>
      <c r="G11" s="52">
        <v>23.95</v>
      </c>
    </row>
    <row r="12" spans="1:7" s="1" customFormat="1" ht="15" thickTop="1" x14ac:dyDescent="0.35">
      <c r="A12" s="1" t="s">
        <v>3</v>
      </c>
      <c r="C12" s="66">
        <f>AVERAGE(C4:C11)</f>
        <v>23.931500000000003</v>
      </c>
      <c r="D12" s="66"/>
      <c r="E12" s="66">
        <f>AVERAGE(E4:E11)</f>
        <v>23.771249999999998</v>
      </c>
      <c r="F12" s="66"/>
      <c r="G12" s="66">
        <f>AVERAGE(G4:G11)</f>
        <v>23.928749999999997</v>
      </c>
    </row>
    <row r="13" spans="1:7" s="1" customFormat="1" x14ac:dyDescent="0.35">
      <c r="A13" s="1" t="s">
        <v>47</v>
      </c>
      <c r="C13" s="66">
        <f>_xlfn.STDEV.S(C4:C11)</f>
        <v>9.3748523797901967E-2</v>
      </c>
      <c r="D13" s="66"/>
      <c r="E13" s="66">
        <f>_xlfn.STDEV.S(E4:E11)</f>
        <v>4.8825491000383497E-2</v>
      </c>
      <c r="F13" s="66"/>
      <c r="G13" s="66">
        <f>_xlfn.STDEV.S(G4:G11)</f>
        <v>4.7037219305566785E-2</v>
      </c>
    </row>
    <row r="14" spans="1:7" x14ac:dyDescent="0.35">
      <c r="A14" s="1" t="s">
        <v>9</v>
      </c>
      <c r="C14" s="83">
        <v>24.07</v>
      </c>
      <c r="D14" s="83"/>
      <c r="E14" s="83"/>
      <c r="F14" s="83"/>
      <c r="G14" s="83"/>
    </row>
    <row r="15" spans="1:7" x14ac:dyDescent="0.35">
      <c r="A15" s="1" t="s">
        <v>48</v>
      </c>
      <c r="C15" s="66">
        <f>ABS(C12-$C$14)</f>
        <v>0.13849999999999696</v>
      </c>
      <c r="D15" s="66"/>
      <c r="E15" s="66">
        <f>ABS(E12-$C$14)</f>
        <v>0.29875000000000185</v>
      </c>
      <c r="F15" s="66"/>
      <c r="G15" s="66">
        <f>ABS(G12-$C$14)</f>
        <v>0.14125000000000298</v>
      </c>
    </row>
    <row r="16" spans="1:7" x14ac:dyDescent="0.35">
      <c r="A16" s="1"/>
      <c r="C16" s="66"/>
      <c r="D16" s="66"/>
      <c r="E16" s="66"/>
      <c r="F16" s="66"/>
      <c r="G16" s="66"/>
    </row>
    <row r="17" spans="1:5" x14ac:dyDescent="0.35">
      <c r="A17" s="91" t="s">
        <v>124</v>
      </c>
      <c r="B17" s="89" t="s">
        <v>125</v>
      </c>
      <c r="C17" s="88"/>
      <c r="D17" s="90"/>
      <c r="E17" s="90"/>
    </row>
    <row r="18" spans="1:5" x14ac:dyDescent="0.35">
      <c r="A18" s="9" t="s">
        <v>49</v>
      </c>
    </row>
  </sheetData>
  <mergeCells count="1">
    <mergeCell ref="C14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80C7-CE49-4CE9-AF34-EABE87478CA3}">
  <dimension ref="A2:M4"/>
  <sheetViews>
    <sheetView workbookViewId="0">
      <selection activeCell="A2" sqref="A2:M4"/>
    </sheetView>
  </sheetViews>
  <sheetFormatPr defaultRowHeight="14.5" x14ac:dyDescent="0.35"/>
  <sheetData>
    <row r="2" spans="1:13" x14ac:dyDescent="0.35">
      <c r="A2" s="84" t="s">
        <v>78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3" x14ac:dyDescent="0.3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1:13" x14ac:dyDescent="0.3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</row>
  </sheetData>
  <mergeCells count="1">
    <mergeCell ref="A2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C569-B887-4128-A7C1-D142F0BAAC22}">
  <dimension ref="A2:M18"/>
  <sheetViews>
    <sheetView topLeftCell="A12" workbookViewId="0">
      <selection activeCell="C22" sqref="C22"/>
    </sheetView>
  </sheetViews>
  <sheetFormatPr defaultRowHeight="14.5" x14ac:dyDescent="0.35"/>
  <cols>
    <col min="2" max="2" width="28.26953125" customWidth="1"/>
    <col min="3" max="3" width="54.36328125" customWidth="1"/>
    <col min="7" max="7" width="43.08984375" customWidth="1"/>
  </cols>
  <sheetData>
    <row r="2" spans="1:13" ht="15" thickBot="1" x14ac:dyDescent="0.4">
      <c r="A2" s="11">
        <v>45842</v>
      </c>
    </row>
    <row r="3" spans="1:13" x14ac:dyDescent="0.35">
      <c r="A3" s="14" t="s">
        <v>19</v>
      </c>
      <c r="B3" s="15" t="s">
        <v>20</v>
      </c>
      <c r="C3" s="15" t="s">
        <v>39</v>
      </c>
      <c r="D3" s="16" t="s">
        <v>19</v>
      </c>
      <c r="G3" t="s">
        <v>21</v>
      </c>
    </row>
    <row r="4" spans="1:13" x14ac:dyDescent="0.35">
      <c r="A4" s="17">
        <v>1168</v>
      </c>
      <c r="B4" s="18">
        <v>23.814</v>
      </c>
      <c r="C4" s="18">
        <v>23.831499999999998</v>
      </c>
      <c r="D4" s="19">
        <v>1356</v>
      </c>
    </row>
    <row r="5" spans="1:13" ht="15" thickBot="1" x14ac:dyDescent="0.4">
      <c r="A5" s="17">
        <v>1169</v>
      </c>
      <c r="B5" s="18">
        <v>23.882999999999999</v>
      </c>
      <c r="C5" s="18">
        <v>24.024500000000003</v>
      </c>
      <c r="D5" s="19">
        <v>1357</v>
      </c>
      <c r="G5" t="s">
        <v>22</v>
      </c>
    </row>
    <row r="6" spans="1:13" x14ac:dyDescent="0.35">
      <c r="A6" s="17">
        <v>1170</v>
      </c>
      <c r="B6" s="18">
        <v>23.9695</v>
      </c>
      <c r="C6" s="18">
        <v>23.8705</v>
      </c>
      <c r="D6" s="19">
        <v>1358</v>
      </c>
      <c r="G6" s="13" t="s">
        <v>23</v>
      </c>
      <c r="H6" s="13" t="s">
        <v>24</v>
      </c>
      <c r="I6" s="13" t="s">
        <v>25</v>
      </c>
      <c r="J6" s="13" t="s">
        <v>3</v>
      </c>
      <c r="K6" s="13" t="s">
        <v>26</v>
      </c>
    </row>
    <row r="7" spans="1:13" x14ac:dyDescent="0.35">
      <c r="A7" s="17">
        <v>1171</v>
      </c>
      <c r="B7" s="18">
        <v>23.974</v>
      </c>
      <c r="C7" s="18">
        <v>23.799500000000002</v>
      </c>
      <c r="D7" s="19">
        <v>1359</v>
      </c>
      <c r="G7" t="s">
        <v>20</v>
      </c>
      <c r="H7">
        <v>8</v>
      </c>
      <c r="I7">
        <v>191.45200000000003</v>
      </c>
      <c r="J7">
        <v>23.931500000000003</v>
      </c>
      <c r="K7">
        <v>8.7887857142857923E-3</v>
      </c>
    </row>
    <row r="8" spans="1:13" ht="15" thickBot="1" x14ac:dyDescent="0.4">
      <c r="A8" s="17">
        <v>1172</v>
      </c>
      <c r="B8" s="18">
        <v>23.871000000000002</v>
      </c>
      <c r="C8" s="18">
        <v>23.939</v>
      </c>
      <c r="D8" s="19">
        <v>1360</v>
      </c>
      <c r="G8" s="12" t="s">
        <v>27</v>
      </c>
      <c r="H8" s="12">
        <v>8</v>
      </c>
      <c r="I8" s="12">
        <v>191.01300000000001</v>
      </c>
      <c r="J8" s="12">
        <v>23.876625000000001</v>
      </c>
      <c r="K8" s="12">
        <v>5.2020535714286924E-3</v>
      </c>
    </row>
    <row r="9" spans="1:13" x14ac:dyDescent="0.35">
      <c r="A9" s="17">
        <v>1173</v>
      </c>
      <c r="B9" s="18">
        <v>23.948999999999998</v>
      </c>
      <c r="C9" s="18">
        <v>23.857500000000002</v>
      </c>
      <c r="D9" s="19">
        <v>1361</v>
      </c>
    </row>
    <row r="10" spans="1:13" x14ac:dyDescent="0.35">
      <c r="A10" s="17">
        <v>1174</v>
      </c>
      <c r="B10" s="18">
        <v>23.8735</v>
      </c>
      <c r="C10" s="18">
        <v>23.857500000000002</v>
      </c>
      <c r="D10" s="19">
        <v>1362</v>
      </c>
    </row>
    <row r="11" spans="1:13" ht="15" thickBot="1" x14ac:dyDescent="0.4">
      <c r="A11" s="20">
        <v>1175</v>
      </c>
      <c r="B11" s="21">
        <v>24.118000000000002</v>
      </c>
      <c r="C11" s="21">
        <v>23.832999999999998</v>
      </c>
      <c r="D11" s="22">
        <v>1363</v>
      </c>
      <c r="G11" t="s">
        <v>28</v>
      </c>
    </row>
    <row r="12" spans="1:13" x14ac:dyDescent="0.35">
      <c r="G12" s="13" t="s">
        <v>29</v>
      </c>
      <c r="H12" s="13" t="s">
        <v>30</v>
      </c>
      <c r="I12" s="13" t="s">
        <v>31</v>
      </c>
      <c r="J12" s="13" t="s">
        <v>32</v>
      </c>
      <c r="K12" s="13" t="s">
        <v>33</v>
      </c>
      <c r="L12" s="13" t="s">
        <v>34</v>
      </c>
      <c r="M12" s="13" t="s">
        <v>35</v>
      </c>
    </row>
    <row r="13" spans="1:13" x14ac:dyDescent="0.35">
      <c r="A13" t="s">
        <v>40</v>
      </c>
      <c r="B13">
        <f>M13</f>
        <v>4.6001099366694227</v>
      </c>
      <c r="G13" t="s">
        <v>36</v>
      </c>
      <c r="H13">
        <v>1.2045062499999828E-2</v>
      </c>
      <c r="I13">
        <v>1</v>
      </c>
      <c r="J13">
        <v>1.2045062499999828E-2</v>
      </c>
      <c r="K13">
        <v>1.7218498839163401</v>
      </c>
      <c r="L13">
        <v>0.21056311081453208</v>
      </c>
      <c r="M13">
        <v>4.6001099366694227</v>
      </c>
    </row>
    <row r="14" spans="1:13" x14ac:dyDescent="0.35">
      <c r="A14" t="s">
        <v>41</v>
      </c>
      <c r="B14">
        <f>K13</f>
        <v>1.7218498839163401</v>
      </c>
      <c r="G14" t="s">
        <v>37</v>
      </c>
      <c r="H14">
        <v>9.7935875000001393E-2</v>
      </c>
      <c r="I14">
        <v>14</v>
      </c>
      <c r="J14">
        <v>6.9954196428572424E-3</v>
      </c>
    </row>
    <row r="15" spans="1:13" x14ac:dyDescent="0.35">
      <c r="A15" t="s">
        <v>42</v>
      </c>
      <c r="B15">
        <f>L13</f>
        <v>0.21056311081453208</v>
      </c>
    </row>
    <row r="16" spans="1:13" ht="15" thickBot="1" x14ac:dyDescent="0.4">
      <c r="G16" s="12" t="s">
        <v>38</v>
      </c>
      <c r="H16" s="12">
        <v>0.10998093750000122</v>
      </c>
      <c r="I16" s="12">
        <v>15</v>
      </c>
      <c r="J16" s="12"/>
      <c r="K16" s="12"/>
      <c r="L16" s="12"/>
      <c r="M16" s="12"/>
    </row>
    <row r="17" spans="1:1" x14ac:dyDescent="0.35">
      <c r="A17" s="9" t="s">
        <v>43</v>
      </c>
    </row>
    <row r="18" spans="1:1" x14ac:dyDescent="0.35">
      <c r="A18" s="9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12DC-8280-46DB-9051-7FAF2EC80EF6}">
  <dimension ref="A1:O40"/>
  <sheetViews>
    <sheetView workbookViewId="0">
      <selection activeCell="A2" sqref="A2"/>
    </sheetView>
  </sheetViews>
  <sheetFormatPr defaultRowHeight="14.5" x14ac:dyDescent="0.35"/>
  <cols>
    <col min="1" max="1" width="29.81640625" customWidth="1"/>
    <col min="2" max="2" width="28.54296875" customWidth="1"/>
    <col min="3" max="3" width="9.81640625" bestFit="1" customWidth="1"/>
    <col min="4" max="4" width="14.6328125" bestFit="1" customWidth="1"/>
    <col min="5" max="5" width="19.54296875" customWidth="1"/>
    <col min="6" max="6" width="11.81640625" customWidth="1"/>
    <col min="9" max="9" width="22.1796875" customWidth="1"/>
  </cols>
  <sheetData>
    <row r="1" spans="1:13" s="69" customFormat="1" x14ac:dyDescent="0.35">
      <c r="A1" s="86"/>
      <c r="B1" s="86"/>
    </row>
    <row r="2" spans="1:13" s="69" customFormat="1" x14ac:dyDescent="0.35">
      <c r="A2" s="69" t="s">
        <v>79</v>
      </c>
      <c r="B2" s="69" t="s">
        <v>80</v>
      </c>
    </row>
    <row r="3" spans="1:13" s="69" customFormat="1" x14ac:dyDescent="0.35">
      <c r="A3" s="69" t="s">
        <v>81</v>
      </c>
      <c r="B3" s="69" t="s">
        <v>82</v>
      </c>
    </row>
    <row r="4" spans="1:13" s="69" customFormat="1" x14ac:dyDescent="0.35">
      <c r="A4" s="69" t="s">
        <v>83</v>
      </c>
      <c r="B4" s="70">
        <v>45778</v>
      </c>
    </row>
    <row r="5" spans="1:13" s="69" customFormat="1" x14ac:dyDescent="0.35">
      <c r="A5" s="69" t="s">
        <v>84</v>
      </c>
      <c r="B5" s="69" t="s">
        <v>85</v>
      </c>
    </row>
    <row r="6" spans="1:13" s="69" customFormat="1" x14ac:dyDescent="0.35">
      <c r="A6" s="69" t="s">
        <v>86</v>
      </c>
      <c r="B6" s="69" t="s">
        <v>87</v>
      </c>
    </row>
    <row r="7" spans="1:13" s="69" customFormat="1" ht="15" thickBot="1" x14ac:dyDescent="0.4"/>
    <row r="8" spans="1:13" ht="15" thickTop="1" x14ac:dyDescent="0.35">
      <c r="A8" s="92" t="s">
        <v>50</v>
      </c>
      <c r="B8" s="93" t="s">
        <v>51</v>
      </c>
      <c r="C8" s="93" t="s">
        <v>52</v>
      </c>
      <c r="D8" s="93" t="s">
        <v>53</v>
      </c>
      <c r="E8" s="93" t="s">
        <v>54</v>
      </c>
      <c r="F8" s="94" t="s">
        <v>55</v>
      </c>
    </row>
    <row r="9" spans="1:13" x14ac:dyDescent="0.35">
      <c r="A9" s="95" t="s">
        <v>56</v>
      </c>
      <c r="B9" s="96">
        <v>23.814</v>
      </c>
      <c r="C9" s="96">
        <v>23.795000000000002</v>
      </c>
      <c r="D9" s="96">
        <f t="shared" ref="D9:D18" si="0">AVERAGE(B9:C9)</f>
        <v>23.804500000000001</v>
      </c>
      <c r="E9" s="96">
        <f t="shared" ref="E9:E18" si="1">(D9 - $D$22)^2 * 2</f>
        <v>8.7384199999996602E-3</v>
      </c>
      <c r="F9" s="97">
        <f t="shared" ref="F9:F18" si="2">(B9 - D9)^2 + (C9 - D9)^2</f>
        <v>1.8049999999996869E-4</v>
      </c>
      <c r="I9" t="s">
        <v>21</v>
      </c>
    </row>
    <row r="10" spans="1:13" x14ac:dyDescent="0.35">
      <c r="A10" s="95" t="s">
        <v>57</v>
      </c>
      <c r="B10" s="96">
        <v>23.882999999999999</v>
      </c>
      <c r="C10" s="96">
        <v>23.759999999999998</v>
      </c>
      <c r="D10" s="96">
        <f t="shared" si="0"/>
        <v>23.8215</v>
      </c>
      <c r="E10" s="96">
        <f t="shared" si="1"/>
        <v>4.8216199999998538E-3</v>
      </c>
      <c r="F10" s="97">
        <f t="shared" si="2"/>
        <v>7.5645000000001362E-3</v>
      </c>
    </row>
    <row r="11" spans="1:13" ht="15" thickBot="1" x14ac:dyDescent="0.4">
      <c r="A11" s="95" t="s">
        <v>58</v>
      </c>
      <c r="B11" s="96">
        <v>23.9695</v>
      </c>
      <c r="C11" s="96">
        <v>23.71</v>
      </c>
      <c r="D11" s="96">
        <f t="shared" si="0"/>
        <v>23.839750000000002</v>
      </c>
      <c r="E11" s="96">
        <f t="shared" si="1"/>
        <v>1.9034449999996766E-3</v>
      </c>
      <c r="F11" s="97">
        <f t="shared" si="2"/>
        <v>3.3670124999999787E-2</v>
      </c>
      <c r="I11" t="s">
        <v>22</v>
      </c>
    </row>
    <row r="12" spans="1:13" x14ac:dyDescent="0.35">
      <c r="A12" s="95" t="s">
        <v>59</v>
      </c>
      <c r="B12" s="96">
        <v>23.974</v>
      </c>
      <c r="C12" s="96">
        <v>23.824999999999999</v>
      </c>
      <c r="D12" s="96">
        <f t="shared" si="0"/>
        <v>23.8995</v>
      </c>
      <c r="E12" s="96">
        <f t="shared" si="1"/>
        <v>1.6704200000000171E-3</v>
      </c>
      <c r="F12" s="97">
        <f t="shared" si="2"/>
        <v>1.1100500000000136E-2</v>
      </c>
      <c r="I12" s="13" t="s">
        <v>23</v>
      </c>
      <c r="J12" s="13" t="s">
        <v>24</v>
      </c>
      <c r="K12" s="13" t="s">
        <v>25</v>
      </c>
      <c r="L12" s="13" t="s">
        <v>3</v>
      </c>
      <c r="M12" s="13" t="s">
        <v>26</v>
      </c>
    </row>
    <row r="13" spans="1:13" x14ac:dyDescent="0.35">
      <c r="A13" s="95" t="s">
        <v>60</v>
      </c>
      <c r="B13" s="96">
        <v>23.871000000000002</v>
      </c>
      <c r="C13" s="96">
        <v>23.734999999999999</v>
      </c>
      <c r="D13" s="96">
        <f t="shared" si="0"/>
        <v>23.803000000000001</v>
      </c>
      <c r="E13" s="96">
        <f t="shared" si="1"/>
        <v>9.1395199999996686E-3</v>
      </c>
      <c r="F13" s="97">
        <f t="shared" si="2"/>
        <v>9.2480000000003792E-3</v>
      </c>
      <c r="I13" t="s">
        <v>51</v>
      </c>
      <c r="J13">
        <v>10</v>
      </c>
      <c r="K13">
        <v>239.44200000000004</v>
      </c>
      <c r="L13">
        <v>23.944200000000002</v>
      </c>
      <c r="M13">
        <v>7.5581222222222627E-3</v>
      </c>
    </row>
    <row r="14" spans="1:13" ht="15" thickBot="1" x14ac:dyDescent="0.4">
      <c r="A14" s="95" t="s">
        <v>61</v>
      </c>
      <c r="B14" s="96">
        <v>23.948999999999998</v>
      </c>
      <c r="C14" s="96">
        <v>23.814999999999998</v>
      </c>
      <c r="D14" s="96">
        <f t="shared" si="0"/>
        <v>23.881999999999998</v>
      </c>
      <c r="E14" s="96">
        <f t="shared" si="1"/>
        <v>2.599199999999225E-4</v>
      </c>
      <c r="F14" s="97">
        <f t="shared" si="2"/>
        <v>8.978000000000045E-3</v>
      </c>
      <c r="I14" s="12" t="s">
        <v>52</v>
      </c>
      <c r="J14" s="12">
        <v>10</v>
      </c>
      <c r="K14" s="12">
        <v>237.97</v>
      </c>
      <c r="L14" s="12">
        <v>23.797000000000001</v>
      </c>
      <c r="M14" s="12">
        <v>5.6011111111111183E-3</v>
      </c>
    </row>
    <row r="15" spans="1:13" x14ac:dyDescent="0.35">
      <c r="A15" s="95" t="s">
        <v>62</v>
      </c>
      <c r="B15" s="96">
        <v>23.8735</v>
      </c>
      <c r="C15" s="96">
        <v>23.71</v>
      </c>
      <c r="D15" s="96">
        <f t="shared" si="0"/>
        <v>23.79175</v>
      </c>
      <c r="E15" s="96">
        <f t="shared" si="1"/>
        <v>1.2434644999999748E-2</v>
      </c>
      <c r="F15" s="97">
        <f t="shared" si="2"/>
        <v>1.3366124999999852E-2</v>
      </c>
    </row>
    <row r="16" spans="1:13" x14ac:dyDescent="0.35">
      <c r="A16" s="95" t="s">
        <v>63</v>
      </c>
      <c r="B16" s="96">
        <v>24.118000000000002</v>
      </c>
      <c r="C16" s="96">
        <v>23.82</v>
      </c>
      <c r="D16" s="96">
        <f t="shared" si="0"/>
        <v>23.969000000000001</v>
      </c>
      <c r="E16" s="96">
        <f t="shared" si="1"/>
        <v>1.9365120000000628E-2</v>
      </c>
      <c r="F16" s="97">
        <f t="shared" si="2"/>
        <v>4.4402000000000545E-2</v>
      </c>
    </row>
    <row r="17" spans="1:15" ht="15" thickBot="1" x14ac:dyDescent="0.4">
      <c r="A17" s="95" t="s">
        <v>64</v>
      </c>
      <c r="B17" s="96">
        <v>23.99</v>
      </c>
      <c r="C17" s="96">
        <v>23.84</v>
      </c>
      <c r="D17" s="96">
        <f t="shared" si="0"/>
        <v>23.914999999999999</v>
      </c>
      <c r="E17" s="96">
        <f t="shared" si="1"/>
        <v>3.9427199999999205E-3</v>
      </c>
      <c r="F17" s="97">
        <f t="shared" si="2"/>
        <v>1.1249999999999786E-2</v>
      </c>
      <c r="I17" t="s">
        <v>28</v>
      </c>
    </row>
    <row r="18" spans="1:15" ht="15" thickBot="1" x14ac:dyDescent="0.4">
      <c r="A18" s="98" t="s">
        <v>65</v>
      </c>
      <c r="B18" s="99">
        <v>24</v>
      </c>
      <c r="C18" s="99">
        <v>23.96</v>
      </c>
      <c r="D18" s="99">
        <f t="shared" si="0"/>
        <v>23.98</v>
      </c>
      <c r="E18" s="99">
        <f t="shared" si="1"/>
        <v>2.3936720000000362E-2</v>
      </c>
      <c r="F18" s="100">
        <f t="shared" si="2"/>
        <v>7.9999999999996589E-4</v>
      </c>
      <c r="I18" s="13" t="s">
        <v>29</v>
      </c>
      <c r="J18" s="13" t="s">
        <v>30</v>
      </c>
      <c r="K18" s="13" t="s">
        <v>31</v>
      </c>
      <c r="L18" s="13" t="s">
        <v>32</v>
      </c>
      <c r="M18" s="13" t="s">
        <v>33</v>
      </c>
      <c r="N18" s="13" t="s">
        <v>34</v>
      </c>
      <c r="O18" s="13" t="s">
        <v>35</v>
      </c>
    </row>
    <row r="19" spans="1:15" ht="15" thickTop="1" x14ac:dyDescent="0.35">
      <c r="I19" t="s">
        <v>36</v>
      </c>
      <c r="J19">
        <v>0.10833920000000022</v>
      </c>
      <c r="K19">
        <v>1</v>
      </c>
      <c r="L19">
        <v>0.10833920000000022</v>
      </c>
      <c r="M19">
        <v>16.465883270808558</v>
      </c>
      <c r="N19">
        <v>7.3838187256476835E-4</v>
      </c>
      <c r="O19">
        <v>4.4138734191705664</v>
      </c>
    </row>
    <row r="20" spans="1:15" x14ac:dyDescent="0.35">
      <c r="I20" t="s">
        <v>37</v>
      </c>
      <c r="J20">
        <v>0.11843310000000043</v>
      </c>
      <c r="K20">
        <v>18</v>
      </c>
      <c r="L20">
        <v>6.5796166666666905E-3</v>
      </c>
    </row>
    <row r="22" spans="1:15" ht="15" thickBot="1" x14ac:dyDescent="0.4">
      <c r="D22">
        <f>AVERAGE(D9:D18)</f>
        <v>23.8706</v>
      </c>
      <c r="E22">
        <f>SUM(E9:E18)</f>
        <v>8.6212549999999458E-2</v>
      </c>
      <c r="F22">
        <f>SUM(F9:F18)</f>
        <v>0.14055975000000062</v>
      </c>
      <c r="I22" s="12" t="s">
        <v>38</v>
      </c>
      <c r="J22" s="12">
        <v>0.22677230000000065</v>
      </c>
      <c r="K22" s="12">
        <v>19</v>
      </c>
      <c r="L22" s="12"/>
      <c r="M22" s="12"/>
      <c r="N22" s="12"/>
      <c r="O22" s="12"/>
    </row>
    <row r="24" spans="1:15" x14ac:dyDescent="0.35">
      <c r="D24" s="1" t="s">
        <v>66</v>
      </c>
      <c r="E24" s="1">
        <f>COUNTA(A9:A18)-1</f>
        <v>9</v>
      </c>
      <c r="F24" s="1"/>
      <c r="G24" s="1"/>
      <c r="H24" s="1"/>
      <c r="I24" s="1"/>
    </row>
    <row r="25" spans="1:15" x14ac:dyDescent="0.35">
      <c r="D25" s="1" t="s">
        <v>67</v>
      </c>
      <c r="E25" s="1">
        <f>(COUNTA(A9:A18))*(2-1)</f>
        <v>10</v>
      </c>
      <c r="F25" s="1"/>
      <c r="G25" s="1"/>
      <c r="H25" s="1"/>
      <c r="I25" s="1"/>
    </row>
    <row r="26" spans="1:15" x14ac:dyDescent="0.35">
      <c r="D26" s="1"/>
      <c r="E26" s="1"/>
      <c r="F26" s="1"/>
      <c r="G26" s="1"/>
      <c r="H26" s="1"/>
      <c r="I26" s="1"/>
    </row>
    <row r="27" spans="1:15" x14ac:dyDescent="0.35">
      <c r="D27" s="1" t="s">
        <v>68</v>
      </c>
      <c r="E27" s="65">
        <f>E22/E24</f>
        <v>9.5791722222221612E-3</v>
      </c>
      <c r="F27" s="1"/>
      <c r="G27" s="1"/>
      <c r="H27" s="1"/>
      <c r="I27" s="1"/>
    </row>
    <row r="28" spans="1:15" x14ac:dyDescent="0.35">
      <c r="D28" s="1" t="s">
        <v>69</v>
      </c>
      <c r="E28" s="65">
        <f>F22/E25</f>
        <v>1.4055975000000063E-2</v>
      </c>
      <c r="F28" s="1"/>
      <c r="G28" s="1"/>
      <c r="H28" s="1"/>
      <c r="I28" s="1"/>
    </row>
    <row r="29" spans="1:15" x14ac:dyDescent="0.35">
      <c r="D29" s="1"/>
      <c r="E29" s="1"/>
      <c r="F29" s="1"/>
      <c r="G29" s="1"/>
      <c r="H29" s="1"/>
      <c r="I29" s="1"/>
    </row>
    <row r="30" spans="1:15" x14ac:dyDescent="0.35">
      <c r="D30" s="1" t="s">
        <v>70</v>
      </c>
      <c r="E30" s="67">
        <f>MAX((E27-E28)/2,0)</f>
        <v>0</v>
      </c>
      <c r="F30" s="1"/>
      <c r="G30" s="1"/>
      <c r="H30" s="1"/>
      <c r="I30" s="1"/>
    </row>
    <row r="31" spans="1:15" x14ac:dyDescent="0.35">
      <c r="D31" s="1" t="s">
        <v>71</v>
      </c>
      <c r="E31" s="67">
        <f>SQRT(E30)</f>
        <v>0</v>
      </c>
      <c r="F31" s="1"/>
      <c r="G31" s="1"/>
      <c r="H31" s="1"/>
      <c r="I31" s="1"/>
    </row>
    <row r="32" spans="1:15" x14ac:dyDescent="0.35">
      <c r="D32" s="1"/>
      <c r="E32" s="1"/>
      <c r="F32" s="1"/>
      <c r="G32" s="1"/>
      <c r="H32" s="1"/>
      <c r="I32" s="1"/>
    </row>
    <row r="33" spans="3:9" x14ac:dyDescent="0.35">
      <c r="D33" s="1" t="s">
        <v>72</v>
      </c>
      <c r="E33" s="66">
        <f>SQRT(E28)</f>
        <v>0.11855789724855979</v>
      </c>
      <c r="F33" s="1"/>
      <c r="G33" s="1"/>
      <c r="H33" s="1"/>
      <c r="I33" s="1"/>
    </row>
    <row r="34" spans="3:9" x14ac:dyDescent="0.35">
      <c r="D34" s="1"/>
      <c r="E34" s="66"/>
      <c r="F34" s="1"/>
      <c r="G34" s="1"/>
      <c r="H34" s="1"/>
      <c r="I34" s="1"/>
    </row>
    <row r="35" spans="3:9" x14ac:dyDescent="0.35">
      <c r="D35" s="1" t="s">
        <v>73</v>
      </c>
      <c r="E35" s="66">
        <f>E27/E28</f>
        <v>0.68150179708075165</v>
      </c>
      <c r="F35" s="1"/>
      <c r="G35" s="1"/>
      <c r="H35" s="1"/>
      <c r="I35" s="1"/>
    </row>
    <row r="36" spans="3:9" x14ac:dyDescent="0.35">
      <c r="D36" s="1" t="s">
        <v>74</v>
      </c>
      <c r="E36" s="66">
        <f>_xlfn.F.INV.RT(0.05,E24,E25)</f>
        <v>3.0203829470213761</v>
      </c>
      <c r="F36" s="1"/>
      <c r="G36" s="1"/>
      <c r="H36" s="1"/>
      <c r="I36" s="1"/>
    </row>
    <row r="37" spans="3:9" x14ac:dyDescent="0.35">
      <c r="D37" s="1"/>
      <c r="E37" s="1"/>
      <c r="F37" s="1"/>
      <c r="G37" s="1"/>
      <c r="H37" s="1"/>
      <c r="I37" s="1"/>
    </row>
    <row r="38" spans="3:9" x14ac:dyDescent="0.35">
      <c r="D38" s="1" t="s">
        <v>75</v>
      </c>
      <c r="E38" s="1" t="s">
        <v>76</v>
      </c>
      <c r="F38" s="1"/>
      <c r="G38" s="1"/>
      <c r="H38" s="1"/>
      <c r="I38" s="1"/>
    </row>
    <row r="40" spans="3:9" x14ac:dyDescent="0.35">
      <c r="C40" s="1" t="s">
        <v>77</v>
      </c>
      <c r="D40" s="1"/>
      <c r="E40" s="1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63D4-E92B-4B9A-B618-CD4DA83D40E1}">
  <dimension ref="A2:H28"/>
  <sheetViews>
    <sheetView tabSelected="1" workbookViewId="0">
      <selection activeCell="C16" sqref="C16"/>
    </sheetView>
  </sheetViews>
  <sheetFormatPr defaultColWidth="8.90625" defaultRowHeight="14.5" x14ac:dyDescent="0.35"/>
  <cols>
    <col min="1" max="1" width="25" style="69" customWidth="1"/>
    <col min="2" max="2" width="23.81640625" style="69" customWidth="1"/>
    <col min="3" max="3" width="43.1796875" style="69" bestFit="1" customWidth="1"/>
    <col min="4" max="5" width="20.36328125" style="69" customWidth="1"/>
    <col min="6" max="6" width="12.08984375" style="69" bestFit="1" customWidth="1"/>
    <col min="7" max="7" width="9.6328125" style="69" bestFit="1" customWidth="1"/>
    <col min="8" max="8" width="17.36328125" style="69" bestFit="1" customWidth="1"/>
    <col min="9" max="9" width="12" style="69" bestFit="1" customWidth="1"/>
    <col min="10" max="10" width="7" style="69" bestFit="1" customWidth="1"/>
    <col min="11" max="11" width="12" style="69" bestFit="1" customWidth="1"/>
    <col min="12" max="12" width="14.453125" style="69" customWidth="1"/>
    <col min="13" max="14" width="12" style="69" bestFit="1" customWidth="1"/>
    <col min="15" max="21" width="8.90625" style="69"/>
    <col min="22" max="22" width="16.08984375" style="69" bestFit="1" customWidth="1"/>
    <col min="23" max="23" width="43.1796875" style="69" bestFit="1" customWidth="1"/>
    <col min="24" max="24" width="9.54296875" style="69" customWidth="1"/>
    <col min="25" max="25" width="12.08984375" style="69" bestFit="1" customWidth="1"/>
    <col min="26" max="26" width="9.6328125" style="69" bestFit="1" customWidth="1"/>
    <col min="27" max="27" width="9.1796875" style="69" bestFit="1" customWidth="1"/>
    <col min="28" max="16384" width="8.90625" style="69"/>
  </cols>
  <sheetData>
    <row r="2" spans="1:8" ht="15" thickBot="1" x14ac:dyDescent="0.4">
      <c r="A2" s="86" t="s">
        <v>126</v>
      </c>
      <c r="B2" s="87"/>
    </row>
    <row r="3" spans="1:8" ht="15" thickTop="1" x14ac:dyDescent="0.35">
      <c r="A3" s="105" t="s">
        <v>88</v>
      </c>
      <c r="B3" s="108" t="s">
        <v>89</v>
      </c>
      <c r="C3" s="108" t="s">
        <v>90</v>
      </c>
      <c r="D3" s="108" t="s">
        <v>91</v>
      </c>
      <c r="E3" s="108" t="s">
        <v>122</v>
      </c>
      <c r="F3" s="108" t="s">
        <v>92</v>
      </c>
      <c r="G3" s="108" t="s">
        <v>93</v>
      </c>
      <c r="H3" s="109" t="s">
        <v>94</v>
      </c>
    </row>
    <row r="4" spans="1:8" x14ac:dyDescent="0.35">
      <c r="A4" s="106" t="s">
        <v>95</v>
      </c>
      <c r="B4" s="101" t="s">
        <v>96</v>
      </c>
      <c r="C4" s="101" t="s">
        <v>97</v>
      </c>
      <c r="D4" s="101">
        <v>0.12</v>
      </c>
      <c r="E4" s="101">
        <f>D4*D4</f>
        <v>1.44E-2</v>
      </c>
      <c r="F4" s="101" t="s">
        <v>98</v>
      </c>
      <c r="G4" s="101">
        <v>1</v>
      </c>
      <c r="H4" s="102">
        <v>1</v>
      </c>
    </row>
    <row r="5" spans="1:8" x14ac:dyDescent="0.35">
      <c r="A5" s="106" t="s">
        <v>99</v>
      </c>
      <c r="B5" s="101" t="s">
        <v>100</v>
      </c>
      <c r="C5" s="101" t="s">
        <v>101</v>
      </c>
      <c r="D5" s="101">
        <f>D16</f>
        <v>1.5700990099009899E-2</v>
      </c>
      <c r="E5" s="101">
        <f t="shared" ref="E5:E6" si="0">D5*D5</f>
        <v>2.4652109008920685E-4</v>
      </c>
      <c r="F5" s="101" t="s">
        <v>102</v>
      </c>
      <c r="G5" s="101" t="s">
        <v>103</v>
      </c>
      <c r="H5" s="102"/>
    </row>
    <row r="6" spans="1:8" x14ac:dyDescent="0.35">
      <c r="A6" s="106" t="s">
        <v>104</v>
      </c>
      <c r="B6" s="101" t="s">
        <v>105</v>
      </c>
      <c r="C6" s="101" t="s">
        <v>97</v>
      </c>
      <c r="D6" s="101">
        <f>'HOMOGENEITY ASSESSMENT'!L19</f>
        <v>0.10833920000000022</v>
      </c>
      <c r="E6" s="101">
        <f t="shared" si="0"/>
        <v>1.1737382256640047E-2</v>
      </c>
      <c r="F6" s="101" t="s">
        <v>98</v>
      </c>
      <c r="G6" s="101">
        <v>1</v>
      </c>
      <c r="H6" s="102">
        <v>1</v>
      </c>
    </row>
    <row r="7" spans="1:8" x14ac:dyDescent="0.35">
      <c r="A7" s="106" t="s">
        <v>106</v>
      </c>
      <c r="B7" s="101" t="s">
        <v>107</v>
      </c>
      <c r="C7" s="101" t="s">
        <v>101</v>
      </c>
      <c r="D7" s="101" t="s">
        <v>115</v>
      </c>
      <c r="E7" s="101"/>
      <c r="F7" s="101" t="s">
        <v>102</v>
      </c>
      <c r="G7" s="101" t="s">
        <v>103</v>
      </c>
      <c r="H7" s="102">
        <v>1</v>
      </c>
    </row>
    <row r="8" spans="1:8" ht="15" thickBot="1" x14ac:dyDescent="0.4">
      <c r="A8" s="107" t="s">
        <v>116</v>
      </c>
      <c r="B8" s="103" t="s">
        <v>108</v>
      </c>
      <c r="C8" s="103" t="s">
        <v>101</v>
      </c>
      <c r="D8" s="103" t="s">
        <v>115</v>
      </c>
      <c r="E8" s="103"/>
      <c r="F8" s="103" t="s">
        <v>98</v>
      </c>
      <c r="G8" s="103">
        <v>1</v>
      </c>
      <c r="H8" s="104">
        <v>1</v>
      </c>
    </row>
    <row r="9" spans="1:8" ht="15" thickTop="1" x14ac:dyDescent="0.35"/>
    <row r="10" spans="1:8" x14ac:dyDescent="0.35">
      <c r="A10" s="86" t="s">
        <v>127</v>
      </c>
      <c r="B10" s="86"/>
    </row>
    <row r="11" spans="1:8" ht="15" thickBot="1" x14ac:dyDescent="0.4">
      <c r="A11" s="68"/>
      <c r="B11" s="68"/>
    </row>
    <row r="12" spans="1:8" ht="15" thickTop="1" x14ac:dyDescent="0.35">
      <c r="C12" s="75" t="s">
        <v>117</v>
      </c>
      <c r="D12" s="76"/>
      <c r="E12" s="72"/>
    </row>
    <row r="13" spans="1:8" x14ac:dyDescent="0.35">
      <c r="A13" s="69" t="s">
        <v>109</v>
      </c>
      <c r="B13" s="79">
        <f>SQRT(SUM(E4:E6))</f>
        <v>0.16243122651365177</v>
      </c>
      <c r="C13" s="73" t="s">
        <v>118</v>
      </c>
      <c r="D13" s="74">
        <v>2.9999999999999997E-4</v>
      </c>
      <c r="E13" s="72"/>
    </row>
    <row r="14" spans="1:8" x14ac:dyDescent="0.35">
      <c r="C14" s="73" t="s">
        <v>119</v>
      </c>
      <c r="D14" s="74">
        <v>0.505</v>
      </c>
      <c r="E14" s="72"/>
    </row>
    <row r="15" spans="1:8" x14ac:dyDescent="0.35">
      <c r="C15" s="73" t="s">
        <v>120</v>
      </c>
      <c r="D15" s="74">
        <v>26.43</v>
      </c>
      <c r="E15" s="72"/>
    </row>
    <row r="16" spans="1:8" ht="15" thickBot="1" x14ac:dyDescent="0.4">
      <c r="A16" s="86" t="s">
        <v>128</v>
      </c>
      <c r="B16" s="86"/>
      <c r="C16" s="77" t="s">
        <v>121</v>
      </c>
      <c r="D16" s="78">
        <f>(D13/D14)*D15</f>
        <v>1.5700990099009899E-2</v>
      </c>
      <c r="E16" s="72"/>
    </row>
    <row r="17" spans="1:3" ht="15" thickTop="1" x14ac:dyDescent="0.35">
      <c r="A17" s="69" t="s">
        <v>110</v>
      </c>
      <c r="B17" s="79">
        <f>2*B13</f>
        <v>0.32486245302730354</v>
      </c>
    </row>
    <row r="20" spans="1:3" x14ac:dyDescent="0.35">
      <c r="A20" s="86" t="s">
        <v>129</v>
      </c>
      <c r="B20" s="86"/>
    </row>
    <row r="21" spans="1:3" x14ac:dyDescent="0.35">
      <c r="A21" s="69" t="s">
        <v>111</v>
      </c>
      <c r="B21" s="79">
        <f>B17</f>
        <v>0.32486245302730354</v>
      </c>
    </row>
    <row r="22" spans="1:3" x14ac:dyDescent="0.35">
      <c r="A22" s="69" t="s">
        <v>112</v>
      </c>
      <c r="B22" s="71">
        <v>0.95</v>
      </c>
    </row>
    <row r="23" spans="1:3" x14ac:dyDescent="0.35">
      <c r="A23" s="69" t="s">
        <v>113</v>
      </c>
      <c r="B23" s="85" t="s">
        <v>114</v>
      </c>
      <c r="C23" s="85"/>
    </row>
    <row r="26" spans="1:3" ht="13.25" customHeight="1" x14ac:dyDescent="0.35"/>
    <row r="27" spans="1:3" ht="13.25" customHeight="1" x14ac:dyDescent="0.35"/>
    <row r="28" spans="1:3" ht="13.25" customHeight="1" x14ac:dyDescent="0.35"/>
  </sheetData>
  <mergeCells count="5">
    <mergeCell ref="B23:C23"/>
    <mergeCell ref="A2:B2"/>
    <mergeCell ref="A10:B10"/>
    <mergeCell ref="A16:B16"/>
    <mergeCell ref="A20:B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PRECISION</vt:lpstr>
      <vt:lpstr>ACCURACY</vt:lpstr>
      <vt:lpstr>REPEATABILITY AND REPRODUCIBILI</vt:lpstr>
      <vt:lpstr>LINEARITY</vt:lpstr>
      <vt:lpstr>RUGGEDNESS-ROBUSTNESS</vt:lpstr>
      <vt:lpstr>HOMOGENEITY ASSESSMENT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dcterms:created xsi:type="dcterms:W3CDTF">2025-08-12T09:10:22Z</dcterms:created>
  <dcterms:modified xsi:type="dcterms:W3CDTF">2025-08-14T10:05:33Z</dcterms:modified>
</cp:coreProperties>
</file>