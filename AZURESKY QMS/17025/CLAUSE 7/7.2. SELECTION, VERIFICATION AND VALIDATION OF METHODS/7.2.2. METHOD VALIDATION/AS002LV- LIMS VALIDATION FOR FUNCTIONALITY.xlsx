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2025\METHOD VALIDATION\"/>
    </mc:Choice>
  </mc:AlternateContent>
  <xr:revisionPtr revIDLastSave="0" documentId="13_ncr:1_{2EDDC643-F5B6-412E-8693-D4480A0F2160}" xr6:coauthVersionLast="47" xr6:coauthVersionMax="47" xr10:uidLastSave="{00000000-0000-0000-0000-000000000000}"/>
  <bookViews>
    <workbookView xWindow="-110" yWindow="-110" windowWidth="19420" windowHeight="11020" activeTab="2" xr2:uid="{F2176754-14DB-4D1A-BA34-A5AEAB088CD3}"/>
  </bookViews>
  <sheets>
    <sheet name="VOLATILE MATTER" sheetId="1" r:id="rId1"/>
    <sheet name="INHERENT MOISTURE" sheetId="2" r:id="rId2"/>
    <sheet name="A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J13" i="3" s="1"/>
  <c r="I14" i="3"/>
  <c r="I15" i="3"/>
  <c r="I16" i="3"/>
  <c r="J15" i="3" s="1"/>
  <c r="I17" i="3"/>
  <c r="I18" i="3"/>
  <c r="I19" i="3"/>
  <c r="I5" i="3"/>
  <c r="J5" i="3" s="1"/>
  <c r="J17" i="3"/>
  <c r="I6" i="2"/>
  <c r="I7" i="2"/>
  <c r="I8" i="2"/>
  <c r="I9" i="2"/>
  <c r="I10" i="2"/>
  <c r="I11" i="2"/>
  <c r="I12" i="2"/>
  <c r="I13" i="2"/>
  <c r="J13" i="2" s="1"/>
  <c r="I14" i="2"/>
  <c r="I15" i="2"/>
  <c r="I16" i="2"/>
  <c r="I17" i="2"/>
  <c r="I18" i="2"/>
  <c r="I24" i="2"/>
  <c r="I23" i="2"/>
  <c r="I22" i="2"/>
  <c r="I21" i="2"/>
  <c r="I20" i="2"/>
  <c r="I19" i="2"/>
  <c r="I5" i="2"/>
  <c r="I8" i="1"/>
  <c r="I7" i="1"/>
  <c r="I6" i="1"/>
  <c r="I5" i="1"/>
  <c r="J7" i="1"/>
  <c r="J9" i="1"/>
  <c r="J11" i="1"/>
  <c r="J13" i="1"/>
  <c r="J17" i="1"/>
  <c r="J5" i="1"/>
  <c r="I9" i="1"/>
  <c r="I10" i="1"/>
  <c r="I11" i="1"/>
  <c r="I12" i="1"/>
  <c r="I13" i="1"/>
  <c r="I14" i="1"/>
  <c r="I15" i="1"/>
  <c r="J15" i="1" s="1"/>
  <c r="I16" i="1"/>
  <c r="I17" i="1"/>
  <c r="I18" i="1"/>
  <c r="J11" i="3" l="1"/>
  <c r="J7" i="3"/>
  <c r="J9" i="3"/>
  <c r="J23" i="2"/>
  <c r="J21" i="2"/>
  <c r="J17" i="2"/>
  <c r="J15" i="2"/>
  <c r="J11" i="2"/>
  <c r="J9" i="2"/>
  <c r="J7" i="2"/>
  <c r="J5" i="2"/>
  <c r="J19" i="2"/>
</calcChain>
</file>

<file path=xl/sharedStrings.xml><?xml version="1.0" encoding="utf-8"?>
<sst xmlns="http://schemas.openxmlformats.org/spreadsheetml/2006/main" count="105" uniqueCount="33">
  <si>
    <t>Lab ID</t>
  </si>
  <si>
    <t>Sample Name</t>
  </si>
  <si>
    <t>Fraction</t>
  </si>
  <si>
    <t>Oven</t>
  </si>
  <si>
    <t>Dish no</t>
  </si>
  <si>
    <t>Dish Mass</t>
  </si>
  <si>
    <t>Vol</t>
  </si>
  <si>
    <t>Average</t>
  </si>
  <si>
    <t>PT Verification 1</t>
  </si>
  <si>
    <t>PT Verification 2</t>
  </si>
  <si>
    <t>PT Verification 3</t>
  </si>
  <si>
    <t>PT Verification 4</t>
  </si>
  <si>
    <t>PT Verification 5</t>
  </si>
  <si>
    <t>PT Verification 6</t>
  </si>
  <si>
    <t>PT Verification 7</t>
  </si>
  <si>
    <t>RawCoal</t>
  </si>
  <si>
    <t>Sample Mass</t>
  </si>
  <si>
    <t>Final Mass</t>
  </si>
  <si>
    <t>LIMS VALIDATION FOR FUNCTIONALITY (VOLATILE MATTER)</t>
  </si>
  <si>
    <t>ISO M1</t>
  </si>
  <si>
    <t>ISO M2</t>
  </si>
  <si>
    <t>ISO M3</t>
  </si>
  <si>
    <t>ISO M4</t>
  </si>
  <si>
    <t>ISO M5</t>
  </si>
  <si>
    <t>ISO M6</t>
  </si>
  <si>
    <t>ISO M7</t>
  </si>
  <si>
    <t>ISO M8</t>
  </si>
  <si>
    <t>ISO M9</t>
  </si>
  <si>
    <t>ISO M10</t>
  </si>
  <si>
    <t>LIMS VALIDATION FOR FUNCTIONALITY (INHERENT MOISTURE)</t>
  </si>
  <si>
    <t>LIMS VALIDATION FOR FUNCTIONALITY (Q-ASH)</t>
  </si>
  <si>
    <t>Ash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</si>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</sst>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AEBB-6DF9-4505-8A8B-1231099AB186}">
  <dimension ref="A2:J19"/>
  <sheetViews>
    <sheetView workbookViewId="0">
      <selection activeCell="N12" sqref="N12"/>
    </sheetView>
  </sheetViews>
  <sheetFormatPr defaultRowHeight="14.5" x14ac:dyDescent="0.35"/>
  <cols>
    <col min="1" max="1" width="8.7265625" style="12"/>
    <col min="2" max="2" width="16.26953125" style="12" customWidth="1"/>
    <col min="3" max="6" width="8.7265625" style="12"/>
    <col min="7" max="8" width="11.81640625" style="12" customWidth="1"/>
    <col min="9" max="16384" width="8.7265625" style="12"/>
  </cols>
  <sheetData>
    <row r="2" spans="1:10" x14ac:dyDescent="0.35">
      <c r="A2" s="1" t="s">
        <v>18</v>
      </c>
      <c r="B2" s="1"/>
      <c r="C2" s="1"/>
      <c r="D2" s="1"/>
      <c r="E2" s="1"/>
      <c r="F2" s="1"/>
      <c r="G2" s="1"/>
      <c r="H2" s="1"/>
      <c r="I2" s="1"/>
      <c r="J2" s="1"/>
    </row>
    <row r="3" spans="1:10" ht="15" thickBot="1" x14ac:dyDescent="0.4"/>
    <row r="4" spans="1:10" ht="15.5" thickTop="1" thickBot="1" x14ac:dyDescent="0.4">
      <c r="A4" s="13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16</v>
      </c>
      <c r="H4" s="14" t="s">
        <v>17</v>
      </c>
      <c r="I4" s="14" t="s">
        <v>6</v>
      </c>
      <c r="J4" s="15" t="s">
        <v>7</v>
      </c>
    </row>
    <row r="5" spans="1:10" x14ac:dyDescent="0.35">
      <c r="A5" s="2">
        <v>127</v>
      </c>
      <c r="B5" s="3" t="s">
        <v>8</v>
      </c>
      <c r="C5" s="16" t="s">
        <v>15</v>
      </c>
      <c r="D5" s="16">
        <v>1</v>
      </c>
      <c r="E5" s="16">
        <v>1</v>
      </c>
      <c r="F5" s="16">
        <v>13.3108</v>
      </c>
      <c r="G5" s="16">
        <v>1.0383</v>
      </c>
      <c r="H5" s="16">
        <v>14.049099999999999</v>
      </c>
      <c r="I5" s="17">
        <f>(100-((H5-F5)/G5)*100)</f>
        <v>28.893383415198031</v>
      </c>
      <c r="J5" s="4">
        <f>AVERAGE(I5:I6)</f>
        <v>29.035194602553496</v>
      </c>
    </row>
    <row r="6" spans="1:10" x14ac:dyDescent="0.35">
      <c r="A6" s="5"/>
      <c r="B6" s="6"/>
      <c r="C6" s="18" t="s">
        <v>15</v>
      </c>
      <c r="D6" s="18">
        <v>1</v>
      </c>
      <c r="E6" s="18">
        <v>2</v>
      </c>
      <c r="F6" s="18">
        <v>11.422599999999999</v>
      </c>
      <c r="G6" s="18">
        <v>0.96719999999999995</v>
      </c>
      <c r="H6" s="18">
        <v>12.1076</v>
      </c>
      <c r="I6" s="19">
        <f>(100-((H6-F6)/G6)*100)</f>
        <v>29.177005789908961</v>
      </c>
      <c r="J6" s="7"/>
    </row>
    <row r="7" spans="1:10" x14ac:dyDescent="0.35">
      <c r="A7" s="5">
        <v>128</v>
      </c>
      <c r="B7" s="6" t="s">
        <v>9</v>
      </c>
      <c r="C7" s="18" t="s">
        <v>15</v>
      </c>
      <c r="D7" s="18">
        <v>1</v>
      </c>
      <c r="E7" s="18">
        <v>3</v>
      </c>
      <c r="F7" s="18">
        <v>13.807</v>
      </c>
      <c r="G7" s="18">
        <v>1.0011000000000001</v>
      </c>
      <c r="H7" s="18">
        <v>14.518000000000001</v>
      </c>
      <c r="I7" s="19">
        <f>(100-((H7-F7)/G7)*100)</f>
        <v>28.978124063530103</v>
      </c>
      <c r="J7" s="8">
        <f t="shared" ref="J7" si="0">AVERAGE(I7:I8)</f>
        <v>29.064125644996636</v>
      </c>
    </row>
    <row r="8" spans="1:10" x14ac:dyDescent="0.35">
      <c r="A8" s="5"/>
      <c r="B8" s="6"/>
      <c r="C8" s="18" t="s">
        <v>15</v>
      </c>
      <c r="D8" s="18">
        <v>1</v>
      </c>
      <c r="E8" s="18">
        <v>4</v>
      </c>
      <c r="F8" s="18">
        <v>11.605700000000001</v>
      </c>
      <c r="G8" s="18">
        <v>0.98250000000000004</v>
      </c>
      <c r="H8" s="18">
        <v>12.3018</v>
      </c>
      <c r="I8" s="19">
        <f>(100-((H8-F8)/G8)*100)</f>
        <v>29.150127226463169</v>
      </c>
      <c r="J8" s="7"/>
    </row>
    <row r="9" spans="1:10" x14ac:dyDescent="0.35">
      <c r="A9" s="5">
        <v>129</v>
      </c>
      <c r="B9" s="6" t="s">
        <v>10</v>
      </c>
      <c r="C9" s="18" t="s">
        <v>15</v>
      </c>
      <c r="D9" s="18">
        <v>1</v>
      </c>
      <c r="E9" s="18">
        <v>1</v>
      </c>
      <c r="F9" s="18">
        <v>13.3086</v>
      </c>
      <c r="G9" s="18">
        <v>0.99319999999999997</v>
      </c>
      <c r="H9" s="18">
        <v>14.015000000000001</v>
      </c>
      <c r="I9" s="19">
        <f t="shared" ref="I6:I18" si="1">(100-((H9-F9)/G9)*100)</f>
        <v>28.87635924285135</v>
      </c>
      <c r="J9" s="8">
        <f t="shared" ref="J9" si="2">AVERAGE(I9:I10)</f>
        <v>28.97443428835436</v>
      </c>
    </row>
    <row r="10" spans="1:10" x14ac:dyDescent="0.35">
      <c r="A10" s="5"/>
      <c r="B10" s="6"/>
      <c r="C10" s="18" t="s">
        <v>15</v>
      </c>
      <c r="D10" s="18">
        <v>1</v>
      </c>
      <c r="E10" s="18">
        <v>2</v>
      </c>
      <c r="F10" s="18">
        <v>11.4199</v>
      </c>
      <c r="G10" s="18">
        <v>1.0178</v>
      </c>
      <c r="H10" s="18">
        <v>12.1418</v>
      </c>
      <c r="I10" s="19">
        <f t="shared" si="1"/>
        <v>29.072509333857369</v>
      </c>
      <c r="J10" s="7"/>
    </row>
    <row r="11" spans="1:10" x14ac:dyDescent="0.35">
      <c r="A11" s="5">
        <v>130</v>
      </c>
      <c r="B11" s="6" t="s">
        <v>11</v>
      </c>
      <c r="C11" s="18" t="s">
        <v>15</v>
      </c>
      <c r="D11" s="18">
        <v>1</v>
      </c>
      <c r="E11" s="18">
        <v>3</v>
      </c>
      <c r="F11" s="18">
        <v>13.807600000000001</v>
      </c>
      <c r="G11" s="18">
        <v>0.97989999999999999</v>
      </c>
      <c r="H11" s="18">
        <v>14.5047</v>
      </c>
      <c r="I11" s="19">
        <f t="shared" si="1"/>
        <v>28.860087764057667</v>
      </c>
      <c r="J11" s="8">
        <f t="shared" ref="J11" si="3">AVERAGE(I11:I12)</f>
        <v>28.858128817926264</v>
      </c>
    </row>
    <row r="12" spans="1:10" x14ac:dyDescent="0.35">
      <c r="A12" s="5"/>
      <c r="B12" s="6"/>
      <c r="C12" s="18" t="s">
        <v>15</v>
      </c>
      <c r="D12" s="18">
        <v>1</v>
      </c>
      <c r="E12" s="18">
        <v>4</v>
      </c>
      <c r="F12" s="18">
        <v>11.6036</v>
      </c>
      <c r="G12" s="18">
        <v>0.99839999999999995</v>
      </c>
      <c r="H12" s="18">
        <v>12.3139</v>
      </c>
      <c r="I12" s="19">
        <f t="shared" si="1"/>
        <v>28.856169871794862</v>
      </c>
      <c r="J12" s="7"/>
    </row>
    <row r="13" spans="1:10" x14ac:dyDescent="0.35">
      <c r="A13" s="5">
        <v>131</v>
      </c>
      <c r="B13" s="6" t="s">
        <v>12</v>
      </c>
      <c r="C13" s="18" t="s">
        <v>15</v>
      </c>
      <c r="D13" s="18">
        <v>1</v>
      </c>
      <c r="E13" s="18">
        <v>1</v>
      </c>
      <c r="F13" s="18">
        <v>13.809900000000001</v>
      </c>
      <c r="G13" s="18">
        <v>0.9859</v>
      </c>
      <c r="H13" s="18">
        <v>14.5122</v>
      </c>
      <c r="I13" s="19">
        <f t="shared" si="1"/>
        <v>28.765594887919747</v>
      </c>
      <c r="J13" s="8">
        <f t="shared" ref="J13" si="4">AVERAGE(I13:I14)</f>
        <v>28.871722459200683</v>
      </c>
    </row>
    <row r="14" spans="1:10" x14ac:dyDescent="0.35">
      <c r="A14" s="5"/>
      <c r="B14" s="6"/>
      <c r="C14" s="18" t="s">
        <v>15</v>
      </c>
      <c r="D14" s="18">
        <v>1</v>
      </c>
      <c r="E14" s="18">
        <v>2</v>
      </c>
      <c r="F14" s="18">
        <v>11.605</v>
      </c>
      <c r="G14" s="18">
        <v>0.98419999999999996</v>
      </c>
      <c r="H14" s="18">
        <v>12.304</v>
      </c>
      <c r="I14" s="19">
        <f t="shared" si="1"/>
        <v>28.977850030481619</v>
      </c>
      <c r="J14" s="7"/>
    </row>
    <row r="15" spans="1:10" x14ac:dyDescent="0.35">
      <c r="A15" s="5">
        <v>132</v>
      </c>
      <c r="B15" s="6" t="s">
        <v>13</v>
      </c>
      <c r="C15" s="18" t="s">
        <v>15</v>
      </c>
      <c r="D15" s="18">
        <v>1</v>
      </c>
      <c r="E15" s="18">
        <v>3</v>
      </c>
      <c r="F15" s="18">
        <v>13.3111</v>
      </c>
      <c r="G15" s="18">
        <v>1.0113000000000001</v>
      </c>
      <c r="H15" s="18">
        <v>14.0288</v>
      </c>
      <c r="I15" s="19">
        <f t="shared" si="1"/>
        <v>29.031939088302124</v>
      </c>
      <c r="J15" s="8">
        <f t="shared" ref="J15" si="5">AVERAGE(I15:I16)</f>
        <v>29.085107820704245</v>
      </c>
    </row>
    <row r="16" spans="1:10" x14ac:dyDescent="0.35">
      <c r="A16" s="5"/>
      <c r="B16" s="6"/>
      <c r="C16" s="18" t="s">
        <v>15</v>
      </c>
      <c r="D16" s="18">
        <v>1</v>
      </c>
      <c r="E16" s="18">
        <v>4</v>
      </c>
      <c r="F16" s="18">
        <v>11.419600000000001</v>
      </c>
      <c r="G16" s="18">
        <v>0.998</v>
      </c>
      <c r="H16" s="18">
        <v>12.126799999999999</v>
      </c>
      <c r="I16" s="19">
        <f t="shared" si="1"/>
        <v>29.138276553106365</v>
      </c>
      <c r="J16" s="7"/>
    </row>
    <row r="17" spans="1:10" x14ac:dyDescent="0.35">
      <c r="A17" s="5">
        <v>133</v>
      </c>
      <c r="B17" s="6" t="s">
        <v>14</v>
      </c>
      <c r="C17" s="18" t="s">
        <v>15</v>
      </c>
      <c r="D17" s="18">
        <v>1</v>
      </c>
      <c r="E17" s="18">
        <v>1</v>
      </c>
      <c r="F17" s="18">
        <v>13.310700000000001</v>
      </c>
      <c r="G17" s="18">
        <v>1.0323</v>
      </c>
      <c r="H17" s="18">
        <v>14.044499999999999</v>
      </c>
      <c r="I17" s="19">
        <f t="shared" si="1"/>
        <v>28.916012786980659</v>
      </c>
      <c r="J17" s="8">
        <f t="shared" ref="J17" si="6">AVERAGE(I17:I18)</f>
        <v>28.850208228352692</v>
      </c>
    </row>
    <row r="18" spans="1:10" ht="15" thickBot="1" x14ac:dyDescent="0.4">
      <c r="A18" s="9"/>
      <c r="B18" s="10"/>
      <c r="C18" s="20" t="s">
        <v>15</v>
      </c>
      <c r="D18" s="20">
        <v>1</v>
      </c>
      <c r="E18" s="20">
        <v>2</v>
      </c>
      <c r="F18" s="20">
        <v>13.803599999999999</v>
      </c>
      <c r="G18" s="20">
        <v>1.0464</v>
      </c>
      <c r="H18" s="20">
        <v>14.5488</v>
      </c>
      <c r="I18" s="21">
        <f t="shared" si="1"/>
        <v>28.784403669724725</v>
      </c>
      <c r="J18" s="11"/>
    </row>
    <row r="19" spans="1:10" ht="15" thickTop="1" x14ac:dyDescent="0.35"/>
  </sheetData>
  <mergeCells count="22">
    <mergeCell ref="J15:J16"/>
    <mergeCell ref="J17:J18"/>
    <mergeCell ref="A2:J2"/>
    <mergeCell ref="B5:B6"/>
    <mergeCell ref="J5:J6"/>
    <mergeCell ref="J7:J8"/>
    <mergeCell ref="J9:J10"/>
    <mergeCell ref="J11:J12"/>
    <mergeCell ref="J13:J14"/>
    <mergeCell ref="A17:A18"/>
    <mergeCell ref="B7:B8"/>
    <mergeCell ref="B9:B10"/>
    <mergeCell ref="B11:B12"/>
    <mergeCell ref="B13:B14"/>
    <mergeCell ref="B15:B16"/>
    <mergeCell ref="B17:B18"/>
    <mergeCell ref="A5:A6"/>
    <mergeCell ref="A7:A8"/>
    <mergeCell ref="A9:A10"/>
    <mergeCell ref="A11:A12"/>
    <mergeCell ref="A13:A14"/>
    <mergeCell ref="A15:A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0815-F496-41A7-81A7-411D70B3DB4E}">
  <dimension ref="A2:J24"/>
  <sheetViews>
    <sheetView workbookViewId="0">
      <selection activeCell="I5" sqref="I5"/>
    </sheetView>
  </sheetViews>
  <sheetFormatPr defaultRowHeight="14.5" x14ac:dyDescent="0.35"/>
  <cols>
    <col min="1" max="1" width="8.7265625" style="12"/>
    <col min="2" max="2" width="16.26953125" style="12" customWidth="1"/>
    <col min="3" max="6" width="8.7265625" style="12"/>
    <col min="7" max="8" width="11.81640625" style="12" customWidth="1"/>
    <col min="9" max="16384" width="8.7265625" style="12"/>
  </cols>
  <sheetData>
    <row r="2" spans="1:10" x14ac:dyDescent="0.35">
      <c r="A2" s="1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ht="15" thickBot="1" x14ac:dyDescent="0.4"/>
    <row r="4" spans="1:10" ht="15.5" thickTop="1" thickBot="1" x14ac:dyDescent="0.4">
      <c r="A4" s="13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16</v>
      </c>
      <c r="H4" s="14" t="s">
        <v>17</v>
      </c>
      <c r="I4" s="14" t="s">
        <v>32</v>
      </c>
      <c r="J4" s="15" t="s">
        <v>7</v>
      </c>
    </row>
    <row r="5" spans="1:10" x14ac:dyDescent="0.35">
      <c r="A5" s="2">
        <v>158</v>
      </c>
      <c r="B5" s="3" t="s">
        <v>19</v>
      </c>
      <c r="C5" s="16" t="s">
        <v>15</v>
      </c>
      <c r="D5" s="16">
        <v>1</v>
      </c>
      <c r="E5" s="16">
        <v>1</v>
      </c>
      <c r="F5" s="16">
        <v>41.2849</v>
      </c>
      <c r="G5" s="16">
        <v>0.98699999999999999</v>
      </c>
      <c r="H5" s="16">
        <v>42.236499999999999</v>
      </c>
      <c r="I5" s="17">
        <f>(100-((H5-F5)/G5)*100)</f>
        <v>3.5866261398177102</v>
      </c>
      <c r="J5" s="4">
        <f>AVERAGE(I5:I6)</f>
        <v>3.5886022311496788</v>
      </c>
    </row>
    <row r="6" spans="1:10" x14ac:dyDescent="0.35">
      <c r="A6" s="5"/>
      <c r="B6" s="6"/>
      <c r="C6" s="18" t="s">
        <v>15</v>
      </c>
      <c r="D6" s="18">
        <v>1</v>
      </c>
      <c r="E6" s="16">
        <v>2</v>
      </c>
      <c r="F6" s="18">
        <v>43.6556</v>
      </c>
      <c r="G6" s="18">
        <v>1.0444</v>
      </c>
      <c r="H6" s="18">
        <v>44.662500000000001</v>
      </c>
      <c r="I6" s="17">
        <f t="shared" ref="I6:I18" si="0">(100-((H6-F6)/G6)*100)</f>
        <v>3.5905783224816474</v>
      </c>
      <c r="J6" s="7"/>
    </row>
    <row r="7" spans="1:10" x14ac:dyDescent="0.35">
      <c r="A7" s="2">
        <v>159</v>
      </c>
      <c r="B7" s="3" t="s">
        <v>20</v>
      </c>
      <c r="C7" s="18" t="s">
        <v>15</v>
      </c>
      <c r="D7" s="18">
        <v>1</v>
      </c>
      <c r="E7" s="16">
        <v>3</v>
      </c>
      <c r="F7" s="18">
        <v>42.969000000000001</v>
      </c>
      <c r="G7" s="18">
        <v>1.0185999999999999</v>
      </c>
      <c r="H7" s="18">
        <v>43.952399999999997</v>
      </c>
      <c r="I7" s="17">
        <f t="shared" si="0"/>
        <v>3.4557235421170134</v>
      </c>
      <c r="J7" s="8">
        <f t="shared" ref="J7:J17" si="1">AVERAGE(I7:I8)</f>
        <v>3.4233775115180833</v>
      </c>
    </row>
    <row r="8" spans="1:10" x14ac:dyDescent="0.35">
      <c r="A8" s="5"/>
      <c r="B8" s="6"/>
      <c r="C8" s="18" t="s">
        <v>15</v>
      </c>
      <c r="D8" s="18">
        <v>1</v>
      </c>
      <c r="E8" s="16">
        <v>4</v>
      </c>
      <c r="F8" s="18">
        <v>41.620699999999999</v>
      </c>
      <c r="G8" s="18">
        <v>0.9879</v>
      </c>
      <c r="H8" s="18">
        <v>42.575099999999999</v>
      </c>
      <c r="I8" s="17">
        <f t="shared" si="0"/>
        <v>3.3910314809191533</v>
      </c>
      <c r="J8" s="7"/>
    </row>
    <row r="9" spans="1:10" x14ac:dyDescent="0.35">
      <c r="A9" s="2">
        <v>160</v>
      </c>
      <c r="B9" s="3" t="s">
        <v>21</v>
      </c>
      <c r="C9" s="18" t="s">
        <v>15</v>
      </c>
      <c r="D9" s="18">
        <v>1</v>
      </c>
      <c r="E9" s="16">
        <v>5</v>
      </c>
      <c r="F9" s="18">
        <v>41.987900000000003</v>
      </c>
      <c r="G9" s="18">
        <v>0.98540000000000005</v>
      </c>
      <c r="H9" s="18">
        <v>42.939100000000003</v>
      </c>
      <c r="I9" s="17">
        <f t="shared" si="0"/>
        <v>3.4706718084026846</v>
      </c>
      <c r="J9" s="8">
        <f t="shared" si="1"/>
        <v>3.4778193091215641</v>
      </c>
    </row>
    <row r="10" spans="1:10" x14ac:dyDescent="0.35">
      <c r="A10" s="5"/>
      <c r="B10" s="6"/>
      <c r="C10" s="18" t="s">
        <v>15</v>
      </c>
      <c r="D10" s="18">
        <v>1</v>
      </c>
      <c r="E10" s="16">
        <v>6</v>
      </c>
      <c r="F10" s="18">
        <v>42.980200000000004</v>
      </c>
      <c r="G10" s="18">
        <v>1.0244</v>
      </c>
      <c r="H10" s="18">
        <v>43.968899999999998</v>
      </c>
      <c r="I10" s="17">
        <f t="shared" si="0"/>
        <v>3.4849668098404436</v>
      </c>
      <c r="J10" s="7"/>
    </row>
    <row r="11" spans="1:10" x14ac:dyDescent="0.35">
      <c r="A11" s="2">
        <v>161</v>
      </c>
      <c r="B11" s="3" t="s">
        <v>22</v>
      </c>
      <c r="C11" s="18" t="s">
        <v>15</v>
      </c>
      <c r="D11" s="18">
        <v>1</v>
      </c>
      <c r="E11" s="16">
        <v>7</v>
      </c>
      <c r="F11" s="18">
        <v>41.038200000000003</v>
      </c>
      <c r="G11" s="18">
        <v>0.97819999999999996</v>
      </c>
      <c r="H11" s="18">
        <v>41.982700000000001</v>
      </c>
      <c r="I11" s="17">
        <f t="shared" si="0"/>
        <v>3.4451032508691526</v>
      </c>
      <c r="J11" s="8">
        <f t="shared" si="1"/>
        <v>3.4656436329616156</v>
      </c>
    </row>
    <row r="12" spans="1:10" x14ac:dyDescent="0.35">
      <c r="A12" s="5"/>
      <c r="B12" s="6"/>
      <c r="C12" s="18" t="s">
        <v>15</v>
      </c>
      <c r="D12" s="18">
        <v>1</v>
      </c>
      <c r="E12" s="16">
        <v>8</v>
      </c>
      <c r="F12" s="18">
        <v>41.479599999999998</v>
      </c>
      <c r="G12" s="18">
        <v>1.0097</v>
      </c>
      <c r="H12" s="18">
        <v>42.454099999999997</v>
      </c>
      <c r="I12" s="17">
        <f t="shared" si="0"/>
        <v>3.4861840150540786</v>
      </c>
      <c r="J12" s="7"/>
    </row>
    <row r="13" spans="1:10" x14ac:dyDescent="0.35">
      <c r="A13" s="2">
        <v>162</v>
      </c>
      <c r="B13" s="3" t="s">
        <v>23</v>
      </c>
      <c r="C13" s="18" t="s">
        <v>15</v>
      </c>
      <c r="D13" s="18">
        <v>1</v>
      </c>
      <c r="E13" s="18">
        <v>1</v>
      </c>
      <c r="F13" s="18">
        <v>41.284500000000001</v>
      </c>
      <c r="G13" s="18">
        <v>0.98780000000000001</v>
      </c>
      <c r="H13" s="18">
        <v>42.236899999999999</v>
      </c>
      <c r="I13" s="17">
        <f t="shared" si="0"/>
        <v>3.5837214010936265</v>
      </c>
      <c r="J13" s="8">
        <f t="shared" si="1"/>
        <v>3.5934780615869713</v>
      </c>
    </row>
    <row r="14" spans="1:10" x14ac:dyDescent="0.35">
      <c r="A14" s="5"/>
      <c r="B14" s="6"/>
      <c r="C14" s="18" t="s">
        <v>15</v>
      </c>
      <c r="D14" s="18">
        <v>1</v>
      </c>
      <c r="E14" s="18">
        <v>2</v>
      </c>
      <c r="F14" s="18">
        <v>43.655200000000001</v>
      </c>
      <c r="G14" s="18">
        <v>0.97689999999999999</v>
      </c>
      <c r="H14" s="18">
        <v>44.596899999999998</v>
      </c>
      <c r="I14" s="17">
        <f t="shared" si="0"/>
        <v>3.603234722080316</v>
      </c>
      <c r="J14" s="7"/>
    </row>
    <row r="15" spans="1:10" x14ac:dyDescent="0.35">
      <c r="A15" s="2">
        <v>163</v>
      </c>
      <c r="B15" s="3" t="s">
        <v>24</v>
      </c>
      <c r="C15" s="18" t="s">
        <v>15</v>
      </c>
      <c r="D15" s="18">
        <v>1</v>
      </c>
      <c r="E15" s="18">
        <v>3</v>
      </c>
      <c r="F15" s="18">
        <v>42.969700000000003</v>
      </c>
      <c r="G15" s="18">
        <v>1.0027999999999999</v>
      </c>
      <c r="H15" s="18">
        <v>43.936199999999999</v>
      </c>
      <c r="I15" s="17">
        <f t="shared" si="0"/>
        <v>3.6198643797370949</v>
      </c>
      <c r="J15" s="22">
        <f t="shared" si="1"/>
        <v>3.6976028559838028</v>
      </c>
    </row>
    <row r="16" spans="1:10" x14ac:dyDescent="0.35">
      <c r="A16" s="5"/>
      <c r="B16" s="6"/>
      <c r="C16" s="18" t="s">
        <v>15</v>
      </c>
      <c r="D16" s="18">
        <v>1</v>
      </c>
      <c r="E16" s="18">
        <v>4</v>
      </c>
      <c r="F16" s="18">
        <v>41.621200000000002</v>
      </c>
      <c r="G16" s="18">
        <v>0.96679999999999999</v>
      </c>
      <c r="H16" s="18">
        <v>42.551499999999997</v>
      </c>
      <c r="I16" s="17">
        <f t="shared" si="0"/>
        <v>3.7753413322305107</v>
      </c>
      <c r="J16" s="23"/>
    </row>
    <row r="17" spans="1:10" x14ac:dyDescent="0.35">
      <c r="A17" s="2">
        <v>164</v>
      </c>
      <c r="B17" s="3" t="s">
        <v>25</v>
      </c>
      <c r="C17" s="18" t="s">
        <v>15</v>
      </c>
      <c r="D17" s="18">
        <v>1</v>
      </c>
      <c r="E17" s="18">
        <v>5</v>
      </c>
      <c r="F17" s="18">
        <v>41.987900000000003</v>
      </c>
      <c r="G17" s="18">
        <v>1.0016</v>
      </c>
      <c r="H17" s="18">
        <v>42.954099999999997</v>
      </c>
      <c r="I17" s="17">
        <f t="shared" si="0"/>
        <v>3.5343450479239635</v>
      </c>
      <c r="J17" s="8">
        <f t="shared" si="1"/>
        <v>3.5799511272307925</v>
      </c>
    </row>
    <row r="18" spans="1:10" x14ac:dyDescent="0.35">
      <c r="A18" s="5"/>
      <c r="B18" s="6"/>
      <c r="C18" s="18" t="s">
        <v>15</v>
      </c>
      <c r="D18" s="18">
        <v>1</v>
      </c>
      <c r="E18" s="18">
        <v>6</v>
      </c>
      <c r="F18" s="18">
        <v>42.979900000000001</v>
      </c>
      <c r="G18" s="18">
        <v>1.0095000000000001</v>
      </c>
      <c r="H18" s="18">
        <v>43.952800000000003</v>
      </c>
      <c r="I18" s="17">
        <f t="shared" si="0"/>
        <v>3.6255572065376214</v>
      </c>
      <c r="J18" s="7"/>
    </row>
    <row r="19" spans="1:10" x14ac:dyDescent="0.35">
      <c r="A19" s="2">
        <v>165</v>
      </c>
      <c r="B19" s="3" t="s">
        <v>26</v>
      </c>
      <c r="C19" s="18" t="s">
        <v>15</v>
      </c>
      <c r="D19" s="18">
        <v>1</v>
      </c>
      <c r="E19" s="18">
        <v>7</v>
      </c>
      <c r="F19" s="18">
        <v>41.038400000000003</v>
      </c>
      <c r="G19" s="18">
        <v>1.0149999999999999</v>
      </c>
      <c r="H19" s="18">
        <v>42.016199999999998</v>
      </c>
      <c r="I19" s="19">
        <f t="shared" ref="I19:I24" si="2">(100-((H19-F19)/G19)*100)</f>
        <v>3.6650246305423622</v>
      </c>
      <c r="J19" s="8">
        <f t="shared" ref="J19" si="3">AVERAGE(I19:I20)</f>
        <v>3.6089594210595948</v>
      </c>
    </row>
    <row r="20" spans="1:10" x14ac:dyDescent="0.35">
      <c r="A20" s="5"/>
      <c r="B20" s="6"/>
      <c r="C20" s="18" t="s">
        <v>15</v>
      </c>
      <c r="D20" s="18">
        <v>1</v>
      </c>
      <c r="E20" s="18">
        <v>8</v>
      </c>
      <c r="F20" s="18">
        <v>41.479199999999999</v>
      </c>
      <c r="G20" s="18">
        <v>1.002</v>
      </c>
      <c r="H20" s="18">
        <v>42.445599999999999</v>
      </c>
      <c r="I20" s="19">
        <f t="shared" si="2"/>
        <v>3.5528942115768274</v>
      </c>
      <c r="J20" s="7"/>
    </row>
    <row r="21" spans="1:10" x14ac:dyDescent="0.35">
      <c r="A21" s="2">
        <v>166</v>
      </c>
      <c r="B21" s="3" t="s">
        <v>27</v>
      </c>
      <c r="C21" s="18" t="s">
        <v>15</v>
      </c>
      <c r="D21" s="18">
        <v>1</v>
      </c>
      <c r="E21" s="18">
        <v>5</v>
      </c>
      <c r="F21" s="18">
        <v>41.987200000000001</v>
      </c>
      <c r="G21" s="18">
        <v>0.98140000000000005</v>
      </c>
      <c r="H21" s="18">
        <v>42.935299999999998</v>
      </c>
      <c r="I21" s="19">
        <f t="shared" si="2"/>
        <v>3.3931118809866945</v>
      </c>
      <c r="J21" s="8">
        <f t="shared" ref="J21" si="4">AVERAGE(I21:I22)</f>
        <v>3.3836251720540957</v>
      </c>
    </row>
    <row r="22" spans="1:10" x14ac:dyDescent="0.35">
      <c r="A22" s="5"/>
      <c r="B22" s="6"/>
      <c r="C22" s="18" t="s">
        <v>15</v>
      </c>
      <c r="D22" s="18">
        <v>1</v>
      </c>
      <c r="E22" s="18">
        <v>6</v>
      </c>
      <c r="F22" s="18">
        <v>42.979700000000001</v>
      </c>
      <c r="G22" s="18">
        <v>0.97209999999999996</v>
      </c>
      <c r="H22" s="18">
        <v>43.918999999999997</v>
      </c>
      <c r="I22" s="19">
        <f t="shared" si="2"/>
        <v>3.374138463121497</v>
      </c>
      <c r="J22" s="7"/>
    </row>
    <row r="23" spans="1:10" x14ac:dyDescent="0.35">
      <c r="A23" s="2">
        <v>167</v>
      </c>
      <c r="B23" s="3" t="s">
        <v>28</v>
      </c>
      <c r="C23" s="18" t="s">
        <v>15</v>
      </c>
      <c r="D23" s="18">
        <v>1</v>
      </c>
      <c r="E23" s="18">
        <v>7</v>
      </c>
      <c r="F23" s="18">
        <v>41.039400000000001</v>
      </c>
      <c r="G23" s="18">
        <v>0.96699999999999997</v>
      </c>
      <c r="H23" s="18">
        <v>41.973399999999998</v>
      </c>
      <c r="I23" s="19">
        <f t="shared" si="2"/>
        <v>3.4126163391936473</v>
      </c>
      <c r="J23" s="8">
        <f t="shared" ref="J23" si="5">AVERAGE(I23:I24)</f>
        <v>3.4049636145319084</v>
      </c>
    </row>
    <row r="24" spans="1:10" x14ac:dyDescent="0.35">
      <c r="A24" s="5"/>
      <c r="B24" s="6"/>
      <c r="C24" s="18" t="s">
        <v>15</v>
      </c>
      <c r="D24" s="18">
        <v>1</v>
      </c>
      <c r="E24" s="18">
        <v>8</v>
      </c>
      <c r="F24" s="18">
        <v>41.479500000000002</v>
      </c>
      <c r="G24" s="18">
        <v>0.97430000000000005</v>
      </c>
      <c r="H24" s="18">
        <v>42.420699999999997</v>
      </c>
      <c r="I24" s="19">
        <f t="shared" si="2"/>
        <v>3.3973108898701696</v>
      </c>
      <c r="J24" s="7"/>
    </row>
  </sheetData>
  <mergeCells count="31">
    <mergeCell ref="A13:A14"/>
    <mergeCell ref="A15:A16"/>
    <mergeCell ref="A17:A18"/>
    <mergeCell ref="B9:B10"/>
    <mergeCell ref="B11:B12"/>
    <mergeCell ref="B13:B14"/>
    <mergeCell ref="B15:B16"/>
    <mergeCell ref="B17:B18"/>
    <mergeCell ref="J9:J10"/>
    <mergeCell ref="J11:J12"/>
    <mergeCell ref="J13:J14"/>
    <mergeCell ref="J15:J16"/>
    <mergeCell ref="J17:J18"/>
    <mergeCell ref="A9:A10"/>
    <mergeCell ref="A11:A12"/>
    <mergeCell ref="A23:A24"/>
    <mergeCell ref="B23:B24"/>
    <mergeCell ref="J23:J24"/>
    <mergeCell ref="A19:A20"/>
    <mergeCell ref="B19:B20"/>
    <mergeCell ref="J19:J20"/>
    <mergeCell ref="A21:A22"/>
    <mergeCell ref="B21:B22"/>
    <mergeCell ref="J21:J22"/>
    <mergeCell ref="A2:J2"/>
    <mergeCell ref="A5:A6"/>
    <mergeCell ref="B5:B6"/>
    <mergeCell ref="J5:J6"/>
    <mergeCell ref="A7:A8"/>
    <mergeCell ref="B7:B8"/>
    <mergeCell ref="J7:J8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3A4F-C7CB-460A-BC23-8947037FA993}">
  <dimension ref="A2:J19"/>
  <sheetViews>
    <sheetView tabSelected="1" workbookViewId="0">
      <selection activeCell="D6" sqref="D6"/>
    </sheetView>
  </sheetViews>
  <sheetFormatPr defaultRowHeight="14.5" x14ac:dyDescent="0.35"/>
  <cols>
    <col min="1" max="1" width="8.7265625" style="12"/>
    <col min="2" max="2" width="16.26953125" style="12" customWidth="1"/>
    <col min="3" max="6" width="8.7265625" style="12"/>
    <col min="7" max="8" width="11.81640625" style="12" customWidth="1"/>
    <col min="9" max="16384" width="8.7265625" style="12"/>
  </cols>
  <sheetData>
    <row r="2" spans="1:10" x14ac:dyDescent="0.3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</row>
    <row r="3" spans="1:10" ht="15" thickBot="1" x14ac:dyDescent="0.4"/>
    <row r="4" spans="1:10" ht="15.5" thickTop="1" thickBot="1" x14ac:dyDescent="0.4">
      <c r="A4" s="13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16</v>
      </c>
      <c r="H4" s="14" t="s">
        <v>17</v>
      </c>
      <c r="I4" s="14" t="s">
        <v>31</v>
      </c>
      <c r="J4" s="15" t="s">
        <v>7</v>
      </c>
    </row>
    <row r="5" spans="1:10" x14ac:dyDescent="0.35">
      <c r="A5" s="2">
        <v>127</v>
      </c>
      <c r="B5" s="3" t="s">
        <v>19</v>
      </c>
      <c r="C5" s="16" t="s">
        <v>15</v>
      </c>
      <c r="D5" s="16">
        <v>1</v>
      </c>
      <c r="E5" s="16">
        <v>8</v>
      </c>
      <c r="F5" s="16">
        <v>38.0244</v>
      </c>
      <c r="G5" s="16">
        <v>0.64610000000000001</v>
      </c>
      <c r="H5" s="16">
        <v>38.169199999999996</v>
      </c>
      <c r="I5" s="17">
        <f>((H5-F5)/G5)*100</f>
        <v>22.411391425475387</v>
      </c>
      <c r="J5" s="4">
        <f>AVERAGE(I5:I6)</f>
        <v>22.455695712737914</v>
      </c>
    </row>
    <row r="6" spans="1:10" x14ac:dyDescent="0.35">
      <c r="A6" s="5"/>
      <c r="B6" s="6"/>
      <c r="C6" s="18" t="s">
        <v>15</v>
      </c>
      <c r="D6" s="18">
        <v>1</v>
      </c>
      <c r="E6" s="16">
        <v>7</v>
      </c>
      <c r="F6" s="18">
        <v>29.896899999999999</v>
      </c>
      <c r="G6" s="18">
        <v>0.52400000000000002</v>
      </c>
      <c r="H6" s="18">
        <v>30.014800000000001</v>
      </c>
      <c r="I6" s="17">
        <f t="shared" ref="I6:I19" si="0">((H6-F6)/G6)*100</f>
        <v>22.500000000000444</v>
      </c>
      <c r="J6" s="7"/>
    </row>
    <row r="7" spans="1:10" x14ac:dyDescent="0.35">
      <c r="A7" s="2">
        <v>128</v>
      </c>
      <c r="B7" s="3" t="s">
        <v>20</v>
      </c>
      <c r="C7" s="18" t="s">
        <v>15</v>
      </c>
      <c r="D7" s="18">
        <v>1</v>
      </c>
      <c r="E7" s="16">
        <v>10</v>
      </c>
      <c r="F7" s="18">
        <v>32.747799999999998</v>
      </c>
      <c r="G7" s="18">
        <v>0.65529999999999999</v>
      </c>
      <c r="H7" s="18">
        <v>32.893599999999999</v>
      </c>
      <c r="I7" s="17">
        <f t="shared" si="0"/>
        <v>22.249351442087786</v>
      </c>
      <c r="J7" s="8">
        <f t="shared" ref="J7:J17" si="1">AVERAGE(I7:I8)</f>
        <v>22.338717651809219</v>
      </c>
    </row>
    <row r="8" spans="1:10" x14ac:dyDescent="0.35">
      <c r="A8" s="5"/>
      <c r="B8" s="6"/>
      <c r="C8" s="18" t="s">
        <v>15</v>
      </c>
      <c r="D8" s="18">
        <v>1</v>
      </c>
      <c r="E8" s="16">
        <v>1</v>
      </c>
      <c r="F8" s="18">
        <v>37.580300000000001</v>
      </c>
      <c r="G8" s="18">
        <v>0.61529999999999996</v>
      </c>
      <c r="H8" s="18">
        <v>37.718299999999999</v>
      </c>
      <c r="I8" s="17">
        <f t="shared" si="0"/>
        <v>22.428083861530656</v>
      </c>
      <c r="J8" s="7"/>
    </row>
    <row r="9" spans="1:10" x14ac:dyDescent="0.35">
      <c r="A9" s="2">
        <v>129</v>
      </c>
      <c r="B9" s="3" t="s">
        <v>21</v>
      </c>
      <c r="C9" s="18" t="s">
        <v>15</v>
      </c>
      <c r="D9" s="18">
        <v>1</v>
      </c>
      <c r="E9" s="16">
        <v>11</v>
      </c>
      <c r="F9" s="18">
        <v>31.517600000000002</v>
      </c>
      <c r="G9" s="18">
        <v>0.54810000000000003</v>
      </c>
      <c r="H9" s="18">
        <v>31.64</v>
      </c>
      <c r="I9" s="17">
        <f t="shared" si="0"/>
        <v>22.331691297208348</v>
      </c>
      <c r="J9" s="8">
        <f t="shared" si="1"/>
        <v>22.244493785054225</v>
      </c>
    </row>
    <row r="10" spans="1:10" x14ac:dyDescent="0.35">
      <c r="A10" s="5"/>
      <c r="B10" s="6"/>
      <c r="C10" s="18" t="s">
        <v>15</v>
      </c>
      <c r="D10" s="18">
        <v>1</v>
      </c>
      <c r="E10" s="16">
        <v>18</v>
      </c>
      <c r="F10" s="18">
        <v>39.979199999999999</v>
      </c>
      <c r="G10" s="18">
        <v>0.63319999999999999</v>
      </c>
      <c r="H10" s="18">
        <v>40.119500000000002</v>
      </c>
      <c r="I10" s="17">
        <f t="shared" si="0"/>
        <v>22.157296272900098</v>
      </c>
      <c r="J10" s="7"/>
    </row>
    <row r="11" spans="1:10" x14ac:dyDescent="0.35">
      <c r="A11" s="2">
        <v>130</v>
      </c>
      <c r="B11" s="3" t="s">
        <v>22</v>
      </c>
      <c r="C11" s="18" t="s">
        <v>15</v>
      </c>
      <c r="D11" s="18">
        <v>1</v>
      </c>
      <c r="E11" s="16">
        <v>6</v>
      </c>
      <c r="F11" s="18">
        <v>26.433399999999999</v>
      </c>
      <c r="G11" s="18">
        <v>0.54890000000000005</v>
      </c>
      <c r="H11" s="18">
        <v>26.5565</v>
      </c>
      <c r="I11" s="17">
        <f t="shared" si="0"/>
        <v>22.426671524868073</v>
      </c>
      <c r="J11" s="8">
        <f t="shared" si="1"/>
        <v>22.263872280260653</v>
      </c>
    </row>
    <row r="12" spans="1:10" x14ac:dyDescent="0.35">
      <c r="A12" s="5"/>
      <c r="B12" s="6"/>
      <c r="C12" s="18" t="s">
        <v>15</v>
      </c>
      <c r="D12" s="18">
        <v>1</v>
      </c>
      <c r="E12" s="16">
        <v>12</v>
      </c>
      <c r="F12" s="18">
        <v>36.547199999999997</v>
      </c>
      <c r="G12" s="18">
        <v>0.57779999999999998</v>
      </c>
      <c r="H12" s="18">
        <v>36.674900000000001</v>
      </c>
      <c r="I12" s="17">
        <f t="shared" si="0"/>
        <v>22.101073035653233</v>
      </c>
      <c r="J12" s="7"/>
    </row>
    <row r="13" spans="1:10" x14ac:dyDescent="0.35">
      <c r="A13" s="2">
        <v>131</v>
      </c>
      <c r="B13" s="3" t="s">
        <v>23</v>
      </c>
      <c r="C13" s="18" t="s">
        <v>15</v>
      </c>
      <c r="D13" s="18">
        <v>1</v>
      </c>
      <c r="E13" s="18">
        <v>19</v>
      </c>
      <c r="F13" s="18">
        <v>31.788399999999999</v>
      </c>
      <c r="G13" s="18">
        <v>0.60650000000000004</v>
      </c>
      <c r="H13" s="18">
        <v>31.923100000000002</v>
      </c>
      <c r="I13" s="17">
        <f t="shared" si="0"/>
        <v>22.209398186315294</v>
      </c>
      <c r="J13" s="8">
        <f t="shared" si="1"/>
        <v>22.295036695020308</v>
      </c>
    </row>
    <row r="14" spans="1:10" x14ac:dyDescent="0.35">
      <c r="A14" s="5"/>
      <c r="B14" s="6"/>
      <c r="C14" s="18" t="s">
        <v>15</v>
      </c>
      <c r="D14" s="18">
        <v>1</v>
      </c>
      <c r="E14" s="18">
        <v>14</v>
      </c>
      <c r="F14" s="18">
        <v>28.873999999999999</v>
      </c>
      <c r="G14" s="18">
        <v>0.68720000000000003</v>
      </c>
      <c r="H14" s="18">
        <v>29.027799999999999</v>
      </c>
      <c r="I14" s="17">
        <f t="shared" si="0"/>
        <v>22.380675203725318</v>
      </c>
      <c r="J14" s="7"/>
    </row>
    <row r="15" spans="1:10" x14ac:dyDescent="0.35">
      <c r="A15" s="2">
        <v>132</v>
      </c>
      <c r="B15" s="3" t="s">
        <v>24</v>
      </c>
      <c r="C15" s="18" t="s">
        <v>15</v>
      </c>
      <c r="D15" s="18">
        <v>1</v>
      </c>
      <c r="E15" s="18">
        <v>5</v>
      </c>
      <c r="F15" s="18">
        <v>30.837499999999999</v>
      </c>
      <c r="G15" s="18">
        <v>0.58309999999999995</v>
      </c>
      <c r="H15" s="18">
        <v>30.962399999999999</v>
      </c>
      <c r="I15" s="17">
        <f t="shared" si="0"/>
        <v>21.419996570056636</v>
      </c>
      <c r="J15" s="22">
        <f t="shared" si="1"/>
        <v>27.268132312970437</v>
      </c>
    </row>
    <row r="16" spans="1:10" x14ac:dyDescent="0.35">
      <c r="A16" s="5"/>
      <c r="B16" s="6"/>
      <c r="C16" s="18" t="s">
        <v>15</v>
      </c>
      <c r="D16" s="18">
        <v>1</v>
      </c>
      <c r="E16" s="18">
        <v>9</v>
      </c>
      <c r="F16" s="18">
        <v>27.6051</v>
      </c>
      <c r="G16" s="18">
        <v>0.84460000000000002</v>
      </c>
      <c r="H16" s="18">
        <v>27.884799999999998</v>
      </c>
      <c r="I16" s="17">
        <f t="shared" si="0"/>
        <v>33.116268055884241</v>
      </c>
      <c r="J16" s="23"/>
    </row>
    <row r="17" spans="1:10" x14ac:dyDescent="0.35">
      <c r="A17" s="2">
        <v>133</v>
      </c>
      <c r="B17" s="3" t="s">
        <v>25</v>
      </c>
      <c r="C17" s="18" t="s">
        <v>15</v>
      </c>
      <c r="D17" s="18">
        <v>1</v>
      </c>
      <c r="E17" s="18">
        <v>3</v>
      </c>
      <c r="F17" s="18">
        <v>38.222000000000001</v>
      </c>
      <c r="G17" s="18">
        <v>0.55059999999999998</v>
      </c>
      <c r="H17" s="18">
        <v>38.344000000000001</v>
      </c>
      <c r="I17" s="17">
        <f t="shared" si="0"/>
        <v>22.157646204140917</v>
      </c>
      <c r="J17" s="8">
        <f t="shared" si="1"/>
        <v>22.322136143944988</v>
      </c>
    </row>
    <row r="18" spans="1:10" x14ac:dyDescent="0.35">
      <c r="A18" s="5"/>
      <c r="B18" s="6"/>
      <c r="C18" s="18" t="s">
        <v>15</v>
      </c>
      <c r="D18" s="18">
        <v>1</v>
      </c>
      <c r="E18" s="18">
        <v>17</v>
      </c>
      <c r="F18" s="18">
        <v>37.258499999999998</v>
      </c>
      <c r="G18" s="18">
        <v>0.54210000000000003</v>
      </c>
      <c r="H18" s="18">
        <v>37.380400000000002</v>
      </c>
      <c r="I18" s="17">
        <f t="shared" si="0"/>
        <v>22.486626083749062</v>
      </c>
      <c r="J18" s="7"/>
    </row>
    <row r="19" spans="1:10" ht="15" thickBot="1" x14ac:dyDescent="0.4">
      <c r="A19" s="26"/>
      <c r="B19" s="24"/>
      <c r="C19" s="24"/>
      <c r="D19" s="24"/>
      <c r="E19" s="24"/>
      <c r="F19" s="24"/>
      <c r="G19" s="24"/>
      <c r="H19" s="24"/>
      <c r="I19" s="25" t="e">
        <f t="shared" si="0"/>
        <v>#DIV/0!</v>
      </c>
      <c r="J19" s="27"/>
    </row>
  </sheetData>
  <mergeCells count="22">
    <mergeCell ref="A17:A18"/>
    <mergeCell ref="B17:B18"/>
    <mergeCell ref="J17:J18"/>
    <mergeCell ref="A13:A14"/>
    <mergeCell ref="B13:B14"/>
    <mergeCell ref="J13:J14"/>
    <mergeCell ref="A15:A16"/>
    <mergeCell ref="B15:B16"/>
    <mergeCell ref="J15:J16"/>
    <mergeCell ref="A9:A10"/>
    <mergeCell ref="B9:B10"/>
    <mergeCell ref="J9:J10"/>
    <mergeCell ref="A11:A12"/>
    <mergeCell ref="B11:B12"/>
    <mergeCell ref="J11:J12"/>
    <mergeCell ref="A2:J2"/>
    <mergeCell ref="A5:A6"/>
    <mergeCell ref="B5:B6"/>
    <mergeCell ref="J5:J6"/>
    <mergeCell ref="A7:A8"/>
    <mergeCell ref="B7:B8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VOLATILE MATTER</vt:lpstr>
      <vt:lpstr>INHERENT MOISTURE</vt:lpstr>
      <vt:lpstr>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Sifiso Nyambi</dc:creator>
  <cp:lastModifiedBy>Sifiso Nyambi</cp:lastModifiedBy>
  <dcterms:created xsi:type="dcterms:W3CDTF">2026-01-26T09:26:51Z</dcterms:created>
  <dcterms:modified xsi:type="dcterms:W3CDTF">2026-01-26T10:14:40Z</dcterms:modified>
</cp:coreProperties>
</file>