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QMWARELIMS12\AZURESKY SYSTEM\AZURESKY QMS\17025\CLAUSE 7\7.2. SELECTION, VERIFICATION AND VALIDATION OF METHODS\7.2.2. METHOD VALIDATION\ISO 589 TOTAL MOISTURE\"/>
    </mc:Choice>
  </mc:AlternateContent>
  <xr:revisionPtr revIDLastSave="0" documentId="13_ncr:1_{800CA396-EE60-4233-8760-B4F0C0F981B0}" xr6:coauthVersionLast="47" xr6:coauthVersionMax="47" xr10:uidLastSave="{00000000-0000-0000-0000-000000000000}"/>
  <bookViews>
    <workbookView xWindow="-108" yWindow="-108" windowWidth="23256" windowHeight="12456" xr2:uid="{6886886D-ECDD-4511-91B0-B147D17F9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K19" i="1"/>
  <c r="L19" i="1" s="1"/>
  <c r="K18" i="1"/>
  <c r="L18" i="1"/>
  <c r="K17" i="1"/>
  <c r="L17" i="1" s="1"/>
  <c r="L16" i="1"/>
  <c r="L20" i="1"/>
  <c r="L15" i="1"/>
  <c r="J4" i="1"/>
  <c r="J5" i="1"/>
  <c r="J6" i="1"/>
  <c r="J7" i="1"/>
  <c r="J3" i="1"/>
  <c r="E4" i="1"/>
  <c r="E5" i="1"/>
  <c r="E6" i="1"/>
  <c r="E7" i="1"/>
  <c r="E3" i="1"/>
  <c r="H8" i="1"/>
  <c r="C20" i="1" s="1"/>
  <c r="I8" i="1"/>
  <c r="C21" i="1" s="1"/>
  <c r="D8" i="1"/>
  <c r="B21" i="1" s="1"/>
  <c r="C8" i="1"/>
  <c r="C19" i="1" s="1"/>
  <c r="G22" i="1" l="1"/>
  <c r="G23" i="1" s="1"/>
  <c r="B23" i="1"/>
</calcChain>
</file>

<file path=xl/sharedStrings.xml><?xml version="1.0" encoding="utf-8"?>
<sst xmlns="http://schemas.openxmlformats.org/spreadsheetml/2006/main" count="67" uniqueCount="42">
  <si>
    <t>Analyst</t>
  </si>
  <si>
    <t>Result A (%)</t>
  </si>
  <si>
    <t>Result B (%)</t>
  </si>
  <si>
    <t>Mean</t>
  </si>
  <si>
    <t>Run # (LIMS no)</t>
  </si>
  <si>
    <t>Tshepo Maponya</t>
  </si>
  <si>
    <t>Sifiso Nyambi</t>
  </si>
  <si>
    <t>Intermediate Precision</t>
  </si>
  <si>
    <t>Date</t>
  </si>
  <si>
    <t>Result (%)</t>
  </si>
  <si>
    <t>Combined RSD</t>
  </si>
  <si>
    <t>Difference</t>
  </si>
  <si>
    <t>%RSD</t>
  </si>
  <si>
    <t>11/04/2026</t>
  </si>
  <si>
    <t>12/04/2026</t>
  </si>
  <si>
    <t>Uncertainty Component</t>
  </si>
  <si>
    <t>Source of Data</t>
  </si>
  <si>
    <t>Type A or B</t>
  </si>
  <si>
    <t>Distribution</t>
  </si>
  <si>
    <t>Sensitivity Coefficient</t>
  </si>
  <si>
    <t>Standard Uncertainty</t>
  </si>
  <si>
    <t>Repeatability</t>
  </si>
  <si>
    <t>Balance Calibration</t>
  </si>
  <si>
    <t>Balance resolution</t>
  </si>
  <si>
    <t>Weight of sample</t>
  </si>
  <si>
    <t>Sample preparation</t>
  </si>
  <si>
    <t>Lab Validation data</t>
  </si>
  <si>
    <t>Calibration Cert</t>
  </si>
  <si>
    <t>Manufacturer spec</t>
  </si>
  <si>
    <t>Validation/Calibration</t>
  </si>
  <si>
    <t>Measurement process</t>
  </si>
  <si>
    <t>Type A: Anything calculated by own measurements</t>
  </si>
  <si>
    <t>Type B: Anything received from an outside source, like calibration certificate, manual, or international standard</t>
  </si>
  <si>
    <t>A</t>
  </si>
  <si>
    <t>B</t>
  </si>
  <si>
    <t>Normal</t>
  </si>
  <si>
    <t>Normal/Rectangular</t>
  </si>
  <si>
    <t>Rectangular</t>
  </si>
  <si>
    <t>Combined Uncertainty</t>
  </si>
  <si>
    <t>Expanded uncertainty</t>
  </si>
  <si>
    <t>(Standard Uncertainty)^2</t>
  </si>
  <si>
    <t>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</si>
</sst>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2" formatCode="0.0000"/>
    <numFmt numFmtId="176" formatCode="0.0E+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72" fontId="0" fillId="0" borderId="14" xfId="0" applyNumberFormat="1" applyBorder="1" applyAlignment="1">
      <alignment horizontal="center" vertical="center"/>
    </xf>
    <xf numFmtId="172" fontId="0" fillId="0" borderId="15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" fontId="0" fillId="2" borderId="17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72" fontId="0" fillId="0" borderId="26" xfId="0" applyNumberFormat="1" applyBorder="1" applyAlignment="1">
      <alignment horizontal="center" vertical="center"/>
    </xf>
    <xf numFmtId="172" fontId="0" fillId="0" borderId="27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8C75-BCD1-44FF-86EB-A72BDE6CA308}">
  <dimension ref="A1:L25"/>
  <sheetViews>
    <sheetView tabSelected="1" topLeftCell="C1" workbookViewId="0">
      <selection activeCell="O2" sqref="O2"/>
    </sheetView>
  </sheetViews>
  <sheetFormatPr defaultRowHeight="14.4" x14ac:dyDescent="0.3"/>
  <cols>
    <col min="1" max="1" width="20" style="1" customWidth="1"/>
    <col min="2" max="2" width="15.44140625" style="1" customWidth="1"/>
    <col min="3" max="3" width="15.21875" style="1" customWidth="1"/>
    <col min="4" max="5" width="12.33203125" style="1" customWidth="1"/>
    <col min="6" max="6" width="21" style="1" customWidth="1"/>
    <col min="7" max="7" width="19.109375" style="1" bestFit="1" customWidth="1"/>
    <col min="8" max="8" width="10.88671875" style="1" bestFit="1" customWidth="1"/>
    <col min="9" max="9" width="17.5546875" style="1" bestFit="1" customWidth="1"/>
    <col min="10" max="10" width="18.21875" style="1" bestFit="1" customWidth="1"/>
    <col min="11" max="11" width="20.21875" style="1" customWidth="1"/>
    <col min="12" max="12" width="23.6640625" style="1" customWidth="1"/>
    <col min="13" max="16384" width="8.88671875" style="1"/>
  </cols>
  <sheetData>
    <row r="1" spans="1:12" ht="15" thickBot="1" x14ac:dyDescent="0.35"/>
    <row r="2" spans="1:12" ht="15" thickTop="1" x14ac:dyDescent="0.3">
      <c r="A2" s="2" t="s">
        <v>4</v>
      </c>
      <c r="B2" s="3" t="s">
        <v>0</v>
      </c>
      <c r="C2" s="3" t="s">
        <v>1</v>
      </c>
      <c r="D2" s="3" t="s">
        <v>2</v>
      </c>
      <c r="E2" s="3" t="s">
        <v>11</v>
      </c>
      <c r="F2" s="3" t="s">
        <v>4</v>
      </c>
      <c r="G2" s="3" t="s">
        <v>0</v>
      </c>
      <c r="H2" s="3" t="s">
        <v>1</v>
      </c>
      <c r="I2" s="3" t="s">
        <v>2</v>
      </c>
      <c r="J2" s="4" t="s">
        <v>11</v>
      </c>
    </row>
    <row r="3" spans="1:12" x14ac:dyDescent="0.3">
      <c r="A3" s="5">
        <v>11328</v>
      </c>
      <c r="B3" s="6" t="s">
        <v>6</v>
      </c>
      <c r="C3" s="7">
        <v>5.09</v>
      </c>
      <c r="D3" s="7">
        <v>5.12</v>
      </c>
      <c r="E3" s="8">
        <f>ABS(C3-D3)</f>
        <v>3.0000000000000249E-2</v>
      </c>
      <c r="F3" s="8">
        <v>11333</v>
      </c>
      <c r="G3" s="6" t="s">
        <v>5</v>
      </c>
      <c r="H3" s="7">
        <v>5.14</v>
      </c>
      <c r="I3" s="7">
        <v>5.12</v>
      </c>
      <c r="J3" s="9">
        <f>ABS(H3-I3)</f>
        <v>1.9999999999999574E-2</v>
      </c>
    </row>
    <row r="4" spans="1:12" x14ac:dyDescent="0.3">
      <c r="A4" s="5">
        <v>11329</v>
      </c>
      <c r="B4" s="6" t="s">
        <v>6</v>
      </c>
      <c r="C4" s="7">
        <v>5.16</v>
      </c>
      <c r="D4" s="7">
        <v>5.0999999999999996</v>
      </c>
      <c r="E4" s="8">
        <f t="shared" ref="E4:E7" si="0">ABS(C4-D4)</f>
        <v>6.0000000000000497E-2</v>
      </c>
      <c r="F4" s="8">
        <v>11334</v>
      </c>
      <c r="G4" s="6" t="s">
        <v>5</v>
      </c>
      <c r="H4" s="7">
        <v>5.0199999999999996</v>
      </c>
      <c r="I4" s="7">
        <v>5.2</v>
      </c>
      <c r="J4" s="9">
        <f t="shared" ref="J4:J7" si="1">ABS(H4-I4)</f>
        <v>0.1800000000000006</v>
      </c>
    </row>
    <row r="5" spans="1:12" x14ac:dyDescent="0.3">
      <c r="A5" s="5">
        <v>11330</v>
      </c>
      <c r="B5" s="6" t="s">
        <v>6</v>
      </c>
      <c r="C5" s="7">
        <v>5.0999999999999996</v>
      </c>
      <c r="D5" s="7">
        <v>5.08</v>
      </c>
      <c r="E5" s="8">
        <f t="shared" si="0"/>
        <v>1.9999999999999574E-2</v>
      </c>
      <c r="F5" s="8">
        <v>11335</v>
      </c>
      <c r="G5" s="6" t="s">
        <v>5</v>
      </c>
      <c r="H5" s="7">
        <v>5.07</v>
      </c>
      <c r="I5" s="7">
        <v>5.08</v>
      </c>
      <c r="J5" s="9">
        <f t="shared" si="1"/>
        <v>9.9999999999997868E-3</v>
      </c>
    </row>
    <row r="6" spans="1:12" x14ac:dyDescent="0.3">
      <c r="A6" s="5">
        <v>11331</v>
      </c>
      <c r="B6" s="6" t="s">
        <v>6</v>
      </c>
      <c r="C6" s="7">
        <v>5.0999999999999996</v>
      </c>
      <c r="D6" s="7">
        <v>5.12</v>
      </c>
      <c r="E6" s="8">
        <f t="shared" si="0"/>
        <v>2.0000000000000462E-2</v>
      </c>
      <c r="F6" s="8">
        <v>11336</v>
      </c>
      <c r="G6" s="6" t="s">
        <v>5</v>
      </c>
      <c r="H6" s="7">
        <v>5.01</v>
      </c>
      <c r="I6" s="7">
        <v>5.2</v>
      </c>
      <c r="J6" s="9">
        <f t="shared" si="1"/>
        <v>0.19000000000000039</v>
      </c>
    </row>
    <row r="7" spans="1:12" ht="15" thickBot="1" x14ac:dyDescent="0.35">
      <c r="A7" s="10">
        <v>11332</v>
      </c>
      <c r="B7" s="11" t="s">
        <v>6</v>
      </c>
      <c r="C7" s="12">
        <v>5.0999999999999996</v>
      </c>
      <c r="D7" s="12">
        <v>5.0999999999999996</v>
      </c>
      <c r="E7" s="13">
        <f t="shared" si="0"/>
        <v>0</v>
      </c>
      <c r="F7" s="13">
        <v>11337</v>
      </c>
      <c r="G7" s="11" t="s">
        <v>5</v>
      </c>
      <c r="H7" s="12">
        <v>5.09</v>
      </c>
      <c r="I7" s="12">
        <v>5.14</v>
      </c>
      <c r="J7" s="14">
        <f t="shared" si="1"/>
        <v>4.9999999999999822E-2</v>
      </c>
    </row>
    <row r="8" spans="1:12" ht="15" thickBot="1" x14ac:dyDescent="0.35">
      <c r="A8" s="15" t="s">
        <v>3</v>
      </c>
      <c r="B8" s="16"/>
      <c r="C8" s="17">
        <f>AVERAGE(C3:D7)</f>
        <v>5.1070000000000002</v>
      </c>
      <c r="D8" s="17">
        <f>_xlfn.STDEV.S(C3:D7)</f>
        <v>2.2135943621178773E-2</v>
      </c>
      <c r="E8" s="17"/>
      <c r="F8" s="16" t="s">
        <v>3</v>
      </c>
      <c r="G8" s="16"/>
      <c r="H8" s="17">
        <f>AVERAGE(H3:I7)</f>
        <v>5.1070000000000011</v>
      </c>
      <c r="I8" s="17">
        <f>_xlfn.STDEV.S(H3:I7)</f>
        <v>6.5836497814240225E-2</v>
      </c>
      <c r="J8" s="18"/>
    </row>
    <row r="9" spans="1:12" ht="15" thickTop="1" x14ac:dyDescent="0.3"/>
    <row r="13" spans="1:12" ht="15" thickBot="1" x14ac:dyDescent="0.35"/>
    <row r="14" spans="1:12" ht="15.6" thickTop="1" thickBot="1" x14ac:dyDescent="0.35">
      <c r="F14" s="44" t="s">
        <v>15</v>
      </c>
      <c r="G14" s="45" t="s">
        <v>16</v>
      </c>
      <c r="H14" s="45" t="s">
        <v>17</v>
      </c>
      <c r="I14" s="45" t="s">
        <v>18</v>
      </c>
      <c r="J14" s="45" t="s">
        <v>19</v>
      </c>
      <c r="K14" s="45" t="s">
        <v>20</v>
      </c>
      <c r="L14" s="46" t="s">
        <v>40</v>
      </c>
    </row>
    <row r="15" spans="1:12" x14ac:dyDescent="0.3">
      <c r="F15" s="31" t="s">
        <v>21</v>
      </c>
      <c r="G15" s="32" t="s">
        <v>26</v>
      </c>
      <c r="H15" s="26" t="s">
        <v>33</v>
      </c>
      <c r="I15" s="26" t="s">
        <v>35</v>
      </c>
      <c r="J15" s="26">
        <v>1</v>
      </c>
      <c r="K15" s="26">
        <v>2.9999999999999997E-4</v>
      </c>
      <c r="L15" s="27">
        <f>(K15)*(K15)</f>
        <v>8.9999999999999985E-8</v>
      </c>
    </row>
    <row r="16" spans="1:12" ht="15" thickBot="1" x14ac:dyDescent="0.35">
      <c r="F16" s="34" t="s">
        <v>22</v>
      </c>
      <c r="G16" s="43" t="s">
        <v>27</v>
      </c>
      <c r="H16" s="20" t="s">
        <v>34</v>
      </c>
      <c r="I16" s="20" t="s">
        <v>36</v>
      </c>
      <c r="J16" s="20">
        <v>1</v>
      </c>
      <c r="K16" s="20">
        <v>2.9999999999999997E-4</v>
      </c>
      <c r="L16" s="21">
        <f t="shared" ref="L16:L20" si="2">(K16)*(K16)</f>
        <v>8.9999999999999985E-8</v>
      </c>
    </row>
    <row r="17" spans="1:12" ht="15.6" thickTop="1" thickBot="1" x14ac:dyDescent="0.35">
      <c r="A17" s="28" t="s">
        <v>7</v>
      </c>
      <c r="B17" s="29"/>
      <c r="C17" s="30"/>
      <c r="F17" s="34" t="s">
        <v>23</v>
      </c>
      <c r="G17" s="43" t="s">
        <v>28</v>
      </c>
      <c r="H17" s="20" t="s">
        <v>34</v>
      </c>
      <c r="I17" s="20" t="s">
        <v>37</v>
      </c>
      <c r="J17" s="20">
        <v>1</v>
      </c>
      <c r="K17" s="41">
        <f>(0.1/(2*SQRT(3)))/1000</f>
        <v>2.8867513459481289E-5</v>
      </c>
      <c r="L17" s="21">
        <f t="shared" si="2"/>
        <v>8.3333333333333335E-10</v>
      </c>
    </row>
    <row r="18" spans="1:12" x14ac:dyDescent="0.3">
      <c r="A18" s="31" t="s">
        <v>8</v>
      </c>
      <c r="B18" s="32" t="s">
        <v>0</v>
      </c>
      <c r="C18" s="33" t="s">
        <v>9</v>
      </c>
      <c r="F18" s="34" t="s">
        <v>41</v>
      </c>
      <c r="G18" s="43" t="s">
        <v>29</v>
      </c>
      <c r="H18" s="20" t="s">
        <v>34</v>
      </c>
      <c r="I18" s="20" t="s">
        <v>37</v>
      </c>
      <c r="J18" s="20">
        <v>1</v>
      </c>
      <c r="K18" s="20">
        <f>(1/(2*SQRT(3)))/107</f>
        <v>2.6978984541571301E-3</v>
      </c>
      <c r="L18" s="21">
        <f t="shared" si="2"/>
        <v>7.2786560689434318E-6</v>
      </c>
    </row>
    <row r="19" spans="1:12" x14ac:dyDescent="0.3">
      <c r="A19" s="34" t="s">
        <v>14</v>
      </c>
      <c r="B19" s="20" t="s">
        <v>6</v>
      </c>
      <c r="C19" s="22">
        <f>C8</f>
        <v>5.1070000000000002</v>
      </c>
      <c r="F19" s="34" t="s">
        <v>24</v>
      </c>
      <c r="G19" s="43" t="s">
        <v>30</v>
      </c>
      <c r="H19" s="20" t="s">
        <v>34</v>
      </c>
      <c r="I19" s="20" t="s">
        <v>37</v>
      </c>
      <c r="J19" s="20">
        <v>1</v>
      </c>
      <c r="K19" s="20">
        <f>(1.003/1000)</f>
        <v>1.003E-3</v>
      </c>
      <c r="L19" s="21">
        <f t="shared" si="2"/>
        <v>1.006009E-6</v>
      </c>
    </row>
    <row r="20" spans="1:12" x14ac:dyDescent="0.3">
      <c r="A20" s="34" t="s">
        <v>13</v>
      </c>
      <c r="B20" s="20" t="s">
        <v>5</v>
      </c>
      <c r="C20" s="22">
        <f>H8</f>
        <v>5.1070000000000011</v>
      </c>
      <c r="F20" s="34" t="s">
        <v>25</v>
      </c>
      <c r="G20" s="43" t="s">
        <v>26</v>
      </c>
      <c r="H20" s="20" t="s">
        <v>33</v>
      </c>
      <c r="I20" s="20" t="s">
        <v>35</v>
      </c>
      <c r="J20" s="20">
        <v>1</v>
      </c>
      <c r="K20" s="20">
        <f>0.52/100</f>
        <v>5.1999999999999998E-3</v>
      </c>
      <c r="L20" s="21">
        <f t="shared" si="2"/>
        <v>2.7039999999999999E-5</v>
      </c>
    </row>
    <row r="21" spans="1:12" x14ac:dyDescent="0.3">
      <c r="A21" s="34" t="s">
        <v>12</v>
      </c>
      <c r="B21" s="23">
        <f>(D8/C8)*100</f>
        <v>0.43344318819617722</v>
      </c>
      <c r="C21" s="24">
        <f>(I8/H8)*100</f>
        <v>1.2891423108329785</v>
      </c>
      <c r="F21" s="34"/>
      <c r="G21" s="20"/>
      <c r="H21" s="20"/>
      <c r="I21" s="20"/>
      <c r="J21" s="20"/>
      <c r="K21" s="20"/>
      <c r="L21" s="21"/>
    </row>
    <row r="22" spans="1:12" x14ac:dyDescent="0.3">
      <c r="A22" s="38"/>
      <c r="B22" s="39"/>
      <c r="C22" s="40"/>
      <c r="F22" s="47" t="s">
        <v>38</v>
      </c>
      <c r="G22" s="48">
        <f>SQRT(SUM(L15:L20))</f>
        <v>5.9586490417104414E-3</v>
      </c>
      <c r="H22" s="20"/>
      <c r="I22" s="20"/>
      <c r="J22" s="20"/>
      <c r="K22" s="20"/>
      <c r="L22" s="21"/>
    </row>
    <row r="23" spans="1:12" ht="15" thickBot="1" x14ac:dyDescent="0.35">
      <c r="A23" s="35" t="s">
        <v>10</v>
      </c>
      <c r="B23" s="36">
        <f>SUM(B21:C21)</f>
        <v>1.7225854990291558</v>
      </c>
      <c r="C23" s="37"/>
      <c r="F23" s="35" t="s">
        <v>39</v>
      </c>
      <c r="G23" s="49">
        <f>2*G22</f>
        <v>1.1917298083420883E-2</v>
      </c>
      <c r="H23" s="42"/>
      <c r="I23" s="42"/>
      <c r="J23" s="42"/>
      <c r="K23" s="42"/>
      <c r="L23" s="25"/>
    </row>
    <row r="24" spans="1:12" ht="15" thickTop="1" x14ac:dyDescent="0.3">
      <c r="F24" s="19" t="s">
        <v>31</v>
      </c>
      <c r="G24" s="19"/>
      <c r="H24" s="19"/>
      <c r="I24" s="19"/>
      <c r="J24" s="19"/>
      <c r="K24" s="19"/>
    </row>
    <row r="25" spans="1:12" x14ac:dyDescent="0.3">
      <c r="F25" s="19" t="s">
        <v>32</v>
      </c>
      <c r="G25" s="19"/>
      <c r="H25" s="19"/>
      <c r="I25" s="19"/>
      <c r="J25" s="19"/>
      <c r="K25" s="19"/>
    </row>
  </sheetData>
  <mergeCells count="3">
    <mergeCell ref="A17:C17"/>
    <mergeCell ref="F25:K25"/>
    <mergeCell ref="F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ABENATHI JAMA</dc:creator>
  <cp:lastModifiedBy>ABENATHI JAMA</cp:lastModifiedBy>
  <dcterms:created xsi:type="dcterms:W3CDTF">2026-04-13T14:00:00Z</dcterms:created>
  <dcterms:modified xsi:type="dcterms:W3CDTF">2026-04-14T11:53:31Z</dcterms:modified>
</cp:coreProperties>
</file>