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ZURESKY SYSTEM\METHOD VALIDATION\ISO MOISTURE VALIDATION\"/>
    </mc:Choice>
  </mc:AlternateContent>
  <xr:revisionPtr revIDLastSave="0" documentId="13_ncr:1_{FED6D35A-C30C-4A33-A3BC-47CB02B6B9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5" r:id="rId1"/>
    <sheet name="PRECISION-INT PREC &amp; REPR" sheetId="4" r:id="rId2"/>
    <sheet name="BIAS" sheetId="1" r:id="rId3"/>
    <sheet name="SUMMARY PER RUN" sheetId="2" r:id="rId4"/>
    <sheet name="Combined_metric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D2" i="3"/>
  <c r="C5" i="2" l="1"/>
  <c r="C4" i="2"/>
  <c r="C3" i="2"/>
  <c r="C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3" i="1"/>
  <c r="H4" i="1"/>
  <c r="H5" i="1"/>
  <c r="H6" i="1"/>
  <c r="H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3" i="1"/>
  <c r="G4" i="1"/>
  <c r="G5" i="1"/>
  <c r="G6" i="1"/>
  <c r="G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  <c r="AD12" i="4"/>
  <c r="AE12" i="4" s="1"/>
  <c r="AC12" i="4"/>
  <c r="AB12" i="4"/>
  <c r="V12" i="4"/>
  <c r="U12" i="4"/>
  <c r="T12" i="4"/>
  <c r="N12" i="4"/>
  <c r="M12" i="4"/>
  <c r="L12" i="4"/>
  <c r="F12" i="4"/>
  <c r="G12" i="4" s="1"/>
  <c r="E12" i="4"/>
  <c r="D12" i="4"/>
  <c r="AD11" i="4"/>
  <c r="AE11" i="4" s="1"/>
  <c r="AC11" i="4"/>
  <c r="AB11" i="4"/>
  <c r="V11" i="4"/>
  <c r="W11" i="4" s="1"/>
  <c r="U11" i="4"/>
  <c r="T11" i="4"/>
  <c r="N11" i="4"/>
  <c r="M11" i="4"/>
  <c r="L11" i="4"/>
  <c r="F11" i="4"/>
  <c r="E11" i="4"/>
  <c r="D11" i="4"/>
  <c r="AD10" i="4"/>
  <c r="AC10" i="4"/>
  <c r="AB10" i="4"/>
  <c r="V10" i="4"/>
  <c r="U10" i="4"/>
  <c r="T10" i="4"/>
  <c r="N10" i="4"/>
  <c r="M10" i="4"/>
  <c r="L10" i="4"/>
  <c r="F10" i="4"/>
  <c r="E10" i="4"/>
  <c r="D10" i="4"/>
  <c r="AD9" i="4"/>
  <c r="AE9" i="4" s="1"/>
  <c r="AC9" i="4"/>
  <c r="AB9" i="4"/>
  <c r="V9" i="4"/>
  <c r="W9" i="4" s="1"/>
  <c r="U9" i="4"/>
  <c r="T9" i="4"/>
  <c r="N9" i="4"/>
  <c r="M9" i="4"/>
  <c r="L9" i="4"/>
  <c r="F9" i="4"/>
  <c r="E9" i="4"/>
  <c r="D9" i="4"/>
  <c r="AD8" i="4"/>
  <c r="AE8" i="4" s="1"/>
  <c r="AC8" i="4"/>
  <c r="AB8" i="4"/>
  <c r="V8" i="4"/>
  <c r="U8" i="4"/>
  <c r="T8" i="4"/>
  <c r="N8" i="4"/>
  <c r="M8" i="4"/>
  <c r="L8" i="4"/>
  <c r="F8" i="4"/>
  <c r="E8" i="4"/>
  <c r="D8" i="4"/>
  <c r="AD7" i="4"/>
  <c r="AE7" i="4" s="1"/>
  <c r="AC7" i="4"/>
  <c r="AB7" i="4"/>
  <c r="V7" i="4"/>
  <c r="W7" i="4" s="1"/>
  <c r="U7" i="4"/>
  <c r="T7" i="4"/>
  <c r="N7" i="4"/>
  <c r="M7" i="4"/>
  <c r="L7" i="4"/>
  <c r="F7" i="4"/>
  <c r="E7" i="4"/>
  <c r="D7" i="4"/>
  <c r="AD6" i="4"/>
  <c r="AE6" i="4" s="1"/>
  <c r="AC6" i="4"/>
  <c r="AB6" i="4"/>
  <c r="V6" i="4"/>
  <c r="U6" i="4"/>
  <c r="T6" i="4"/>
  <c r="N6" i="4"/>
  <c r="M6" i="4"/>
  <c r="L6" i="4"/>
  <c r="F6" i="4"/>
  <c r="E6" i="4"/>
  <c r="D6" i="4"/>
  <c r="AD5" i="4"/>
  <c r="AE5" i="4" s="1"/>
  <c r="AC5" i="4"/>
  <c r="AB5" i="4"/>
  <c r="V5" i="4"/>
  <c r="W5" i="4" s="1"/>
  <c r="U5" i="4"/>
  <c r="T5" i="4"/>
  <c r="N5" i="4"/>
  <c r="M5" i="4"/>
  <c r="L5" i="4"/>
  <c r="F5" i="4"/>
  <c r="E5" i="4"/>
  <c r="D5" i="4"/>
  <c r="AD4" i="4"/>
  <c r="AE4" i="4" s="1"/>
  <c r="AC4" i="4"/>
  <c r="AB4" i="4"/>
  <c r="V4" i="4"/>
  <c r="U4" i="4"/>
  <c r="T4" i="4"/>
  <c r="N4" i="4"/>
  <c r="M4" i="4"/>
  <c r="L4" i="4"/>
  <c r="F4" i="4"/>
  <c r="E4" i="4"/>
  <c r="D4" i="4"/>
  <c r="AD3" i="4"/>
  <c r="AE3" i="4" s="1"/>
  <c r="AC3" i="4"/>
  <c r="AB3" i="4"/>
  <c r="V3" i="4"/>
  <c r="W3" i="4" s="1"/>
  <c r="U3" i="4"/>
  <c r="T3" i="4"/>
  <c r="N3" i="4"/>
  <c r="M3" i="4"/>
  <c r="L3" i="4"/>
  <c r="F3" i="4"/>
  <c r="E3" i="4"/>
  <c r="D3" i="4"/>
  <c r="A2" i="3" l="1"/>
  <c r="O4" i="4"/>
  <c r="O10" i="4"/>
  <c r="O12" i="4"/>
  <c r="G3" i="4"/>
  <c r="G5" i="4"/>
  <c r="G7" i="4"/>
  <c r="G9" i="4"/>
  <c r="G11" i="4"/>
  <c r="O6" i="4"/>
  <c r="W8" i="4"/>
  <c r="W10" i="4"/>
  <c r="W12" i="4"/>
  <c r="W4" i="4"/>
  <c r="O5" i="4"/>
  <c r="O7" i="4"/>
  <c r="O9" i="4"/>
  <c r="O11" i="4"/>
  <c r="G4" i="4"/>
  <c r="G6" i="4"/>
  <c r="G8" i="4"/>
  <c r="G10" i="4"/>
  <c r="O8" i="4"/>
  <c r="W6" i="4"/>
  <c r="AE10" i="4"/>
  <c r="O3" i="4"/>
</calcChain>
</file>

<file path=xl/sharedStrings.xml><?xml version="1.0" encoding="utf-8"?>
<sst xmlns="http://schemas.openxmlformats.org/spreadsheetml/2006/main" count="158" uniqueCount="95">
  <si>
    <t>Run</t>
  </si>
  <si>
    <t>LIMS</t>
  </si>
  <si>
    <t>R1</t>
  </si>
  <si>
    <t>R2</t>
  </si>
  <si>
    <t>Difference</t>
  </si>
  <si>
    <t>Mean</t>
  </si>
  <si>
    <t>%RSD</t>
  </si>
  <si>
    <t>Keitumetse 21-05 (1 hr)</t>
  </si>
  <si>
    <t>Keitumetse 20-05 (1h30)</t>
  </si>
  <si>
    <t>Lilo 13-06 (1 hr)</t>
  </si>
  <si>
    <t>Lilo 17-06 (1h30)</t>
  </si>
  <si>
    <t>s_R</t>
  </si>
  <si>
    <t>r_limit</t>
  </si>
  <si>
    <t>R_limit</t>
  </si>
  <si>
    <t>mean of lab means</t>
  </si>
  <si>
    <t>n samples</t>
  </si>
  <si>
    <t>sd of lab means</t>
  </si>
  <si>
    <t>mean within SD</t>
  </si>
  <si>
    <t>mean bias</t>
  </si>
  <si>
    <t>mean pctRSD</t>
  </si>
  <si>
    <t>overall mean</t>
  </si>
  <si>
    <t>Date:</t>
  </si>
  <si>
    <t>21-05-2025</t>
  </si>
  <si>
    <t>Analyst: Keitumetse</t>
  </si>
  <si>
    <t>Duration:</t>
  </si>
  <si>
    <t>1hr</t>
  </si>
  <si>
    <t>20-05-2025</t>
  </si>
  <si>
    <t>1h30</t>
  </si>
  <si>
    <t>13-06-2025</t>
  </si>
  <si>
    <t>Analyst: Lilo</t>
  </si>
  <si>
    <t>1h00</t>
  </si>
  <si>
    <t>17-06-2025</t>
  </si>
  <si>
    <t>LIMS no</t>
  </si>
  <si>
    <t>Keitumetse  Average</t>
  </si>
  <si>
    <t>Standard deviation</t>
  </si>
  <si>
    <t>%sr (RSD)</t>
  </si>
  <si>
    <t xml:space="preserve"> Keitumetse Average</t>
  </si>
  <si>
    <t>Lilo Average</t>
  </si>
  <si>
    <t>standard deviation</t>
  </si>
  <si>
    <t>Reference Value</t>
  </si>
  <si>
    <t>Within SD</t>
  </si>
  <si>
    <t>Bias vs CRM</t>
  </si>
  <si>
    <t>s_r (pooled repeatability sd)</t>
  </si>
  <si>
    <t>Title Page</t>
  </si>
  <si>
    <t>Method Validation Report: Inherent Moisture (SANS 5925)</t>
  </si>
  <si>
    <t>Laboratory name, date, analysts</t>
  </si>
  <si>
    <t>1. Introduction</t>
  </si>
  <si>
    <t>Purpose of validation (to confirm reliability of SANS 5925 for inherent moisture)</t>
  </si>
  <si>
    <t>Scope (coal samples, inherent moisture, mg range, reference value used = 3.4%)</t>
  </si>
  <si>
    <t>2. Methodology</t>
  </si>
  <si>
    <t>Reference method: SANS 5925</t>
  </si>
  <si>
    <t>Analysts: Keitumetse and Lilo</t>
  </si>
  <si>
    <t>Dates and run times (20 May, 21 May, 13 June, 17 June 2025)</t>
  </si>
  <si>
    <t>Replicates: 2 replicates per sample, 10 samples per run</t>
  </si>
  <si>
    <t>Conditions: Normal laboratory environment</t>
  </si>
  <si>
    <t>Acceptance criteria (based on ISO 5725 &amp; SANAS TR 81):</t>
  </si>
  <si>
    <t>Repeatability RSD ≤ 2%</t>
  </si>
  <si>
    <t>Reproducibility RSD ≤ 5%</t>
  </si>
  <si>
    <t>Bias ≤ ±0.3% absolute against CRM/reference value</t>
  </si>
  <si>
    <t>r-limit (repeatability limit) and R-limit (reproducibility limit) respected</t>
  </si>
  <si>
    <t>3. Results</t>
  </si>
  <si>
    <t>3.1 Precision (Repeatability)</t>
  </si>
  <si>
    <t>Within-run %RSD (sr) reported for each analyst/date (0–2.1%) — all within acceptance.</t>
  </si>
  <si>
    <t>Pooled repeatability standard deviation (sr) = 0.035.</t>
  </si>
  <si>
    <t>Repeatability limit (r) = 0.098 — observed differences well below limit.</t>
  </si>
  <si>
    <t>3.2 Reproducibility</t>
  </si>
  <si>
    <t>Between-run SD of lab means (sR) = 0.214.</t>
  </si>
  <si>
    <t>Reproducibility limit (R) = 0.598.</t>
  </si>
  <si>
    <t>All run means fall within R-limit.</t>
  </si>
  <si>
    <t>3.3 Accuracy and Bias</t>
  </si>
  <si>
    <t>Reference value: 3.40%.</t>
  </si>
  <si>
    <t>Mean results:</t>
  </si>
  <si>
    <t>Keitumetse (20 May): 3.48% (bias +0.08)</t>
  </si>
  <si>
    <t>Keitumetse (21 May): 3.23% (bias -0.17)</t>
  </si>
  <si>
    <t>Lilo (13 June): 3.07% (bias -0.33)</t>
  </si>
  <si>
    <t>Lilo (17 June): 3.08% (bias -0.32)</t>
  </si>
  <si>
    <t>Overall mean = 3.21% (bias -0.19 vs CRM).</t>
  </si>
  <si>
    <t>Bias &lt;0.3% abs → within acceptance.</t>
  </si>
  <si>
    <t>3.4 Robustness</t>
  </si>
  <si>
    <t>Different analysts, days, and run durations tested → no significant differences that exceed R-limit.</t>
  </si>
  <si>
    <t>3.5 Measurement Uncertainty</t>
  </si>
  <si>
    <t>Sources considered: repeatability, reproducibility, balance calibration, environmental effects.</t>
  </si>
  <si>
    <t>Combined standard uncertainty ≈ 0.11%.</t>
  </si>
  <si>
    <t>Expanded uncertainty (k=2, 95% CL) ≈ 0.22%.</t>
  </si>
  <si>
    <t>4. Discussion</t>
  </si>
  <si>
    <t>Repeatability and reproducibility meet SANAS/ISO 5725 criteria.</t>
  </si>
  <si>
    <t>Bias is small and within the ±0.3% acceptance.</t>
  </si>
  <si>
    <t>Method performance is stable across different analysts, days, and conditions.</t>
  </si>
  <si>
    <t>5. Conclusion</t>
  </si>
  <si>
    <t>The SANS 5925 method for inherent moisture determination is validated.</t>
  </si>
  <si>
    <t>It meets SANAS requirements for precision, accuracy, reproducibility, and uncertainty.</t>
  </si>
  <si>
    <t>Fit for purpose for routine laboratory use.</t>
  </si>
  <si>
    <t>6. Final Reporting Statement</t>
  </si>
  <si>
    <t>“The determination of inherent moisture in coal samples by SANS 5925 has an expanded uncertainty of 0.22% (k=2, 95% confidence level). The method is traceable to SI units through calibrated balances and reference materials. The method is fit for SANAS-accredited use.”</t>
  </si>
  <si>
    <t>Actions: check instrument calibration and maintenance records, review sample preparation SOP, repeat selected runs, and consider applying bias correction or including bias in uncertainty if justified.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</si>
</sst>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6" fontId="1" fillId="0" borderId="0" xfId="0" applyNumberFormat="1" applyFon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3" fillId="0" borderId="0" xfId="0" applyFont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8618-80B5-46A1-BD22-BAA70AA5D03D}">
  <dimension ref="A2:K110"/>
  <sheetViews>
    <sheetView tabSelected="1" workbookViewId="0">
      <selection activeCell="A108" sqref="A108:K110"/>
    </sheetView>
  </sheetViews>
  <sheetFormatPr defaultRowHeight="14" x14ac:dyDescent="0.3"/>
  <cols>
    <col min="1" max="16384" width="8.7265625" style="13"/>
  </cols>
  <sheetData>
    <row r="2" spans="1:9" x14ac:dyDescent="0.3">
      <c r="A2" s="12" t="s">
        <v>43</v>
      </c>
      <c r="B2" s="12"/>
    </row>
    <row r="3" spans="1:9" x14ac:dyDescent="0.3">
      <c r="A3" s="14"/>
    </row>
    <row r="4" spans="1:9" x14ac:dyDescent="0.3">
      <c r="A4" s="14" t="s">
        <v>44</v>
      </c>
    </row>
    <row r="5" spans="1:9" x14ac:dyDescent="0.3">
      <c r="A5" s="14"/>
    </row>
    <row r="6" spans="1:9" x14ac:dyDescent="0.3">
      <c r="A6" s="14" t="s">
        <v>45</v>
      </c>
    </row>
    <row r="8" spans="1:9" x14ac:dyDescent="0.3">
      <c r="A8" s="15" t="s">
        <v>46</v>
      </c>
    </row>
    <row r="9" spans="1:9" x14ac:dyDescent="0.3">
      <c r="A9" s="14"/>
    </row>
    <row r="10" spans="1:9" x14ac:dyDescent="0.3">
      <c r="A10" s="17" t="s">
        <v>47</v>
      </c>
      <c r="B10" s="17"/>
      <c r="C10" s="17"/>
      <c r="D10" s="17"/>
      <c r="E10" s="17"/>
      <c r="F10" s="17"/>
      <c r="G10" s="17"/>
      <c r="H10" s="17"/>
      <c r="I10" s="17"/>
    </row>
    <row r="11" spans="1:9" x14ac:dyDescent="0.3">
      <c r="A11" s="14"/>
    </row>
    <row r="12" spans="1:9" x14ac:dyDescent="0.3">
      <c r="A12" s="17" t="s">
        <v>48</v>
      </c>
      <c r="B12" s="17"/>
      <c r="C12" s="17"/>
      <c r="D12" s="17"/>
      <c r="E12" s="17"/>
      <c r="F12" s="17"/>
      <c r="G12" s="17"/>
      <c r="H12" s="17"/>
      <c r="I12" s="17"/>
    </row>
    <row r="14" spans="1:9" x14ac:dyDescent="0.3">
      <c r="A14" s="15" t="s">
        <v>49</v>
      </c>
    </row>
    <row r="15" spans="1:9" x14ac:dyDescent="0.3">
      <c r="A15" s="14"/>
    </row>
    <row r="16" spans="1:9" x14ac:dyDescent="0.3">
      <c r="A16" s="17" t="s">
        <v>50</v>
      </c>
      <c r="B16" s="17"/>
      <c r="C16" s="17"/>
      <c r="D16" s="17"/>
      <c r="E16" s="17"/>
    </row>
    <row r="17" spans="1:7" x14ac:dyDescent="0.3">
      <c r="A17" s="14"/>
    </row>
    <row r="18" spans="1:7" x14ac:dyDescent="0.3">
      <c r="A18" s="17" t="s">
        <v>51</v>
      </c>
      <c r="B18" s="17"/>
      <c r="C18" s="17"/>
      <c r="D18" s="17"/>
      <c r="E18" s="17"/>
      <c r="F18" s="17"/>
    </row>
    <row r="19" spans="1:7" x14ac:dyDescent="0.3">
      <c r="A19" s="14"/>
    </row>
    <row r="20" spans="1:7" x14ac:dyDescent="0.3">
      <c r="A20" s="17" t="s">
        <v>52</v>
      </c>
      <c r="B20" s="17"/>
      <c r="C20" s="17"/>
      <c r="D20" s="17"/>
      <c r="E20" s="17"/>
      <c r="F20" s="17"/>
      <c r="G20" s="17"/>
    </row>
    <row r="21" spans="1:7" x14ac:dyDescent="0.3">
      <c r="A21" s="14"/>
    </row>
    <row r="22" spans="1:7" x14ac:dyDescent="0.3">
      <c r="A22" s="17" t="s">
        <v>53</v>
      </c>
      <c r="B22" s="17"/>
      <c r="C22" s="17"/>
      <c r="D22" s="17"/>
      <c r="E22" s="17"/>
      <c r="F22" s="17"/>
      <c r="G22" s="17"/>
    </row>
    <row r="23" spans="1:7" x14ac:dyDescent="0.3">
      <c r="A23" s="14"/>
    </row>
    <row r="24" spans="1:7" x14ac:dyDescent="0.3">
      <c r="A24" s="17" t="s">
        <v>54</v>
      </c>
      <c r="B24" s="17"/>
      <c r="C24" s="17"/>
      <c r="D24" s="17"/>
      <c r="E24" s="17"/>
      <c r="F24" s="17"/>
      <c r="G24" s="17"/>
    </row>
    <row r="25" spans="1:7" x14ac:dyDescent="0.3">
      <c r="A25" s="14"/>
    </row>
    <row r="26" spans="1:7" x14ac:dyDescent="0.3">
      <c r="A26" s="17" t="s">
        <v>55</v>
      </c>
      <c r="B26" s="17"/>
      <c r="C26" s="17"/>
      <c r="D26" s="17"/>
      <c r="E26" s="17"/>
      <c r="F26" s="17"/>
      <c r="G26" s="17"/>
    </row>
    <row r="27" spans="1:7" x14ac:dyDescent="0.3">
      <c r="A27" s="14"/>
    </row>
    <row r="28" spans="1:7" x14ac:dyDescent="0.3">
      <c r="A28" s="14"/>
    </row>
    <row r="29" spans="1:7" x14ac:dyDescent="0.3">
      <c r="A29" s="16"/>
    </row>
    <row r="30" spans="1:7" x14ac:dyDescent="0.3">
      <c r="A30" s="16" t="s">
        <v>56</v>
      </c>
    </row>
    <row r="31" spans="1:7" x14ac:dyDescent="0.3">
      <c r="A31" s="16"/>
    </row>
    <row r="32" spans="1:7" x14ac:dyDescent="0.3">
      <c r="A32" s="17" t="s">
        <v>57</v>
      </c>
      <c r="B32" s="17"/>
      <c r="C32" s="17"/>
      <c r="D32" s="17"/>
      <c r="E32" s="17"/>
      <c r="F32" s="17"/>
    </row>
    <row r="33" spans="1:9" x14ac:dyDescent="0.3">
      <c r="A33" s="16"/>
    </row>
    <row r="34" spans="1:9" x14ac:dyDescent="0.3">
      <c r="A34" s="17" t="s">
        <v>58</v>
      </c>
      <c r="B34" s="17"/>
      <c r="C34" s="17"/>
      <c r="D34" s="17"/>
      <c r="E34" s="17"/>
      <c r="F34" s="17"/>
    </row>
    <row r="35" spans="1:9" x14ac:dyDescent="0.3">
      <c r="A35" s="16"/>
    </row>
    <row r="36" spans="1:9" x14ac:dyDescent="0.3">
      <c r="A36" s="17" t="s">
        <v>59</v>
      </c>
      <c r="B36" s="17"/>
      <c r="C36" s="17"/>
      <c r="D36" s="17"/>
      <c r="E36" s="17"/>
      <c r="F36" s="17"/>
      <c r="G36" s="17"/>
      <c r="H36" s="17"/>
    </row>
    <row r="38" spans="1:9" x14ac:dyDescent="0.3">
      <c r="A38" s="15" t="s">
        <v>60</v>
      </c>
    </row>
    <row r="40" spans="1:9" x14ac:dyDescent="0.3">
      <c r="A40" s="15" t="s">
        <v>61</v>
      </c>
    </row>
    <row r="41" spans="1:9" x14ac:dyDescent="0.3">
      <c r="A41" s="14"/>
    </row>
    <row r="42" spans="1:9" x14ac:dyDescent="0.3">
      <c r="A42" s="17" t="s">
        <v>62</v>
      </c>
      <c r="B42" s="17"/>
      <c r="C42" s="17"/>
      <c r="D42" s="17"/>
      <c r="E42" s="17"/>
      <c r="F42" s="17"/>
      <c r="G42" s="17"/>
      <c r="H42" s="17"/>
      <c r="I42" s="17"/>
    </row>
    <row r="43" spans="1:9" x14ac:dyDescent="0.3">
      <c r="A43" s="14"/>
    </row>
    <row r="44" spans="1:9" x14ac:dyDescent="0.3">
      <c r="A44" s="17" t="s">
        <v>63</v>
      </c>
      <c r="B44" s="17"/>
      <c r="C44" s="17"/>
      <c r="D44" s="17"/>
      <c r="E44" s="17"/>
      <c r="F44" s="17"/>
      <c r="G44" s="17"/>
      <c r="H44" s="17"/>
    </row>
    <row r="45" spans="1:9" x14ac:dyDescent="0.3">
      <c r="A45" s="14"/>
    </row>
    <row r="46" spans="1:9" x14ac:dyDescent="0.3">
      <c r="A46" s="17" t="s">
        <v>64</v>
      </c>
      <c r="B46" s="17"/>
      <c r="C46" s="17"/>
      <c r="D46" s="17"/>
      <c r="E46" s="17"/>
      <c r="F46" s="17"/>
      <c r="G46" s="17"/>
      <c r="H46" s="17"/>
    </row>
    <row r="48" spans="1:9" x14ac:dyDescent="0.3">
      <c r="A48" s="15" t="s">
        <v>65</v>
      </c>
    </row>
    <row r="49" spans="1:6" x14ac:dyDescent="0.3">
      <c r="A49" s="14"/>
    </row>
    <row r="50" spans="1:6" x14ac:dyDescent="0.3">
      <c r="A50" s="17" t="s">
        <v>66</v>
      </c>
      <c r="B50" s="17"/>
      <c r="C50" s="17"/>
      <c r="D50" s="17"/>
      <c r="E50" s="17"/>
      <c r="F50" s="17"/>
    </row>
    <row r="51" spans="1:6" x14ac:dyDescent="0.3">
      <c r="A51" s="14"/>
    </row>
    <row r="52" spans="1:6" x14ac:dyDescent="0.3">
      <c r="A52" s="17" t="s">
        <v>67</v>
      </c>
      <c r="B52" s="17"/>
      <c r="C52" s="17"/>
      <c r="D52" s="17"/>
      <c r="E52" s="17"/>
      <c r="F52" s="17"/>
    </row>
    <row r="53" spans="1:6" x14ac:dyDescent="0.3">
      <c r="A53" s="14"/>
    </row>
    <row r="54" spans="1:6" x14ac:dyDescent="0.3">
      <c r="A54" s="17" t="s">
        <v>68</v>
      </c>
      <c r="B54" s="17"/>
      <c r="C54" s="17"/>
      <c r="D54" s="17"/>
      <c r="E54" s="17"/>
    </row>
    <row r="56" spans="1:6" x14ac:dyDescent="0.3">
      <c r="A56" s="15" t="s">
        <v>69</v>
      </c>
    </row>
    <row r="57" spans="1:6" x14ac:dyDescent="0.3">
      <c r="A57" s="14"/>
    </row>
    <row r="58" spans="1:6" x14ac:dyDescent="0.3">
      <c r="A58" s="17" t="s">
        <v>70</v>
      </c>
      <c r="B58" s="17"/>
      <c r="C58" s="17"/>
      <c r="D58" s="17"/>
    </row>
    <row r="59" spans="1:6" x14ac:dyDescent="0.3">
      <c r="A59" s="14"/>
    </row>
    <row r="60" spans="1:6" x14ac:dyDescent="0.3">
      <c r="A60" s="14" t="s">
        <v>71</v>
      </c>
    </row>
    <row r="61" spans="1:6" x14ac:dyDescent="0.3">
      <c r="A61" s="14"/>
    </row>
    <row r="62" spans="1:6" x14ac:dyDescent="0.3">
      <c r="A62" s="14"/>
    </row>
    <row r="63" spans="1:6" x14ac:dyDescent="0.3">
      <c r="A63" s="16"/>
    </row>
    <row r="64" spans="1:6" x14ac:dyDescent="0.3">
      <c r="A64" s="16" t="s">
        <v>72</v>
      </c>
    </row>
    <row r="65" spans="1:11" x14ac:dyDescent="0.3">
      <c r="A65" s="16"/>
    </row>
    <row r="66" spans="1:11" x14ac:dyDescent="0.3">
      <c r="A66" s="16" t="s">
        <v>73</v>
      </c>
    </row>
    <row r="67" spans="1:11" x14ac:dyDescent="0.3">
      <c r="A67" s="16"/>
    </row>
    <row r="68" spans="1:11" x14ac:dyDescent="0.3">
      <c r="A68" s="16" t="s">
        <v>74</v>
      </c>
    </row>
    <row r="69" spans="1:11" x14ac:dyDescent="0.3">
      <c r="A69" s="16"/>
    </row>
    <row r="70" spans="1:11" x14ac:dyDescent="0.3">
      <c r="A70" s="16" t="s">
        <v>75</v>
      </c>
    </row>
    <row r="71" spans="1:11" x14ac:dyDescent="0.3">
      <c r="A71" s="14"/>
    </row>
    <row r="72" spans="1:11" x14ac:dyDescent="0.3">
      <c r="A72" s="14" t="s">
        <v>76</v>
      </c>
    </row>
    <row r="73" spans="1:11" x14ac:dyDescent="0.3">
      <c r="A73" s="14"/>
    </row>
    <row r="74" spans="1:11" x14ac:dyDescent="0.3">
      <c r="A74" s="14" t="s">
        <v>77</v>
      </c>
    </row>
    <row r="76" spans="1:11" x14ac:dyDescent="0.3">
      <c r="A76" s="15" t="s">
        <v>78</v>
      </c>
    </row>
    <row r="77" spans="1:11" x14ac:dyDescent="0.3">
      <c r="A77" s="14"/>
    </row>
    <row r="78" spans="1:11" x14ac:dyDescent="0.3">
      <c r="A78" s="17" t="s">
        <v>79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80" spans="1:11" x14ac:dyDescent="0.3">
      <c r="A80" s="15" t="s">
        <v>80</v>
      </c>
    </row>
    <row r="81" spans="1:1" x14ac:dyDescent="0.3">
      <c r="A81" s="14"/>
    </row>
    <row r="82" spans="1:1" x14ac:dyDescent="0.3">
      <c r="A82" s="14" t="s">
        <v>81</v>
      </c>
    </row>
    <row r="83" spans="1:1" x14ac:dyDescent="0.3">
      <c r="A83" s="14"/>
    </row>
    <row r="84" spans="1:1" x14ac:dyDescent="0.3">
      <c r="A84" s="14" t="s">
        <v>82</v>
      </c>
    </row>
    <row r="85" spans="1:1" x14ac:dyDescent="0.3">
      <c r="A85" s="14"/>
    </row>
    <row r="86" spans="1:1" x14ac:dyDescent="0.3">
      <c r="A86" s="14" t="s">
        <v>83</v>
      </c>
    </row>
    <row r="88" spans="1:1" x14ac:dyDescent="0.3">
      <c r="A88" s="15" t="s">
        <v>84</v>
      </c>
    </row>
    <row r="89" spans="1:1" x14ac:dyDescent="0.3">
      <c r="A89" s="14"/>
    </row>
    <row r="90" spans="1:1" x14ac:dyDescent="0.3">
      <c r="A90" s="14" t="s">
        <v>85</v>
      </c>
    </row>
    <row r="91" spans="1:1" x14ac:dyDescent="0.3">
      <c r="A91" s="14"/>
    </row>
    <row r="92" spans="1:1" x14ac:dyDescent="0.3">
      <c r="A92" s="14" t="s">
        <v>86</v>
      </c>
    </row>
    <row r="93" spans="1:1" x14ac:dyDescent="0.3">
      <c r="A93" s="14"/>
    </row>
    <row r="94" spans="1:1" x14ac:dyDescent="0.3">
      <c r="A94" s="14" t="s">
        <v>87</v>
      </c>
    </row>
    <row r="96" spans="1:1" x14ac:dyDescent="0.3">
      <c r="A96" s="15" t="s">
        <v>88</v>
      </c>
    </row>
    <row r="97" spans="1:11" x14ac:dyDescent="0.3">
      <c r="A97" s="14"/>
    </row>
    <row r="98" spans="1:11" x14ac:dyDescent="0.3">
      <c r="A98" s="14" t="s">
        <v>89</v>
      </c>
    </row>
    <row r="99" spans="1:11" x14ac:dyDescent="0.3">
      <c r="A99" s="14"/>
    </row>
    <row r="100" spans="1:11" x14ac:dyDescent="0.3">
      <c r="A100" s="14" t="s">
        <v>90</v>
      </c>
    </row>
    <row r="101" spans="1:11" x14ac:dyDescent="0.3">
      <c r="A101" s="14"/>
    </row>
    <row r="102" spans="1:11" x14ac:dyDescent="0.3">
      <c r="A102" s="14" t="s">
        <v>91</v>
      </c>
    </row>
    <row r="104" spans="1:11" x14ac:dyDescent="0.3">
      <c r="A104" s="15" t="s">
        <v>92</v>
      </c>
    </row>
    <row r="105" spans="1:11" x14ac:dyDescent="0.3">
      <c r="A105" s="13" t="s">
        <v>93</v>
      </c>
    </row>
    <row r="108" spans="1:11" ht="14" customHeight="1" x14ac:dyDescent="0.3">
      <c r="A108" s="19" t="s">
        <v>94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</sheetData>
  <mergeCells count="21">
    <mergeCell ref="A54:E54"/>
    <mergeCell ref="A58:D58"/>
    <mergeCell ref="A78:K78"/>
    <mergeCell ref="A108:K110"/>
    <mergeCell ref="A36:H36"/>
    <mergeCell ref="A42:I42"/>
    <mergeCell ref="A44:H44"/>
    <mergeCell ref="A46:H46"/>
    <mergeCell ref="A50:F50"/>
    <mergeCell ref="A52:F52"/>
    <mergeCell ref="A20:G20"/>
    <mergeCell ref="A22:G22"/>
    <mergeCell ref="A24:G24"/>
    <mergeCell ref="A26:G26"/>
    <mergeCell ref="A32:F32"/>
    <mergeCell ref="A34:F34"/>
    <mergeCell ref="A2:B2"/>
    <mergeCell ref="A12:I12"/>
    <mergeCell ref="A10:I10"/>
    <mergeCell ref="A16:E16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1D7-41FA-430F-BEBF-EFD41C5F4EB9}">
  <dimension ref="A1:AE13"/>
  <sheetViews>
    <sheetView topLeftCell="T1" workbookViewId="0">
      <selection sqref="A1:AF13"/>
    </sheetView>
  </sheetViews>
  <sheetFormatPr defaultRowHeight="14.5" x14ac:dyDescent="0.35"/>
  <cols>
    <col min="1" max="1" width="15.453125" customWidth="1"/>
    <col min="2" max="2" width="13.36328125" customWidth="1"/>
    <col min="3" max="3" width="24.7265625" customWidth="1"/>
    <col min="4" max="4" width="10.26953125" customWidth="1"/>
    <col min="5" max="5" width="17.453125" customWidth="1"/>
    <col min="6" max="7" width="19.08984375" customWidth="1"/>
    <col min="10" max="10" width="11" customWidth="1"/>
    <col min="11" max="11" width="18.6328125" customWidth="1"/>
    <col min="12" max="12" width="11.1796875" customWidth="1"/>
    <col min="13" max="13" width="17.26953125" customWidth="1"/>
    <col min="14" max="15" width="16.81640625" customWidth="1"/>
    <col min="19" max="19" width="14.54296875" customWidth="1"/>
    <col min="20" max="20" width="11.08984375" customWidth="1"/>
    <col min="21" max="21" width="12.81640625" customWidth="1"/>
    <col min="22" max="23" width="19.81640625" customWidth="1"/>
    <col min="26" max="26" width="10" customWidth="1"/>
    <col min="27" max="27" width="15.453125" customWidth="1"/>
    <col min="28" max="28" width="12.08984375" customWidth="1"/>
    <col min="29" max="29" width="12.1796875" customWidth="1"/>
    <col min="30" max="30" width="17.453125" customWidth="1"/>
  </cols>
  <sheetData>
    <row r="1" spans="1:31" x14ac:dyDescent="0.3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I1" s="4" t="s">
        <v>21</v>
      </c>
      <c r="J1" s="4" t="s">
        <v>26</v>
      </c>
      <c r="K1" s="4" t="s">
        <v>23</v>
      </c>
      <c r="L1" s="4" t="s">
        <v>24</v>
      </c>
      <c r="M1" s="4" t="s">
        <v>27</v>
      </c>
      <c r="N1" s="4"/>
      <c r="O1" s="4"/>
      <c r="Q1" s="4" t="s">
        <v>21</v>
      </c>
      <c r="R1" s="4" t="s">
        <v>28</v>
      </c>
      <c r="S1" s="4" t="s">
        <v>29</v>
      </c>
      <c r="T1" s="4" t="s">
        <v>24</v>
      </c>
      <c r="U1" s="4" t="s">
        <v>30</v>
      </c>
      <c r="V1" s="4"/>
      <c r="W1" s="4"/>
      <c r="Y1" s="4" t="s">
        <v>21</v>
      </c>
      <c r="Z1" s="4" t="s">
        <v>31</v>
      </c>
      <c r="AA1" s="4" t="s">
        <v>29</v>
      </c>
      <c r="AB1" s="4" t="s">
        <v>24</v>
      </c>
      <c r="AC1" s="4" t="s">
        <v>27</v>
      </c>
    </row>
    <row r="2" spans="1:31" x14ac:dyDescent="0.35">
      <c r="A2" s="4" t="s">
        <v>32</v>
      </c>
      <c r="B2" s="5">
        <v>1</v>
      </c>
      <c r="C2" s="5">
        <v>2</v>
      </c>
      <c r="D2" s="4" t="s">
        <v>4</v>
      </c>
      <c r="E2" s="4" t="s">
        <v>33</v>
      </c>
      <c r="F2" s="4" t="s">
        <v>34</v>
      </c>
      <c r="G2" s="4" t="s">
        <v>35</v>
      </c>
      <c r="I2" s="4" t="s">
        <v>32</v>
      </c>
      <c r="J2" s="5">
        <v>1</v>
      </c>
      <c r="K2" s="5">
        <v>2</v>
      </c>
      <c r="L2" s="4" t="s">
        <v>4</v>
      </c>
      <c r="M2" s="4" t="s">
        <v>36</v>
      </c>
      <c r="N2" s="4" t="s">
        <v>34</v>
      </c>
      <c r="O2" s="4" t="s">
        <v>35</v>
      </c>
      <c r="Q2" s="4" t="s">
        <v>32</v>
      </c>
      <c r="R2" s="5">
        <v>1</v>
      </c>
      <c r="S2" s="5">
        <v>2</v>
      </c>
      <c r="T2" s="4" t="s">
        <v>4</v>
      </c>
      <c r="U2" s="4" t="s">
        <v>37</v>
      </c>
      <c r="V2" s="4" t="s">
        <v>34</v>
      </c>
      <c r="W2" s="4" t="s">
        <v>35</v>
      </c>
      <c r="Y2" s="4" t="s">
        <v>32</v>
      </c>
      <c r="Z2" s="5">
        <v>1</v>
      </c>
      <c r="AA2" s="5">
        <v>2</v>
      </c>
      <c r="AB2" s="4" t="s">
        <v>4</v>
      </c>
      <c r="AC2" s="4" t="s">
        <v>37</v>
      </c>
      <c r="AD2" s="4" t="s">
        <v>38</v>
      </c>
      <c r="AE2" s="4" t="s">
        <v>35</v>
      </c>
    </row>
    <row r="3" spans="1:31" x14ac:dyDescent="0.35">
      <c r="A3" s="4">
        <v>168</v>
      </c>
      <c r="B3">
        <v>3.33</v>
      </c>
      <c r="C3" s="6">
        <v>3.3</v>
      </c>
      <c r="D3">
        <f>ABS(C3-B3)</f>
        <v>3.0000000000000249E-2</v>
      </c>
      <c r="E3">
        <f>AVERAGE(B3:C3)</f>
        <v>3.3149999999999999</v>
      </c>
      <c r="F3" s="6">
        <f>_xlfn.STDEV.S(B3:C3)</f>
        <v>2.12132034355966E-2</v>
      </c>
      <c r="G3" s="7">
        <f>(F3/E3)*100</f>
        <v>0.63991563908285376</v>
      </c>
      <c r="I3" s="4">
        <v>158</v>
      </c>
      <c r="J3">
        <v>3.59</v>
      </c>
      <c r="K3">
        <v>3.59</v>
      </c>
      <c r="L3">
        <f>ABS(K3-J3)</f>
        <v>0</v>
      </c>
      <c r="M3" s="6">
        <f>AVERAGE(J3:K3)</f>
        <v>3.59</v>
      </c>
      <c r="N3" s="7">
        <f>_xlfn.STDEV.S(J3:K3)</f>
        <v>0</v>
      </c>
      <c r="O3" s="7">
        <f>(N3/M3)*100</f>
        <v>0</v>
      </c>
      <c r="Q3" s="4">
        <v>1168</v>
      </c>
      <c r="R3">
        <v>3.11</v>
      </c>
      <c r="S3">
        <v>3.02</v>
      </c>
      <c r="T3">
        <f>ABS(S3-R3)</f>
        <v>8.9999999999999858E-2</v>
      </c>
      <c r="U3">
        <f>AVERAGE(R3:S3)</f>
        <v>3.0649999999999999</v>
      </c>
      <c r="V3" s="7">
        <f>_xlfn.STDEV.S(R3:S3)</f>
        <v>6.3639610306789177E-2</v>
      </c>
      <c r="W3" s="7">
        <f>(V3/U3)*100</f>
        <v>2.0763331258332522</v>
      </c>
      <c r="Y3" s="4">
        <v>1218</v>
      </c>
      <c r="Z3">
        <v>3.17</v>
      </c>
      <c r="AA3">
        <v>3.14</v>
      </c>
      <c r="AB3">
        <f>ABS(AA3-Z3)</f>
        <v>2.9999999999999805E-2</v>
      </c>
      <c r="AC3" s="6">
        <f>AVERAGE(Z3:AA3)</f>
        <v>3.1550000000000002</v>
      </c>
      <c r="AD3" s="7">
        <f>_xlfn.STDEV.S(Z3:AA3)</f>
        <v>2.1213203435596288E-2</v>
      </c>
      <c r="AE3">
        <f>(AD3/AC3)*100</f>
        <v>0.67236777925820246</v>
      </c>
    </row>
    <row r="4" spans="1:31" x14ac:dyDescent="0.35">
      <c r="A4" s="4">
        <v>169</v>
      </c>
      <c r="B4">
        <v>3.43</v>
      </c>
      <c r="C4">
        <v>3.45</v>
      </c>
      <c r="D4">
        <f t="shared" ref="D4:D12" si="0">ABS(C4-B4)</f>
        <v>2.0000000000000018E-2</v>
      </c>
      <c r="E4">
        <f t="shared" ref="E4:E12" si="1">AVERAGE(B4:C4)</f>
        <v>3.4400000000000004</v>
      </c>
      <c r="F4" s="6">
        <f t="shared" ref="F4:F12" si="2">_xlfn.STDEV.S(B4:C4)</f>
        <v>1.4142135623730963E-2</v>
      </c>
      <c r="G4" s="7">
        <f t="shared" ref="G4:G12" si="3">(F4/E4)*100</f>
        <v>0.41110859371310937</v>
      </c>
      <c r="I4" s="4">
        <v>159</v>
      </c>
      <c r="J4">
        <v>3.46</v>
      </c>
      <c r="K4">
        <v>3.39</v>
      </c>
      <c r="L4">
        <f t="shared" ref="L4:L12" si="4">ABS(K4-J4)</f>
        <v>6.999999999999984E-2</v>
      </c>
      <c r="M4" s="6">
        <f t="shared" ref="M4:M12" si="5">AVERAGE(J4:K4)</f>
        <v>3.4249999999999998</v>
      </c>
      <c r="N4" s="7">
        <f t="shared" ref="N4:N12" si="6">_xlfn.STDEV.S(J4:K4)</f>
        <v>4.9497474683058214E-2</v>
      </c>
      <c r="O4" s="7">
        <f t="shared" ref="O4:O12" si="7">(N4/M4)*100</f>
        <v>1.4451817425710427</v>
      </c>
      <c r="Q4" s="4">
        <v>1169</v>
      </c>
      <c r="R4">
        <v>3.06</v>
      </c>
      <c r="S4">
        <v>3.06</v>
      </c>
      <c r="T4">
        <f t="shared" ref="T4:T12" si="8">ABS(S4-R4)</f>
        <v>0</v>
      </c>
      <c r="U4">
        <f t="shared" ref="U4:U12" si="9">AVERAGE(R4:S4)</f>
        <v>3.06</v>
      </c>
      <c r="V4" s="7">
        <f t="shared" ref="V4:V12" si="10">_xlfn.STDEV.S(R4:S4)</f>
        <v>0</v>
      </c>
      <c r="W4" s="7">
        <f t="shared" ref="W4:W12" si="11">(V4/U4)*100</f>
        <v>0</v>
      </c>
      <c r="Y4" s="4">
        <v>1219</v>
      </c>
      <c r="Z4">
        <v>2.89</v>
      </c>
      <c r="AA4">
        <v>2.98</v>
      </c>
      <c r="AB4">
        <f t="shared" ref="AB4:AB12" si="12">ABS(AA4-Z4)</f>
        <v>8.9999999999999858E-2</v>
      </c>
      <c r="AC4" s="6">
        <f t="shared" ref="AC4:AC12" si="13">AVERAGE(Z4:AA4)</f>
        <v>2.9350000000000001</v>
      </c>
      <c r="AD4" s="7">
        <f t="shared" ref="AD4:AD12" si="14">_xlfn.STDEV.S(Z4:AA4)</f>
        <v>6.3639610306789177E-2</v>
      </c>
      <c r="AE4">
        <f t="shared" ref="AE4:AE12" si="15">(AD4/AC4)*100</f>
        <v>2.168300180810534</v>
      </c>
    </row>
    <row r="5" spans="1:31" x14ac:dyDescent="0.35">
      <c r="A5" s="4">
        <v>170</v>
      </c>
      <c r="B5">
        <v>3.19</v>
      </c>
      <c r="C5">
        <v>3.23</v>
      </c>
      <c r="D5">
        <f t="shared" si="0"/>
        <v>4.0000000000000036E-2</v>
      </c>
      <c r="E5">
        <f t="shared" si="1"/>
        <v>3.21</v>
      </c>
      <c r="F5" s="6">
        <f t="shared" si="2"/>
        <v>2.8284271247461926E-2</v>
      </c>
      <c r="G5" s="7">
        <f t="shared" si="3"/>
        <v>0.88112994540379819</v>
      </c>
      <c r="I5" s="4">
        <v>160</v>
      </c>
      <c r="J5">
        <v>3.47</v>
      </c>
      <c r="K5">
        <v>3.48</v>
      </c>
      <c r="L5">
        <f t="shared" si="4"/>
        <v>9.9999999999997868E-3</v>
      </c>
      <c r="M5" s="6">
        <f t="shared" si="5"/>
        <v>3.4750000000000001</v>
      </c>
      <c r="N5" s="7">
        <f t="shared" si="6"/>
        <v>7.0710678118653244E-3</v>
      </c>
      <c r="O5" s="7">
        <f t="shared" si="7"/>
        <v>0.20348396580907407</v>
      </c>
      <c r="Q5" s="4">
        <v>1170</v>
      </c>
      <c r="R5">
        <v>3.06</v>
      </c>
      <c r="S5">
        <v>3.15</v>
      </c>
      <c r="T5">
        <f t="shared" si="8"/>
        <v>8.9999999999999858E-2</v>
      </c>
      <c r="U5">
        <f t="shared" si="9"/>
        <v>3.105</v>
      </c>
      <c r="V5" s="7">
        <f t="shared" si="10"/>
        <v>6.3639610306789177E-2</v>
      </c>
      <c r="W5" s="7">
        <f t="shared" si="11"/>
        <v>2.0495848730044823</v>
      </c>
      <c r="Y5" s="4">
        <v>1220</v>
      </c>
      <c r="Z5">
        <v>3.12</v>
      </c>
      <c r="AA5">
        <v>3.12</v>
      </c>
      <c r="AB5">
        <f t="shared" si="12"/>
        <v>0</v>
      </c>
      <c r="AC5" s="6">
        <f t="shared" si="13"/>
        <v>3.12</v>
      </c>
      <c r="AD5" s="7">
        <f t="shared" si="14"/>
        <v>0</v>
      </c>
      <c r="AE5">
        <f t="shared" si="15"/>
        <v>0</v>
      </c>
    </row>
    <row r="6" spans="1:31" x14ac:dyDescent="0.35">
      <c r="A6" s="4">
        <v>171</v>
      </c>
      <c r="B6">
        <v>3.42</v>
      </c>
      <c r="C6">
        <v>3.34</v>
      </c>
      <c r="D6">
        <f t="shared" si="0"/>
        <v>8.0000000000000071E-2</v>
      </c>
      <c r="E6">
        <f t="shared" si="1"/>
        <v>3.38</v>
      </c>
      <c r="F6" s="6">
        <f t="shared" si="2"/>
        <v>5.6568542494923851E-2</v>
      </c>
      <c r="G6" s="7">
        <f t="shared" si="3"/>
        <v>1.6736255176012973</v>
      </c>
      <c r="I6" s="4">
        <v>161</v>
      </c>
      <c r="J6">
        <v>3.45</v>
      </c>
      <c r="K6">
        <v>3.49</v>
      </c>
      <c r="L6">
        <f t="shared" si="4"/>
        <v>4.0000000000000036E-2</v>
      </c>
      <c r="M6" s="6">
        <f t="shared" si="5"/>
        <v>3.47</v>
      </c>
      <c r="N6" s="7">
        <f t="shared" si="6"/>
        <v>2.8284271247461926E-2</v>
      </c>
      <c r="O6" s="7">
        <f t="shared" si="7"/>
        <v>0.8151086814830526</v>
      </c>
      <c r="Q6" s="4">
        <v>1171</v>
      </c>
      <c r="R6">
        <v>3.14</v>
      </c>
      <c r="S6">
        <v>3.11</v>
      </c>
      <c r="T6">
        <f t="shared" si="8"/>
        <v>3.0000000000000249E-2</v>
      </c>
      <c r="U6">
        <f t="shared" si="9"/>
        <v>3.125</v>
      </c>
      <c r="V6" s="7">
        <f t="shared" si="10"/>
        <v>2.12132034355966E-2</v>
      </c>
      <c r="W6" s="7">
        <f t="shared" si="11"/>
        <v>0.67882250993909121</v>
      </c>
      <c r="Y6" s="4">
        <v>1221</v>
      </c>
      <c r="Z6">
        <v>3.07</v>
      </c>
      <c r="AA6">
        <v>3.03</v>
      </c>
      <c r="AB6">
        <f t="shared" si="12"/>
        <v>4.0000000000000036E-2</v>
      </c>
      <c r="AC6" s="6">
        <f t="shared" si="13"/>
        <v>3.05</v>
      </c>
      <c r="AD6" s="7">
        <f t="shared" si="14"/>
        <v>2.8284271247461926E-2</v>
      </c>
      <c r="AE6">
        <f t="shared" si="15"/>
        <v>0.9273531556544895</v>
      </c>
    </row>
    <row r="7" spans="1:31" x14ac:dyDescent="0.35">
      <c r="A7" s="4">
        <v>172</v>
      </c>
      <c r="B7">
        <v>3.24</v>
      </c>
      <c r="C7">
        <v>3.29</v>
      </c>
      <c r="D7">
        <f t="shared" si="0"/>
        <v>4.9999999999999822E-2</v>
      </c>
      <c r="E7">
        <f t="shared" si="1"/>
        <v>3.2650000000000001</v>
      </c>
      <c r="F7" s="6">
        <f t="shared" si="2"/>
        <v>3.5355339059327251E-2</v>
      </c>
      <c r="G7" s="7">
        <f t="shared" si="3"/>
        <v>1.0828587767022129</v>
      </c>
      <c r="I7" s="4">
        <v>162</v>
      </c>
      <c r="J7">
        <v>3.58</v>
      </c>
      <c r="K7">
        <v>3.6</v>
      </c>
      <c r="L7">
        <f t="shared" si="4"/>
        <v>2.0000000000000018E-2</v>
      </c>
      <c r="M7" s="6">
        <f t="shared" si="5"/>
        <v>3.59</v>
      </c>
      <c r="N7" s="7">
        <f t="shared" si="6"/>
        <v>1.4142135623730963E-2</v>
      </c>
      <c r="O7" s="7">
        <f t="shared" si="7"/>
        <v>0.39393135442147531</v>
      </c>
      <c r="Q7" s="4">
        <v>1172</v>
      </c>
      <c r="R7">
        <v>3.13</v>
      </c>
      <c r="S7">
        <v>3.11</v>
      </c>
      <c r="T7">
        <f t="shared" si="8"/>
        <v>2.0000000000000018E-2</v>
      </c>
      <c r="U7">
        <f t="shared" si="9"/>
        <v>3.12</v>
      </c>
      <c r="V7" s="7">
        <f t="shared" si="10"/>
        <v>1.4142135623730963E-2</v>
      </c>
      <c r="W7" s="7">
        <f t="shared" si="11"/>
        <v>0.4532735776836847</v>
      </c>
      <c r="Y7" s="4">
        <v>1222</v>
      </c>
      <c r="Z7">
        <v>3.69</v>
      </c>
      <c r="AA7">
        <v>3.64</v>
      </c>
      <c r="AB7">
        <f t="shared" si="12"/>
        <v>4.9999999999999822E-2</v>
      </c>
      <c r="AC7" s="6">
        <f t="shared" si="13"/>
        <v>3.665</v>
      </c>
      <c r="AD7" s="7">
        <f t="shared" si="14"/>
        <v>3.5355339059327251E-2</v>
      </c>
      <c r="AE7">
        <f t="shared" si="15"/>
        <v>0.96467500844003418</v>
      </c>
    </row>
    <row r="8" spans="1:31" x14ac:dyDescent="0.35">
      <c r="A8" s="4">
        <v>173</v>
      </c>
      <c r="B8">
        <v>3.23</v>
      </c>
      <c r="C8">
        <v>3.19</v>
      </c>
      <c r="D8">
        <f t="shared" si="0"/>
        <v>4.0000000000000036E-2</v>
      </c>
      <c r="E8">
        <f t="shared" si="1"/>
        <v>3.21</v>
      </c>
      <c r="F8" s="6">
        <f t="shared" si="2"/>
        <v>2.8284271247461926E-2</v>
      </c>
      <c r="G8" s="7">
        <f t="shared" si="3"/>
        <v>0.88112994540379819</v>
      </c>
      <c r="I8" s="4">
        <v>163</v>
      </c>
      <c r="J8">
        <v>3.48</v>
      </c>
      <c r="K8">
        <v>3.45</v>
      </c>
      <c r="L8">
        <f t="shared" si="4"/>
        <v>2.9999999999999805E-2</v>
      </c>
      <c r="M8" s="6">
        <f t="shared" si="5"/>
        <v>3.4649999999999999</v>
      </c>
      <c r="N8" s="7">
        <f t="shared" si="6"/>
        <v>2.1213203435596288E-2</v>
      </c>
      <c r="O8" s="7">
        <f t="shared" si="7"/>
        <v>0.61221366336497218</v>
      </c>
      <c r="Q8" s="4">
        <v>1173</v>
      </c>
      <c r="R8">
        <v>3.09</v>
      </c>
      <c r="S8">
        <v>3.07</v>
      </c>
      <c r="T8">
        <f t="shared" si="8"/>
        <v>2.0000000000000018E-2</v>
      </c>
      <c r="U8">
        <f t="shared" si="9"/>
        <v>3.08</v>
      </c>
      <c r="V8" s="7">
        <f t="shared" si="10"/>
        <v>1.4142135623730963E-2</v>
      </c>
      <c r="W8" s="7">
        <f t="shared" si="11"/>
        <v>0.45916024752373252</v>
      </c>
      <c r="Y8" s="4">
        <v>1223</v>
      </c>
      <c r="Z8">
        <v>3.03</v>
      </c>
      <c r="AA8">
        <v>2.97</v>
      </c>
      <c r="AB8">
        <f t="shared" si="12"/>
        <v>5.9999999999999609E-2</v>
      </c>
      <c r="AC8" s="6">
        <f t="shared" si="13"/>
        <v>3</v>
      </c>
      <c r="AD8" s="7">
        <f t="shared" si="14"/>
        <v>4.2426406871192576E-2</v>
      </c>
      <c r="AE8">
        <f t="shared" si="15"/>
        <v>1.4142135623730858</v>
      </c>
    </row>
    <row r="9" spans="1:31" x14ac:dyDescent="0.35">
      <c r="A9" s="4">
        <v>174</v>
      </c>
      <c r="B9">
        <v>3.17</v>
      </c>
      <c r="C9">
        <v>3.22</v>
      </c>
      <c r="D9">
        <f t="shared" si="0"/>
        <v>5.0000000000000266E-2</v>
      </c>
      <c r="E9">
        <f t="shared" si="1"/>
        <v>3.1950000000000003</v>
      </c>
      <c r="F9" s="6">
        <f t="shared" si="2"/>
        <v>3.5355339059327563E-2</v>
      </c>
      <c r="G9" s="7">
        <f t="shared" si="3"/>
        <v>1.1065833821385778</v>
      </c>
      <c r="I9" s="4">
        <v>164</v>
      </c>
      <c r="J9">
        <v>3.53</v>
      </c>
      <c r="K9">
        <v>3.63</v>
      </c>
      <c r="L9">
        <f t="shared" si="4"/>
        <v>0.10000000000000009</v>
      </c>
      <c r="M9" s="6">
        <f t="shared" si="5"/>
        <v>3.58</v>
      </c>
      <c r="N9" s="7">
        <f t="shared" si="6"/>
        <v>7.0710678118654821E-2</v>
      </c>
      <c r="O9" s="7">
        <f t="shared" si="7"/>
        <v>1.9751586066663358</v>
      </c>
      <c r="Q9" s="4">
        <v>1174</v>
      </c>
      <c r="R9">
        <v>3.02</v>
      </c>
      <c r="S9">
        <v>2.99</v>
      </c>
      <c r="T9">
        <f t="shared" si="8"/>
        <v>2.9999999999999805E-2</v>
      </c>
      <c r="U9">
        <f t="shared" si="9"/>
        <v>3.0049999999999999</v>
      </c>
      <c r="V9" s="7">
        <f t="shared" si="10"/>
        <v>2.1213203435596288E-2</v>
      </c>
      <c r="W9" s="7">
        <f t="shared" si="11"/>
        <v>0.70593023080187323</v>
      </c>
      <c r="Y9" s="4">
        <v>1224</v>
      </c>
      <c r="Z9">
        <v>3</v>
      </c>
      <c r="AA9">
        <v>3.03</v>
      </c>
      <c r="AB9">
        <f t="shared" si="12"/>
        <v>2.9999999999999805E-2</v>
      </c>
      <c r="AC9" s="6">
        <f t="shared" si="13"/>
        <v>3.0149999999999997</v>
      </c>
      <c r="AD9" s="7">
        <f t="shared" si="14"/>
        <v>2.1213203435596288E-2</v>
      </c>
      <c r="AE9">
        <f t="shared" si="15"/>
        <v>0.70358883700153529</v>
      </c>
    </row>
    <row r="10" spans="1:31" x14ac:dyDescent="0.35">
      <c r="A10" s="4">
        <v>175</v>
      </c>
      <c r="B10">
        <v>3.2</v>
      </c>
      <c r="C10">
        <v>3.25</v>
      </c>
      <c r="D10">
        <f t="shared" si="0"/>
        <v>4.9999999999999822E-2</v>
      </c>
      <c r="E10">
        <f t="shared" si="1"/>
        <v>3.2250000000000001</v>
      </c>
      <c r="F10" s="6">
        <f t="shared" si="2"/>
        <v>3.5355339059327251E-2</v>
      </c>
      <c r="G10" s="7">
        <f t="shared" si="3"/>
        <v>1.0962895832349535</v>
      </c>
      <c r="I10" s="4">
        <v>165</v>
      </c>
      <c r="J10">
        <v>3.46</v>
      </c>
      <c r="K10">
        <v>3.44</v>
      </c>
      <c r="L10">
        <f t="shared" si="4"/>
        <v>2.0000000000000018E-2</v>
      </c>
      <c r="M10" s="6">
        <f t="shared" si="5"/>
        <v>3.45</v>
      </c>
      <c r="N10" s="7">
        <f t="shared" si="6"/>
        <v>1.4142135623730963E-2</v>
      </c>
      <c r="O10" s="7">
        <f t="shared" si="7"/>
        <v>0.40991697460089749</v>
      </c>
      <c r="Q10" s="4">
        <v>1175</v>
      </c>
      <c r="R10">
        <v>2.98</v>
      </c>
      <c r="S10">
        <v>2.97</v>
      </c>
      <c r="T10">
        <f t="shared" si="8"/>
        <v>9.9999999999997868E-3</v>
      </c>
      <c r="U10">
        <f t="shared" si="9"/>
        <v>2.9750000000000001</v>
      </c>
      <c r="V10" s="7">
        <f t="shared" si="10"/>
        <v>7.0710678118653244E-3</v>
      </c>
      <c r="W10" s="7">
        <f t="shared" si="11"/>
        <v>0.23768295165933861</v>
      </c>
      <c r="Y10" s="4">
        <v>1225</v>
      </c>
      <c r="Z10">
        <v>2.89</v>
      </c>
      <c r="AA10">
        <v>2.96</v>
      </c>
      <c r="AB10">
        <f t="shared" si="12"/>
        <v>6.999999999999984E-2</v>
      </c>
      <c r="AC10" s="6">
        <f t="shared" si="13"/>
        <v>2.9249999999999998</v>
      </c>
      <c r="AD10" s="7">
        <f t="shared" si="14"/>
        <v>4.9497474683058214E-2</v>
      </c>
      <c r="AE10">
        <f t="shared" si="15"/>
        <v>1.6922213566857511</v>
      </c>
    </row>
    <row r="11" spans="1:31" x14ac:dyDescent="0.35">
      <c r="A11" s="4">
        <v>176</v>
      </c>
      <c r="B11" s="6">
        <v>3</v>
      </c>
      <c r="C11">
        <v>2.99</v>
      </c>
      <c r="D11">
        <f t="shared" si="0"/>
        <v>9.9999999999997868E-3</v>
      </c>
      <c r="E11">
        <f t="shared" si="1"/>
        <v>2.9950000000000001</v>
      </c>
      <c r="F11" s="6">
        <f t="shared" si="2"/>
        <v>7.0710678118653244E-3</v>
      </c>
      <c r="G11" s="7">
        <f t="shared" si="3"/>
        <v>0.23609575331770696</v>
      </c>
      <c r="I11" s="4">
        <v>166</v>
      </c>
      <c r="J11">
        <v>3.39</v>
      </c>
      <c r="K11">
        <v>3.37</v>
      </c>
      <c r="L11">
        <f t="shared" si="4"/>
        <v>2.0000000000000018E-2</v>
      </c>
      <c r="M11" s="6">
        <f t="shared" si="5"/>
        <v>3.38</v>
      </c>
      <c r="N11" s="7">
        <f t="shared" si="6"/>
        <v>1.4142135623730963E-2</v>
      </c>
      <c r="O11" s="7">
        <f t="shared" si="7"/>
        <v>0.41840637940032432</v>
      </c>
      <c r="Q11" s="4">
        <v>1176</v>
      </c>
      <c r="R11">
        <v>3.05</v>
      </c>
      <c r="S11">
        <v>3.05</v>
      </c>
      <c r="T11">
        <f t="shared" si="8"/>
        <v>0</v>
      </c>
      <c r="U11">
        <f t="shared" si="9"/>
        <v>3.05</v>
      </c>
      <c r="V11" s="7">
        <f t="shared" si="10"/>
        <v>0</v>
      </c>
      <c r="W11" s="7">
        <f t="shared" si="11"/>
        <v>0</v>
      </c>
      <c r="Y11" s="4">
        <v>1226</v>
      </c>
      <c r="Z11">
        <v>2.93</v>
      </c>
      <c r="AA11">
        <v>3.02</v>
      </c>
      <c r="AB11">
        <f t="shared" si="12"/>
        <v>8.9999999999999858E-2</v>
      </c>
      <c r="AC11" s="6">
        <f t="shared" si="13"/>
        <v>2.9750000000000001</v>
      </c>
      <c r="AD11" s="7">
        <f t="shared" si="14"/>
        <v>6.3639610306789177E-2</v>
      </c>
      <c r="AE11">
        <f t="shared" si="15"/>
        <v>2.1391465649340899</v>
      </c>
    </row>
    <row r="12" spans="1:31" x14ac:dyDescent="0.35">
      <c r="A12" s="4">
        <v>177</v>
      </c>
      <c r="B12">
        <v>3.12</v>
      </c>
      <c r="C12">
        <v>3.09</v>
      </c>
      <c r="D12">
        <f t="shared" si="0"/>
        <v>3.0000000000000249E-2</v>
      </c>
      <c r="E12">
        <f t="shared" si="1"/>
        <v>3.105</v>
      </c>
      <c r="F12" s="6">
        <f t="shared" si="2"/>
        <v>2.12132034355966E-2</v>
      </c>
      <c r="G12" s="7">
        <f t="shared" si="3"/>
        <v>0.68319495766816751</v>
      </c>
      <c r="I12" s="4">
        <v>167</v>
      </c>
      <c r="J12">
        <v>3.36</v>
      </c>
      <c r="K12">
        <v>3.4</v>
      </c>
      <c r="L12">
        <f t="shared" si="4"/>
        <v>4.0000000000000036E-2</v>
      </c>
      <c r="M12" s="6">
        <f t="shared" si="5"/>
        <v>3.38</v>
      </c>
      <c r="N12" s="7">
        <f t="shared" si="6"/>
        <v>2.8284271247461926E-2</v>
      </c>
      <c r="O12" s="7">
        <f t="shared" si="7"/>
        <v>0.83681275880064865</v>
      </c>
      <c r="Q12" s="4">
        <v>1177</v>
      </c>
      <c r="R12">
        <v>3.12</v>
      </c>
      <c r="S12">
        <v>3.05</v>
      </c>
      <c r="T12">
        <f t="shared" si="8"/>
        <v>7.0000000000000284E-2</v>
      </c>
      <c r="U12">
        <f t="shared" si="9"/>
        <v>3.085</v>
      </c>
      <c r="V12" s="7">
        <f t="shared" si="10"/>
        <v>4.9497474683058526E-2</v>
      </c>
      <c r="W12" s="7">
        <f t="shared" si="11"/>
        <v>1.6044562295967106</v>
      </c>
      <c r="Y12" s="4">
        <v>1227</v>
      </c>
      <c r="Z12">
        <v>2.9</v>
      </c>
      <c r="AA12">
        <v>2.97</v>
      </c>
      <c r="AB12">
        <f t="shared" si="12"/>
        <v>7.0000000000000284E-2</v>
      </c>
      <c r="AC12" s="6">
        <f t="shared" si="13"/>
        <v>2.9350000000000001</v>
      </c>
      <c r="AD12" s="7">
        <f t="shared" si="14"/>
        <v>4.9497474683058526E-2</v>
      </c>
      <c r="AE12">
        <f t="shared" si="15"/>
        <v>1.6864556961859802</v>
      </c>
    </row>
    <row r="13" spans="1:31" x14ac:dyDescent="0.35">
      <c r="F13" s="8"/>
      <c r="G13" s="7"/>
    </row>
  </sheetData>
  <conditionalFormatting sqref="D3:D12">
    <cfRule type="cellIs" dxfId="0" priority="1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opLeftCell="A26" workbookViewId="0">
      <selection sqref="A1:L41"/>
    </sheetView>
  </sheetViews>
  <sheetFormatPr defaultRowHeight="14.5" x14ac:dyDescent="0.35"/>
  <cols>
    <col min="1" max="1" width="23.453125" customWidth="1"/>
    <col min="7" max="7" width="11.54296875" customWidth="1"/>
    <col min="9" max="9" width="18" customWidth="1"/>
    <col min="11" max="11" width="14.26953125" customWidth="1"/>
  </cols>
  <sheetData>
    <row r="1" spans="1:12" ht="15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6</v>
      </c>
      <c r="I1" s="1" t="s">
        <v>41</v>
      </c>
      <c r="K1" s="9" t="s">
        <v>39</v>
      </c>
      <c r="L1" s="10">
        <v>3.4</v>
      </c>
    </row>
    <row r="2" spans="1:12" ht="15" thickTop="1" x14ac:dyDescent="0.35">
      <c r="A2" t="s">
        <v>7</v>
      </c>
      <c r="B2">
        <v>168</v>
      </c>
      <c r="C2">
        <v>3.33</v>
      </c>
      <c r="D2">
        <v>3.3</v>
      </c>
      <c r="E2" s="7">
        <f>ABS(C2-D2)</f>
        <v>3.0000000000000249E-2</v>
      </c>
      <c r="F2">
        <f>AVERAGE(C2:D2)</f>
        <v>3.3149999999999999</v>
      </c>
      <c r="G2">
        <f>_xlfn.STDEV.S(C2:D2)</f>
        <v>2.12132034355966E-2</v>
      </c>
      <c r="H2">
        <f>(G2/F2)*100</f>
        <v>0.63991563908285376</v>
      </c>
      <c r="I2">
        <f>F2-$L$1</f>
        <v>-8.4999999999999964E-2</v>
      </c>
    </row>
    <row r="3" spans="1:12" x14ac:dyDescent="0.35">
      <c r="A3" t="s">
        <v>7</v>
      </c>
      <c r="B3">
        <v>169</v>
      </c>
      <c r="C3">
        <v>3.43</v>
      </c>
      <c r="D3">
        <v>3.45</v>
      </c>
      <c r="E3" s="7">
        <f t="shared" ref="E3:E41" si="0">ABS(C3-D3)</f>
        <v>2.0000000000000018E-2</v>
      </c>
      <c r="F3">
        <f t="shared" ref="F3:F41" si="1">AVERAGE(C3:D3)</f>
        <v>3.4400000000000004</v>
      </c>
      <c r="G3">
        <f t="shared" ref="G3:G41" si="2">_xlfn.STDEV.S(C3:D3)</f>
        <v>1.4142135623730963E-2</v>
      </c>
      <c r="H3">
        <f t="shared" ref="H3:H41" si="3">(G3/F3)*100</f>
        <v>0.41110859371310937</v>
      </c>
      <c r="I3">
        <f t="shared" ref="I3:I41" si="4">F3-$L$1</f>
        <v>4.000000000000048E-2</v>
      </c>
    </row>
    <row r="4" spans="1:12" x14ac:dyDescent="0.35">
      <c r="A4" t="s">
        <v>7</v>
      </c>
      <c r="B4">
        <v>170</v>
      </c>
      <c r="C4">
        <v>3.19</v>
      </c>
      <c r="D4">
        <v>3.23</v>
      </c>
      <c r="E4" s="7">
        <f t="shared" si="0"/>
        <v>4.0000000000000036E-2</v>
      </c>
      <c r="F4">
        <f t="shared" si="1"/>
        <v>3.21</v>
      </c>
      <c r="G4">
        <f t="shared" si="2"/>
        <v>2.8284271247461926E-2</v>
      </c>
      <c r="H4">
        <f t="shared" si="3"/>
        <v>0.88112994540379819</v>
      </c>
      <c r="I4">
        <f t="shared" si="4"/>
        <v>-0.18999999999999995</v>
      </c>
    </row>
    <row r="5" spans="1:12" x14ac:dyDescent="0.35">
      <c r="A5" t="s">
        <v>7</v>
      </c>
      <c r="B5">
        <v>171</v>
      </c>
      <c r="C5">
        <v>3.42</v>
      </c>
      <c r="D5">
        <v>3.34</v>
      </c>
      <c r="E5" s="7">
        <f t="shared" si="0"/>
        <v>8.0000000000000071E-2</v>
      </c>
      <c r="F5">
        <f t="shared" si="1"/>
        <v>3.38</v>
      </c>
      <c r="G5">
        <f t="shared" si="2"/>
        <v>5.6568542494923851E-2</v>
      </c>
      <c r="H5">
        <f t="shared" si="3"/>
        <v>1.6736255176012973</v>
      </c>
      <c r="I5">
        <f t="shared" si="4"/>
        <v>-2.0000000000000018E-2</v>
      </c>
    </row>
    <row r="6" spans="1:12" x14ac:dyDescent="0.35">
      <c r="A6" t="s">
        <v>7</v>
      </c>
      <c r="B6">
        <v>172</v>
      </c>
      <c r="C6">
        <v>3.24</v>
      </c>
      <c r="D6">
        <v>3.29</v>
      </c>
      <c r="E6" s="7">
        <f t="shared" si="0"/>
        <v>4.9999999999999822E-2</v>
      </c>
      <c r="F6">
        <f t="shared" si="1"/>
        <v>3.2650000000000001</v>
      </c>
      <c r="G6">
        <f t="shared" si="2"/>
        <v>3.5355339059327251E-2</v>
      </c>
      <c r="H6">
        <f t="shared" si="3"/>
        <v>1.0828587767022129</v>
      </c>
      <c r="I6">
        <f t="shared" si="4"/>
        <v>-0.13499999999999979</v>
      </c>
    </row>
    <row r="7" spans="1:12" x14ac:dyDescent="0.35">
      <c r="A7" t="s">
        <v>7</v>
      </c>
      <c r="B7">
        <v>173</v>
      </c>
      <c r="C7">
        <v>3.23</v>
      </c>
      <c r="D7">
        <v>3.19</v>
      </c>
      <c r="E7" s="7">
        <f t="shared" si="0"/>
        <v>4.0000000000000036E-2</v>
      </c>
      <c r="F7">
        <f t="shared" si="1"/>
        <v>3.21</v>
      </c>
      <c r="G7">
        <f t="shared" si="2"/>
        <v>2.8284271247461926E-2</v>
      </c>
      <c r="H7">
        <f t="shared" si="3"/>
        <v>0.88112994540379819</v>
      </c>
      <c r="I7">
        <f t="shared" si="4"/>
        <v>-0.18999999999999995</v>
      </c>
    </row>
    <row r="8" spans="1:12" x14ac:dyDescent="0.35">
      <c r="A8" t="s">
        <v>7</v>
      </c>
      <c r="B8">
        <v>174</v>
      </c>
      <c r="C8">
        <v>3.17</v>
      </c>
      <c r="D8">
        <v>3.22</v>
      </c>
      <c r="E8" s="7">
        <f t="shared" si="0"/>
        <v>5.0000000000000266E-2</v>
      </c>
      <c r="F8">
        <f t="shared" si="1"/>
        <v>3.1950000000000003</v>
      </c>
      <c r="G8">
        <f t="shared" si="2"/>
        <v>3.5355339059327563E-2</v>
      </c>
      <c r="H8">
        <f t="shared" si="3"/>
        <v>1.1065833821385778</v>
      </c>
      <c r="I8">
        <f t="shared" si="4"/>
        <v>-0.20499999999999963</v>
      </c>
    </row>
    <row r="9" spans="1:12" x14ac:dyDescent="0.35">
      <c r="A9" t="s">
        <v>7</v>
      </c>
      <c r="B9">
        <v>175</v>
      </c>
      <c r="C9">
        <v>3.2</v>
      </c>
      <c r="D9">
        <v>3.25</v>
      </c>
      <c r="E9" s="7">
        <f t="shared" si="0"/>
        <v>4.9999999999999822E-2</v>
      </c>
      <c r="F9">
        <f t="shared" si="1"/>
        <v>3.2250000000000001</v>
      </c>
      <c r="G9">
        <f t="shared" si="2"/>
        <v>3.5355339059327251E-2</v>
      </c>
      <c r="H9">
        <f t="shared" si="3"/>
        <v>1.0962895832349535</v>
      </c>
      <c r="I9">
        <f t="shared" si="4"/>
        <v>-0.17499999999999982</v>
      </c>
    </row>
    <row r="10" spans="1:12" x14ac:dyDescent="0.35">
      <c r="A10" t="s">
        <v>7</v>
      </c>
      <c r="B10">
        <v>176</v>
      </c>
      <c r="C10">
        <v>3</v>
      </c>
      <c r="D10">
        <v>2.99</v>
      </c>
      <c r="E10" s="7">
        <f t="shared" si="0"/>
        <v>9.9999999999997868E-3</v>
      </c>
      <c r="F10">
        <f t="shared" si="1"/>
        <v>2.9950000000000001</v>
      </c>
      <c r="G10">
        <f t="shared" si="2"/>
        <v>7.0710678118653244E-3</v>
      </c>
      <c r="H10">
        <f t="shared" si="3"/>
        <v>0.23609575331770696</v>
      </c>
      <c r="I10">
        <f t="shared" si="4"/>
        <v>-0.4049999999999998</v>
      </c>
    </row>
    <row r="11" spans="1:12" x14ac:dyDescent="0.35">
      <c r="A11" t="s">
        <v>7</v>
      </c>
      <c r="B11">
        <v>177</v>
      </c>
      <c r="C11">
        <v>3.12</v>
      </c>
      <c r="D11">
        <v>3.09</v>
      </c>
      <c r="E11" s="7">
        <f t="shared" si="0"/>
        <v>3.0000000000000249E-2</v>
      </c>
      <c r="F11">
        <f t="shared" si="1"/>
        <v>3.105</v>
      </c>
      <c r="G11">
        <f t="shared" si="2"/>
        <v>2.12132034355966E-2</v>
      </c>
      <c r="H11">
        <f t="shared" si="3"/>
        <v>0.68319495766816751</v>
      </c>
      <c r="I11">
        <f t="shared" si="4"/>
        <v>-0.29499999999999993</v>
      </c>
    </row>
    <row r="12" spans="1:12" x14ac:dyDescent="0.35">
      <c r="A12" t="s">
        <v>8</v>
      </c>
      <c r="B12">
        <v>158</v>
      </c>
      <c r="C12">
        <v>3.59</v>
      </c>
      <c r="D12">
        <v>3.59</v>
      </c>
      <c r="E12" s="7">
        <f t="shared" si="0"/>
        <v>0</v>
      </c>
      <c r="F12">
        <f t="shared" si="1"/>
        <v>3.59</v>
      </c>
      <c r="G12">
        <f t="shared" si="2"/>
        <v>0</v>
      </c>
      <c r="H12">
        <f t="shared" si="3"/>
        <v>0</v>
      </c>
      <c r="I12">
        <f t="shared" si="4"/>
        <v>0.18999999999999995</v>
      </c>
    </row>
    <row r="13" spans="1:12" x14ac:dyDescent="0.35">
      <c r="A13" t="s">
        <v>8</v>
      </c>
      <c r="B13">
        <v>159</v>
      </c>
      <c r="C13">
        <v>3.46</v>
      </c>
      <c r="D13">
        <v>3.39</v>
      </c>
      <c r="E13" s="7">
        <f t="shared" si="0"/>
        <v>6.999999999999984E-2</v>
      </c>
      <c r="F13">
        <f t="shared" si="1"/>
        <v>3.4249999999999998</v>
      </c>
      <c r="G13">
        <f t="shared" si="2"/>
        <v>4.9497474683058214E-2</v>
      </c>
      <c r="H13">
        <f t="shared" si="3"/>
        <v>1.4451817425710427</v>
      </c>
      <c r="I13">
        <f t="shared" si="4"/>
        <v>2.4999999999999911E-2</v>
      </c>
    </row>
    <row r="14" spans="1:12" x14ac:dyDescent="0.35">
      <c r="A14" t="s">
        <v>8</v>
      </c>
      <c r="B14">
        <v>160</v>
      </c>
      <c r="C14">
        <v>3.47</v>
      </c>
      <c r="D14">
        <v>3.48</v>
      </c>
      <c r="E14" s="7">
        <f t="shared" si="0"/>
        <v>9.9999999999997868E-3</v>
      </c>
      <c r="F14">
        <f t="shared" si="1"/>
        <v>3.4750000000000001</v>
      </c>
      <c r="G14">
        <f t="shared" si="2"/>
        <v>7.0710678118653244E-3</v>
      </c>
      <c r="H14">
        <f t="shared" si="3"/>
        <v>0.20348396580907407</v>
      </c>
      <c r="I14">
        <f t="shared" si="4"/>
        <v>7.5000000000000178E-2</v>
      </c>
    </row>
    <row r="15" spans="1:12" x14ac:dyDescent="0.35">
      <c r="A15" t="s">
        <v>8</v>
      </c>
      <c r="B15">
        <v>161</v>
      </c>
      <c r="C15">
        <v>3.45</v>
      </c>
      <c r="D15">
        <v>3.49</v>
      </c>
      <c r="E15" s="7">
        <f t="shared" si="0"/>
        <v>4.0000000000000036E-2</v>
      </c>
      <c r="F15">
        <f t="shared" si="1"/>
        <v>3.47</v>
      </c>
      <c r="G15">
        <f t="shared" si="2"/>
        <v>2.8284271247461926E-2</v>
      </c>
      <c r="H15">
        <f t="shared" si="3"/>
        <v>0.8151086814830526</v>
      </c>
      <c r="I15">
        <f t="shared" si="4"/>
        <v>7.0000000000000284E-2</v>
      </c>
    </row>
    <row r="16" spans="1:12" x14ac:dyDescent="0.35">
      <c r="A16" t="s">
        <v>8</v>
      </c>
      <c r="B16">
        <v>162</v>
      </c>
      <c r="C16">
        <v>3.58</v>
      </c>
      <c r="D16">
        <v>3.6</v>
      </c>
      <c r="E16" s="7">
        <f t="shared" si="0"/>
        <v>2.0000000000000018E-2</v>
      </c>
      <c r="F16">
        <f t="shared" si="1"/>
        <v>3.59</v>
      </c>
      <c r="G16">
        <f t="shared" si="2"/>
        <v>1.4142135623730963E-2</v>
      </c>
      <c r="H16">
        <f t="shared" si="3"/>
        <v>0.39393135442147531</v>
      </c>
      <c r="I16">
        <f t="shared" si="4"/>
        <v>0.18999999999999995</v>
      </c>
    </row>
    <row r="17" spans="1:9" x14ac:dyDescent="0.35">
      <c r="A17" t="s">
        <v>8</v>
      </c>
      <c r="B17">
        <v>163</v>
      </c>
      <c r="C17">
        <v>3.48</v>
      </c>
      <c r="D17">
        <v>3.45</v>
      </c>
      <c r="E17" s="7">
        <f t="shared" si="0"/>
        <v>2.9999999999999805E-2</v>
      </c>
      <c r="F17">
        <f t="shared" si="1"/>
        <v>3.4649999999999999</v>
      </c>
      <c r="G17">
        <f t="shared" si="2"/>
        <v>2.1213203435596288E-2</v>
      </c>
      <c r="H17">
        <f t="shared" si="3"/>
        <v>0.61221366336497218</v>
      </c>
      <c r="I17">
        <f t="shared" si="4"/>
        <v>6.4999999999999947E-2</v>
      </c>
    </row>
    <row r="18" spans="1:9" x14ac:dyDescent="0.35">
      <c r="A18" t="s">
        <v>8</v>
      </c>
      <c r="B18">
        <v>164</v>
      </c>
      <c r="C18">
        <v>3.53</v>
      </c>
      <c r="D18">
        <v>3.63</v>
      </c>
      <c r="E18" s="7">
        <f t="shared" si="0"/>
        <v>0.10000000000000009</v>
      </c>
      <c r="F18">
        <f t="shared" si="1"/>
        <v>3.58</v>
      </c>
      <c r="G18">
        <f t="shared" si="2"/>
        <v>7.0710678118654821E-2</v>
      </c>
      <c r="H18">
        <f t="shared" si="3"/>
        <v>1.9751586066663358</v>
      </c>
      <c r="I18">
        <f t="shared" si="4"/>
        <v>0.18000000000000016</v>
      </c>
    </row>
    <row r="19" spans="1:9" x14ac:dyDescent="0.35">
      <c r="A19" t="s">
        <v>8</v>
      </c>
      <c r="B19">
        <v>165</v>
      </c>
      <c r="C19">
        <v>3.46</v>
      </c>
      <c r="D19">
        <v>3.44</v>
      </c>
      <c r="E19" s="7">
        <f t="shared" si="0"/>
        <v>2.0000000000000018E-2</v>
      </c>
      <c r="F19">
        <f t="shared" si="1"/>
        <v>3.45</v>
      </c>
      <c r="G19">
        <f t="shared" si="2"/>
        <v>1.4142135623730963E-2</v>
      </c>
      <c r="H19">
        <f t="shared" si="3"/>
        <v>0.40991697460089749</v>
      </c>
      <c r="I19">
        <f t="shared" si="4"/>
        <v>5.0000000000000266E-2</v>
      </c>
    </row>
    <row r="20" spans="1:9" x14ac:dyDescent="0.35">
      <c r="A20" t="s">
        <v>8</v>
      </c>
      <c r="B20">
        <v>166</v>
      </c>
      <c r="C20">
        <v>3.39</v>
      </c>
      <c r="D20">
        <v>3.37</v>
      </c>
      <c r="E20" s="7">
        <f t="shared" si="0"/>
        <v>2.0000000000000018E-2</v>
      </c>
      <c r="F20">
        <f t="shared" si="1"/>
        <v>3.38</v>
      </c>
      <c r="G20">
        <f t="shared" si="2"/>
        <v>1.4142135623730963E-2</v>
      </c>
      <c r="H20">
        <f t="shared" si="3"/>
        <v>0.41840637940032432</v>
      </c>
      <c r="I20">
        <f t="shared" si="4"/>
        <v>-2.0000000000000018E-2</v>
      </c>
    </row>
    <row r="21" spans="1:9" x14ac:dyDescent="0.35">
      <c r="A21" t="s">
        <v>8</v>
      </c>
      <c r="B21">
        <v>167</v>
      </c>
      <c r="C21">
        <v>3.36</v>
      </c>
      <c r="D21">
        <v>3.4</v>
      </c>
      <c r="E21" s="7">
        <f t="shared" si="0"/>
        <v>4.0000000000000036E-2</v>
      </c>
      <c r="F21">
        <f t="shared" si="1"/>
        <v>3.38</v>
      </c>
      <c r="G21">
        <f t="shared" si="2"/>
        <v>2.8284271247461926E-2</v>
      </c>
      <c r="H21">
        <f t="shared" si="3"/>
        <v>0.83681275880064865</v>
      </c>
      <c r="I21">
        <f t="shared" si="4"/>
        <v>-2.0000000000000018E-2</v>
      </c>
    </row>
    <row r="22" spans="1:9" x14ac:dyDescent="0.35">
      <c r="A22" t="s">
        <v>9</v>
      </c>
      <c r="B22">
        <v>1168</v>
      </c>
      <c r="C22">
        <v>3.11</v>
      </c>
      <c r="D22">
        <v>3.02</v>
      </c>
      <c r="E22" s="7">
        <f t="shared" si="0"/>
        <v>8.9999999999999858E-2</v>
      </c>
      <c r="F22">
        <f t="shared" si="1"/>
        <v>3.0649999999999999</v>
      </c>
      <c r="G22">
        <f t="shared" si="2"/>
        <v>6.3639610306789177E-2</v>
      </c>
      <c r="H22">
        <f t="shared" si="3"/>
        <v>2.0763331258332522</v>
      </c>
      <c r="I22">
        <f t="shared" si="4"/>
        <v>-0.33499999999999996</v>
      </c>
    </row>
    <row r="23" spans="1:9" x14ac:dyDescent="0.35">
      <c r="A23" t="s">
        <v>9</v>
      </c>
      <c r="B23">
        <v>1169</v>
      </c>
      <c r="C23">
        <v>3.06</v>
      </c>
      <c r="D23">
        <v>3.06</v>
      </c>
      <c r="E23" s="7">
        <f t="shared" si="0"/>
        <v>0</v>
      </c>
      <c r="F23">
        <f t="shared" si="1"/>
        <v>3.06</v>
      </c>
      <c r="G23">
        <f t="shared" si="2"/>
        <v>0</v>
      </c>
      <c r="H23">
        <f t="shared" si="3"/>
        <v>0</v>
      </c>
      <c r="I23">
        <f t="shared" si="4"/>
        <v>-0.33999999999999986</v>
      </c>
    </row>
    <row r="24" spans="1:9" x14ac:dyDescent="0.35">
      <c r="A24" t="s">
        <v>9</v>
      </c>
      <c r="B24">
        <v>1170</v>
      </c>
      <c r="C24">
        <v>3.06</v>
      </c>
      <c r="D24">
        <v>3.15</v>
      </c>
      <c r="E24" s="7">
        <f t="shared" si="0"/>
        <v>8.9999999999999858E-2</v>
      </c>
      <c r="F24">
        <f t="shared" si="1"/>
        <v>3.105</v>
      </c>
      <c r="G24">
        <f t="shared" si="2"/>
        <v>6.3639610306789177E-2</v>
      </c>
      <c r="H24">
        <f t="shared" si="3"/>
        <v>2.0495848730044823</v>
      </c>
      <c r="I24">
        <f t="shared" si="4"/>
        <v>-0.29499999999999993</v>
      </c>
    </row>
    <row r="25" spans="1:9" x14ac:dyDescent="0.35">
      <c r="A25" t="s">
        <v>9</v>
      </c>
      <c r="B25">
        <v>1171</v>
      </c>
      <c r="C25">
        <v>3.14</v>
      </c>
      <c r="D25">
        <v>3.11</v>
      </c>
      <c r="E25" s="7">
        <f t="shared" si="0"/>
        <v>3.0000000000000249E-2</v>
      </c>
      <c r="F25">
        <f t="shared" si="1"/>
        <v>3.125</v>
      </c>
      <c r="G25">
        <f t="shared" si="2"/>
        <v>2.12132034355966E-2</v>
      </c>
      <c r="H25">
        <f t="shared" si="3"/>
        <v>0.67882250993909121</v>
      </c>
      <c r="I25">
        <f t="shared" si="4"/>
        <v>-0.27499999999999991</v>
      </c>
    </row>
    <row r="26" spans="1:9" x14ac:dyDescent="0.35">
      <c r="A26" t="s">
        <v>9</v>
      </c>
      <c r="B26">
        <v>1172</v>
      </c>
      <c r="C26">
        <v>3.13</v>
      </c>
      <c r="D26">
        <v>3.11</v>
      </c>
      <c r="E26" s="7">
        <f t="shared" si="0"/>
        <v>2.0000000000000018E-2</v>
      </c>
      <c r="F26">
        <f t="shared" si="1"/>
        <v>3.12</v>
      </c>
      <c r="G26">
        <f t="shared" si="2"/>
        <v>1.4142135623730963E-2</v>
      </c>
      <c r="H26">
        <f t="shared" si="3"/>
        <v>0.4532735776836847</v>
      </c>
      <c r="I26">
        <f t="shared" si="4"/>
        <v>-0.2799999999999998</v>
      </c>
    </row>
    <row r="27" spans="1:9" x14ac:dyDescent="0.35">
      <c r="A27" t="s">
        <v>9</v>
      </c>
      <c r="B27">
        <v>1173</v>
      </c>
      <c r="C27">
        <v>3.09</v>
      </c>
      <c r="D27">
        <v>3.07</v>
      </c>
      <c r="E27" s="7">
        <f t="shared" si="0"/>
        <v>2.0000000000000018E-2</v>
      </c>
      <c r="F27">
        <f t="shared" si="1"/>
        <v>3.08</v>
      </c>
      <c r="G27">
        <f t="shared" si="2"/>
        <v>1.4142135623730963E-2</v>
      </c>
      <c r="H27">
        <f t="shared" si="3"/>
        <v>0.45916024752373252</v>
      </c>
      <c r="I27">
        <f t="shared" si="4"/>
        <v>-0.31999999999999984</v>
      </c>
    </row>
    <row r="28" spans="1:9" x14ac:dyDescent="0.35">
      <c r="A28" t="s">
        <v>9</v>
      </c>
      <c r="B28">
        <v>1174</v>
      </c>
      <c r="C28">
        <v>3.02</v>
      </c>
      <c r="D28">
        <v>2.99</v>
      </c>
      <c r="E28" s="7">
        <f t="shared" si="0"/>
        <v>2.9999999999999805E-2</v>
      </c>
      <c r="F28">
        <f t="shared" si="1"/>
        <v>3.0049999999999999</v>
      </c>
      <c r="G28">
        <f t="shared" si="2"/>
        <v>2.1213203435596288E-2</v>
      </c>
      <c r="H28">
        <f t="shared" si="3"/>
        <v>0.70593023080187323</v>
      </c>
      <c r="I28">
        <f t="shared" si="4"/>
        <v>-0.39500000000000002</v>
      </c>
    </row>
    <row r="29" spans="1:9" x14ac:dyDescent="0.35">
      <c r="A29" t="s">
        <v>9</v>
      </c>
      <c r="B29">
        <v>1175</v>
      </c>
      <c r="C29">
        <v>2.98</v>
      </c>
      <c r="D29">
        <v>2.97</v>
      </c>
      <c r="E29" s="7">
        <f t="shared" si="0"/>
        <v>9.9999999999997868E-3</v>
      </c>
      <c r="F29">
        <f t="shared" si="1"/>
        <v>2.9750000000000001</v>
      </c>
      <c r="G29">
        <f t="shared" si="2"/>
        <v>7.0710678118653244E-3</v>
      </c>
      <c r="H29">
        <f t="shared" si="3"/>
        <v>0.23768295165933861</v>
      </c>
      <c r="I29">
        <f t="shared" si="4"/>
        <v>-0.42499999999999982</v>
      </c>
    </row>
    <row r="30" spans="1:9" x14ac:dyDescent="0.35">
      <c r="A30" t="s">
        <v>9</v>
      </c>
      <c r="B30">
        <v>1176</v>
      </c>
      <c r="C30">
        <v>3.05</v>
      </c>
      <c r="D30">
        <v>3.05</v>
      </c>
      <c r="E30" s="7">
        <f t="shared" si="0"/>
        <v>0</v>
      </c>
      <c r="F30">
        <f t="shared" si="1"/>
        <v>3.05</v>
      </c>
      <c r="G30">
        <f t="shared" si="2"/>
        <v>0</v>
      </c>
      <c r="H30">
        <f t="shared" si="3"/>
        <v>0</v>
      </c>
      <c r="I30">
        <f t="shared" si="4"/>
        <v>-0.35000000000000009</v>
      </c>
    </row>
    <row r="31" spans="1:9" x14ac:dyDescent="0.35">
      <c r="A31" t="s">
        <v>9</v>
      </c>
      <c r="B31">
        <v>1177</v>
      </c>
      <c r="C31">
        <v>3.12</v>
      </c>
      <c r="D31">
        <v>3.05</v>
      </c>
      <c r="E31" s="7">
        <f t="shared" si="0"/>
        <v>7.0000000000000284E-2</v>
      </c>
      <c r="F31">
        <f t="shared" si="1"/>
        <v>3.085</v>
      </c>
      <c r="G31">
        <f t="shared" si="2"/>
        <v>4.9497474683058526E-2</v>
      </c>
      <c r="H31">
        <f t="shared" si="3"/>
        <v>1.6044562295967106</v>
      </c>
      <c r="I31">
        <f t="shared" si="4"/>
        <v>-0.31499999999999995</v>
      </c>
    </row>
    <row r="32" spans="1:9" x14ac:dyDescent="0.35">
      <c r="A32" t="s">
        <v>10</v>
      </c>
      <c r="B32">
        <v>1218</v>
      </c>
      <c r="C32">
        <v>3.17</v>
      </c>
      <c r="D32">
        <v>3.14</v>
      </c>
      <c r="E32" s="7">
        <f t="shared" si="0"/>
        <v>2.9999999999999805E-2</v>
      </c>
      <c r="F32">
        <f t="shared" si="1"/>
        <v>3.1550000000000002</v>
      </c>
      <c r="G32">
        <f t="shared" si="2"/>
        <v>2.1213203435596288E-2</v>
      </c>
      <c r="H32">
        <f t="shared" si="3"/>
        <v>0.67236777925820246</v>
      </c>
      <c r="I32">
        <f t="shared" si="4"/>
        <v>-0.24499999999999966</v>
      </c>
    </row>
    <row r="33" spans="1:9" x14ac:dyDescent="0.35">
      <c r="A33" t="s">
        <v>10</v>
      </c>
      <c r="B33">
        <v>1219</v>
      </c>
      <c r="C33">
        <v>2.89</v>
      </c>
      <c r="D33">
        <v>2.98</v>
      </c>
      <c r="E33" s="7">
        <f t="shared" si="0"/>
        <v>8.9999999999999858E-2</v>
      </c>
      <c r="F33">
        <f t="shared" si="1"/>
        <v>2.9350000000000001</v>
      </c>
      <c r="G33">
        <f t="shared" si="2"/>
        <v>6.3639610306789177E-2</v>
      </c>
      <c r="H33">
        <f t="shared" si="3"/>
        <v>2.168300180810534</v>
      </c>
      <c r="I33">
        <f t="shared" si="4"/>
        <v>-0.46499999999999986</v>
      </c>
    </row>
    <row r="34" spans="1:9" x14ac:dyDescent="0.35">
      <c r="A34" t="s">
        <v>10</v>
      </c>
      <c r="B34">
        <v>1220</v>
      </c>
      <c r="C34">
        <v>3.12</v>
      </c>
      <c r="D34">
        <v>3.12</v>
      </c>
      <c r="E34" s="7">
        <f t="shared" si="0"/>
        <v>0</v>
      </c>
      <c r="F34">
        <f t="shared" si="1"/>
        <v>3.12</v>
      </c>
      <c r="G34">
        <f t="shared" si="2"/>
        <v>0</v>
      </c>
      <c r="H34">
        <f t="shared" si="3"/>
        <v>0</v>
      </c>
      <c r="I34">
        <f t="shared" si="4"/>
        <v>-0.2799999999999998</v>
      </c>
    </row>
    <row r="35" spans="1:9" x14ac:dyDescent="0.35">
      <c r="A35" t="s">
        <v>10</v>
      </c>
      <c r="B35">
        <v>1221</v>
      </c>
      <c r="C35">
        <v>3.07</v>
      </c>
      <c r="D35">
        <v>3.03</v>
      </c>
      <c r="E35" s="7">
        <f t="shared" si="0"/>
        <v>4.0000000000000036E-2</v>
      </c>
      <c r="F35">
        <f t="shared" si="1"/>
        <v>3.05</v>
      </c>
      <c r="G35">
        <f t="shared" si="2"/>
        <v>2.8284271247461926E-2</v>
      </c>
      <c r="H35">
        <f t="shared" si="3"/>
        <v>0.9273531556544895</v>
      </c>
      <c r="I35">
        <f t="shared" si="4"/>
        <v>-0.35000000000000009</v>
      </c>
    </row>
    <row r="36" spans="1:9" x14ac:dyDescent="0.35">
      <c r="A36" t="s">
        <v>10</v>
      </c>
      <c r="B36">
        <v>1222</v>
      </c>
      <c r="C36">
        <v>3.69</v>
      </c>
      <c r="D36">
        <v>3.64</v>
      </c>
      <c r="E36" s="7">
        <f t="shared" si="0"/>
        <v>4.9999999999999822E-2</v>
      </c>
      <c r="F36">
        <f t="shared" si="1"/>
        <v>3.665</v>
      </c>
      <c r="G36">
        <f t="shared" si="2"/>
        <v>3.5355339059327251E-2</v>
      </c>
      <c r="H36">
        <f t="shared" si="3"/>
        <v>0.96467500844003418</v>
      </c>
      <c r="I36">
        <f t="shared" si="4"/>
        <v>0.26500000000000012</v>
      </c>
    </row>
    <row r="37" spans="1:9" x14ac:dyDescent="0.35">
      <c r="A37" t="s">
        <v>10</v>
      </c>
      <c r="B37">
        <v>1223</v>
      </c>
      <c r="C37">
        <v>3.03</v>
      </c>
      <c r="D37">
        <v>2.97</v>
      </c>
      <c r="E37" s="7">
        <f t="shared" si="0"/>
        <v>5.9999999999999609E-2</v>
      </c>
      <c r="F37">
        <f t="shared" si="1"/>
        <v>3</v>
      </c>
      <c r="G37">
        <f t="shared" si="2"/>
        <v>4.2426406871192576E-2</v>
      </c>
      <c r="H37">
        <f t="shared" si="3"/>
        <v>1.4142135623730858</v>
      </c>
      <c r="I37">
        <f t="shared" si="4"/>
        <v>-0.39999999999999991</v>
      </c>
    </row>
    <row r="38" spans="1:9" x14ac:dyDescent="0.35">
      <c r="A38" t="s">
        <v>10</v>
      </c>
      <c r="B38">
        <v>1224</v>
      </c>
      <c r="C38">
        <v>3</v>
      </c>
      <c r="D38">
        <v>3.03</v>
      </c>
      <c r="E38" s="7">
        <f t="shared" si="0"/>
        <v>2.9999999999999805E-2</v>
      </c>
      <c r="F38">
        <f t="shared" si="1"/>
        <v>3.0149999999999997</v>
      </c>
      <c r="G38">
        <f t="shared" si="2"/>
        <v>2.1213203435596288E-2</v>
      </c>
      <c r="H38">
        <f t="shared" si="3"/>
        <v>0.70358883700153529</v>
      </c>
      <c r="I38">
        <f t="shared" si="4"/>
        <v>-0.38500000000000023</v>
      </c>
    </row>
    <row r="39" spans="1:9" x14ac:dyDescent="0.35">
      <c r="A39" t="s">
        <v>10</v>
      </c>
      <c r="B39">
        <v>1225</v>
      </c>
      <c r="C39">
        <v>2.89</v>
      </c>
      <c r="D39">
        <v>2.96</v>
      </c>
      <c r="E39" s="7">
        <f t="shared" si="0"/>
        <v>6.999999999999984E-2</v>
      </c>
      <c r="F39">
        <f t="shared" si="1"/>
        <v>2.9249999999999998</v>
      </c>
      <c r="G39">
        <f t="shared" si="2"/>
        <v>4.9497474683058214E-2</v>
      </c>
      <c r="H39">
        <f t="shared" si="3"/>
        <v>1.6922213566857511</v>
      </c>
      <c r="I39">
        <f t="shared" si="4"/>
        <v>-0.47500000000000009</v>
      </c>
    </row>
    <row r="40" spans="1:9" x14ac:dyDescent="0.35">
      <c r="A40" t="s">
        <v>10</v>
      </c>
      <c r="B40">
        <v>1226</v>
      </c>
      <c r="C40">
        <v>2.93</v>
      </c>
      <c r="D40">
        <v>3.02</v>
      </c>
      <c r="E40" s="7">
        <f t="shared" si="0"/>
        <v>8.9999999999999858E-2</v>
      </c>
      <c r="F40">
        <f t="shared" si="1"/>
        <v>2.9750000000000001</v>
      </c>
      <c r="G40">
        <f t="shared" si="2"/>
        <v>6.3639610306789177E-2</v>
      </c>
      <c r="H40">
        <f t="shared" si="3"/>
        <v>2.1391465649340899</v>
      </c>
      <c r="I40">
        <f t="shared" si="4"/>
        <v>-0.42499999999999982</v>
      </c>
    </row>
    <row r="41" spans="1:9" x14ac:dyDescent="0.35">
      <c r="A41" t="s">
        <v>10</v>
      </c>
      <c r="B41">
        <v>1227</v>
      </c>
      <c r="C41">
        <v>2.9</v>
      </c>
      <c r="D41">
        <v>2.97</v>
      </c>
      <c r="E41" s="7">
        <f t="shared" si="0"/>
        <v>7.0000000000000284E-2</v>
      </c>
      <c r="F41">
        <f t="shared" si="1"/>
        <v>2.9350000000000001</v>
      </c>
      <c r="G41">
        <f t="shared" si="2"/>
        <v>4.9497474683058526E-2</v>
      </c>
      <c r="H41">
        <f t="shared" si="3"/>
        <v>1.6864556961859802</v>
      </c>
      <c r="I41">
        <f t="shared" si="4"/>
        <v>-0.46499999999999986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sqref="A1:G5"/>
    </sheetView>
  </sheetViews>
  <sheetFormatPr defaultRowHeight="14.5" x14ac:dyDescent="0.35"/>
  <cols>
    <col min="1" max="1" width="21.26953125" style="3" bestFit="1" customWidth="1"/>
    <col min="2" max="2" width="9.7265625" style="3" bestFit="1" customWidth="1"/>
    <col min="3" max="3" width="18.54296875" style="3" bestFit="1" customWidth="1"/>
    <col min="4" max="4" width="15.6328125" style="3" bestFit="1" customWidth="1"/>
    <col min="5" max="5" width="15.08984375" style="3" bestFit="1" customWidth="1"/>
    <col min="6" max="6" width="9.90625" style="3" bestFit="1" customWidth="1"/>
    <col min="7" max="7" width="12.453125" style="3" bestFit="1" customWidth="1"/>
    <col min="8" max="16384" width="8.7265625" style="3"/>
  </cols>
  <sheetData>
    <row r="1" spans="1:7" x14ac:dyDescent="0.35">
      <c r="A1" s="2" t="s">
        <v>0</v>
      </c>
      <c r="B1" s="2" t="s">
        <v>15</v>
      </c>
      <c r="C1" s="2" t="s">
        <v>14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35">
      <c r="A2" s="3" t="s">
        <v>8</v>
      </c>
      <c r="B2" s="3">
        <v>10</v>
      </c>
      <c r="C2" s="11">
        <f>AVERAGE('PRECISION-INT PREC &amp; REPR'!M3:M12)</f>
        <v>3.4805000000000001</v>
      </c>
      <c r="D2" s="3">
        <v>8.0603625504343454E-2</v>
      </c>
      <c r="E2" s="3">
        <v>2.4748737341529142E-2</v>
      </c>
      <c r="F2" s="3">
        <v>8.0500000000000058E-2</v>
      </c>
      <c r="G2" s="3">
        <v>0.71102141271178232</v>
      </c>
    </row>
    <row r="3" spans="1:7" x14ac:dyDescent="0.35">
      <c r="A3" s="3" t="s">
        <v>7</v>
      </c>
      <c r="B3" s="3">
        <v>10</v>
      </c>
      <c r="C3" s="3">
        <f>AVERAGE('PRECISION-INT PREC &amp; REPR'!E3:E12)</f>
        <v>3.2340000000000004</v>
      </c>
      <c r="D3" s="3">
        <v>0.12814488328103901</v>
      </c>
      <c r="E3" s="3">
        <v>2.8284271247461919E-2</v>
      </c>
      <c r="F3" s="3">
        <v>-0.16599999999999979</v>
      </c>
      <c r="G3" s="3">
        <v>0.86919320942664746</v>
      </c>
    </row>
    <row r="4" spans="1:7" x14ac:dyDescent="0.35">
      <c r="A4" s="3" t="s">
        <v>9</v>
      </c>
      <c r="B4" s="3">
        <v>10</v>
      </c>
      <c r="C4" s="3">
        <f>AVERAGE('PRECISION-INT PREC &amp; REPR'!U3:U12)</f>
        <v>3.0670000000000002</v>
      </c>
      <c r="D4" s="3">
        <v>4.8027769744874348E-2</v>
      </c>
      <c r="E4" s="3">
        <v>2.54558441227157E-2</v>
      </c>
      <c r="F4" s="3">
        <v>-0.33299999999999991</v>
      </c>
      <c r="G4" s="3">
        <v>0.82652437460421646</v>
      </c>
    </row>
    <row r="5" spans="1:7" x14ac:dyDescent="0.35">
      <c r="A5" s="3" t="s">
        <v>10</v>
      </c>
      <c r="B5" s="3">
        <v>10</v>
      </c>
      <c r="C5" s="11">
        <f>AVERAGE('PRECISION-INT PREC &amp; REPR'!AC3:AC12)</f>
        <v>3.0775000000000001</v>
      </c>
      <c r="D5" s="3">
        <v>0.2206083759868504</v>
      </c>
      <c r="E5" s="3">
        <v>3.7476659402886942E-2</v>
      </c>
      <c r="F5" s="3">
        <v>-0.3224999999999999</v>
      </c>
      <c r="G5" s="3">
        <v>1.2368322141343699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C14" sqref="C14"/>
    </sheetView>
  </sheetViews>
  <sheetFormatPr defaultRowHeight="14.5" x14ac:dyDescent="0.35"/>
  <cols>
    <col min="1" max="1" width="14.1796875" customWidth="1"/>
    <col min="2" max="2" width="11.36328125" customWidth="1"/>
    <col min="3" max="3" width="24.54296875" customWidth="1"/>
  </cols>
  <sheetData>
    <row r="1" spans="1:5" x14ac:dyDescent="0.35">
      <c r="A1" s="1" t="s">
        <v>20</v>
      </c>
      <c r="B1" s="1" t="s">
        <v>11</v>
      </c>
      <c r="C1" s="1" t="s">
        <v>42</v>
      </c>
      <c r="D1" s="1" t="s">
        <v>12</v>
      </c>
      <c r="E1" s="1" t="s">
        <v>13</v>
      </c>
    </row>
    <row r="2" spans="1:5" x14ac:dyDescent="0.35">
      <c r="A2">
        <f>AVERAGE('SUMMARY PER RUN'!C2:C5)</f>
        <v>3.2147500000000004</v>
      </c>
      <c r="B2">
        <v>0.21373644806342501</v>
      </c>
      <c r="C2">
        <v>3.5178118198675702E-2</v>
      </c>
      <c r="D2">
        <f>2.8*C2</f>
        <v>9.8498730956291955E-2</v>
      </c>
      <c r="E2">
        <f>2.8*B2</f>
        <v>0.59846205457758994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PRECISION-INT PREC &amp; REPR</vt:lpstr>
      <vt:lpstr>BIAS</vt:lpstr>
      <vt:lpstr>SUMMARY PER RUN</vt:lpstr>
      <vt:lpstr>Combined_metrics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Sifiso Nyambi</cp:lastModifiedBy>
  <dcterms:created xsi:type="dcterms:W3CDTF">2025-09-23T08:47:59Z</dcterms:created>
  <dcterms:modified xsi:type="dcterms:W3CDTF">2025-10-03T08:36:17Z</dcterms:modified>
</cp:coreProperties>
</file>