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ZURESKY SYSTEM\2025\CERTIFICATES OF ANALYSIS\"/>
    </mc:Choice>
  </mc:AlternateContent>
  <xr:revisionPtr revIDLastSave="0" documentId="13_ncr:1_{CB27234E-AF9F-4C00-BA55-D58E1B234D9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zuresky" sheetId="1" r:id="rId1"/>
    <sheet name="Addendum" sheetId="4" r:id="rId2"/>
  </sheets>
  <definedNames>
    <definedName name="_xlnm.Print_Area" localSheetId="1">Addendum!$A$1:$E$54</definedName>
    <definedName name="_xlnm.Print_Area" localSheetId="0">Azuresky!$A$8:$W$52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E22" i="1" l="1"/>
  <c r="U22" i="1"/>
  <c r="T22" i="1"/>
  <c r="R22" i="1"/>
  <c r="Q22" i="1"/>
  <c r="S22" i="1" l="1"/>
  <c r="C22" i="1"/>
</calcChain>
</file>

<file path=xl/sharedStrings.xml><?xml version="1.0" encoding="utf-8"?>
<sst xmlns="http://schemas.openxmlformats.org/spreadsheetml/2006/main" count="215" uniqueCount="160">
  <si>
    <t>Ash</t>
  </si>
  <si>
    <t>Volatile</t>
  </si>
  <si>
    <t>Total</t>
  </si>
  <si>
    <t>%</t>
  </si>
  <si>
    <t>By</t>
  </si>
  <si>
    <t>Difference</t>
  </si>
  <si>
    <t>carbon</t>
  </si>
  <si>
    <t>sulphur</t>
  </si>
  <si>
    <t>Matter</t>
  </si>
  <si>
    <t>Air-Dry Basis</t>
  </si>
  <si>
    <t>Based on ISO 13909-4</t>
  </si>
  <si>
    <t xml:space="preserve">Sample Preparation </t>
  </si>
  <si>
    <t>Based on ISO 589</t>
  </si>
  <si>
    <t>Moisture in analysis sample</t>
  </si>
  <si>
    <t>Ash content</t>
  </si>
  <si>
    <t>Volatile Matter</t>
  </si>
  <si>
    <t>Based on ISO 562</t>
  </si>
  <si>
    <t>TEST REPORT</t>
  </si>
  <si>
    <t>Date of Sampling:</t>
  </si>
  <si>
    <t>Identification of sample type:</t>
  </si>
  <si>
    <t>Sample Size:</t>
  </si>
  <si>
    <t>Number of Increments taken per sample:</t>
  </si>
  <si>
    <t>Equipment used:</t>
  </si>
  <si>
    <t>Location of sampling (diagrams / photographs included):</t>
  </si>
  <si>
    <t>Sampling Plan:</t>
  </si>
  <si>
    <t>Environmental Conditions:</t>
  </si>
  <si>
    <t>Deviations, Additions or Exclsusions:</t>
  </si>
  <si>
    <t>Dry-Basis Results</t>
  </si>
  <si>
    <t>As Received</t>
  </si>
  <si>
    <t>Page 1 of 2</t>
  </si>
  <si>
    <t>Based on SANS 5925</t>
  </si>
  <si>
    <t>Based on ISO 1171</t>
  </si>
  <si>
    <t>Based on ISO 1928</t>
  </si>
  <si>
    <t>Based on ISO 18283</t>
  </si>
  <si>
    <t xml:space="preserve">Calorific Value </t>
  </si>
  <si>
    <t xml:space="preserve">Total Sulphur    </t>
  </si>
  <si>
    <t>Based on  ASTM D 4239</t>
  </si>
  <si>
    <t>Manual Sampling</t>
  </si>
  <si>
    <t xml:space="preserve">Float and Sink </t>
  </si>
  <si>
    <t xml:space="preserve">Ash Fusion Temperature                                  </t>
  </si>
  <si>
    <t xml:space="preserve">Based on ISO 7936-1992 </t>
  </si>
  <si>
    <t xml:space="preserve">Based on ISO 540 </t>
  </si>
  <si>
    <t>Reported Date</t>
  </si>
  <si>
    <t>Good</t>
  </si>
  <si>
    <t>Fixed</t>
  </si>
  <si>
    <t>Condition 
of 
bags</t>
  </si>
  <si>
    <t>TAT 
Time</t>
  </si>
  <si>
    <t>Technical signatory</t>
  </si>
  <si>
    <t>Date Received</t>
  </si>
  <si>
    <t>Reference number:</t>
  </si>
  <si>
    <t>MAY PTS 2025</t>
  </si>
  <si>
    <t>Page 2 of 2</t>
  </si>
  <si>
    <t>METHODS IN USE</t>
  </si>
  <si>
    <t>Sampling Methods</t>
  </si>
  <si>
    <t>Standard</t>
  </si>
  <si>
    <t>Description</t>
  </si>
  <si>
    <t>version</t>
  </si>
  <si>
    <t>Revision</t>
  </si>
  <si>
    <t>Accredited</t>
  </si>
  <si>
    <t>Based on ISO 1953</t>
  </si>
  <si>
    <t>Hard Coal – Size analysis by sieving</t>
  </si>
  <si>
    <t>-</t>
  </si>
  <si>
    <t>Based on ISO 1213-1</t>
  </si>
  <si>
    <t>Part 1: Terms relating to coal preparation</t>
  </si>
  <si>
    <t>Based on ISO 1213-2</t>
  </si>
  <si>
    <t>Part 2: Terms relating to sampling, testing and analysis</t>
  </si>
  <si>
    <t>Based on ISO 3310-1</t>
  </si>
  <si>
    <t>Part 1: Test sieves of metal wire cloth</t>
  </si>
  <si>
    <t>Based on ISO 3310-2</t>
  </si>
  <si>
    <t>Part 2: Test sieves of perforated plate</t>
  </si>
  <si>
    <t>Hard coke and coal – Manual sampling</t>
  </si>
  <si>
    <t>Based on ISO 13909</t>
  </si>
  <si>
    <t>Hard coal and coke – Mechanical sampling Part 1-8</t>
  </si>
  <si>
    <t>Analytical Methods</t>
  </si>
  <si>
    <t>Based on ISO 5074</t>
  </si>
  <si>
    <t>Hard coal - Determination of Hardgrove grindability index</t>
  </si>
  <si>
    <t>Determination of gross calorimetric method and calculation of net calorific value</t>
  </si>
  <si>
    <t>Based on ISO 540</t>
  </si>
  <si>
    <t>Determination of ash fusibility</t>
  </si>
  <si>
    <t>Based on ISO 5068-2</t>
  </si>
  <si>
    <t>Determination of moisture content - Part 2</t>
  </si>
  <si>
    <t>Based on ISO 23499</t>
  </si>
  <si>
    <t>Coal - Determination of bulk density</t>
  </si>
  <si>
    <t>Based on ASTM D4239 - 18ɛ2</t>
  </si>
  <si>
    <t>Standard Test Method for Sulfur in the Analysis Sample of Coal and Coke Using High Temperature Tube Furnace Combustion</t>
  </si>
  <si>
    <t>Based on ISO 11722</t>
  </si>
  <si>
    <t>Determination of moisture in the general analysis test sample by drying in nitrogen</t>
  </si>
  <si>
    <t>Determination of Ash</t>
  </si>
  <si>
    <t>Determination of total moisture</t>
  </si>
  <si>
    <t>Determination of volatile matter</t>
  </si>
  <si>
    <t>Based on ISO 7936</t>
  </si>
  <si>
    <t>Determination and presentation of float and sink characteristics</t>
  </si>
  <si>
    <t>Based on ASTM D440-07</t>
  </si>
  <si>
    <t>Standard Test Method of Drop Shatter Test for Coal</t>
  </si>
  <si>
    <t>Based on ISO 556</t>
  </si>
  <si>
    <t>Determination of mechanical strength</t>
  </si>
  <si>
    <t>Based on ISO 501</t>
  </si>
  <si>
    <t>Hard coal-Determination of the crucible swelling number</t>
  </si>
  <si>
    <t>Based on ISO 335</t>
  </si>
  <si>
    <t>Hard coal-Determination of caking power- Roga test</t>
  </si>
  <si>
    <t>Based on Eskom Standard</t>
  </si>
  <si>
    <t>Determination of the Index of Abrasion of Coal</t>
  </si>
  <si>
    <t>Based on ASTM D5373-16</t>
  </si>
  <si>
    <t>Determination of Carbon, Hydrogen and Nitrogen in Analysis Samples of Coal and Carbon Analysis samples of coal and coke</t>
  </si>
  <si>
    <t>Sampling Plan</t>
  </si>
  <si>
    <t xml:space="preserve">Tests Marked ''-'' in this report are not included in the SANAS schedule of accreditation for this laboratory.  </t>
  </si>
  <si>
    <t>Unit 3, 17 Makriel Rd, Wadeville, Germiston, 1421, Gauteng, South Africa. Email: Info@azuresky.it.com or Nonhlanhla@azuresky.it.com</t>
  </si>
  <si>
    <t>NOTE: The test results on this report relate only to the specific sample(s) as identified. The test results do not apply to any that have not been tested.</t>
  </si>
  <si>
    <r>
      <t xml:space="preserve"> SANAS Accredited Tests :        </t>
    </r>
    <r>
      <rPr>
        <b/>
        <sz val="12"/>
        <color rgb="FFFF0000"/>
        <rFont val="Arial"/>
        <family val="2"/>
      </rPr>
      <t xml:space="preserve"> The lab is not accredited for any test methods</t>
    </r>
  </si>
  <si>
    <t xml:space="preserve">Note: </t>
  </si>
  <si>
    <t xml:space="preserve">Test Marked ''Subcontracted Tests'' in this report are not included in the SANAS schedule of accreditation for this laboratory.  </t>
  </si>
  <si>
    <t>For Attention</t>
  </si>
  <si>
    <t>Tel:</t>
  </si>
  <si>
    <t>Sample description:</t>
  </si>
  <si>
    <t>Fax:</t>
  </si>
  <si>
    <t>Contact Person:</t>
  </si>
  <si>
    <t>SIFISO NYAMBI</t>
  </si>
  <si>
    <t>Cell:</t>
  </si>
  <si>
    <t>Report date:</t>
  </si>
  <si>
    <t>Address \ Email:</t>
  </si>
  <si>
    <t>Report status:</t>
  </si>
  <si>
    <t>Final</t>
  </si>
  <si>
    <t>Number of pages</t>
  </si>
  <si>
    <t>1 OF 2</t>
  </si>
  <si>
    <t>Company Name</t>
  </si>
  <si>
    <t>Date Analysed</t>
  </si>
  <si>
    <t>Symbol</t>
  </si>
  <si>
    <t>AS001IW</t>
  </si>
  <si>
    <t xml:space="preserve">AS 08 IW </t>
  </si>
  <si>
    <t>AS 18 IW</t>
  </si>
  <si>
    <t>Results marked IWth " # " in this report are not included in the SANAS Schedule of Accreditation for this laboratory.</t>
  </si>
  <si>
    <t>Results marked IWth " * " in this report are outsourced/subcontracted to a competent/accredited laboratory.</t>
  </si>
  <si>
    <t xml:space="preserve">AS003IW    </t>
  </si>
  <si>
    <t xml:space="preserve">AS004IW    </t>
  </si>
  <si>
    <t xml:space="preserve">AS006IW   </t>
  </si>
  <si>
    <t xml:space="preserve">AS007IW    </t>
  </si>
  <si>
    <t xml:space="preserve">AS008IW   </t>
  </si>
  <si>
    <t xml:space="preserve">AS013IW   </t>
  </si>
  <si>
    <t>Laboratory No</t>
  </si>
  <si>
    <t>Inherent Moisture             %</t>
  </si>
  <si>
    <t>Total Moisture             %</t>
  </si>
  <si>
    <t>Sample Mass            (kg)</t>
  </si>
  <si>
    <t>Volatile Matter %</t>
  </si>
  <si>
    <t xml:space="preserve"> Ash            %</t>
  </si>
  <si>
    <t>Calorific Value (Mj/kg)</t>
  </si>
  <si>
    <t>Comments</t>
  </si>
  <si>
    <t>Report Number:</t>
  </si>
  <si>
    <t>1138-1147</t>
  </si>
  <si>
    <t>The reported results are the average of the batch</t>
  </si>
  <si>
    <t>Vangafontein (PT Veri Samp)</t>
  </si>
  <si>
    <t>#</t>
  </si>
  <si>
    <t>AZ PT 001</t>
  </si>
  <si>
    <t>JULY PTS 2025</t>
  </si>
  <si>
    <t>Vangafontein</t>
  </si>
  <si>
    <t>Edward</t>
  </si>
  <si>
    <t>0763561826</t>
  </si>
  <si>
    <t>Edward@vangafontein.co.za</t>
  </si>
  <si>
    <t>27-06-2025</t>
  </si>
  <si>
    <t>Sample Name</t>
  </si>
  <si>
    <t>Sifiso Nyambi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</si>
</sst>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dd/mm/yyyy\ hh:mm\ AM/PM"/>
    <numFmt numFmtId="167" formatCode="0.000_)"/>
    <numFmt numFmtId="168" formatCode="&quot;$&quot;#,##0\ ;\(&quot;$&quot;#,##0\)"/>
    <numFmt numFmtId="169" formatCode="0.00_)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Verdana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b/>
      <sz val="9"/>
      <name val="Calibri"/>
      <family val="2"/>
    </font>
    <font>
      <sz val="8"/>
      <name val="Calibri"/>
      <family val="2"/>
    </font>
    <font>
      <i/>
      <sz val="10"/>
      <name val="Calibri"/>
      <family val="2"/>
    </font>
    <font>
      <sz val="11"/>
      <name val="Century Gothic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color indexed="9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i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  <font>
      <b/>
      <sz val="12"/>
      <color theme="0"/>
      <name val="Arial"/>
      <family val="2"/>
    </font>
    <font>
      <b/>
      <sz val="11"/>
      <name val="Verdana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indexed="9"/>
      <name val="Arial"/>
      <family val="2"/>
    </font>
    <font>
      <i/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23"/>
      </left>
      <right/>
      <top style="double">
        <color indexed="23"/>
      </top>
      <bottom style="double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/>
      <diagonal/>
    </border>
    <border>
      <left/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double">
        <color indexed="23"/>
      </right>
      <top style="double">
        <color indexed="23"/>
      </top>
      <bottom style="double">
        <color indexed="23"/>
      </bottom>
      <diagonal/>
    </border>
    <border>
      <left style="double">
        <color indexed="23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double">
        <color indexed="23"/>
      </right>
      <top/>
      <bottom style="hair">
        <color indexed="23"/>
      </bottom>
      <diagonal/>
    </border>
    <border>
      <left style="double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double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23"/>
      </left>
      <right style="hair">
        <color indexed="23"/>
      </right>
      <top style="hair">
        <color indexed="23"/>
      </top>
      <bottom style="double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double">
        <color indexed="23"/>
      </bottom>
      <diagonal/>
    </border>
    <border>
      <left style="hair">
        <color indexed="23"/>
      </left>
      <right style="double">
        <color indexed="23"/>
      </right>
      <top style="hair">
        <color indexed="23"/>
      </top>
      <bottom style="double">
        <color indexed="23"/>
      </bottom>
      <diagonal/>
    </border>
    <border>
      <left/>
      <right/>
      <top style="double">
        <color indexed="23"/>
      </top>
      <bottom/>
      <diagonal/>
    </border>
    <border>
      <left style="medium">
        <color indexed="64"/>
      </left>
      <right style="medium">
        <color rgb="FF000000"/>
      </right>
      <top style="hair">
        <color indexed="64"/>
      </top>
      <bottom style="medium">
        <color indexed="64"/>
      </bottom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</borders>
  <cellStyleXfs count="831">
    <xf numFmtId="0" fontId="0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7" borderId="0" applyNumberFormat="0" applyBorder="0" applyAlignment="0" applyProtection="0"/>
    <xf numFmtId="0" fontId="28" fillId="10" borderId="0" applyNumberFormat="0" applyBorder="0" applyAlignment="0" applyProtection="0"/>
    <xf numFmtId="0" fontId="28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21" borderId="0" applyNumberFormat="0" applyBorder="0" applyAlignment="0" applyProtection="0"/>
    <xf numFmtId="0" fontId="30" fillId="5" borderId="0" applyNumberFormat="0" applyBorder="0" applyAlignment="0" applyProtection="0"/>
    <xf numFmtId="0" fontId="31" fillId="22" borderId="65" applyNumberFormat="0" applyAlignment="0" applyProtection="0"/>
    <xf numFmtId="0" fontId="32" fillId="23" borderId="66" applyNumberFormat="0" applyAlignment="0" applyProtection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167" fontId="6" fillId="0" borderId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0" fontId="34" fillId="6" borderId="0" applyNumberFormat="0" applyBorder="0" applyAlignment="0" applyProtection="0"/>
    <xf numFmtId="0" fontId="12" fillId="0" borderId="35" applyNumberFormat="0" applyAlignment="0" applyProtection="0">
      <alignment horizontal="left" vertical="center"/>
    </xf>
    <xf numFmtId="0" fontId="12" fillId="0" borderId="34">
      <alignment horizontal="left"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5" fillId="0" borderId="67" applyNumberFormat="0" applyFill="0" applyAlignment="0" applyProtection="0"/>
    <xf numFmtId="0" fontId="3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36" fillId="9" borderId="65" applyNumberFormat="0" applyAlignment="0" applyProtection="0"/>
    <xf numFmtId="0" fontId="37" fillId="0" borderId="68" applyNumberFormat="0" applyFill="0" applyAlignment="0" applyProtection="0"/>
    <xf numFmtId="0" fontId="38" fillId="24" borderId="0" applyNumberFormat="0" applyBorder="0" applyAlignment="0" applyProtection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169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5" borderId="69" applyNumberFormat="0" applyFont="0" applyAlignment="0" applyProtection="0"/>
    <xf numFmtId="0" fontId="39" fillId="22" borderId="70" applyNumberFormat="0" applyAlignment="0" applyProtection="0"/>
    <xf numFmtId="0" fontId="40" fillId="0" borderId="0" applyNumberFormat="0" applyFill="0" applyBorder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71" applyNumberFormat="0" applyFont="0" applyFill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1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302">
    <xf numFmtId="0" fontId="0" fillId="0" borderId="0" xfId="0"/>
    <xf numFmtId="0" fontId="7" fillId="0" borderId="0" xfId="0" applyFont="1"/>
    <xf numFmtId="164" fontId="7" fillId="0" borderId="0" xfId="0" applyNumberFormat="1" applyFont="1"/>
    <xf numFmtId="2" fontId="7" fillId="0" borderId="0" xfId="0" applyNumberFormat="1" applyFont="1"/>
    <xf numFmtId="165" fontId="7" fillId="0" borderId="0" xfId="0" applyNumberFormat="1" applyFont="1"/>
    <xf numFmtId="0" fontId="7" fillId="0" borderId="8" xfId="0" applyFont="1" applyBorder="1"/>
    <xf numFmtId="0" fontId="7" fillId="0" borderId="43" xfId="0" applyFont="1" applyBorder="1"/>
    <xf numFmtId="164" fontId="7" fillId="0" borderId="43" xfId="0" applyNumberFormat="1" applyFont="1" applyBorder="1"/>
    <xf numFmtId="2" fontId="14" fillId="0" borderId="43" xfId="0" applyNumberFormat="1" applyFont="1" applyBorder="1"/>
    <xf numFmtId="165" fontId="14" fillId="0" borderId="43" xfId="0" applyNumberFormat="1" applyFont="1" applyBorder="1"/>
    <xf numFmtId="0" fontId="7" fillId="0" borderId="32" xfId="0" applyFont="1" applyBorder="1"/>
    <xf numFmtId="0" fontId="7" fillId="3" borderId="0" xfId="0" applyFont="1" applyFill="1"/>
    <xf numFmtId="0" fontId="15" fillId="3" borderId="19" xfId="38" applyFont="1" applyFill="1" applyBorder="1" applyAlignment="1">
      <alignment horizontal="left"/>
    </xf>
    <xf numFmtId="0" fontId="15" fillId="3" borderId="21" xfId="38" applyFont="1" applyFill="1" applyBorder="1" applyAlignment="1">
      <alignment horizontal="left"/>
    </xf>
    <xf numFmtId="0" fontId="15" fillId="3" borderId="22" xfId="38" applyFont="1" applyFill="1" applyBorder="1" applyAlignment="1">
      <alignment horizontal="left"/>
    </xf>
    <xf numFmtId="0" fontId="15" fillId="3" borderId="25" xfId="38" applyFont="1" applyFill="1" applyBorder="1" applyAlignment="1">
      <alignment horizontal="left"/>
    </xf>
    <xf numFmtId="0" fontId="7" fillId="3" borderId="20" xfId="38" applyFont="1" applyFill="1" applyBorder="1" applyAlignment="1">
      <alignment horizontal="left"/>
    </xf>
    <xf numFmtId="0" fontId="7" fillId="3" borderId="21" xfId="38" applyFont="1" applyFill="1" applyBorder="1" applyAlignment="1">
      <alignment horizontal="left"/>
    </xf>
    <xf numFmtId="0" fontId="7" fillId="3" borderId="22" xfId="38" applyFont="1" applyFill="1" applyBorder="1" applyAlignment="1">
      <alignment horizontal="left"/>
    </xf>
    <xf numFmtId="0" fontId="16" fillId="3" borderId="26" xfId="2" applyFont="1" applyFill="1" applyBorder="1"/>
    <xf numFmtId="0" fontId="16" fillId="3" borderId="27" xfId="2" applyFont="1" applyFill="1" applyBorder="1"/>
    <xf numFmtId="0" fontId="17" fillId="3" borderId="26" xfId="38" applyFont="1" applyFill="1" applyBorder="1" applyAlignment="1">
      <alignment horizontal="left"/>
    </xf>
    <xf numFmtId="0" fontId="17" fillId="3" borderId="27" xfId="2" applyFont="1" applyFill="1" applyBorder="1" applyAlignment="1">
      <alignment horizontal="left"/>
    </xf>
    <xf numFmtId="0" fontId="15" fillId="3" borderId="28" xfId="38" applyFont="1" applyFill="1" applyBorder="1" applyAlignment="1">
      <alignment horizontal="left"/>
    </xf>
    <xf numFmtId="0" fontId="17" fillId="3" borderId="9" xfId="38" applyFont="1" applyFill="1" applyBorder="1" applyAlignment="1">
      <alignment horizontal="left"/>
    </xf>
    <xf numFmtId="0" fontId="16" fillId="3" borderId="0" xfId="2" applyFont="1" applyFill="1"/>
    <xf numFmtId="0" fontId="12" fillId="0" borderId="0" xfId="0" applyFont="1"/>
    <xf numFmtId="0" fontId="7" fillId="3" borderId="27" xfId="0" applyFont="1" applyFill="1" applyBorder="1"/>
    <xf numFmtId="0" fontId="7" fillId="0" borderId="49" xfId="0" applyFont="1" applyBorder="1"/>
    <xf numFmtId="0" fontId="7" fillId="0" borderId="0" xfId="0" applyFont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2" fontId="7" fillId="0" borderId="24" xfId="0" applyNumberFormat="1" applyFont="1" applyBorder="1"/>
    <xf numFmtId="0" fontId="7" fillId="0" borderId="24" xfId="0" applyFont="1" applyBorder="1"/>
    <xf numFmtId="166" fontId="7" fillId="0" borderId="16" xfId="38" applyNumberFormat="1" applyFont="1" applyBorder="1" applyAlignment="1">
      <alignment horizontal="center" vertical="center"/>
    </xf>
    <xf numFmtId="0" fontId="7" fillId="0" borderId="16" xfId="4" applyFont="1" applyBorder="1" applyAlignment="1">
      <alignment horizontal="center" vertical="center"/>
    </xf>
    <xf numFmtId="0" fontId="7" fillId="0" borderId="16" xfId="0" applyFont="1" applyBorder="1" applyAlignment="1">
      <alignment horizontal="left"/>
    </xf>
    <xf numFmtId="2" fontId="7" fillId="0" borderId="8" xfId="4" applyNumberFormat="1" applyFont="1" applyBorder="1" applyAlignment="1">
      <alignment horizontal="center" vertical="center"/>
    </xf>
    <xf numFmtId="164" fontId="7" fillId="0" borderId="16" xfId="4" applyNumberFormat="1" applyFont="1" applyBorder="1" applyAlignment="1">
      <alignment horizontal="center" vertical="center"/>
    </xf>
    <xf numFmtId="164" fontId="7" fillId="0" borderId="52" xfId="4" applyNumberFormat="1" applyFont="1" applyBorder="1" applyAlignment="1">
      <alignment horizontal="center" vertical="center"/>
    </xf>
    <xf numFmtId="2" fontId="7" fillId="0" borderId="52" xfId="4" applyNumberFormat="1" applyFont="1" applyBorder="1" applyAlignment="1">
      <alignment horizontal="center" vertical="center"/>
    </xf>
    <xf numFmtId="164" fontId="7" fillId="0" borderId="53" xfId="0" applyNumberFormat="1" applyFont="1" applyBorder="1" applyAlignment="1">
      <alignment horizontal="center"/>
    </xf>
    <xf numFmtId="2" fontId="7" fillId="0" borderId="53" xfId="4" applyNumberFormat="1" applyFont="1" applyBorder="1" applyAlignment="1">
      <alignment horizontal="center" vertical="center"/>
    </xf>
    <xf numFmtId="164" fontId="7" fillId="0" borderId="54" xfId="0" applyNumberFormat="1" applyFont="1" applyBorder="1" applyAlignment="1">
      <alignment horizontal="center"/>
    </xf>
    <xf numFmtId="2" fontId="7" fillId="0" borderId="55" xfId="0" applyNumberFormat="1" applyFont="1" applyBorder="1" applyAlignment="1">
      <alignment horizontal="center"/>
    </xf>
    <xf numFmtId="0" fontId="13" fillId="0" borderId="56" xfId="0" applyFont="1" applyBorder="1" applyAlignment="1">
      <alignment horizontal="center"/>
    </xf>
    <xf numFmtId="166" fontId="18" fillId="0" borderId="47" xfId="38" applyNumberFormat="1" applyFont="1" applyBorder="1" applyAlignment="1">
      <alignment horizontal="center" vertical="center"/>
    </xf>
    <xf numFmtId="0" fontId="18" fillId="3" borderId="46" xfId="38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0" borderId="51" xfId="15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2" fontId="18" fillId="0" borderId="25" xfId="0" applyNumberFormat="1" applyFont="1" applyBorder="1" applyAlignment="1">
      <alignment horizontal="center" vertical="center"/>
    </xf>
    <xf numFmtId="2" fontId="18" fillId="0" borderId="39" xfId="0" applyNumberFormat="1" applyFont="1" applyBorder="1" applyAlignment="1">
      <alignment horizontal="center" vertical="center"/>
    </xf>
    <xf numFmtId="164" fontId="18" fillId="0" borderId="59" xfId="0" applyNumberFormat="1" applyFont="1" applyBorder="1" applyAlignment="1">
      <alignment horizontal="center" vertical="center"/>
    </xf>
    <xf numFmtId="164" fontId="18" fillId="0" borderId="60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2" fontId="18" fillId="0" borderId="60" xfId="150" applyNumberFormat="1" applyFont="1" applyBorder="1" applyAlignment="1">
      <alignment horizontal="center" vertical="center"/>
    </xf>
    <xf numFmtId="2" fontId="18" fillId="0" borderId="6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3" borderId="46" xfId="38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57" xfId="15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2" fontId="20" fillId="0" borderId="25" xfId="0" applyNumberFormat="1" applyFont="1" applyBorder="1" applyAlignment="1">
      <alignment horizontal="center" vertical="center"/>
    </xf>
    <xf numFmtId="2" fontId="20" fillId="0" borderId="39" xfId="0" applyNumberFormat="1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2" fontId="20" fillId="0" borderId="2" xfId="150" applyNumberFormat="1" applyFont="1" applyBorder="1" applyAlignment="1">
      <alignment horizontal="center" vertical="center"/>
    </xf>
    <xf numFmtId="164" fontId="20" fillId="0" borderId="5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57" xfId="150" applyFont="1" applyBorder="1" applyAlignment="1">
      <alignment horizontal="center" vertical="center"/>
    </xf>
    <xf numFmtId="164" fontId="18" fillId="0" borderId="62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8" fillId="0" borderId="50" xfId="0" applyNumberFormat="1" applyFont="1" applyBorder="1" applyAlignment="1">
      <alignment horizontal="center" vertical="center"/>
    </xf>
    <xf numFmtId="2" fontId="18" fillId="0" borderId="50" xfId="150" applyNumberFormat="1" applyFont="1" applyBorder="1" applyAlignment="1">
      <alignment horizontal="center" vertical="center"/>
    </xf>
    <xf numFmtId="164" fontId="20" fillId="0" borderId="61" xfId="0" applyNumberFormat="1" applyFont="1" applyBorder="1" applyAlignment="1">
      <alignment horizontal="center" vertical="center"/>
    </xf>
    <xf numFmtId="164" fontId="18" fillId="0" borderId="58" xfId="0" applyNumberFormat="1" applyFont="1" applyBorder="1" applyAlignment="1">
      <alignment horizontal="center" vertical="center"/>
    </xf>
    <xf numFmtId="2" fontId="18" fillId="0" borderId="50" xfId="0" applyNumberFormat="1" applyFont="1" applyBorder="1" applyAlignment="1">
      <alignment horizontal="center" vertical="center"/>
    </xf>
    <xf numFmtId="164" fontId="18" fillId="0" borderId="48" xfId="0" applyNumberFormat="1" applyFont="1" applyBorder="1" applyAlignment="1">
      <alignment horizontal="center" vertical="center"/>
    </xf>
    <xf numFmtId="2" fontId="18" fillId="0" borderId="63" xfId="150" applyNumberFormat="1" applyFont="1" applyBorder="1" applyAlignment="1">
      <alignment horizontal="center" vertical="center"/>
    </xf>
    <xf numFmtId="2" fontId="18" fillId="0" borderId="64" xfId="0" applyNumberFormat="1" applyFont="1" applyBorder="1" applyAlignment="1">
      <alignment horizontal="center" vertical="center"/>
    </xf>
    <xf numFmtId="0" fontId="12" fillId="3" borderId="21" xfId="38" applyFont="1" applyFill="1" applyBorder="1" applyAlignment="1">
      <alignment horizontal="left"/>
    </xf>
    <xf numFmtId="0" fontId="50" fillId="3" borderId="24" xfId="38" applyFont="1" applyFill="1" applyBorder="1" applyAlignment="1">
      <alignment horizontal="left"/>
    </xf>
    <xf numFmtId="0" fontId="50" fillId="3" borderId="21" xfId="38" applyFont="1" applyFill="1" applyBorder="1" applyAlignment="1">
      <alignment horizontal="left"/>
    </xf>
    <xf numFmtId="0" fontId="50" fillId="3" borderId="18" xfId="38" applyFont="1" applyFill="1" applyBorder="1" applyAlignment="1">
      <alignment horizontal="left"/>
    </xf>
    <xf numFmtId="0" fontId="49" fillId="3" borderId="22" xfId="38" applyFont="1" applyFill="1" applyBorder="1" applyAlignment="1">
      <alignment horizontal="left"/>
    </xf>
    <xf numFmtId="0" fontId="49" fillId="3" borderId="21" xfId="38" applyFont="1" applyFill="1" applyBorder="1" applyAlignment="1">
      <alignment horizontal="left"/>
    </xf>
    <xf numFmtId="0" fontId="49" fillId="3" borderId="20" xfId="38" applyFont="1" applyFill="1" applyBorder="1" applyAlignment="1">
      <alignment horizontal="left"/>
    </xf>
    <xf numFmtId="49" fontId="6" fillId="0" borderId="0" xfId="150" applyNumberFormat="1" applyFont="1" applyAlignment="1">
      <alignment horizontal="center" wrapText="1"/>
    </xf>
    <xf numFmtId="0" fontId="5" fillId="0" borderId="0" xfId="150" applyFont="1" applyAlignment="1">
      <alignment horizontal="center" vertical="center" wrapText="1"/>
    </xf>
    <xf numFmtId="49" fontId="6" fillId="0" borderId="0" xfId="150" applyNumberFormat="1" applyFont="1" applyAlignment="1">
      <alignment horizontal="left" wrapText="1" shrinkToFit="1"/>
    </xf>
    <xf numFmtId="49" fontId="5" fillId="0" borderId="0" xfId="150" applyNumberFormat="1" applyFont="1" applyAlignment="1">
      <alignment horizontal="left" vertical="center" wrapText="1" shrinkToFit="1"/>
    </xf>
    <xf numFmtId="0" fontId="2" fillId="0" borderId="0" xfId="150"/>
    <xf numFmtId="0" fontId="5" fillId="0" borderId="72" xfId="150" applyFont="1" applyBorder="1" applyAlignment="1">
      <alignment horizontal="center" vertical="center" wrapText="1"/>
    </xf>
    <xf numFmtId="49" fontId="6" fillId="0" borderId="87" xfId="150" applyNumberFormat="1" applyFont="1" applyBorder="1" applyAlignment="1">
      <alignment horizontal="center" wrapText="1"/>
    </xf>
    <xf numFmtId="0" fontId="4" fillId="0" borderId="0" xfId="150" applyFont="1" applyAlignment="1">
      <alignment horizontal="center"/>
    </xf>
    <xf numFmtId="0" fontId="22" fillId="29" borderId="94" xfId="742" applyFont="1" applyFill="1" applyBorder="1" applyAlignment="1">
      <alignment horizontal="center" vertical="center" wrapText="1"/>
    </xf>
    <xf numFmtId="0" fontId="22" fillId="29" borderId="73" xfId="742" applyFont="1" applyFill="1" applyBorder="1" applyAlignment="1">
      <alignment horizontal="center" vertical="center" wrapText="1"/>
    </xf>
    <xf numFmtId="0" fontId="22" fillId="29" borderId="95" xfId="742" applyFont="1" applyFill="1" applyBorder="1" applyAlignment="1">
      <alignment horizontal="center" vertical="center" wrapText="1"/>
    </xf>
    <xf numFmtId="0" fontId="47" fillId="0" borderId="94" xfId="742" applyFont="1" applyBorder="1" applyAlignment="1">
      <alignment horizontal="left" vertical="center"/>
    </xf>
    <xf numFmtId="0" fontId="47" fillId="0" borderId="73" xfId="742" applyFont="1" applyBorder="1" applyAlignment="1">
      <alignment horizontal="left" vertical="center"/>
    </xf>
    <xf numFmtId="14" fontId="47" fillId="0" borderId="73" xfId="742" applyNumberFormat="1" applyFont="1" applyBorder="1" applyAlignment="1">
      <alignment horizontal="left" vertical="center"/>
    </xf>
    <xf numFmtId="0" fontId="47" fillId="0" borderId="95" xfId="742" quotePrefix="1" applyFont="1" applyBorder="1" applyAlignment="1">
      <alignment horizontal="center" vertical="center"/>
    </xf>
    <xf numFmtId="0" fontId="47" fillId="0" borderId="94" xfId="742" applyFont="1" applyBorder="1" applyAlignment="1">
      <alignment horizontal="left" vertical="center" wrapText="1"/>
    </xf>
    <xf numFmtId="0" fontId="47" fillId="0" borderId="73" xfId="742" applyFont="1" applyBorder="1" applyAlignment="1">
      <alignment horizontal="left" vertical="center" wrapText="1"/>
    </xf>
    <xf numFmtId="14" fontId="47" fillId="0" borderId="73" xfId="742" applyNumberFormat="1" applyFont="1" applyBorder="1" applyAlignment="1">
      <alignment horizontal="left" vertical="center" wrapText="1"/>
    </xf>
    <xf numFmtId="0" fontId="47" fillId="0" borderId="96" xfId="742" applyFont="1" applyBorder="1" applyAlignment="1">
      <alignment horizontal="left" vertical="center" wrapText="1"/>
    </xf>
    <xf numFmtId="0" fontId="47" fillId="0" borderId="97" xfId="742" applyFont="1" applyBorder="1" applyAlignment="1">
      <alignment horizontal="left" vertical="center" wrapText="1"/>
    </xf>
    <xf numFmtId="14" fontId="47" fillId="0" borderId="97" xfId="742" applyNumberFormat="1" applyFont="1" applyBorder="1" applyAlignment="1">
      <alignment horizontal="left" vertical="center" wrapText="1"/>
    </xf>
    <xf numFmtId="0" fontId="47" fillId="0" borderId="98" xfId="742" quotePrefix="1" applyFont="1" applyBorder="1" applyAlignment="1">
      <alignment horizontal="center" vertical="center"/>
    </xf>
    <xf numFmtId="0" fontId="44" fillId="0" borderId="99" xfId="150" applyFont="1" applyBorder="1" applyAlignment="1">
      <alignment horizontal="left"/>
    </xf>
    <xf numFmtId="0" fontId="44" fillId="0" borderId="102" xfId="150" applyFont="1" applyBorder="1" applyAlignment="1">
      <alignment horizontal="left"/>
    </xf>
    <xf numFmtId="0" fontId="44" fillId="0" borderId="102" xfId="150" applyFont="1" applyBorder="1" applyAlignment="1">
      <alignment horizontal="left" wrapText="1"/>
    </xf>
    <xf numFmtId="0" fontId="44" fillId="0" borderId="105" xfId="150" applyFont="1" applyBorder="1" applyAlignment="1">
      <alignment horizontal="left"/>
    </xf>
    <xf numFmtId="49" fontId="4" fillId="0" borderId="0" xfId="150" applyNumberFormat="1" applyFont="1" applyAlignment="1">
      <alignment horizontal="left" shrinkToFit="1"/>
    </xf>
    <xf numFmtId="2" fontId="18" fillId="0" borderId="111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19" fillId="0" borderId="114" xfId="0" applyFont="1" applyBorder="1" applyAlignment="1">
      <alignment horizontal="center" vertical="center"/>
    </xf>
    <xf numFmtId="0" fontId="21" fillId="0" borderId="114" xfId="0" applyFont="1" applyBorder="1" applyAlignment="1">
      <alignment horizontal="center" vertical="center"/>
    </xf>
    <xf numFmtId="0" fontId="52" fillId="3" borderId="20" xfId="38" applyFont="1" applyFill="1" applyBorder="1" applyAlignment="1">
      <alignment horizontal="left"/>
    </xf>
    <xf numFmtId="0" fontId="52" fillId="3" borderId="21" xfId="38" applyFont="1" applyFill="1" applyBorder="1" applyAlignment="1">
      <alignment horizontal="left"/>
    </xf>
    <xf numFmtId="0" fontId="4" fillId="0" borderId="88" xfId="150" applyFont="1" applyBorder="1"/>
    <xf numFmtId="0" fontId="4" fillId="0" borderId="0" xfId="150" applyFont="1"/>
    <xf numFmtId="0" fontId="42" fillId="26" borderId="0" xfId="0" applyFont="1" applyFill="1"/>
    <xf numFmtId="0" fontId="42" fillId="26" borderId="0" xfId="0" applyFont="1" applyFill="1" applyAlignment="1">
      <alignment horizontal="right"/>
    </xf>
    <xf numFmtId="0" fontId="43" fillId="26" borderId="0" xfId="0" applyFont="1" applyFill="1"/>
    <xf numFmtId="49" fontId="42" fillId="26" borderId="0" xfId="0" applyNumberFormat="1" applyFont="1" applyFill="1"/>
    <xf numFmtId="0" fontId="42" fillId="0" borderId="0" xfId="0" applyFont="1"/>
    <xf numFmtId="49" fontId="42" fillId="0" borderId="0" xfId="0" applyNumberFormat="1" applyFont="1" applyAlignment="1">
      <alignment horizontal="left"/>
    </xf>
    <xf numFmtId="164" fontId="42" fillId="0" borderId="0" xfId="0" applyNumberFormat="1" applyFont="1"/>
    <xf numFmtId="165" fontId="42" fillId="0" borderId="0" xfId="0" applyNumberFormat="1" applyFont="1"/>
    <xf numFmtId="0" fontId="42" fillId="0" borderId="27" xfId="0" applyFont="1" applyBorder="1"/>
    <xf numFmtId="0" fontId="43" fillId="0" borderId="0" xfId="0" applyFont="1" applyAlignment="1">
      <alignment horizontal="center" vertical="center"/>
    </xf>
    <xf numFmtId="49" fontId="43" fillId="0" borderId="0" xfId="0" applyNumberFormat="1" applyFont="1" applyAlignment="1">
      <alignment horizontal="center" vertical="center"/>
    </xf>
    <xf numFmtId="49" fontId="43" fillId="0" borderId="9" xfId="0" applyNumberFormat="1" applyFont="1" applyBorder="1" applyAlignment="1">
      <alignment horizontal="center" vertical="center"/>
    </xf>
    <xf numFmtId="164" fontId="43" fillId="0" borderId="38" xfId="0" applyNumberFormat="1" applyFont="1" applyBorder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2" fontId="43" fillId="0" borderId="4" xfId="0" applyNumberFormat="1" applyFont="1" applyBorder="1" applyAlignment="1">
      <alignment horizontal="center" vertical="center"/>
    </xf>
    <xf numFmtId="164" fontId="43" fillId="0" borderId="11" xfId="0" applyNumberFormat="1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164" fontId="43" fillId="0" borderId="2" xfId="0" applyNumberFormat="1" applyFont="1" applyBorder="1" applyAlignment="1">
      <alignment horizontal="center" vertical="center"/>
    </xf>
    <xf numFmtId="2" fontId="43" fillId="0" borderId="5" xfId="0" applyNumberFormat="1" applyFont="1" applyBorder="1" applyAlignment="1">
      <alignment horizontal="center" vertical="center"/>
    </xf>
    <xf numFmtId="164" fontId="43" fillId="0" borderId="12" xfId="0" applyNumberFormat="1" applyFont="1" applyBorder="1" applyAlignment="1">
      <alignment horizontal="center" vertical="center"/>
    </xf>
    <xf numFmtId="164" fontId="43" fillId="0" borderId="3" xfId="0" applyNumberFormat="1" applyFont="1" applyBorder="1" applyAlignment="1">
      <alignment horizontal="center" vertical="center"/>
    </xf>
    <xf numFmtId="2" fontId="43" fillId="0" borderId="6" xfId="0" applyNumberFormat="1" applyFont="1" applyBorder="1" applyAlignment="1">
      <alignment horizontal="center" vertical="center"/>
    </xf>
    <xf numFmtId="164" fontId="43" fillId="0" borderId="13" xfId="0" applyNumberFormat="1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164" fontId="43" fillId="0" borderId="7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164" fontId="43" fillId="0" borderId="10" xfId="0" applyNumberFormat="1" applyFont="1" applyBorder="1" applyAlignment="1">
      <alignment horizontal="center" vertical="center"/>
    </xf>
    <xf numFmtId="2" fontId="43" fillId="0" borderId="3" xfId="0" applyNumberFormat="1" applyFont="1" applyBorder="1" applyAlignment="1">
      <alignment horizontal="center" vertical="center"/>
    </xf>
    <xf numFmtId="0" fontId="43" fillId="0" borderId="113" xfId="0" applyFont="1" applyBorder="1" applyAlignment="1">
      <alignment horizontal="center" vertical="center"/>
    </xf>
    <xf numFmtId="166" fontId="42" fillId="0" borderId="29" xfId="38" applyNumberFormat="1" applyFont="1" applyBorder="1" applyAlignment="1">
      <alignment horizontal="center" vertical="center"/>
    </xf>
    <xf numFmtId="0" fontId="42" fillId="3" borderId="29" xfId="38" applyFont="1" applyFill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150" applyFont="1" applyBorder="1" applyAlignment="1">
      <alignment horizontal="center" vertical="center"/>
    </xf>
    <xf numFmtId="2" fontId="42" fillId="0" borderId="33" xfId="0" applyNumberFormat="1" applyFont="1" applyBorder="1" applyAlignment="1">
      <alignment horizontal="center" vertical="center"/>
    </xf>
    <xf numFmtId="2" fontId="42" fillId="0" borderId="29" xfId="0" applyNumberFormat="1" applyFont="1" applyBorder="1" applyAlignment="1">
      <alignment horizontal="center" vertical="center"/>
    </xf>
    <xf numFmtId="164" fontId="42" fillId="0" borderId="40" xfId="0" applyNumberFormat="1" applyFont="1" applyBorder="1" applyAlignment="1">
      <alignment horizontal="center" vertical="center"/>
    </xf>
    <xf numFmtId="2" fontId="42" fillId="0" borderId="45" xfId="150" applyNumberFormat="1" applyFont="1" applyBorder="1" applyAlignment="1">
      <alignment horizontal="center" vertical="center"/>
    </xf>
    <xf numFmtId="164" fontId="42" fillId="0" borderId="45" xfId="0" applyNumberFormat="1" applyFont="1" applyBorder="1" applyAlignment="1">
      <alignment horizontal="center" vertical="center"/>
    </xf>
    <xf numFmtId="2" fontId="42" fillId="0" borderId="45" xfId="0" applyNumberFormat="1" applyFont="1" applyBorder="1" applyAlignment="1">
      <alignment horizontal="center" vertical="center"/>
    </xf>
    <xf numFmtId="2" fontId="42" fillId="0" borderId="112" xfId="0" applyNumberFormat="1" applyFont="1" applyBorder="1" applyAlignment="1">
      <alignment horizontal="center" vertical="center"/>
    </xf>
    <xf numFmtId="0" fontId="55" fillId="0" borderId="10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2" fontId="56" fillId="0" borderId="0" xfId="0" applyNumberFormat="1" applyFont="1"/>
    <xf numFmtId="165" fontId="56" fillId="0" borderId="0" xfId="0" applyNumberFormat="1" applyFont="1"/>
    <xf numFmtId="0" fontId="42" fillId="0" borderId="17" xfId="0" applyFont="1" applyBorder="1"/>
    <xf numFmtId="0" fontId="42" fillId="0" borderId="110" xfId="0" applyFont="1" applyBorder="1"/>
    <xf numFmtId="0" fontId="57" fillId="0" borderId="114" xfId="0" applyFont="1" applyBorder="1" applyAlignment="1">
      <alignment horizontal="center" vertical="center" wrapText="1"/>
    </xf>
    <xf numFmtId="0" fontId="12" fillId="3" borderId="41" xfId="2" applyFont="1" applyFill="1" applyBorder="1" applyAlignment="1">
      <alignment horizontal="center" vertical="center"/>
    </xf>
    <xf numFmtId="0" fontId="12" fillId="3" borderId="31" xfId="2" applyFont="1" applyFill="1" applyBorder="1" applyAlignment="1">
      <alignment horizontal="center" vertical="center"/>
    </xf>
    <xf numFmtId="0" fontId="12" fillId="3" borderId="8" xfId="2" applyFont="1" applyFill="1" applyBorder="1" applyAlignment="1">
      <alignment horizontal="center" vertical="center"/>
    </xf>
    <xf numFmtId="0" fontId="12" fillId="3" borderId="42" xfId="2" applyFont="1" applyFill="1" applyBorder="1" applyAlignment="1">
      <alignment horizontal="center" vertical="center"/>
    </xf>
    <xf numFmtId="0" fontId="12" fillId="3" borderId="0" xfId="2" applyFont="1" applyFill="1" applyAlignment="1">
      <alignment horizontal="center" vertical="center"/>
    </xf>
    <xf numFmtId="0" fontId="7" fillId="3" borderId="42" xfId="2" applyFont="1" applyFill="1" applyBorder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42" fillId="0" borderId="44" xfId="0" applyFont="1" applyBorder="1"/>
    <xf numFmtId="0" fontId="42" fillId="0" borderId="0" xfId="0" applyFont="1"/>
    <xf numFmtId="0" fontId="7" fillId="0" borderId="4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51" fillId="0" borderId="41" xfId="0" applyFont="1" applyBorder="1" applyAlignment="1">
      <alignment horizontal="center"/>
    </xf>
    <xf numFmtId="0" fontId="51" fillId="0" borderId="31" xfId="0" applyFont="1" applyBorder="1" applyAlignment="1">
      <alignment horizontal="center"/>
    </xf>
    <xf numFmtId="0" fontId="51" fillId="0" borderId="7" xfId="0" applyFont="1" applyBorder="1" applyAlignment="1">
      <alignment horizontal="center"/>
    </xf>
    <xf numFmtId="0" fontId="50" fillId="3" borderId="115" xfId="38" applyFont="1" applyFill="1" applyBorder="1" applyAlignment="1">
      <alignment horizontal="center"/>
    </xf>
    <xf numFmtId="0" fontId="50" fillId="3" borderId="18" xfId="38" applyFont="1" applyFill="1" applyBorder="1" applyAlignment="1">
      <alignment horizontal="center"/>
    </xf>
    <xf numFmtId="0" fontId="50" fillId="3" borderId="20" xfId="38" applyFont="1" applyFill="1" applyBorder="1" applyAlignment="1">
      <alignment horizontal="center" wrapText="1"/>
    </xf>
    <xf numFmtId="0" fontId="50" fillId="3" borderId="21" xfId="38" applyFont="1" applyFill="1" applyBorder="1" applyAlignment="1">
      <alignment horizontal="center" wrapText="1"/>
    </xf>
    <xf numFmtId="0" fontId="50" fillId="3" borderId="20" xfId="38" applyFont="1" applyFill="1" applyBorder="1" applyAlignment="1">
      <alignment horizontal="center"/>
    </xf>
    <xf numFmtId="0" fontId="50" fillId="3" borderId="21" xfId="38" applyFont="1" applyFill="1" applyBorder="1" applyAlignment="1">
      <alignment horizontal="center"/>
    </xf>
    <xf numFmtId="0" fontId="43" fillId="0" borderId="41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2" fontId="42" fillId="0" borderId="27" xfId="0" applyNumberFormat="1" applyFont="1" applyBorder="1" applyAlignment="1">
      <alignment horizontal="right"/>
    </xf>
    <xf numFmtId="164" fontId="42" fillId="0" borderId="27" xfId="0" applyNumberFormat="1" applyFont="1" applyBorder="1" applyAlignment="1">
      <alignment horizontal="right"/>
    </xf>
    <xf numFmtId="164" fontId="43" fillId="0" borderId="11" xfId="0" applyNumberFormat="1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164" fontId="43" fillId="0" borderId="37" xfId="0" applyNumberFormat="1" applyFont="1" applyBorder="1" applyAlignment="1">
      <alignment horizontal="center" vertical="center"/>
    </xf>
    <xf numFmtId="164" fontId="43" fillId="0" borderId="35" xfId="0" applyNumberFormat="1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53" fillId="0" borderId="78" xfId="0" applyFont="1" applyBorder="1" applyAlignment="1">
      <alignment horizontal="center" vertical="center"/>
    </xf>
    <xf numFmtId="3" fontId="53" fillId="0" borderId="78" xfId="0" quotePrefix="1" applyNumberFormat="1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wrapText="1"/>
    </xf>
    <xf numFmtId="0" fontId="53" fillId="0" borderId="76" xfId="0" applyFont="1" applyBorder="1" applyAlignment="1">
      <alignment horizontal="center" vertical="center" wrapText="1"/>
    </xf>
    <xf numFmtId="0" fontId="53" fillId="0" borderId="77" xfId="0" applyFont="1" applyBorder="1" applyAlignment="1">
      <alignment horizontal="center" vertical="center" wrapText="1"/>
    </xf>
    <xf numFmtId="49" fontId="53" fillId="0" borderId="78" xfId="0" applyNumberFormat="1" applyFont="1" applyBorder="1" applyAlignment="1">
      <alignment horizontal="center" vertical="center" wrapText="1"/>
    </xf>
    <xf numFmtId="0" fontId="53" fillId="0" borderId="79" xfId="0" applyFont="1" applyBorder="1" applyAlignment="1">
      <alignment horizontal="center" vertical="center"/>
    </xf>
    <xf numFmtId="0" fontId="53" fillId="0" borderId="80" xfId="0" applyFont="1" applyBorder="1" applyAlignment="1">
      <alignment horizontal="center" vertical="center"/>
    </xf>
    <xf numFmtId="0" fontId="53" fillId="0" borderId="81" xfId="0" applyFont="1" applyBorder="1" applyAlignment="1">
      <alignment horizontal="center" vertical="center"/>
    </xf>
    <xf numFmtId="0" fontId="53" fillId="0" borderId="8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83" xfId="0" applyFont="1" applyBorder="1" applyAlignment="1">
      <alignment horizontal="center" vertical="center"/>
    </xf>
    <xf numFmtId="0" fontId="53" fillId="0" borderId="84" xfId="0" applyFont="1" applyBorder="1" applyAlignment="1">
      <alignment horizontal="center" vertical="center"/>
    </xf>
    <xf numFmtId="0" fontId="53" fillId="0" borderId="85" xfId="0" applyFont="1" applyBorder="1" applyAlignment="1">
      <alignment horizontal="center" vertical="center"/>
    </xf>
    <xf numFmtId="0" fontId="53" fillId="0" borderId="86" xfId="0" applyFont="1" applyBorder="1" applyAlignment="1">
      <alignment horizontal="center" vertical="center"/>
    </xf>
    <xf numFmtId="0" fontId="58" fillId="0" borderId="78" xfId="830" applyBorder="1" applyAlignment="1">
      <alignment horizontal="center" vertical="center"/>
    </xf>
    <xf numFmtId="0" fontId="53" fillId="0" borderId="75" xfId="0" applyFont="1" applyBorder="1" applyAlignment="1">
      <alignment horizontal="center" vertical="center"/>
    </xf>
    <xf numFmtId="0" fontId="53" fillId="0" borderId="76" xfId="0" applyFont="1" applyBorder="1" applyAlignment="1">
      <alignment horizontal="center" vertical="center"/>
    </xf>
    <xf numFmtId="0" fontId="53" fillId="0" borderId="77" xfId="0" applyFont="1" applyBorder="1" applyAlignment="1">
      <alignment horizontal="center" vertical="center"/>
    </xf>
    <xf numFmtId="0" fontId="53" fillId="0" borderId="78" xfId="0" applyFont="1" applyBorder="1" applyAlignment="1">
      <alignment horizontal="center" vertical="center" wrapText="1"/>
    </xf>
    <xf numFmtId="49" fontId="53" fillId="0" borderId="75" xfId="0" applyNumberFormat="1" applyFont="1" applyBorder="1" applyAlignment="1">
      <alignment horizontal="center" vertical="center" wrapText="1"/>
    </xf>
    <xf numFmtId="49" fontId="53" fillId="0" borderId="76" xfId="0" applyNumberFormat="1" applyFont="1" applyBorder="1" applyAlignment="1">
      <alignment horizontal="center" vertical="center" wrapText="1"/>
    </xf>
    <xf numFmtId="49" fontId="53" fillId="0" borderId="77" xfId="0" applyNumberFormat="1" applyFont="1" applyBorder="1" applyAlignment="1">
      <alignment horizontal="center" vertical="center" wrapText="1"/>
    </xf>
    <xf numFmtId="49" fontId="11" fillId="27" borderId="41" xfId="0" applyNumberFormat="1" applyFont="1" applyFill="1" applyBorder="1" applyAlignment="1">
      <alignment horizontal="center"/>
    </xf>
    <xf numFmtId="49" fontId="11" fillId="27" borderId="31" xfId="0" applyNumberFormat="1" applyFont="1" applyFill="1" applyBorder="1" applyAlignment="1">
      <alignment horizontal="center"/>
    </xf>
    <xf numFmtId="49" fontId="11" fillId="27" borderId="7" xfId="0" applyNumberFormat="1" applyFont="1" applyFill="1" applyBorder="1" applyAlignment="1">
      <alignment horizontal="center"/>
    </xf>
    <xf numFmtId="49" fontId="11" fillId="27" borderId="42" xfId="0" applyNumberFormat="1" applyFont="1" applyFill="1" applyBorder="1" applyAlignment="1">
      <alignment horizontal="center"/>
    </xf>
    <xf numFmtId="49" fontId="11" fillId="27" borderId="0" xfId="0" applyNumberFormat="1" applyFont="1" applyFill="1" applyAlignment="1">
      <alignment horizontal="center"/>
    </xf>
    <xf numFmtId="49" fontId="11" fillId="27" borderId="8" xfId="0" applyNumberFormat="1" applyFont="1" applyFill="1" applyBorder="1" applyAlignment="1">
      <alignment horizontal="center"/>
    </xf>
    <xf numFmtId="49" fontId="11" fillId="27" borderId="26" xfId="0" applyNumberFormat="1" applyFont="1" applyFill="1" applyBorder="1" applyAlignment="1">
      <alignment horizontal="center"/>
    </xf>
    <xf numFmtId="49" fontId="11" fillId="27" borderId="27" xfId="0" applyNumberFormat="1" applyFont="1" applyFill="1" applyBorder="1" applyAlignment="1">
      <alignment horizontal="center"/>
    </xf>
    <xf numFmtId="49" fontId="11" fillId="27" borderId="9" xfId="0" applyNumberFormat="1" applyFont="1" applyFill="1" applyBorder="1" applyAlignment="1">
      <alignment horizontal="center"/>
    </xf>
    <xf numFmtId="164" fontId="43" fillId="0" borderId="14" xfId="0" applyNumberFormat="1" applyFont="1" applyBorder="1" applyAlignment="1">
      <alignment horizontal="center" vertical="center" wrapText="1"/>
    </xf>
    <xf numFmtId="164" fontId="43" fillId="0" borderId="15" xfId="0" applyNumberFormat="1" applyFont="1" applyBorder="1" applyAlignment="1">
      <alignment horizontal="center" vertical="center" wrapText="1"/>
    </xf>
    <xf numFmtId="164" fontId="43" fillId="0" borderId="16" xfId="0" applyNumberFormat="1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164" fontId="43" fillId="0" borderId="3" xfId="0" applyNumberFormat="1" applyFont="1" applyBorder="1" applyAlignment="1">
      <alignment horizontal="center" vertical="center" wrapText="1"/>
    </xf>
    <xf numFmtId="2" fontId="43" fillId="0" borderId="1" xfId="0" applyNumberFormat="1" applyFont="1" applyBorder="1" applyAlignment="1">
      <alignment horizontal="center" vertical="center" wrapText="1"/>
    </xf>
    <xf numFmtId="2" fontId="43" fillId="0" borderId="2" xfId="0" applyNumberFormat="1" applyFont="1" applyBorder="1" applyAlignment="1">
      <alignment horizontal="center" vertical="center" wrapText="1"/>
    </xf>
    <xf numFmtId="2" fontId="43" fillId="0" borderId="3" xfId="0" applyNumberFormat="1" applyFont="1" applyBorder="1" applyAlignment="1">
      <alignment horizontal="center" vertical="center" wrapText="1"/>
    </xf>
    <xf numFmtId="0" fontId="12" fillId="3" borderId="20" xfId="38" applyFont="1" applyFill="1" applyBorder="1" applyAlignment="1">
      <alignment horizontal="center"/>
    </xf>
    <xf numFmtId="0" fontId="12" fillId="3" borderId="21" xfId="38" applyFont="1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0" fontId="43" fillId="0" borderId="35" xfId="0" applyFont="1" applyBorder="1" applyAlignment="1">
      <alignment horizontal="center" vertical="center"/>
    </xf>
    <xf numFmtId="0" fontId="9" fillId="0" borderId="103" xfId="150" applyFont="1" applyBorder="1" applyAlignment="1">
      <alignment horizontal="center" wrapText="1"/>
    </xf>
    <xf numFmtId="0" fontId="9" fillId="0" borderId="104" xfId="150" applyFont="1" applyBorder="1" applyAlignment="1">
      <alignment horizontal="center" wrapText="1"/>
    </xf>
    <xf numFmtId="0" fontId="2" fillId="27" borderId="41" xfId="150" applyFill="1" applyBorder="1" applyAlignment="1">
      <alignment horizontal="center"/>
    </xf>
    <xf numFmtId="0" fontId="2" fillId="27" borderId="31" xfId="150" applyFill="1" applyBorder="1" applyAlignment="1">
      <alignment horizontal="center"/>
    </xf>
    <xf numFmtId="0" fontId="2" fillId="27" borderId="7" xfId="150" applyFill="1" applyBorder="1" applyAlignment="1">
      <alignment horizontal="center"/>
    </xf>
    <xf numFmtId="0" fontId="2" fillId="27" borderId="42" xfId="150" applyFill="1" applyBorder="1" applyAlignment="1">
      <alignment horizontal="center"/>
    </xf>
    <xf numFmtId="0" fontId="2" fillId="27" borderId="0" xfId="150" applyFill="1" applyAlignment="1">
      <alignment horizontal="center"/>
    </xf>
    <xf numFmtId="0" fontId="2" fillId="27" borderId="8" xfId="150" applyFill="1" applyBorder="1" applyAlignment="1">
      <alignment horizontal="center"/>
    </xf>
    <xf numFmtId="0" fontId="2" fillId="27" borderId="26" xfId="150" applyFill="1" applyBorder="1" applyAlignment="1">
      <alignment horizontal="center"/>
    </xf>
    <xf numFmtId="0" fontId="2" fillId="27" borderId="27" xfId="150" applyFill="1" applyBorder="1" applyAlignment="1">
      <alignment horizontal="center"/>
    </xf>
    <xf numFmtId="0" fontId="2" fillId="27" borderId="9" xfId="150" applyFill="1" applyBorder="1" applyAlignment="1">
      <alignment horizontal="center"/>
    </xf>
    <xf numFmtId="0" fontId="2" fillId="0" borderId="31" xfId="150" applyBorder="1" applyAlignment="1">
      <alignment horizontal="center"/>
    </xf>
    <xf numFmtId="0" fontId="46" fillId="0" borderId="89" xfId="742" applyFont="1" applyBorder="1" applyAlignment="1">
      <alignment horizontal="left" vertical="center"/>
    </xf>
    <xf numFmtId="0" fontId="46" fillId="0" borderId="90" xfId="742" applyFont="1" applyBorder="1" applyAlignment="1">
      <alignment horizontal="left" vertical="center"/>
    </xf>
    <xf numFmtId="0" fontId="46" fillId="0" borderId="91" xfId="742" applyFont="1" applyBorder="1" applyAlignment="1">
      <alignment horizontal="left" vertical="center"/>
    </xf>
    <xf numFmtId="0" fontId="46" fillId="0" borderId="92" xfId="742" applyFont="1" applyBorder="1" applyAlignment="1">
      <alignment horizontal="left" vertical="center"/>
    </xf>
    <xf numFmtId="0" fontId="46" fillId="0" borderId="74" xfId="742" applyFont="1" applyBorder="1" applyAlignment="1">
      <alignment horizontal="left" vertical="center"/>
    </xf>
    <xf numFmtId="0" fontId="46" fillId="0" borderId="93" xfId="742" applyFont="1" applyBorder="1" applyAlignment="1">
      <alignment horizontal="left" vertical="center"/>
    </xf>
    <xf numFmtId="0" fontId="22" fillId="28" borderId="89" xfId="742" applyFont="1" applyFill="1" applyBorder="1" applyAlignment="1">
      <alignment horizontal="left" vertical="center" wrapText="1"/>
    </xf>
    <xf numFmtId="0" fontId="22" fillId="28" borderId="90" xfId="742" applyFont="1" applyFill="1" applyBorder="1" applyAlignment="1">
      <alignment horizontal="left" vertical="center" wrapText="1"/>
    </xf>
    <xf numFmtId="0" fontId="22" fillId="28" borderId="91" xfId="742" applyFont="1" applyFill="1" applyBorder="1" applyAlignment="1">
      <alignment horizontal="left" vertical="center" wrapText="1"/>
    </xf>
    <xf numFmtId="0" fontId="1" fillId="0" borderId="96" xfId="742" applyBorder="1" applyAlignment="1">
      <alignment horizontal="center"/>
    </xf>
    <xf numFmtId="0" fontId="1" fillId="0" borderId="97" xfId="742" applyBorder="1" applyAlignment="1">
      <alignment horizontal="center"/>
    </xf>
    <xf numFmtId="0" fontId="1" fillId="0" borderId="98" xfId="742" applyBorder="1" applyAlignment="1">
      <alignment horizontal="center"/>
    </xf>
    <xf numFmtId="0" fontId="8" fillId="2" borderId="37" xfId="150" applyFont="1" applyFill="1" applyBorder="1" applyAlignment="1">
      <alignment horizontal="left" vertical="center" wrapText="1"/>
    </xf>
    <xf numFmtId="0" fontId="8" fillId="2" borderId="35" xfId="150" applyFont="1" applyFill="1" applyBorder="1" applyAlignment="1">
      <alignment horizontal="left" vertical="center" wrapText="1"/>
    </xf>
    <xf numFmtId="0" fontId="8" fillId="2" borderId="36" xfId="150" applyFont="1" applyFill="1" applyBorder="1" applyAlignment="1">
      <alignment horizontal="left" vertical="center" wrapText="1"/>
    </xf>
    <xf numFmtId="0" fontId="9" fillId="0" borderId="100" xfId="150" applyFont="1" applyBorder="1" applyAlignment="1">
      <alignment horizontal="center" wrapText="1"/>
    </xf>
    <xf numFmtId="0" fontId="9" fillId="0" borderId="101" xfId="150" applyFont="1" applyBorder="1" applyAlignment="1">
      <alignment horizontal="center" wrapText="1"/>
    </xf>
    <xf numFmtId="0" fontId="9" fillId="0" borderId="108" xfId="150" applyFont="1" applyBorder="1" applyAlignment="1">
      <alignment horizontal="center"/>
    </xf>
    <xf numFmtId="0" fontId="10" fillId="0" borderId="0" xfId="150" applyFont="1" applyAlignment="1">
      <alignment horizontal="left" vertical="center" wrapText="1"/>
    </xf>
    <xf numFmtId="0" fontId="9" fillId="0" borderId="106" xfId="150" applyFont="1" applyBorder="1" applyAlignment="1">
      <alignment horizontal="center" wrapText="1"/>
    </xf>
    <xf numFmtId="0" fontId="9" fillId="0" borderId="107" xfId="150" applyFont="1" applyBorder="1" applyAlignment="1">
      <alignment horizontal="center" wrapText="1"/>
    </xf>
  </cellXfs>
  <cellStyles count="831">
    <cellStyle name="20% - Accent1 2" xfId="182" xr:uid="{EBFF6D87-BC73-4F1D-BA3B-169A735163CB}"/>
    <cellStyle name="20% - Accent2 2" xfId="183" xr:uid="{FC6DAAC7-B0BE-4F56-8B80-416C05291F9D}"/>
    <cellStyle name="20% - Accent3 2" xfId="184" xr:uid="{32C44B9A-F88C-4739-95A9-F4B50870B93C}"/>
    <cellStyle name="20% - Accent4 2" xfId="185" xr:uid="{D9B55FC6-8A25-4882-B01B-3B9A3C0C49A0}"/>
    <cellStyle name="20% - Accent5 2" xfId="186" xr:uid="{30D20542-66B1-4371-AC0B-BBFF0ABF27EC}"/>
    <cellStyle name="20% - Accent6 2" xfId="187" xr:uid="{998399EF-B618-428F-B76C-E01BD8CDE0D4}"/>
    <cellStyle name="40% - Accent1 2" xfId="188" xr:uid="{0261E380-81F0-4AC9-AABA-E52D1FA9E949}"/>
    <cellStyle name="40% - Accent2 2" xfId="189" xr:uid="{62FC6C8E-9FB6-4AA9-A1D9-A6A38F71A121}"/>
    <cellStyle name="40% - Accent3 2" xfId="190" xr:uid="{88D8A096-285E-47A4-819C-B080903D2A78}"/>
    <cellStyle name="40% - Accent4 2" xfId="191" xr:uid="{1009546E-E3EF-448C-827A-224D940E6029}"/>
    <cellStyle name="40% - Accent5 2" xfId="192" xr:uid="{018B7E38-F8AE-4277-8A37-4F08BCA91432}"/>
    <cellStyle name="40% - Accent6 2" xfId="193" xr:uid="{F06D9483-3B49-452A-A94A-85DFD2700FD7}"/>
    <cellStyle name="60% - Accent1 2" xfId="194" xr:uid="{AA3448ED-D1A0-4226-A9FD-6C5CDD9615AA}"/>
    <cellStyle name="60% - Accent2 2" xfId="195" xr:uid="{D2669388-4A22-47CA-9662-8AF7FACF930F}"/>
    <cellStyle name="60% - Accent3 2" xfId="196" xr:uid="{E9AFF8F3-BC8F-4C34-9D97-4DE0032C08D7}"/>
    <cellStyle name="60% - Accent4 2" xfId="197" xr:uid="{94BD6487-5521-478F-AD6D-F1A8A286E6BD}"/>
    <cellStyle name="60% - Accent5 2" xfId="198" xr:uid="{74B66026-5F07-4AC3-8C89-1AD92206909A}"/>
    <cellStyle name="60% - Accent6 2" xfId="199" xr:uid="{6B81ED8C-FEB0-40F3-8AB5-08060B27C4A4}"/>
    <cellStyle name="Accent1 2" xfId="200" xr:uid="{B14059D2-432A-4899-95BF-797A7D37B2B7}"/>
    <cellStyle name="Accent2 2" xfId="201" xr:uid="{C4E80446-8F87-449B-8139-3301167A2C7D}"/>
    <cellStyle name="Accent3 2" xfId="202" xr:uid="{3BA7172B-FC2B-4A0F-9C8F-450DE0696978}"/>
    <cellStyle name="Accent4 2" xfId="203" xr:uid="{22BBA918-FD1B-413C-B1E4-2D7107592262}"/>
    <cellStyle name="Accent5 2" xfId="204" xr:uid="{79ABFE71-CF35-4A7B-BEC3-7B8161A92EA3}"/>
    <cellStyle name="Accent6 2" xfId="205" xr:uid="{5CEA5FC3-3116-42C2-ACFB-AD2B10DB1243}"/>
    <cellStyle name="Bad 2" xfId="206" xr:uid="{960633C7-471E-4BE7-A221-984BEA3E8AC4}"/>
    <cellStyle name="Calculation 2" xfId="207" xr:uid="{0281C76F-2802-4EAE-84FC-FC9F94A188E0}"/>
    <cellStyle name="Check Cell 2" xfId="208" xr:uid="{49CB16E7-0140-40BF-8047-204DDB4A0C85}"/>
    <cellStyle name="Comma  - Style1" xfId="209" xr:uid="{9984D1C7-E2E3-43E3-B0C4-FFA1A59A3D47}"/>
    <cellStyle name="Comma  - Style1 10" xfId="210" xr:uid="{3909873A-D817-49C7-B224-5AE36DC3139C}"/>
    <cellStyle name="Comma  - Style1 11" xfId="211" xr:uid="{132D081D-D103-458F-A588-8967D9B3E8DB}"/>
    <cellStyle name="Comma  - Style1 12" xfId="212" xr:uid="{E5C85FD8-78A6-4421-98D2-DFD494166E77}"/>
    <cellStyle name="Comma  - Style1 13" xfId="213" xr:uid="{1C85652D-C25B-4E14-B170-6FEF41F639DB}"/>
    <cellStyle name="Comma  - Style1 14" xfId="214" xr:uid="{1A631181-3D32-478B-A841-FDE727A3433A}"/>
    <cellStyle name="Comma  - Style1 15" xfId="215" xr:uid="{A099A517-1D1C-402A-9408-A6D81211FAA8}"/>
    <cellStyle name="Comma  - Style1 16" xfId="216" xr:uid="{A9D98D3E-B239-406E-984F-7CB1555FF150}"/>
    <cellStyle name="Comma  - Style1 17" xfId="217" xr:uid="{FC1E3A59-0A00-4504-A83C-8A6BF1E13A8E}"/>
    <cellStyle name="Comma  - Style1 18" xfId="218" xr:uid="{ACF1B9D6-26F1-475C-A38D-71051155A227}"/>
    <cellStyle name="Comma  - Style1 19" xfId="219" xr:uid="{ED7863D2-3784-4E63-AA9F-D60ECB2C8590}"/>
    <cellStyle name="Comma  - Style1 2" xfId="220" xr:uid="{7A69D12E-1530-478B-86BC-79008BE4DF14}"/>
    <cellStyle name="Comma  - Style1 2 2" xfId="221" xr:uid="{635383F8-A9F7-4E50-BA71-9E47DF17EAA4}"/>
    <cellStyle name="Comma  - Style1 20" xfId="222" xr:uid="{0954976C-F7CF-44E5-83E9-D0C6D295BFD0}"/>
    <cellStyle name="Comma  - Style1 21" xfId="223" xr:uid="{9AD57D51-A044-4D33-956D-9C6E24372F8C}"/>
    <cellStyle name="Comma  - Style1 22" xfId="224" xr:uid="{2F600A0A-685A-4DAD-A33D-CCCF673553A3}"/>
    <cellStyle name="Comma  - Style1 23" xfId="225" xr:uid="{44740DF2-E93A-4765-91BF-43D19886F9D9}"/>
    <cellStyle name="Comma  - Style1 24" xfId="226" xr:uid="{26B2FB61-E38F-4E99-BF0F-61C5FC6F6DB0}"/>
    <cellStyle name="Comma  - Style1 25" xfId="227" xr:uid="{2AE007E7-5289-4623-ACCA-2510BE7CE285}"/>
    <cellStyle name="Comma  - Style1 26" xfId="228" xr:uid="{5DB66A16-9729-4E45-8943-C8496837FE6E}"/>
    <cellStyle name="Comma  - Style1 27" xfId="229" xr:uid="{CBFBC8C3-F126-4916-85F8-0A2FEEB13E62}"/>
    <cellStyle name="Comma  - Style1 28" xfId="230" xr:uid="{86708366-2961-4FC5-860B-5ADDB6778533}"/>
    <cellStyle name="Comma  - Style1 3" xfId="231" xr:uid="{80960817-23B7-4B88-9933-0D9985F0C185}"/>
    <cellStyle name="Comma  - Style1 3 2" xfId="232" xr:uid="{49C32BF2-F1BD-40B0-9E09-67B8D3A46A92}"/>
    <cellStyle name="Comma  - Style1 4" xfId="233" xr:uid="{D9467A97-E0B0-4887-9E88-C4D7C2D724B6}"/>
    <cellStyle name="Comma  - Style1 5" xfId="234" xr:uid="{94695161-FC95-487A-9BDF-C9C5875DF794}"/>
    <cellStyle name="Comma  - Style1 6" xfId="235" xr:uid="{53F6129E-C565-4F3D-995A-C5A6A6DB02F4}"/>
    <cellStyle name="Comma  - Style1 7" xfId="236" xr:uid="{CAB1A8A6-E2CB-4DF3-A108-A7B805C760E4}"/>
    <cellStyle name="Comma  - Style1 8" xfId="237" xr:uid="{50109F23-C076-49C7-9549-875E805D0160}"/>
    <cellStyle name="Comma  - Style1 9" xfId="238" xr:uid="{DBD450E5-0246-445D-BA98-13F400E3ED8C}"/>
    <cellStyle name="Comma  - Style2" xfId="239" xr:uid="{36890B48-8EC7-4DB7-AECA-F08801EE51E1}"/>
    <cellStyle name="Comma  - Style2 10" xfId="240" xr:uid="{3E9D9B34-8002-4A9F-9A2C-4A5F38E12F5A}"/>
    <cellStyle name="Comma  - Style2 11" xfId="241" xr:uid="{8D6577A6-DE41-42E1-8716-3D999639360B}"/>
    <cellStyle name="Comma  - Style2 12" xfId="242" xr:uid="{472D4EB5-7DA6-405D-AF15-9D49469C8BD9}"/>
    <cellStyle name="Comma  - Style2 13" xfId="243" xr:uid="{E6300697-A8F8-4BF8-A1B1-B299572D0ED0}"/>
    <cellStyle name="Comma  - Style2 14" xfId="244" xr:uid="{763EA25B-3D9F-4CD4-8F41-EFAE61FBA818}"/>
    <cellStyle name="Comma  - Style2 15" xfId="245" xr:uid="{B97862B4-51B1-4D3A-8D9B-05525CEB7995}"/>
    <cellStyle name="Comma  - Style2 16" xfId="246" xr:uid="{351035E3-6662-4173-8652-495E4FB3C5BA}"/>
    <cellStyle name="Comma  - Style2 17" xfId="247" xr:uid="{12936C1D-253B-42FE-94C0-06CD117B2B18}"/>
    <cellStyle name="Comma  - Style2 18" xfId="248" xr:uid="{52443D88-3FDD-4AF0-AB59-9DCBAD8E9C03}"/>
    <cellStyle name="Comma  - Style2 19" xfId="249" xr:uid="{9D00D764-EDE6-41DB-BA94-F08174F86A49}"/>
    <cellStyle name="Comma  - Style2 2" xfId="250" xr:uid="{C9E6450C-6CCA-45CC-9354-C755F7640F54}"/>
    <cellStyle name="Comma  - Style2 2 2" xfId="251" xr:uid="{CDCBC8F1-FCFA-4C71-B538-2F7F996CB3E6}"/>
    <cellStyle name="Comma  - Style2 20" xfId="252" xr:uid="{916073C8-F7FE-4BE0-B53A-05078B20BC79}"/>
    <cellStyle name="Comma  - Style2 21" xfId="253" xr:uid="{AC014263-7112-4536-A080-CEB7C0A7FE3D}"/>
    <cellStyle name="Comma  - Style2 22" xfId="254" xr:uid="{7EF55C81-C56D-4F32-9D38-98ABBEE42979}"/>
    <cellStyle name="Comma  - Style2 23" xfId="255" xr:uid="{31B87DBB-1FBA-4120-8C90-F5587B19D2CF}"/>
    <cellStyle name="Comma  - Style2 24" xfId="256" xr:uid="{9D80E4F1-2C3C-4C4D-92A4-4E474FD22FA3}"/>
    <cellStyle name="Comma  - Style2 25" xfId="257" xr:uid="{5EC1DCC9-A8C4-49B6-A238-ED54BBB58BE5}"/>
    <cellStyle name="Comma  - Style2 26" xfId="258" xr:uid="{0691C434-DFB1-4934-8D02-5E55B68283DB}"/>
    <cellStyle name="Comma  - Style2 27" xfId="259" xr:uid="{1F650571-D716-446F-A999-F931B25D5BF4}"/>
    <cellStyle name="Comma  - Style2 28" xfId="260" xr:uid="{21F38D48-7CC2-41A0-8FF4-11F7D6BE1D3E}"/>
    <cellStyle name="Comma  - Style2 3" xfId="261" xr:uid="{12B430DB-E614-46D1-B38A-81222920E4DA}"/>
    <cellStyle name="Comma  - Style2 3 2" xfId="262" xr:uid="{2C652A7E-B0EA-4182-9B9A-31580A374C8F}"/>
    <cellStyle name="Comma  - Style2 4" xfId="263" xr:uid="{72BB8643-0A2D-4B99-8406-EE3850E94BB8}"/>
    <cellStyle name="Comma  - Style2 5" xfId="264" xr:uid="{46476026-BD56-4E43-A167-CFAFF0545A7A}"/>
    <cellStyle name="Comma  - Style2 6" xfId="265" xr:uid="{2EA4C96B-6691-4F8B-B2B8-A6913C0E2F85}"/>
    <cellStyle name="Comma  - Style2 7" xfId="266" xr:uid="{E204CC5C-C10F-44A8-93A8-644C156B3179}"/>
    <cellStyle name="Comma  - Style2 8" xfId="267" xr:uid="{9468A935-118B-4966-A2CB-D9722428660E}"/>
    <cellStyle name="Comma  - Style2 9" xfId="268" xr:uid="{D2385870-8E1A-4860-B448-946B29EF4A08}"/>
    <cellStyle name="Comma  - Style3" xfId="269" xr:uid="{0FDB9CF5-0A66-4F59-A796-064FB1432C59}"/>
    <cellStyle name="Comma  - Style3 10" xfId="270" xr:uid="{58F58DB3-EDE3-40EC-9D24-2A067A419B8E}"/>
    <cellStyle name="Comma  - Style3 11" xfId="271" xr:uid="{8AD9557C-B2A2-428C-8358-4B49CB5BB85B}"/>
    <cellStyle name="Comma  - Style3 12" xfId="272" xr:uid="{7CE15C6F-640C-46D0-94C5-211BE4364CEF}"/>
    <cellStyle name="Comma  - Style3 13" xfId="273" xr:uid="{02D1D123-E24B-4B48-A5D3-2CC0C99EE2B2}"/>
    <cellStyle name="Comma  - Style3 14" xfId="274" xr:uid="{EB14219E-22B2-4F05-905E-4AAF558F7B77}"/>
    <cellStyle name="Comma  - Style3 15" xfId="275" xr:uid="{DC286D59-7A1E-403C-A5F3-E3857C80CA38}"/>
    <cellStyle name="Comma  - Style3 16" xfId="276" xr:uid="{07E55867-60A6-4B81-9722-0CC61D131ACE}"/>
    <cellStyle name="Comma  - Style3 17" xfId="277" xr:uid="{2E2D8B5F-6CC8-4470-A227-05BAB42AFC9F}"/>
    <cellStyle name="Comma  - Style3 18" xfId="278" xr:uid="{7978571F-79AD-42FE-BB5E-F37D2F35F9B9}"/>
    <cellStyle name="Comma  - Style3 19" xfId="279" xr:uid="{FBC4C242-7F3F-48E9-82E9-4DDF91762649}"/>
    <cellStyle name="Comma  - Style3 2" xfId="280" xr:uid="{97D78DA4-B946-43E3-B85E-FD20529D30A6}"/>
    <cellStyle name="Comma  - Style3 2 2" xfId="281" xr:uid="{5A187617-12A1-498E-A741-81D976BB44AD}"/>
    <cellStyle name="Comma  - Style3 20" xfId="282" xr:uid="{12C81675-7ABB-4ADC-854E-7BEBFBBAD601}"/>
    <cellStyle name="Comma  - Style3 21" xfId="283" xr:uid="{755BCB99-9B3F-427B-88EB-ABC480DA8CFA}"/>
    <cellStyle name="Comma  - Style3 22" xfId="284" xr:uid="{F4258B78-5AC5-47BD-A7B4-60AD0EA54FFF}"/>
    <cellStyle name="Comma  - Style3 23" xfId="285" xr:uid="{C18CC327-9E3C-40BA-ADEF-753B9ECE2D2E}"/>
    <cellStyle name="Comma  - Style3 24" xfId="286" xr:uid="{21EA18D9-FBA9-4465-B665-1F2A8597C988}"/>
    <cellStyle name="Comma  - Style3 25" xfId="287" xr:uid="{6F1923AD-6465-499D-A1DD-0E7B9065EB08}"/>
    <cellStyle name="Comma  - Style3 26" xfId="288" xr:uid="{052E2E45-DE21-4338-8FA1-F331A0034AC6}"/>
    <cellStyle name="Comma  - Style3 27" xfId="289" xr:uid="{35953AF2-89CD-4DE7-A4BD-086D18FCDB0F}"/>
    <cellStyle name="Comma  - Style3 28" xfId="290" xr:uid="{CB13DE85-8925-4AD1-BC00-A436478CE41B}"/>
    <cellStyle name="Comma  - Style3 3" xfId="291" xr:uid="{7765E9A3-554E-42A4-BCD4-014ACA5CF79E}"/>
    <cellStyle name="Comma  - Style3 3 2" xfId="292" xr:uid="{1947F973-A11D-4839-A57C-C879B35A698A}"/>
    <cellStyle name="Comma  - Style3 4" xfId="293" xr:uid="{3117F6AD-2B33-49C7-8749-6F54385F43A8}"/>
    <cellStyle name="Comma  - Style3 5" xfId="294" xr:uid="{179EB426-D233-49A2-B800-1E46CFEE5CAB}"/>
    <cellStyle name="Comma  - Style3 6" xfId="295" xr:uid="{8AE375E4-42E7-48F4-97DD-289D9F16EA78}"/>
    <cellStyle name="Comma  - Style3 7" xfId="296" xr:uid="{2D5F7221-5ED5-4861-A3BB-F50BF74F9B6F}"/>
    <cellStyle name="Comma  - Style3 8" xfId="297" xr:uid="{B8D2EC1A-1FA7-4EC9-A785-0D23E86160D0}"/>
    <cellStyle name="Comma  - Style3 9" xfId="298" xr:uid="{6C9C4D6D-4632-47FA-A14F-7C1A5FF2818C}"/>
    <cellStyle name="Comma  - Style4" xfId="299" xr:uid="{9F6CEC9D-A38F-4156-96C8-0AC491DC88EC}"/>
    <cellStyle name="Comma  - Style4 10" xfId="300" xr:uid="{74555808-96FD-4518-922B-C9072085B9CA}"/>
    <cellStyle name="Comma  - Style4 11" xfId="301" xr:uid="{33B1F3F4-45A4-48BD-ACCA-82753124B88B}"/>
    <cellStyle name="Comma  - Style4 12" xfId="302" xr:uid="{512ED8FC-BFAA-40D9-A456-AB664716E2CD}"/>
    <cellStyle name="Comma  - Style4 13" xfId="303" xr:uid="{A7FE5851-4322-4C43-A009-9C3066BA6215}"/>
    <cellStyle name="Comma  - Style4 14" xfId="304" xr:uid="{48D65F65-1795-4A3D-9F19-D8832B8A071F}"/>
    <cellStyle name="Comma  - Style4 15" xfId="305" xr:uid="{03CF1DBF-4A82-4E93-87CF-4A4F271877BA}"/>
    <cellStyle name="Comma  - Style4 16" xfId="306" xr:uid="{3E501B1E-677A-44C9-B29C-E80BE08CABD7}"/>
    <cellStyle name="Comma  - Style4 17" xfId="307" xr:uid="{EF7EE6F5-1142-4BC3-ABB9-536D5C885033}"/>
    <cellStyle name="Comma  - Style4 18" xfId="308" xr:uid="{BCC0B26A-11E5-490F-BA5E-B10FFC03D237}"/>
    <cellStyle name="Comma  - Style4 19" xfId="309" xr:uid="{D6284A6F-8FD0-4135-BC5F-67C51CAA5428}"/>
    <cellStyle name="Comma  - Style4 2" xfId="310" xr:uid="{304BC855-785A-430B-B666-383C5DD83BEC}"/>
    <cellStyle name="Comma  - Style4 2 2" xfId="311" xr:uid="{4810B6FE-B2F1-4050-AC92-17ABA290A694}"/>
    <cellStyle name="Comma  - Style4 20" xfId="312" xr:uid="{10966129-28F1-4558-AFD0-47D03DD1B0B9}"/>
    <cellStyle name="Comma  - Style4 21" xfId="313" xr:uid="{D33A66D6-38E3-42FC-A897-D2D36423DC4D}"/>
    <cellStyle name="Comma  - Style4 22" xfId="314" xr:uid="{BD32E07F-1760-466E-A94B-9C0AEDC76B2E}"/>
    <cellStyle name="Comma  - Style4 23" xfId="315" xr:uid="{68682095-C59C-4A53-9D9F-5450E0E6AE5C}"/>
    <cellStyle name="Comma  - Style4 24" xfId="316" xr:uid="{477791F8-D4B4-4A4F-AB91-B612AAF6FB62}"/>
    <cellStyle name="Comma  - Style4 25" xfId="317" xr:uid="{6E6BE5D6-5D12-4C77-8F0C-95838749920A}"/>
    <cellStyle name="Comma  - Style4 26" xfId="318" xr:uid="{C2320063-3302-429A-BEB6-170EF3E422D6}"/>
    <cellStyle name="Comma  - Style4 27" xfId="319" xr:uid="{E7D14C8A-B6DA-4988-BCFA-C3F6A0ECF168}"/>
    <cellStyle name="Comma  - Style4 28" xfId="320" xr:uid="{3DFCB72B-F9A3-4A9F-8341-A1FDE57181FB}"/>
    <cellStyle name="Comma  - Style4 3" xfId="321" xr:uid="{86932558-A282-4109-B0B1-4CF158D6588B}"/>
    <cellStyle name="Comma  - Style4 3 2" xfId="322" xr:uid="{5E264AEC-8F2F-461E-95D3-31E75787A13D}"/>
    <cellStyle name="Comma  - Style4 4" xfId="323" xr:uid="{82C1446D-D8B5-4BCA-AAE7-012A360A9009}"/>
    <cellStyle name="Comma  - Style4 5" xfId="324" xr:uid="{8D4237EE-165F-4F21-8F20-93EA64196AD2}"/>
    <cellStyle name="Comma  - Style4 6" xfId="325" xr:uid="{E6D0FEAF-34DD-4F1E-9CEC-31B165513E0E}"/>
    <cellStyle name="Comma  - Style4 7" xfId="326" xr:uid="{992D11F6-0946-44A3-852E-5668EEAA3C37}"/>
    <cellStyle name="Comma  - Style4 8" xfId="327" xr:uid="{C5B8568B-6969-4CF5-ABAA-4CA9821DA038}"/>
    <cellStyle name="Comma  - Style4 9" xfId="328" xr:uid="{92E74CD6-0532-4358-AE58-DBCB2F6F9B3B}"/>
    <cellStyle name="Comma  - Style5" xfId="329" xr:uid="{091598D6-A236-4118-827F-1B6F3F062800}"/>
    <cellStyle name="Comma  - Style5 10" xfId="330" xr:uid="{AE2A537F-4066-4F3F-B929-A88EB8CEEE9B}"/>
    <cellStyle name="Comma  - Style5 11" xfId="331" xr:uid="{BAD12A9B-9565-4532-A06A-BFD1D247DBEB}"/>
    <cellStyle name="Comma  - Style5 12" xfId="332" xr:uid="{F9BC4331-9CFA-4113-AF80-C4C194983EA2}"/>
    <cellStyle name="Comma  - Style5 13" xfId="333" xr:uid="{5CB7BF79-D3B5-4ED5-8DE5-203420580562}"/>
    <cellStyle name="Comma  - Style5 14" xfId="334" xr:uid="{438D7ADE-B1BB-48A7-B4B0-504C0C083FAE}"/>
    <cellStyle name="Comma  - Style5 15" xfId="335" xr:uid="{BFE16EDA-E2D1-42B4-9FD9-37DA761B0540}"/>
    <cellStyle name="Comma  - Style5 16" xfId="336" xr:uid="{4BB1B573-1CCE-4CE3-947A-CC8F159544C8}"/>
    <cellStyle name="Comma  - Style5 17" xfId="337" xr:uid="{EA4FEB61-6E55-4252-8CE1-884A5619EAA9}"/>
    <cellStyle name="Comma  - Style5 18" xfId="338" xr:uid="{4F13C50B-475B-455A-B481-5ABB69895DA3}"/>
    <cellStyle name="Comma  - Style5 19" xfId="339" xr:uid="{0B76DB74-19C6-4DE2-9651-12E9F94F3299}"/>
    <cellStyle name="Comma  - Style5 2" xfId="340" xr:uid="{BE97A775-AC40-4A79-9F18-43DA2A500E99}"/>
    <cellStyle name="Comma  - Style5 2 2" xfId="341" xr:uid="{176D9A16-5332-45D1-A526-3FEAFB52C546}"/>
    <cellStyle name="Comma  - Style5 20" xfId="342" xr:uid="{A7B2DC05-7D85-4DD0-85D8-CC58B570FC60}"/>
    <cellStyle name="Comma  - Style5 21" xfId="343" xr:uid="{AEC16C0B-8998-454C-B9A3-7220BFFFBB21}"/>
    <cellStyle name="Comma  - Style5 22" xfId="344" xr:uid="{395127EC-EEB7-4BD8-A2C7-28CA959BC35C}"/>
    <cellStyle name="Comma  - Style5 23" xfId="345" xr:uid="{1C7925EC-4DB7-4590-8B9F-488C7418C9BD}"/>
    <cellStyle name="Comma  - Style5 24" xfId="346" xr:uid="{9FAE2E84-CA61-40CD-BD3B-DCE6CC09841F}"/>
    <cellStyle name="Comma  - Style5 25" xfId="347" xr:uid="{ACFE6EB4-5483-435D-8E57-1997CDD715E8}"/>
    <cellStyle name="Comma  - Style5 26" xfId="348" xr:uid="{0601B563-2F54-4DFB-BDCB-26224D6C6318}"/>
    <cellStyle name="Comma  - Style5 27" xfId="349" xr:uid="{080B8631-837D-434D-ABB3-F2D06F4D8310}"/>
    <cellStyle name="Comma  - Style5 28" xfId="350" xr:uid="{530C21B5-841F-432F-B89A-81B9466EC644}"/>
    <cellStyle name="Comma  - Style5 3" xfId="351" xr:uid="{47A964E0-C856-468E-B7E8-7283DE5B0B87}"/>
    <cellStyle name="Comma  - Style5 3 2" xfId="352" xr:uid="{C9031D57-80F9-45C2-88AE-CC863A6003DA}"/>
    <cellStyle name="Comma  - Style5 4" xfId="353" xr:uid="{C8F772EA-2F24-4833-B0E5-17AAAD7B748E}"/>
    <cellStyle name="Comma  - Style5 5" xfId="354" xr:uid="{419CA455-578E-4BC6-BB71-21D2FB5B2D53}"/>
    <cellStyle name="Comma  - Style5 6" xfId="355" xr:uid="{E6F7D2F4-51FA-40B8-AA05-70289E8C081B}"/>
    <cellStyle name="Comma  - Style5 7" xfId="356" xr:uid="{973F96BE-8A76-4CCE-A34B-A8D67895C21A}"/>
    <cellStyle name="Comma  - Style5 8" xfId="357" xr:uid="{B0FDE524-5A08-4668-B66D-6C69CA6096FF}"/>
    <cellStyle name="Comma  - Style5 9" xfId="358" xr:uid="{D057490F-9588-47DD-A46A-681248F3F8E2}"/>
    <cellStyle name="Comma  - Style6" xfId="359" xr:uid="{80CF684D-76B5-4DBD-AFEB-C614DE00514D}"/>
    <cellStyle name="Comma  - Style6 10" xfId="360" xr:uid="{81263420-0B1F-45BA-8ADC-0AB037BE602E}"/>
    <cellStyle name="Comma  - Style6 11" xfId="361" xr:uid="{A65C72B3-3498-4C09-BA57-6A1310F7C399}"/>
    <cellStyle name="Comma  - Style6 12" xfId="362" xr:uid="{079F00FB-4830-47D0-8820-92F2A8609B32}"/>
    <cellStyle name="Comma  - Style6 13" xfId="363" xr:uid="{508117EE-D6BF-457B-BFA6-ACD2DE8CB8BE}"/>
    <cellStyle name="Comma  - Style6 14" xfId="364" xr:uid="{9975C312-0C49-4D98-8226-81E157AE1942}"/>
    <cellStyle name="Comma  - Style6 15" xfId="365" xr:uid="{F0141632-0C51-4AAF-A80C-4B8919B1F749}"/>
    <cellStyle name="Comma  - Style6 16" xfId="366" xr:uid="{4CBB531A-EE8B-4374-A323-DC22595B4227}"/>
    <cellStyle name="Comma  - Style6 17" xfId="367" xr:uid="{92DD68D3-8C59-4E13-82BB-569EC763E43C}"/>
    <cellStyle name="Comma  - Style6 18" xfId="368" xr:uid="{A729857B-0C77-4C02-9286-A4512B1049C4}"/>
    <cellStyle name="Comma  - Style6 19" xfId="369" xr:uid="{81A14149-1D6E-4187-B2C3-07851AE0EA70}"/>
    <cellStyle name="Comma  - Style6 2" xfId="370" xr:uid="{E6489B2C-D07A-4342-934A-B449F9541DFF}"/>
    <cellStyle name="Comma  - Style6 2 2" xfId="371" xr:uid="{FC1292D3-7768-41A7-83E6-123D04FF2698}"/>
    <cellStyle name="Comma  - Style6 20" xfId="372" xr:uid="{11B4906C-1D26-427E-8311-98EB262CFDC8}"/>
    <cellStyle name="Comma  - Style6 21" xfId="373" xr:uid="{D59197CC-BA66-4198-8085-55BAD0E8696F}"/>
    <cellStyle name="Comma  - Style6 22" xfId="374" xr:uid="{71D09514-F559-4C10-AB86-77214A0153AF}"/>
    <cellStyle name="Comma  - Style6 23" xfId="375" xr:uid="{C606A191-7BE4-4AE5-855F-0415CD7D7CF5}"/>
    <cellStyle name="Comma  - Style6 24" xfId="376" xr:uid="{59243C4A-7A31-4E34-848D-0D0060ADDBEA}"/>
    <cellStyle name="Comma  - Style6 25" xfId="377" xr:uid="{A4A9051D-A2DE-479E-9C53-3DB5C1A52578}"/>
    <cellStyle name="Comma  - Style6 26" xfId="378" xr:uid="{01F0DEC7-D1C4-4054-A00A-1C27DCC0412A}"/>
    <cellStyle name="Comma  - Style6 27" xfId="379" xr:uid="{F19BB97B-EA92-4BF3-BA75-46A0754F7B97}"/>
    <cellStyle name="Comma  - Style6 28" xfId="380" xr:uid="{4FACC00C-B15C-4D95-9589-05D589B4859D}"/>
    <cellStyle name="Comma  - Style6 3" xfId="381" xr:uid="{2FBB99FA-7A48-4512-91B1-D4963AC69FA2}"/>
    <cellStyle name="Comma  - Style6 3 2" xfId="382" xr:uid="{6A12CEE0-C822-4C87-8EF8-5DF790C5FF3B}"/>
    <cellStyle name="Comma  - Style6 4" xfId="383" xr:uid="{49041A06-B475-4871-9CF2-D0D6EE401FD8}"/>
    <cellStyle name="Comma  - Style6 5" xfId="384" xr:uid="{F9C65A7B-81EC-44CA-A03C-05A8BCBFA4FE}"/>
    <cellStyle name="Comma  - Style6 6" xfId="385" xr:uid="{2A20BDC4-569C-4C96-9941-3DB96B0D0AAD}"/>
    <cellStyle name="Comma  - Style6 7" xfId="386" xr:uid="{F6F25292-3C83-4301-B383-87BD07A2CE27}"/>
    <cellStyle name="Comma  - Style6 8" xfId="387" xr:uid="{88D95546-ADA4-4E4B-8DDB-82D4D0A3F8D7}"/>
    <cellStyle name="Comma  - Style6 9" xfId="388" xr:uid="{84FD095C-725F-48CA-8B2F-A3EDFAEF6BE6}"/>
    <cellStyle name="Comma  - Style7" xfId="389" xr:uid="{8FF7A735-0923-4609-A012-87B53022EB05}"/>
    <cellStyle name="Comma  - Style7 10" xfId="390" xr:uid="{C64F2FAC-6EF2-4424-A64A-D8617B579ED8}"/>
    <cellStyle name="Comma  - Style7 11" xfId="391" xr:uid="{CCD72E35-526C-457A-977E-D6EE82A201BF}"/>
    <cellStyle name="Comma  - Style7 12" xfId="392" xr:uid="{0BBF9D6C-C321-4842-B77E-AED0D2DB36B1}"/>
    <cellStyle name="Comma  - Style7 13" xfId="393" xr:uid="{C91CEAEC-1E8C-462A-98D9-A5609C991066}"/>
    <cellStyle name="Comma  - Style7 14" xfId="394" xr:uid="{3533BACC-1D1C-4FCB-8EB9-80B1057CEA1B}"/>
    <cellStyle name="Comma  - Style7 15" xfId="395" xr:uid="{7A88DE66-95D9-403D-8515-0AB251D96115}"/>
    <cellStyle name="Comma  - Style7 16" xfId="396" xr:uid="{D195CB3E-5E93-41AA-8E04-E60B1294664E}"/>
    <cellStyle name="Comma  - Style7 17" xfId="397" xr:uid="{D351BE99-BE7B-45A1-AB15-A8B2309619CD}"/>
    <cellStyle name="Comma  - Style7 18" xfId="398" xr:uid="{30A7B628-3A3E-44CD-BB4F-DD59728A426F}"/>
    <cellStyle name="Comma  - Style7 19" xfId="399" xr:uid="{9446845F-1782-4679-81EA-B8C65A2AB303}"/>
    <cellStyle name="Comma  - Style7 2" xfId="400" xr:uid="{1A8E729E-E9C7-4E54-8544-76DC35500C95}"/>
    <cellStyle name="Comma  - Style7 2 2" xfId="401" xr:uid="{218ED8F8-E2F1-47F7-A447-E75A445C5F5A}"/>
    <cellStyle name="Comma  - Style7 20" xfId="402" xr:uid="{E76D3FC5-00F2-41A5-B21F-FD7973E7FE16}"/>
    <cellStyle name="Comma  - Style7 21" xfId="403" xr:uid="{6455435F-5007-440D-9663-061FB449A37B}"/>
    <cellStyle name="Comma  - Style7 22" xfId="404" xr:uid="{E36C3BAC-698C-48E1-9599-5254E6CE8B21}"/>
    <cellStyle name="Comma  - Style7 23" xfId="405" xr:uid="{D390B7CF-8369-42C0-843E-1ED6BD60915F}"/>
    <cellStyle name="Comma  - Style7 24" xfId="406" xr:uid="{31C532DB-4329-4BD7-94BF-6A11BB1343B5}"/>
    <cellStyle name="Comma  - Style7 25" xfId="407" xr:uid="{48FB36A9-BB21-437A-BA89-224C29CF47D0}"/>
    <cellStyle name="Comma  - Style7 26" xfId="408" xr:uid="{EE3C2D84-2D1C-4C85-A2F4-18C98354D68A}"/>
    <cellStyle name="Comma  - Style7 27" xfId="409" xr:uid="{33B34376-1577-4FAD-9357-32A4571711B4}"/>
    <cellStyle name="Comma  - Style7 28" xfId="410" xr:uid="{598B51DA-3A7D-49C6-AD21-E18C6CF82AF7}"/>
    <cellStyle name="Comma  - Style7 3" xfId="411" xr:uid="{5DDC0C6B-6CEB-4F5F-83B9-E1BDA1303031}"/>
    <cellStyle name="Comma  - Style7 3 2" xfId="412" xr:uid="{16930259-5AA0-42DF-BBA4-F70040A2A398}"/>
    <cellStyle name="Comma  - Style7 4" xfId="413" xr:uid="{B3C9E50F-81E2-455F-866E-BBE1B294EDDD}"/>
    <cellStyle name="Comma  - Style7 5" xfId="414" xr:uid="{0473A2EC-217E-4A06-9695-DDC86B72FE3E}"/>
    <cellStyle name="Comma  - Style7 6" xfId="415" xr:uid="{96C2BB96-C9D2-45E0-94AB-62754092BCED}"/>
    <cellStyle name="Comma  - Style7 7" xfId="416" xr:uid="{C7FC3D08-E488-44B7-9A0D-78FBB8A937DD}"/>
    <cellStyle name="Comma  - Style7 8" xfId="417" xr:uid="{075D0404-2939-499F-BB5A-341F59328C34}"/>
    <cellStyle name="Comma  - Style7 9" xfId="418" xr:uid="{49E148A8-C135-48DB-B280-F28345606112}"/>
    <cellStyle name="Comma  - Style8" xfId="419" xr:uid="{413D0B12-9FAC-4DC0-8A23-B8CA8BB194F0}"/>
    <cellStyle name="Comma  - Style8 10" xfId="420" xr:uid="{2E7F4126-5749-48D3-BA5D-C89F3A67A208}"/>
    <cellStyle name="Comma  - Style8 11" xfId="421" xr:uid="{7B25E8EC-4D0B-45E9-90AF-9BE385E9EA79}"/>
    <cellStyle name="Comma  - Style8 12" xfId="422" xr:uid="{4E451E19-7115-4FA0-BF57-22FA4C4451D5}"/>
    <cellStyle name="Comma  - Style8 13" xfId="423" xr:uid="{1A8A3C89-9B1B-44BA-9147-A5D857D198FC}"/>
    <cellStyle name="Comma  - Style8 14" xfId="424" xr:uid="{5686186B-D5EE-4DCF-B91E-7B07DE66B4A7}"/>
    <cellStyle name="Comma  - Style8 15" xfId="425" xr:uid="{F378D65E-0A5E-4768-A2AD-1D3992022E62}"/>
    <cellStyle name="Comma  - Style8 16" xfId="426" xr:uid="{D147A0CC-8822-4EF1-A255-9C5FEFD47CF5}"/>
    <cellStyle name="Comma  - Style8 17" xfId="427" xr:uid="{230912CC-68C2-4DFD-90A7-AF7D24A552A6}"/>
    <cellStyle name="Comma  - Style8 18" xfId="428" xr:uid="{390D8B3E-5C6E-4305-812E-DAE2EB7201C9}"/>
    <cellStyle name="Comma  - Style8 19" xfId="429" xr:uid="{45412AC6-D34D-42A6-9198-8C69C1A3591D}"/>
    <cellStyle name="Comma  - Style8 2" xfId="430" xr:uid="{6333E146-22B1-4DDD-9661-31CF02AFF897}"/>
    <cellStyle name="Comma  - Style8 2 2" xfId="431" xr:uid="{888BEC22-94DE-493A-B68B-7FD365ED90B6}"/>
    <cellStyle name="Comma  - Style8 20" xfId="432" xr:uid="{35790336-36CC-4145-9C59-6F55CE8E4D17}"/>
    <cellStyle name="Comma  - Style8 21" xfId="433" xr:uid="{1656AB5B-7ECC-46D1-99C2-3707485A0FDF}"/>
    <cellStyle name="Comma  - Style8 22" xfId="434" xr:uid="{A1BE1E02-CA2C-464C-9AD5-35C7654E4080}"/>
    <cellStyle name="Comma  - Style8 23" xfId="435" xr:uid="{2CE739D6-51DA-42FF-8BE4-E31D0D5D64A5}"/>
    <cellStyle name="Comma  - Style8 24" xfId="436" xr:uid="{AE0B696F-FE7D-4C2E-8295-FCA2C16EDC00}"/>
    <cellStyle name="Comma  - Style8 25" xfId="437" xr:uid="{B4354E0E-4F4A-48A1-BD99-D839D4104D4B}"/>
    <cellStyle name="Comma  - Style8 26" xfId="438" xr:uid="{DAE84601-FCB8-483F-9F0E-89C0BAEADF69}"/>
    <cellStyle name="Comma  - Style8 27" xfId="439" xr:uid="{C3D2A3E0-28B9-4CEF-83F8-1425FD3BAD56}"/>
    <cellStyle name="Comma  - Style8 28" xfId="440" xr:uid="{73E08D41-8F93-4F37-9C2B-B2A6FAF5B1E5}"/>
    <cellStyle name="Comma  - Style8 3" xfId="441" xr:uid="{2A4DA549-9B9E-4971-8A05-93FBED6659BC}"/>
    <cellStyle name="Comma  - Style8 3 2" xfId="442" xr:uid="{25630CB0-A555-416A-B3AD-03F3CF80DAE4}"/>
    <cellStyle name="Comma  - Style8 4" xfId="443" xr:uid="{139C96CE-01E3-46ED-8BFD-F2A80D0CDAD0}"/>
    <cellStyle name="Comma  - Style8 5" xfId="444" xr:uid="{91627BA7-95A5-4026-9581-0CB72EEDAE39}"/>
    <cellStyle name="Comma  - Style8 6" xfId="445" xr:uid="{566D57F9-7081-40B7-90CF-92D6B5DE0AA8}"/>
    <cellStyle name="Comma  - Style8 7" xfId="446" xr:uid="{C98D082E-95BC-46FC-8F22-BF128125BEF0}"/>
    <cellStyle name="Comma  - Style8 8" xfId="447" xr:uid="{134BBA17-E9B7-4667-975A-4E1D5E820FEC}"/>
    <cellStyle name="Comma  - Style8 9" xfId="448" xr:uid="{EDA2A462-C857-4E47-A470-DB57C1020DCF}"/>
    <cellStyle name="Comma0" xfId="449" xr:uid="{C30747E1-0062-46ED-86AA-C3A122125914}"/>
    <cellStyle name="Comma0 10" xfId="450" xr:uid="{D98124EF-AF62-48BF-A08F-29ED823BF390}"/>
    <cellStyle name="Comma0 11" xfId="451" xr:uid="{4682EA99-9B4D-4021-92CC-F4C64DF3023D}"/>
    <cellStyle name="Comma0 12" xfId="452" xr:uid="{A8B6A79F-1BAF-45DF-8C29-F8D84BF29B68}"/>
    <cellStyle name="Comma0 13" xfId="453" xr:uid="{3008F5FA-E6E3-4FBF-9370-6B7246B4C3CC}"/>
    <cellStyle name="Comma0 14" xfId="454" xr:uid="{48651106-56D0-4D08-AC38-16808E89A8A8}"/>
    <cellStyle name="Comma0 15" xfId="455" xr:uid="{58041100-A66C-4DB6-B080-0949233B5E08}"/>
    <cellStyle name="Comma0 16" xfId="456" xr:uid="{9A8B04DA-22C5-4E33-98DE-0518EA864453}"/>
    <cellStyle name="Comma0 17" xfId="457" xr:uid="{0EAA6F29-CFF6-426A-A71C-DAA03EB9BDF1}"/>
    <cellStyle name="Comma0 18" xfId="458" xr:uid="{AD5DAC01-019C-49A1-AB42-0B6153C277DA}"/>
    <cellStyle name="Comma0 19" xfId="459" xr:uid="{387AD60D-5D2B-4524-8392-71484813968C}"/>
    <cellStyle name="Comma0 2" xfId="460" xr:uid="{E2D67052-CC33-4857-B2AB-8DA473E398E9}"/>
    <cellStyle name="Comma0 2 2" xfId="461" xr:uid="{286A1EEA-63FC-4536-81BE-154D66F4C93B}"/>
    <cellStyle name="Comma0 20" xfId="462" xr:uid="{CD322B57-B62A-4491-BEE7-3AF74C184D58}"/>
    <cellStyle name="Comma0 21" xfId="463" xr:uid="{D0984241-A948-41BC-AF90-086DE31BE240}"/>
    <cellStyle name="Comma0 22" xfId="464" xr:uid="{EC58D9A8-EF2A-415A-83AD-2924315B2FA2}"/>
    <cellStyle name="Comma0 23" xfId="465" xr:uid="{C409D036-7150-4292-A89D-A6A755D39AC7}"/>
    <cellStyle name="Comma0 24" xfId="466" xr:uid="{A6C26902-1289-44FA-B0FD-F2E2FB39132C}"/>
    <cellStyle name="Comma0 25" xfId="467" xr:uid="{623D40C7-2B73-436E-AF5C-77DB363CE838}"/>
    <cellStyle name="Comma0 26" xfId="468" xr:uid="{F63E35EC-E9BB-4F17-B4B5-AFA119413CB3}"/>
    <cellStyle name="Comma0 27" xfId="469" xr:uid="{51C2C042-C9A3-4446-AED0-8CC1FFE116F9}"/>
    <cellStyle name="Comma0 28" xfId="470" xr:uid="{8F5D7312-F098-4141-940F-69CB5CD9298C}"/>
    <cellStyle name="Comma0 29" xfId="471" xr:uid="{588E2020-AA3F-4295-AD67-EB5E20465896}"/>
    <cellStyle name="Comma0 3" xfId="472" xr:uid="{DD9F6A2C-0894-4F72-871D-64ED01FF333E}"/>
    <cellStyle name="Comma0 3 2" xfId="473" xr:uid="{07F2479F-73D7-4BBA-B4F2-5D6A0F90CD19}"/>
    <cellStyle name="Comma0 4" xfId="474" xr:uid="{183C5BF5-F337-445C-A357-5CCBEDCB3015}"/>
    <cellStyle name="Comma0 5" xfId="475" xr:uid="{2043AE8B-3F37-491E-ACCB-8F60CD788FAD}"/>
    <cellStyle name="Comma0 6" xfId="476" xr:uid="{609C4BD9-3947-4282-9FEF-23FEECA3CBC7}"/>
    <cellStyle name="Comma0 7" xfId="477" xr:uid="{85843998-BC52-4C34-87B8-160AA776C4A7}"/>
    <cellStyle name="Comma0 8" xfId="478" xr:uid="{734B4881-D111-436E-954F-F64266E5FC4B}"/>
    <cellStyle name="Comma0 9" xfId="479" xr:uid="{BFCAE31F-5300-41BF-90C8-D36E8CB7D5C7}"/>
    <cellStyle name="Currency0" xfId="480" xr:uid="{204A96F3-B4BF-443F-B1E1-6A40A96E9678}"/>
    <cellStyle name="Currency0 10" xfId="481" xr:uid="{43223607-B23D-4446-A74E-6F7DB8E432AA}"/>
    <cellStyle name="Currency0 11" xfId="482" xr:uid="{D04418EE-A3E8-48CB-93E6-2C309D741DF0}"/>
    <cellStyle name="Currency0 12" xfId="483" xr:uid="{38AA348D-7EE8-4394-A1B5-4B14FFF0938E}"/>
    <cellStyle name="Currency0 2" xfId="484" xr:uid="{10558D53-A5AC-485B-983D-88E91955564D}"/>
    <cellStyle name="Currency0 2 2" xfId="485" xr:uid="{F25EFDE8-9CFD-4FB5-9FA3-D06948D6A306}"/>
    <cellStyle name="Currency0 3" xfId="486" xr:uid="{F88857F3-2597-4DF8-8A19-4A99DBF4AF31}"/>
    <cellStyle name="Currency0 3 2" xfId="487" xr:uid="{B314446A-41C4-4B20-9DF4-05C7873CAE25}"/>
    <cellStyle name="Currency0 4" xfId="488" xr:uid="{C218B40A-E25C-4DC3-8BA5-3F0A65E557F8}"/>
    <cellStyle name="Currency0 5" xfId="489" xr:uid="{EF6C2352-940B-4DB5-AFE6-C6787D84259E}"/>
    <cellStyle name="Currency0 6" xfId="490" xr:uid="{C5D977B6-7A9C-4705-8C13-463A0DD482BC}"/>
    <cellStyle name="Currency0 7" xfId="491" xr:uid="{3E060AD9-9D81-4B6D-BDB3-0E38DCF5A3C9}"/>
    <cellStyle name="Currency0 8" xfId="492" xr:uid="{982385B7-37C4-4CF9-B857-711DE5B86C3C}"/>
    <cellStyle name="Currency0 9" xfId="493" xr:uid="{2DF2150A-9C04-42E1-BAA5-C6556D9819C8}"/>
    <cellStyle name="Date" xfId="494" xr:uid="{5DDA7448-C352-41D8-AABF-18488D804FC9}"/>
    <cellStyle name="Date 10" xfId="495" xr:uid="{464EB019-2E7E-4348-AD4E-A34AB8AB3320}"/>
    <cellStyle name="Date 10 2" xfId="496" xr:uid="{5B049059-6180-4CFE-AB05-7B9370FA0346}"/>
    <cellStyle name="Date 11" xfId="497" xr:uid="{917A9EAC-C580-47D8-9E98-683E21A10110}"/>
    <cellStyle name="Date 11 2" xfId="498" xr:uid="{82A4E0A4-91F3-4581-8BA1-2C10FC6EAAE1}"/>
    <cellStyle name="Date 12" xfId="499" xr:uid="{946E3E43-8247-4377-A2FD-F086D61D29C9}"/>
    <cellStyle name="Date 12 2" xfId="500" xr:uid="{04E84CA1-18BE-4054-B7DB-3BC60040B1E3}"/>
    <cellStyle name="Date 13" xfId="501" xr:uid="{50FCF20E-37FB-4715-8140-4EDE391F4BD6}"/>
    <cellStyle name="Date 13 2" xfId="502" xr:uid="{DE7B651C-C239-4C83-B199-57E274A9E672}"/>
    <cellStyle name="Date 14" xfId="503" xr:uid="{B560456B-0357-4ED1-ADB3-34406D75C977}"/>
    <cellStyle name="Date 14 2" xfId="504" xr:uid="{18FE5D56-1373-4EE8-8D68-892B044BB8BE}"/>
    <cellStyle name="Date 15" xfId="505" xr:uid="{0E3D5439-B582-493B-B21C-B41FCB89308C}"/>
    <cellStyle name="Date 2" xfId="506" xr:uid="{109DCBAB-7EC4-48F4-AB44-9B745B58E360}"/>
    <cellStyle name="Date 2 2" xfId="507" xr:uid="{3FBE8EEF-8C92-4C4C-B62D-65F40CB803FA}"/>
    <cellStyle name="Date 2 2 2" xfId="508" xr:uid="{C0593BEF-7A77-4D06-A593-2A64E5281D60}"/>
    <cellStyle name="Date 2 3" xfId="509" xr:uid="{8921B2DD-85C5-4378-AB54-4B6138B24131}"/>
    <cellStyle name="Date 3" xfId="510" xr:uid="{33649AC1-189F-444B-9524-22CB78D2F9A1}"/>
    <cellStyle name="Date 3 2" xfId="511" xr:uid="{80098EF3-D2AE-4784-B52F-F27216990B33}"/>
    <cellStyle name="Date 3 2 2" xfId="512" xr:uid="{9D1E97B8-5FA1-471B-9DDB-D1D0607AA3D7}"/>
    <cellStyle name="Date 3 3" xfId="513" xr:uid="{44A7AAF9-D7F3-47DC-A490-EE3838CECDB2}"/>
    <cellStyle name="Date 4" xfId="514" xr:uid="{4F8BEE76-EA4C-418E-8959-DD1B355336DF}"/>
    <cellStyle name="Date 4 2" xfId="515" xr:uid="{37B6148D-C8DF-430D-80A3-4EEBC3446C1B}"/>
    <cellStyle name="Date 4 2 2" xfId="516" xr:uid="{7C9291C0-7181-4007-8E4A-65FC23B829CE}"/>
    <cellStyle name="Date 4 3" xfId="517" xr:uid="{3CCCC2EB-3E8B-4635-9E74-6053B47A25CA}"/>
    <cellStyle name="Date 5" xfId="518" xr:uid="{10BBFDB0-2ABF-4793-B157-9B8117C0F2CE}"/>
    <cellStyle name="Date 5 2" xfId="519" xr:uid="{40F0E240-D891-4781-B894-7AED19A6E6EC}"/>
    <cellStyle name="Date 5 2 2" xfId="520" xr:uid="{ADB72F44-3677-44D9-8AE0-71F4C9702210}"/>
    <cellStyle name="Date 5 3" xfId="521" xr:uid="{1A50A18B-FDEB-4D5B-9403-EF4A2DBBB9F4}"/>
    <cellStyle name="Date 6" xfId="522" xr:uid="{FD715C25-B6BD-4BE3-BED8-302E33EB2123}"/>
    <cellStyle name="Date 6 2" xfId="523" xr:uid="{A09493BE-73E0-410A-BB17-546274B9044E}"/>
    <cellStyle name="Date 6 2 2" xfId="524" xr:uid="{EB5C4764-B2AF-45C2-A199-B260C62BB646}"/>
    <cellStyle name="Date 6 3" xfId="525" xr:uid="{007F1982-B921-4D61-A087-7B0E533CD63A}"/>
    <cellStyle name="Date 7" xfId="526" xr:uid="{A049A7A0-B6C4-4C89-91D3-229AA230B829}"/>
    <cellStyle name="Date 7 2" xfId="527" xr:uid="{2C5C1662-DBC1-4B0D-A548-E6CBB59F91DD}"/>
    <cellStyle name="Date 8" xfId="528" xr:uid="{46FA0377-1668-473F-B427-DD44A1804450}"/>
    <cellStyle name="Date 8 2" xfId="529" xr:uid="{70601578-D8B4-4C37-B08A-BD2F8E17C9BA}"/>
    <cellStyle name="Date 9" xfId="530" xr:uid="{4CEB7A88-1182-41DF-A2E5-77B84D94674F}"/>
    <cellStyle name="Date 9 2" xfId="531" xr:uid="{C6F02AFD-DB85-437E-89FA-7DA3A6E31B71}"/>
    <cellStyle name="Explanatory Text 2" xfId="532" xr:uid="{DEABEEE7-1DB0-43E7-B245-CD54CC54ABED}"/>
    <cellStyle name="Fixed" xfId="533" xr:uid="{2DEA8A1F-32AD-4C02-B26C-E06F87EEC429}"/>
    <cellStyle name="Fixed 10" xfId="534" xr:uid="{2171A271-5FBE-42F4-97B6-04FBC2CB2DDF}"/>
    <cellStyle name="Fixed 11" xfId="535" xr:uid="{BB5B4F06-5BBA-48CE-87C4-860DB8B83ACF}"/>
    <cellStyle name="Fixed 12" xfId="536" xr:uid="{D6A4868F-9E31-41AD-AD8A-72A6A47D9A89}"/>
    <cellStyle name="Fixed 13" xfId="537" xr:uid="{3190984B-85B6-4DBD-8B51-D63507902FD5}"/>
    <cellStyle name="Fixed 14" xfId="538" xr:uid="{644E6338-C29A-4E42-83B3-771B25A9F63E}"/>
    <cellStyle name="Fixed 15" xfId="539" xr:uid="{85892FA1-2E48-4747-9F67-C4A4BAD146B8}"/>
    <cellStyle name="Fixed 16" xfId="540" xr:uid="{164E8891-43CF-4A5C-A2B2-E499988AA458}"/>
    <cellStyle name="Fixed 17" xfId="541" xr:uid="{F4265996-A441-4AD0-8622-E8338AAC6BB5}"/>
    <cellStyle name="Fixed 18" xfId="542" xr:uid="{73B14B6B-3871-4623-A38A-0A49E5D275D8}"/>
    <cellStyle name="Fixed 19" xfId="543" xr:uid="{E7BCF0FC-5A76-4185-9A88-FBA091847755}"/>
    <cellStyle name="Fixed 2" xfId="544" xr:uid="{0BEA389E-7964-49D7-9884-B043C2DB0B70}"/>
    <cellStyle name="Fixed 2 2" xfId="545" xr:uid="{22807EEA-49BC-4A3A-9B93-645D730F1515}"/>
    <cellStyle name="Fixed 20" xfId="546" xr:uid="{DEC1AD3E-DD8E-435A-AFEC-504A5A9BB859}"/>
    <cellStyle name="Fixed 21" xfId="547" xr:uid="{379CEA0A-A8E2-492F-BCEE-8B64F3D62386}"/>
    <cellStyle name="Fixed 22" xfId="548" xr:uid="{42FC75D8-C5E3-41E8-BFA8-175DA3EBA730}"/>
    <cellStyle name="Fixed 23" xfId="549" xr:uid="{22780F6F-95B5-4FBE-AB79-F7C37EDD326F}"/>
    <cellStyle name="Fixed 24" xfId="550" xr:uid="{44F4CE3B-F99D-451C-9457-535F9EF3EDA8}"/>
    <cellStyle name="Fixed 25" xfId="551" xr:uid="{249C2E8B-DA0E-4BC0-A19C-2D2CB44B9AB1}"/>
    <cellStyle name="Fixed 26" xfId="552" xr:uid="{087C1E8E-E4D9-4A67-B634-250017D97CED}"/>
    <cellStyle name="Fixed 27" xfId="553" xr:uid="{8D8690B6-E983-4DA3-990F-562F39CCB0BE}"/>
    <cellStyle name="Fixed 28" xfId="554" xr:uid="{E36110B5-A409-4C53-8AF3-D4FF0F290FF0}"/>
    <cellStyle name="Fixed 29" xfId="555" xr:uid="{80A0674F-878F-46E1-8ED3-FF2A0D0FA5A7}"/>
    <cellStyle name="Fixed 3" xfId="556" xr:uid="{F25CAC53-FF6E-4FC9-99AE-1875818FCBE6}"/>
    <cellStyle name="Fixed 3 2" xfId="557" xr:uid="{25C81443-50EA-4231-8089-DC19229D8167}"/>
    <cellStyle name="Fixed 4" xfId="558" xr:uid="{44878D1E-F297-4A86-B6C9-5A2B83538A6F}"/>
    <cellStyle name="Fixed 5" xfId="559" xr:uid="{52B92A63-DCC7-4DE2-8734-33128CA2339E}"/>
    <cellStyle name="Fixed 6" xfId="560" xr:uid="{028772CA-45C7-44B0-8F9A-57950280515C}"/>
    <cellStyle name="Fixed 7" xfId="561" xr:uid="{289FF4C9-DAD8-4E31-838B-6C1AE6A841C9}"/>
    <cellStyle name="Fixed 8" xfId="562" xr:uid="{65378A14-9043-4419-AC17-1929890E8717}"/>
    <cellStyle name="Fixed 9" xfId="563" xr:uid="{6CADE6D6-DA99-4C53-B807-E33C40712FEF}"/>
    <cellStyle name="Good 2" xfId="564" xr:uid="{6B12A762-CEBC-4A5A-96AB-CD96AF8DC4B2}"/>
    <cellStyle name="Header1" xfId="565" xr:uid="{DD2D2328-8DDA-4E5A-B545-A9BC60812BD5}"/>
    <cellStyle name="Header2" xfId="566" xr:uid="{9B45BC31-E54E-4E41-8936-AD89626D33EB}"/>
    <cellStyle name="Heading 1 10" xfId="568" xr:uid="{0821E977-0B7D-4B94-A369-5D3D64490FB8}"/>
    <cellStyle name="Heading 1 10 2" xfId="569" xr:uid="{58C7C246-6981-4265-8959-2AFCC240B634}"/>
    <cellStyle name="Heading 1 11" xfId="570" xr:uid="{B15BB04F-87CE-4177-B654-DF426C3E75F5}"/>
    <cellStyle name="Heading 1 11 2" xfId="571" xr:uid="{5BD614D6-F359-4537-A37F-45CE846B2B5A}"/>
    <cellStyle name="Heading 1 12" xfId="572" xr:uid="{2786206D-6942-422E-B75E-A7CEEFEF7F2B}"/>
    <cellStyle name="Heading 1 12 2" xfId="573" xr:uid="{93486FDF-4DD7-4591-9250-E7A62FC7B078}"/>
    <cellStyle name="Heading 1 13" xfId="574" xr:uid="{89F55A3A-4A24-4041-A915-00476B1EA371}"/>
    <cellStyle name="Heading 1 13 2" xfId="575" xr:uid="{865E455D-FD78-4915-9A32-204C7437A65D}"/>
    <cellStyle name="Heading 1 14" xfId="576" xr:uid="{CF16A5B4-F74A-48DD-868A-3FF46AD6EFF4}"/>
    <cellStyle name="Heading 1 14 2" xfId="577" xr:uid="{BE4BA9C2-9355-4944-A079-E66D32AA56D1}"/>
    <cellStyle name="Heading 1 15" xfId="578" xr:uid="{C71C3551-EB1B-49FC-8D2D-944CC14CF9E1}"/>
    <cellStyle name="Heading 1 15 2" xfId="579" xr:uid="{258CCB97-A01E-4114-AF2B-FDFE8B5E36E6}"/>
    <cellStyle name="Heading 1 16" xfId="567" xr:uid="{6B32AE14-986B-437B-B712-47E3CFDD5CB9}"/>
    <cellStyle name="Heading 1 2" xfId="580" xr:uid="{8B3166C9-9498-4B50-8BF4-1434445927D3}"/>
    <cellStyle name="Heading 1 2 2" xfId="581" xr:uid="{D5E6CCDC-F1B9-47EE-A2C8-577E52CF66CC}"/>
    <cellStyle name="Heading 1 2 2 2" xfId="582" xr:uid="{6BB62D9B-A5D2-48D3-AE6A-496FE10D9FB4}"/>
    <cellStyle name="Heading 1 2 3" xfId="583" xr:uid="{1320254D-9590-43A4-B085-9022FA11DBF7}"/>
    <cellStyle name="Heading 1 3" xfId="584" xr:uid="{403A215D-9474-4EEE-BED4-5D2F49A31B2C}"/>
    <cellStyle name="Heading 1 3 2" xfId="585" xr:uid="{99E9BC2B-5741-43E8-962B-246A64B4D9C7}"/>
    <cellStyle name="Heading 1 3 2 2" xfId="586" xr:uid="{C3789F4A-6A0B-4030-8131-8F2415CABD58}"/>
    <cellStyle name="Heading 1 3 3" xfId="587" xr:uid="{9F8CF74D-F4D5-440C-AB17-C75FC1877344}"/>
    <cellStyle name="Heading 1 4" xfId="588" xr:uid="{2357DB59-2F16-4D16-8B93-23FB080D906C}"/>
    <cellStyle name="Heading 1 4 2" xfId="589" xr:uid="{4CB7EDAF-CA97-4FA6-B619-835D52E27A47}"/>
    <cellStyle name="Heading 1 4 2 2" xfId="590" xr:uid="{008F3615-1578-4B0F-AC2C-60624CEFAFA3}"/>
    <cellStyle name="Heading 1 4 3" xfId="591" xr:uid="{756B31E2-D790-462F-8CBD-25854308A7B0}"/>
    <cellStyle name="Heading 1 5" xfId="592" xr:uid="{FCEB4657-A2A0-47F8-B54C-90FB923ECDDA}"/>
    <cellStyle name="Heading 1 5 2" xfId="593" xr:uid="{71CE837E-35B5-414A-A1E6-616FADD082EA}"/>
    <cellStyle name="Heading 1 5 2 2" xfId="594" xr:uid="{850414B8-8F3C-4279-A3C1-455E0F73401C}"/>
    <cellStyle name="Heading 1 5 3" xfId="595" xr:uid="{9112C5D3-3BF8-47A3-979D-AADBAAEB899E}"/>
    <cellStyle name="Heading 1 6" xfId="596" xr:uid="{AE81B68C-B404-4566-A59F-C9BCCBBB8449}"/>
    <cellStyle name="Heading 1 6 2" xfId="597" xr:uid="{09847B53-DDD5-4718-9301-750BEA86136A}"/>
    <cellStyle name="Heading 1 6 2 2" xfId="598" xr:uid="{C612D1DC-16CE-4095-98A9-205E312C9231}"/>
    <cellStyle name="Heading 1 6 3" xfId="599" xr:uid="{A9644EAD-567C-4DBF-AF69-F528D80095FC}"/>
    <cellStyle name="Heading 1 7" xfId="600" xr:uid="{F981CA0A-F798-4147-B2C0-F7D37FFDB111}"/>
    <cellStyle name="Heading 1 7 2" xfId="601" xr:uid="{831B8868-28EA-4218-A96B-44B4A76F2E78}"/>
    <cellStyle name="Heading 1 8" xfId="602" xr:uid="{9E75DBFA-EC07-4086-AF85-13F086C414B3}"/>
    <cellStyle name="Heading 1 8 2" xfId="603" xr:uid="{D8138512-41AB-4DE4-B7D8-06605F1605B5}"/>
    <cellStyle name="Heading 1 9" xfId="604" xr:uid="{55D39CB5-1BC3-47BF-861A-E496FC07A23F}"/>
    <cellStyle name="Heading 1 9 2" xfId="605" xr:uid="{929A25CB-F8C4-404F-86ED-4EB39DABEC85}"/>
    <cellStyle name="Heading 2 10" xfId="607" xr:uid="{2BA61242-DCF8-48A4-A589-E3C210968EE9}"/>
    <cellStyle name="Heading 2 10 2" xfId="608" xr:uid="{660C6139-21BE-474B-A03B-25E47236FA19}"/>
    <cellStyle name="Heading 2 11" xfId="609" xr:uid="{AD9EE5DB-71C5-4BC0-93F3-344B4BE79D7E}"/>
    <cellStyle name="Heading 2 11 2" xfId="610" xr:uid="{117B12A7-E0E8-4286-99B6-2C48490FED47}"/>
    <cellStyle name="Heading 2 12" xfId="611" xr:uid="{39C53265-9557-4CD0-8219-26CCCDC094B1}"/>
    <cellStyle name="Heading 2 12 2" xfId="612" xr:uid="{DF9FB63D-A672-4595-8648-0BA007A83053}"/>
    <cellStyle name="Heading 2 13" xfId="613" xr:uid="{DE6FECCB-1A14-4692-9B6C-4113A338F413}"/>
    <cellStyle name="Heading 2 13 2" xfId="614" xr:uid="{C92928E0-5BA0-426D-B9E9-47E4877EFA4E}"/>
    <cellStyle name="Heading 2 14" xfId="615" xr:uid="{C6E1C9E6-2849-4172-8F1E-AF82628D358E}"/>
    <cellStyle name="Heading 2 14 2" xfId="616" xr:uid="{19453971-BC2C-421D-BDF5-4E4F9868A3AA}"/>
    <cellStyle name="Heading 2 15" xfId="617" xr:uid="{AA710ECA-7F94-41C2-BBD3-5477C7ABEF58}"/>
    <cellStyle name="Heading 2 15 2" xfId="618" xr:uid="{54C95663-12E9-4ED2-88AD-60CFFB88DB90}"/>
    <cellStyle name="Heading 2 16" xfId="606" xr:uid="{F6EDDBB0-CF93-442E-8965-905E0C18034F}"/>
    <cellStyle name="Heading 2 2" xfId="619" xr:uid="{15AB1BBA-2F03-4F5D-BD31-B8347A3D6783}"/>
    <cellStyle name="Heading 2 2 2" xfId="620" xr:uid="{C744D26D-5640-4636-BA68-CB6E97E25FC0}"/>
    <cellStyle name="Heading 2 2 2 2" xfId="621" xr:uid="{44097EAD-F7EC-4C48-9F2A-6775E2DA5BE8}"/>
    <cellStyle name="Heading 2 2 3" xfId="622" xr:uid="{F1F35ECE-83B7-400B-A4F6-09D756BAEE90}"/>
    <cellStyle name="Heading 2 3" xfId="623" xr:uid="{723B8032-61E6-486D-B178-F5E0584DF871}"/>
    <cellStyle name="Heading 2 3 2" xfId="624" xr:uid="{842E0AFB-EE6C-4124-8B77-2536D6D12293}"/>
    <cellStyle name="Heading 2 3 2 2" xfId="625" xr:uid="{EBFFE591-8ED6-4A16-94B9-91671D5DECD8}"/>
    <cellStyle name="Heading 2 3 3" xfId="626" xr:uid="{540F52F0-6E8E-4690-BDE7-6AC4A796BBEE}"/>
    <cellStyle name="Heading 2 4" xfId="627" xr:uid="{10A0041E-80AD-488B-9B5A-0067FA994CE6}"/>
    <cellStyle name="Heading 2 4 2" xfId="628" xr:uid="{1E8661B8-CA4D-4115-9321-3DE81F730B4C}"/>
    <cellStyle name="Heading 2 4 2 2" xfId="629" xr:uid="{8CB981C2-A07A-4EF5-9C40-CDF449CAD784}"/>
    <cellStyle name="Heading 2 4 3" xfId="630" xr:uid="{36F633EB-79B9-44BA-A258-E9DC04ECB4F8}"/>
    <cellStyle name="Heading 2 5" xfId="631" xr:uid="{D238763D-EF8A-4AC8-8854-8EE888F75594}"/>
    <cellStyle name="Heading 2 5 2" xfId="632" xr:uid="{149A3CFB-E7BD-4858-8A3B-0F44E0AABE86}"/>
    <cellStyle name="Heading 2 5 2 2" xfId="633" xr:uid="{AD80041A-64EA-4452-A543-A86F50BF945B}"/>
    <cellStyle name="Heading 2 5 3" xfId="634" xr:uid="{C0E2EE44-AD85-411A-91CA-155118836CAC}"/>
    <cellStyle name="Heading 2 6" xfId="635" xr:uid="{3EE032B8-A7AE-4BCC-8B2C-4B86CFD264EF}"/>
    <cellStyle name="Heading 2 6 2" xfId="636" xr:uid="{61E0F18E-4ADB-4FDD-BF91-B9993547F9BE}"/>
    <cellStyle name="Heading 2 6 2 2" xfId="637" xr:uid="{F054F20E-440F-45B8-B493-838A5EDFF1C2}"/>
    <cellStyle name="Heading 2 6 3" xfId="638" xr:uid="{BA5B0330-8BF1-486D-A86B-CBEA36CA03A3}"/>
    <cellStyle name="Heading 2 7" xfId="639" xr:uid="{A9A73BB7-8DB1-48D5-B5EE-7E5EFD9474DA}"/>
    <cellStyle name="Heading 2 7 2" xfId="640" xr:uid="{F5500165-56EC-4370-9019-C0F8A14CF344}"/>
    <cellStyle name="Heading 2 8" xfId="641" xr:uid="{81A37B6B-18B8-4541-BB47-04EB248FDCAF}"/>
    <cellStyle name="Heading 2 8 2" xfId="642" xr:uid="{65A8636A-ED6B-4B38-ABC4-4C2AE950A3DD}"/>
    <cellStyle name="Heading 2 9" xfId="643" xr:uid="{7A67A888-4CC0-40C7-8CB1-9BEC81F4272F}"/>
    <cellStyle name="Heading 2 9 2" xfId="644" xr:uid="{79C622D8-B9DB-4068-8E00-4FF0915C96C4}"/>
    <cellStyle name="Heading 3 2" xfId="645" xr:uid="{BA89CEE3-E2E7-46D1-A144-50F16DA3B1EA}"/>
    <cellStyle name="Heading 4 2" xfId="646" xr:uid="{8DA061D8-AD29-447B-AFEC-812F0CCA90BD}"/>
    <cellStyle name="Hyperlink" xfId="830" builtinId="8"/>
    <cellStyle name="Hyperlink 13" xfId="647" xr:uid="{701C9FEC-2A04-4112-9293-A6A73A6E27FD}"/>
    <cellStyle name="Hyperlink 2" xfId="648" xr:uid="{BCCC2804-6CD6-47A0-BFD7-2A10FD040CE1}"/>
    <cellStyle name="Input 2" xfId="649" xr:uid="{407C3A46-6BAB-416C-8D9A-3E6D4F175345}"/>
    <cellStyle name="Linked Cell 2" xfId="650" xr:uid="{A1AEA26D-1CB9-4265-91F2-25D9E5D39E88}"/>
    <cellStyle name="Neutral 2" xfId="651" xr:uid="{4F9FDC37-6939-4742-8F2D-E1840AD8BAB7}"/>
    <cellStyle name="Normal" xfId="0" builtinId="0"/>
    <cellStyle name="Normal - Style1" xfId="652" xr:uid="{8848C117-64EF-48DD-AAC3-EA81486F5DDD}"/>
    <cellStyle name="Normal - Style1 10" xfId="653" xr:uid="{342C0FAA-0DF9-4D67-859E-C7F95083609E}"/>
    <cellStyle name="Normal - Style1 11" xfId="654" xr:uid="{2C53F2FD-2C99-426F-96C4-59DD60F2C93E}"/>
    <cellStyle name="Normal - Style1 12" xfId="655" xr:uid="{47DD0C9F-41DA-43C4-8BA5-15DF106DE8FF}"/>
    <cellStyle name="Normal - Style1 2" xfId="656" xr:uid="{93FF5862-6B49-46A0-9BBB-C63E2BFC978E}"/>
    <cellStyle name="Normal - Style1 2 2" xfId="657" xr:uid="{3420939A-A0FD-4CC5-94E8-C93F6F748344}"/>
    <cellStyle name="Normal - Style1 3" xfId="658" xr:uid="{C2AAC4D3-01C0-40CE-BD1D-427AB89CCE96}"/>
    <cellStyle name="Normal - Style1 3 2" xfId="659" xr:uid="{AC8033CE-A97E-4EF6-8789-20DD55BBE80F}"/>
    <cellStyle name="Normal - Style1 4" xfId="660" xr:uid="{E0D49027-41A6-49C1-8595-FCA3DA71DF1F}"/>
    <cellStyle name="Normal - Style1 5" xfId="661" xr:uid="{4C2838FC-F77F-494D-9DC4-DE5ED123CE11}"/>
    <cellStyle name="Normal - Style1 6" xfId="662" xr:uid="{1D80DFDB-58B4-4B94-A88E-7337CC23B055}"/>
    <cellStyle name="Normal - Style1 7" xfId="663" xr:uid="{9F6E8630-B83D-4DBD-AC59-BC5E005F0C5E}"/>
    <cellStyle name="Normal - Style1 8" xfId="664" xr:uid="{414636F1-2206-40F7-97A9-540AAA79B7F9}"/>
    <cellStyle name="Normal - Style1 9" xfId="665" xr:uid="{CB666BF4-DD66-41A9-BB7B-2B9777A9ECF7}"/>
    <cellStyle name="Normal 10" xfId="150" xr:uid="{00000000-0005-0000-0000-000001000000}"/>
    <cellStyle name="Normal 10 2" xfId="666" xr:uid="{AD50596E-9762-4BA9-9B1B-8A1392E8EAE0}"/>
    <cellStyle name="Normal 11" xfId="152" xr:uid="{00000000-0005-0000-0000-000002000000}"/>
    <cellStyle name="Normal 11 2" xfId="667" xr:uid="{DFD31C3A-8ED0-4155-8FC7-C12276638661}"/>
    <cellStyle name="Normal 12" xfId="154" xr:uid="{00000000-0005-0000-0000-000003000000}"/>
    <cellStyle name="Normal 12 2" xfId="668" xr:uid="{68DEA998-1961-47E6-9C81-D998BAF06913}"/>
    <cellStyle name="Normal 13" xfId="156" xr:uid="{00000000-0005-0000-0000-000004000000}"/>
    <cellStyle name="Normal 13 2" xfId="669" xr:uid="{466D4411-00B0-41A5-9CF5-DE109EA27995}"/>
    <cellStyle name="Normal 14" xfId="158" xr:uid="{00000000-0005-0000-0000-000005000000}"/>
    <cellStyle name="Normal 14 2" xfId="670" xr:uid="{3BDF9035-326D-4073-8804-1D01D55C7F2B}"/>
    <cellStyle name="Normal 15" xfId="160" xr:uid="{00000000-0005-0000-0000-000006000000}"/>
    <cellStyle name="Normal 15 2" xfId="671" xr:uid="{63828235-E433-4AA9-9948-182EFCF96F0C}"/>
    <cellStyle name="Normal 16" xfId="170" xr:uid="{00000000-0005-0000-0000-000007000000}"/>
    <cellStyle name="Normal 16 2" xfId="672" xr:uid="{FE95A774-9D9A-4363-9AC7-6FEF4B7BF510}"/>
    <cellStyle name="Normal 17" xfId="1" xr:uid="{00000000-0005-0000-0000-000008000000}"/>
    <cellStyle name="Normal 17 2" xfId="2" xr:uid="{00000000-0005-0000-0000-000009000000}"/>
    <cellStyle name="Normal 17 3" xfId="673" xr:uid="{2A6EDA0F-B8C6-4A24-934C-C8FD181904EE}"/>
    <cellStyle name="Normal 18" xfId="178" xr:uid="{00000000-0005-0000-0000-00000A000000}"/>
    <cellStyle name="Normal 18 2" xfId="674" xr:uid="{0B04B554-24D6-4714-9E7F-64DB106C0756}"/>
    <cellStyle name="Normal 19" xfId="3" xr:uid="{00000000-0005-0000-0000-00000B000000}"/>
    <cellStyle name="Normal 19 2" xfId="675" xr:uid="{4AD6AAFD-28CE-4CDD-9FB6-1EFE959975B9}"/>
    <cellStyle name="Normal 2" xfId="4" xr:uid="{00000000-0005-0000-0000-00000C000000}"/>
    <cellStyle name="Normal 2 10" xfId="5" xr:uid="{00000000-0005-0000-0000-00000D000000}"/>
    <cellStyle name="Normal 2 10 2" xfId="676" xr:uid="{CC956B85-2C8E-4EA1-B087-E4AAE30A9A27}"/>
    <cellStyle name="Normal 2 100" xfId="109" xr:uid="{00000000-0005-0000-0000-00000E000000}"/>
    <cellStyle name="Normal 2 101" xfId="111" xr:uid="{00000000-0005-0000-0000-00000F000000}"/>
    <cellStyle name="Normal 2 102" xfId="112" xr:uid="{00000000-0005-0000-0000-000010000000}"/>
    <cellStyle name="Normal 2 103" xfId="113" xr:uid="{00000000-0005-0000-0000-000011000000}"/>
    <cellStyle name="Normal 2 104" xfId="114" xr:uid="{00000000-0005-0000-0000-000012000000}"/>
    <cellStyle name="Normal 2 105" xfId="115" xr:uid="{00000000-0005-0000-0000-000013000000}"/>
    <cellStyle name="Normal 2 106" xfId="116" xr:uid="{00000000-0005-0000-0000-000014000000}"/>
    <cellStyle name="Normal 2 107" xfId="117" xr:uid="{00000000-0005-0000-0000-000015000000}"/>
    <cellStyle name="Normal 2 108" xfId="118" xr:uid="{00000000-0005-0000-0000-000016000000}"/>
    <cellStyle name="Normal 2 109" xfId="119" xr:uid="{00000000-0005-0000-0000-000017000000}"/>
    <cellStyle name="Normal 2 11" xfId="6" xr:uid="{00000000-0005-0000-0000-000018000000}"/>
    <cellStyle name="Normal 2 11 2" xfId="677" xr:uid="{1FBE302F-598E-4C0A-84E2-04EB53782B76}"/>
    <cellStyle name="Normal 2 110" xfId="120" xr:uid="{00000000-0005-0000-0000-000019000000}"/>
    <cellStyle name="Normal 2 111" xfId="121" xr:uid="{00000000-0005-0000-0000-00001A000000}"/>
    <cellStyle name="Normal 2 112" xfId="122" xr:uid="{00000000-0005-0000-0000-00001B000000}"/>
    <cellStyle name="Normal 2 113" xfId="123" xr:uid="{00000000-0005-0000-0000-00001C000000}"/>
    <cellStyle name="Normal 2 114" xfId="124" xr:uid="{00000000-0005-0000-0000-00001D000000}"/>
    <cellStyle name="Normal 2 115" xfId="125" xr:uid="{00000000-0005-0000-0000-00001E000000}"/>
    <cellStyle name="Normal 2 116" xfId="126" xr:uid="{00000000-0005-0000-0000-00001F000000}"/>
    <cellStyle name="Normal 2 117" xfId="127" xr:uid="{00000000-0005-0000-0000-000020000000}"/>
    <cellStyle name="Normal 2 118" xfId="128" xr:uid="{00000000-0005-0000-0000-000021000000}"/>
    <cellStyle name="Normal 2 119" xfId="129" xr:uid="{00000000-0005-0000-0000-000022000000}"/>
    <cellStyle name="Normal 2 12" xfId="7" xr:uid="{00000000-0005-0000-0000-000023000000}"/>
    <cellStyle name="Normal 2 12 2" xfId="678" xr:uid="{CFE34FDB-130D-46CD-B874-EE27091B9736}"/>
    <cellStyle name="Normal 2 120" xfId="130" xr:uid="{00000000-0005-0000-0000-000024000000}"/>
    <cellStyle name="Normal 2 121" xfId="131" xr:uid="{00000000-0005-0000-0000-000025000000}"/>
    <cellStyle name="Normal 2 122" xfId="133" xr:uid="{00000000-0005-0000-0000-000026000000}"/>
    <cellStyle name="Normal 2 123" xfId="134" xr:uid="{00000000-0005-0000-0000-000027000000}"/>
    <cellStyle name="Normal 2 124" xfId="135" xr:uid="{00000000-0005-0000-0000-000028000000}"/>
    <cellStyle name="Normal 2 125" xfId="136" xr:uid="{00000000-0005-0000-0000-000029000000}"/>
    <cellStyle name="Normal 2 126" xfId="137" xr:uid="{00000000-0005-0000-0000-00002A000000}"/>
    <cellStyle name="Normal 2 127" xfId="138" xr:uid="{00000000-0005-0000-0000-00002B000000}"/>
    <cellStyle name="Normal 2 128" xfId="139" xr:uid="{00000000-0005-0000-0000-00002C000000}"/>
    <cellStyle name="Normal 2 129" xfId="140" xr:uid="{00000000-0005-0000-0000-00002D000000}"/>
    <cellStyle name="Normal 2 13" xfId="8" xr:uid="{00000000-0005-0000-0000-00002E000000}"/>
    <cellStyle name="Normal 2 13 2" xfId="679" xr:uid="{8861C615-888B-40A7-8F85-347EDA7C7EBC}"/>
    <cellStyle name="Normal 2 130" xfId="141" xr:uid="{00000000-0005-0000-0000-00002F000000}"/>
    <cellStyle name="Normal 2 131" xfId="142" xr:uid="{00000000-0005-0000-0000-000030000000}"/>
    <cellStyle name="Normal 2 132" xfId="143" xr:uid="{00000000-0005-0000-0000-000031000000}"/>
    <cellStyle name="Normal 2 133" xfId="144" xr:uid="{00000000-0005-0000-0000-000032000000}"/>
    <cellStyle name="Normal 2 134" xfId="145" xr:uid="{00000000-0005-0000-0000-000033000000}"/>
    <cellStyle name="Normal 2 135" xfId="146" xr:uid="{00000000-0005-0000-0000-000034000000}"/>
    <cellStyle name="Normal 2 136" xfId="147" xr:uid="{00000000-0005-0000-0000-000035000000}"/>
    <cellStyle name="Normal 2 137" xfId="148" xr:uid="{00000000-0005-0000-0000-000036000000}"/>
    <cellStyle name="Normal 2 138" xfId="149" xr:uid="{00000000-0005-0000-0000-000037000000}"/>
    <cellStyle name="Normal 2 139" xfId="151" xr:uid="{00000000-0005-0000-0000-000038000000}"/>
    <cellStyle name="Normal 2 14" xfId="9" xr:uid="{00000000-0005-0000-0000-000039000000}"/>
    <cellStyle name="Normal 2 14 2" xfId="680" xr:uid="{59217483-56EB-4501-A488-D4CFA3F9F5A2}"/>
    <cellStyle name="Normal 2 140" xfId="153" xr:uid="{00000000-0005-0000-0000-00003A000000}"/>
    <cellStyle name="Normal 2 141" xfId="155" xr:uid="{00000000-0005-0000-0000-00003B000000}"/>
    <cellStyle name="Normal 2 142" xfId="157" xr:uid="{00000000-0005-0000-0000-00003C000000}"/>
    <cellStyle name="Normal 2 143" xfId="159" xr:uid="{00000000-0005-0000-0000-00003D000000}"/>
    <cellStyle name="Normal 2 144" xfId="161" xr:uid="{00000000-0005-0000-0000-00003E000000}"/>
    <cellStyle name="Normal 2 145" xfId="162" xr:uid="{00000000-0005-0000-0000-00003F000000}"/>
    <cellStyle name="Normal 2 146" xfId="163" xr:uid="{00000000-0005-0000-0000-000040000000}"/>
    <cellStyle name="Normal 2 147" xfId="164" xr:uid="{00000000-0005-0000-0000-000041000000}"/>
    <cellStyle name="Normal 2 148" xfId="165" xr:uid="{00000000-0005-0000-0000-000042000000}"/>
    <cellStyle name="Normal 2 149" xfId="166" xr:uid="{00000000-0005-0000-0000-000043000000}"/>
    <cellStyle name="Normal 2 15" xfId="10" xr:uid="{00000000-0005-0000-0000-000044000000}"/>
    <cellStyle name="Normal 2 15 2" xfId="681" xr:uid="{2C8D694D-FAE3-4ED9-9420-54C855234534}"/>
    <cellStyle name="Normal 2 150" xfId="167" xr:uid="{00000000-0005-0000-0000-000045000000}"/>
    <cellStyle name="Normal 2 151" xfId="168" xr:uid="{00000000-0005-0000-0000-000046000000}"/>
    <cellStyle name="Normal 2 152" xfId="169" xr:uid="{00000000-0005-0000-0000-000047000000}"/>
    <cellStyle name="Normal 2 153" xfId="171" xr:uid="{00000000-0005-0000-0000-000048000000}"/>
    <cellStyle name="Normal 2 154" xfId="172" xr:uid="{00000000-0005-0000-0000-000049000000}"/>
    <cellStyle name="Normal 2 155" xfId="173" xr:uid="{00000000-0005-0000-0000-00004A000000}"/>
    <cellStyle name="Normal 2 156" xfId="174" xr:uid="{00000000-0005-0000-0000-00004B000000}"/>
    <cellStyle name="Normal 2 157" xfId="175" xr:uid="{00000000-0005-0000-0000-00004C000000}"/>
    <cellStyle name="Normal 2 158" xfId="176" xr:uid="{00000000-0005-0000-0000-00004D000000}"/>
    <cellStyle name="Normal 2 159" xfId="177" xr:uid="{00000000-0005-0000-0000-00004E000000}"/>
    <cellStyle name="Normal 2 16" xfId="11" xr:uid="{00000000-0005-0000-0000-00004F000000}"/>
    <cellStyle name="Normal 2 16 2" xfId="682" xr:uid="{F0BA1248-04DB-4582-86CE-3A27FBED2B26}"/>
    <cellStyle name="Normal 2 160" xfId="179" xr:uid="{00000000-0005-0000-0000-000050000000}"/>
    <cellStyle name="Normal 2 161" xfId="181" xr:uid="{00000000-0005-0000-0000-000051000000}"/>
    <cellStyle name="Normal 2 17" xfId="12" xr:uid="{00000000-0005-0000-0000-000052000000}"/>
    <cellStyle name="Normal 2 17 2" xfId="683" xr:uid="{7150F863-0E24-48EC-B2B2-C574CB4B17F5}"/>
    <cellStyle name="Normal 2 18" xfId="13" xr:uid="{00000000-0005-0000-0000-000053000000}"/>
    <cellStyle name="Normal 2 18 2" xfId="684" xr:uid="{341FB002-832F-4329-B8F3-2BB2B7A5F1E4}"/>
    <cellStyle name="Normal 2 19" xfId="14" xr:uid="{00000000-0005-0000-0000-000054000000}"/>
    <cellStyle name="Normal 2 19 2" xfId="685" xr:uid="{A444459D-E498-47FD-AD82-51B57894CA69}"/>
    <cellStyle name="Normal 2 2" xfId="15" xr:uid="{00000000-0005-0000-0000-000055000000}"/>
    <cellStyle name="Normal 2 2 2" xfId="686" xr:uid="{2B6D79DE-AF6A-4FBF-B907-77FDBEDDDADD}"/>
    <cellStyle name="Normal 2 20" xfId="16" xr:uid="{00000000-0005-0000-0000-000056000000}"/>
    <cellStyle name="Normal 2 20 2" xfId="687" xr:uid="{C22893BA-549E-4732-80C8-81BCDF9E4ABF}"/>
    <cellStyle name="Normal 2 21" xfId="17" xr:uid="{00000000-0005-0000-0000-000057000000}"/>
    <cellStyle name="Normal 2 21 2" xfId="688" xr:uid="{CF8E8A2D-D5C4-46B9-8D1C-0DCF63D00AA5}"/>
    <cellStyle name="Normal 2 22" xfId="18" xr:uid="{00000000-0005-0000-0000-000058000000}"/>
    <cellStyle name="Normal 2 22 2" xfId="689" xr:uid="{1E1C5CB7-334D-47BA-AEE4-FB594D14B7E8}"/>
    <cellStyle name="Normal 2 23" xfId="19" xr:uid="{00000000-0005-0000-0000-000059000000}"/>
    <cellStyle name="Normal 2 23 2" xfId="690" xr:uid="{48559E91-527F-4E5C-8854-C31ACD0DA01A}"/>
    <cellStyle name="Normal 2 24" xfId="20" xr:uid="{00000000-0005-0000-0000-00005A000000}"/>
    <cellStyle name="Normal 2 24 2" xfId="691" xr:uid="{771D20A2-E3E1-454C-A102-3BEDEBC469AB}"/>
    <cellStyle name="Normal 2 25" xfId="21" xr:uid="{00000000-0005-0000-0000-00005B000000}"/>
    <cellStyle name="Normal 2 25 2" xfId="692" xr:uid="{33F23B3A-A910-4570-AB73-FCAB0A8B386F}"/>
    <cellStyle name="Normal 2 26" xfId="22" xr:uid="{00000000-0005-0000-0000-00005C000000}"/>
    <cellStyle name="Normal 2 26 2" xfId="693" xr:uid="{D82595C1-4917-4AEA-9DDF-86B3BD27B461}"/>
    <cellStyle name="Normal 2 27" xfId="23" xr:uid="{00000000-0005-0000-0000-00005D000000}"/>
    <cellStyle name="Normal 2 27 2" xfId="694" xr:uid="{21DCB0CD-440B-4206-9B4E-F5E9D690A409}"/>
    <cellStyle name="Normal 2 28" xfId="24" xr:uid="{00000000-0005-0000-0000-00005E000000}"/>
    <cellStyle name="Normal 2 28 2" xfId="695" xr:uid="{D062BA1C-CF86-4903-AA0A-B804E5BBB869}"/>
    <cellStyle name="Normal 2 29" xfId="25" xr:uid="{00000000-0005-0000-0000-00005F000000}"/>
    <cellStyle name="Normal 2 29 2" xfId="696" xr:uid="{F481563E-0898-4E45-B169-304DB3AE3586}"/>
    <cellStyle name="Normal 2 3" xfId="26" xr:uid="{00000000-0005-0000-0000-000060000000}"/>
    <cellStyle name="Normal 2 3 2" xfId="697" xr:uid="{117D3BD3-D273-4D4D-A4A1-030E0C14E39F}"/>
    <cellStyle name="Normal 2 30" xfId="27" xr:uid="{00000000-0005-0000-0000-000061000000}"/>
    <cellStyle name="Normal 2 30 2" xfId="698" xr:uid="{F2282202-7639-44F1-8C6E-790D9B0B8C93}"/>
    <cellStyle name="Normal 2 31" xfId="28" xr:uid="{00000000-0005-0000-0000-000062000000}"/>
    <cellStyle name="Normal 2 31 2" xfId="699" xr:uid="{BA3615F0-F71B-4900-A599-BB4CE0E4F1FE}"/>
    <cellStyle name="Normal 2 32" xfId="29" xr:uid="{00000000-0005-0000-0000-000063000000}"/>
    <cellStyle name="Normal 2 32 2" xfId="700" xr:uid="{1365360A-D789-4353-A806-B974C02F03A4}"/>
    <cellStyle name="Normal 2 33" xfId="30" xr:uid="{00000000-0005-0000-0000-000064000000}"/>
    <cellStyle name="Normal 2 33 2" xfId="701" xr:uid="{FBAF7A8E-F3C4-48BF-AD2D-322F8274BAC2}"/>
    <cellStyle name="Normal 2 34" xfId="31" xr:uid="{00000000-0005-0000-0000-000065000000}"/>
    <cellStyle name="Normal 2 34 2" xfId="702" xr:uid="{0598DFB6-1DAF-4EB6-96ED-AC7EF754C30A}"/>
    <cellStyle name="Normal 2 35" xfId="39" xr:uid="{00000000-0005-0000-0000-000066000000}"/>
    <cellStyle name="Normal 2 35 2" xfId="703" xr:uid="{C243D892-B1A6-4C08-AB6F-4603283DD7F6}"/>
    <cellStyle name="Normal 2 36" xfId="40" xr:uid="{00000000-0005-0000-0000-000067000000}"/>
    <cellStyle name="Normal 2 36 2" xfId="704" xr:uid="{28069480-470C-4694-BB6B-C5DF5002E477}"/>
    <cellStyle name="Normal 2 37" xfId="41" xr:uid="{00000000-0005-0000-0000-000068000000}"/>
    <cellStyle name="Normal 2 37 2" xfId="705" xr:uid="{C127DE2E-4AAF-4D52-B8F7-C4833971C60E}"/>
    <cellStyle name="Normal 2 38" xfId="42" xr:uid="{00000000-0005-0000-0000-000069000000}"/>
    <cellStyle name="Normal 2 38 2" xfId="706" xr:uid="{8C60CB31-A3F8-40B7-B145-E005F25B6864}"/>
    <cellStyle name="Normal 2 39" xfId="43" xr:uid="{00000000-0005-0000-0000-00006A000000}"/>
    <cellStyle name="Normal 2 39 2" xfId="707" xr:uid="{C2407A1A-A17C-436E-AE30-29CB20612D36}"/>
    <cellStyle name="Normal 2 4" xfId="32" xr:uid="{00000000-0005-0000-0000-00006B000000}"/>
    <cellStyle name="Normal 2 4 2" xfId="708" xr:uid="{2F25C1A6-D376-41A1-BCF0-09CD7DCA95C1}"/>
    <cellStyle name="Normal 2 40" xfId="44" xr:uid="{00000000-0005-0000-0000-00006C000000}"/>
    <cellStyle name="Normal 2 40 2" xfId="709" xr:uid="{9A747652-F1E6-4905-971F-C1C073C22D18}"/>
    <cellStyle name="Normal 2 41" xfId="45" xr:uid="{00000000-0005-0000-0000-00006D000000}"/>
    <cellStyle name="Normal 2 41 2" xfId="710" xr:uid="{6088C6D7-2A35-4103-88ED-76B77833651C}"/>
    <cellStyle name="Normal 2 42" xfId="46" xr:uid="{00000000-0005-0000-0000-00006E000000}"/>
    <cellStyle name="Normal 2 42 2" xfId="711" xr:uid="{0DAF69AD-0F02-4D6E-92D6-5DDAD8A29255}"/>
    <cellStyle name="Normal 2 43" xfId="47" xr:uid="{00000000-0005-0000-0000-00006F000000}"/>
    <cellStyle name="Normal 2 43 2" xfId="712" xr:uid="{9A210C3B-75A4-4342-8195-CF87C638E43E}"/>
    <cellStyle name="Normal 2 44" xfId="48" xr:uid="{00000000-0005-0000-0000-000070000000}"/>
    <cellStyle name="Normal 2 44 2" xfId="713" xr:uid="{13D3C7BF-E8A4-4DA2-80C1-CF95EDD07F07}"/>
    <cellStyle name="Normal 2 45" xfId="49" xr:uid="{00000000-0005-0000-0000-000071000000}"/>
    <cellStyle name="Normal 2 45 2" xfId="714" xr:uid="{B870F9F9-01DC-4895-9A2E-4AB1C90820E7}"/>
    <cellStyle name="Normal 2 46" xfId="50" xr:uid="{00000000-0005-0000-0000-000072000000}"/>
    <cellStyle name="Normal 2 46 2" xfId="715" xr:uid="{E64AFBB1-34A1-43C9-B583-8F8552014B29}"/>
    <cellStyle name="Normal 2 47" xfId="51" xr:uid="{00000000-0005-0000-0000-000073000000}"/>
    <cellStyle name="Normal 2 47 2" xfId="716" xr:uid="{A8305361-07C4-4817-B574-1A1F6D156300}"/>
    <cellStyle name="Normal 2 48" xfId="52" xr:uid="{00000000-0005-0000-0000-000074000000}"/>
    <cellStyle name="Normal 2 48 2" xfId="717" xr:uid="{E457E5CB-93E3-48D1-8DDC-BB16F068570C}"/>
    <cellStyle name="Normal 2 49" xfId="53" xr:uid="{00000000-0005-0000-0000-000075000000}"/>
    <cellStyle name="Normal 2 49 2" xfId="718" xr:uid="{9C02D8C1-BC9F-43E7-A77D-09C2C0FD5E94}"/>
    <cellStyle name="Normal 2 5" xfId="33" xr:uid="{00000000-0005-0000-0000-000076000000}"/>
    <cellStyle name="Normal 2 5 2" xfId="719" xr:uid="{36491536-2AE7-4CCC-BE95-9E61867B7096}"/>
    <cellStyle name="Normal 2 50" xfId="54" xr:uid="{00000000-0005-0000-0000-000077000000}"/>
    <cellStyle name="Normal 2 50 2" xfId="720" xr:uid="{92AC1FE9-8ACC-493C-B8E8-83F691D34DA1}"/>
    <cellStyle name="Normal 2 51" xfId="55" xr:uid="{00000000-0005-0000-0000-000078000000}"/>
    <cellStyle name="Normal 2 51 2" xfId="721" xr:uid="{3C9A0287-3521-49B0-9D05-6240612B808D}"/>
    <cellStyle name="Normal 2 52" xfId="56" xr:uid="{00000000-0005-0000-0000-000079000000}"/>
    <cellStyle name="Normal 2 52 2" xfId="722" xr:uid="{8317418F-11BB-4D2C-9452-A54A88A9351D}"/>
    <cellStyle name="Normal 2 53" xfId="57" xr:uid="{00000000-0005-0000-0000-00007A000000}"/>
    <cellStyle name="Normal 2 53 2" xfId="723" xr:uid="{781FE1E2-213A-433E-966F-ECC9FDA495FB}"/>
    <cellStyle name="Normal 2 54" xfId="58" xr:uid="{00000000-0005-0000-0000-00007B000000}"/>
    <cellStyle name="Normal 2 54 2" xfId="724" xr:uid="{BE8AC43D-19A6-4735-9E94-B8C1CC093DC3}"/>
    <cellStyle name="Normal 2 55" xfId="59" xr:uid="{00000000-0005-0000-0000-00007C000000}"/>
    <cellStyle name="Normal 2 55 2" xfId="725" xr:uid="{A704C3D4-7A6F-4EEA-8EE0-A172DFDDC775}"/>
    <cellStyle name="Normal 2 56" xfId="60" xr:uid="{00000000-0005-0000-0000-00007D000000}"/>
    <cellStyle name="Normal 2 56 2" xfId="726" xr:uid="{79F7659B-47A3-4E22-9BA6-937DD8179F14}"/>
    <cellStyle name="Normal 2 57" xfId="61" xr:uid="{00000000-0005-0000-0000-00007E000000}"/>
    <cellStyle name="Normal 2 57 2" xfId="727" xr:uid="{1316EF10-6EB6-4575-9922-C3FD01BC2637}"/>
    <cellStyle name="Normal 2 58" xfId="62" xr:uid="{00000000-0005-0000-0000-00007F000000}"/>
    <cellStyle name="Normal 2 58 2" xfId="728" xr:uid="{10D7D249-EAB3-4F76-9B1A-53EE4421342A}"/>
    <cellStyle name="Normal 2 59" xfId="63" xr:uid="{00000000-0005-0000-0000-000080000000}"/>
    <cellStyle name="Normal 2 59 2" xfId="729" xr:uid="{CC0BFBA1-83B7-472C-AC79-8F124E063AEF}"/>
    <cellStyle name="Normal 2 6" xfId="34" xr:uid="{00000000-0005-0000-0000-000081000000}"/>
    <cellStyle name="Normal 2 6 2" xfId="730" xr:uid="{E3A962D3-24B3-430C-A61C-A186D6B4D6F4}"/>
    <cellStyle name="Normal 2 60" xfId="65" xr:uid="{00000000-0005-0000-0000-000082000000}"/>
    <cellStyle name="Normal 2 60 2" xfId="731" xr:uid="{3906FEFC-B429-4344-A8E3-33C7BECF43A5}"/>
    <cellStyle name="Normal 2 61" xfId="66" xr:uid="{00000000-0005-0000-0000-000083000000}"/>
    <cellStyle name="Normal 2 61 2" xfId="732" xr:uid="{8486F01B-1C6F-4922-A6AE-B6301160BAED}"/>
    <cellStyle name="Normal 2 62" xfId="67" xr:uid="{00000000-0005-0000-0000-000084000000}"/>
    <cellStyle name="Normal 2 62 2" xfId="733" xr:uid="{C5ADFBF1-8C29-4090-87D4-D62AFCDD76CE}"/>
    <cellStyle name="Normal 2 63" xfId="69" xr:uid="{00000000-0005-0000-0000-000085000000}"/>
    <cellStyle name="Normal 2 63 2" xfId="734" xr:uid="{58A017A8-A19F-4BC9-907E-D7EFEAC6B9FE}"/>
    <cellStyle name="Normal 2 64" xfId="70" xr:uid="{00000000-0005-0000-0000-000086000000}"/>
    <cellStyle name="Normal 2 64 2" xfId="735" xr:uid="{77E88865-8C6C-4D0F-BFAC-4E01DE309552}"/>
    <cellStyle name="Normal 2 65" xfId="71" xr:uid="{00000000-0005-0000-0000-000087000000}"/>
    <cellStyle name="Normal 2 65 2" xfId="736" xr:uid="{38B2FF44-3A15-43D6-94E2-3D2D883911BC}"/>
    <cellStyle name="Normal 2 66" xfId="72" xr:uid="{00000000-0005-0000-0000-000088000000}"/>
    <cellStyle name="Normal 2 66 2" xfId="737" xr:uid="{58AB4E8B-1698-4050-B783-366B9E9D3256}"/>
    <cellStyle name="Normal 2 67" xfId="73" xr:uid="{00000000-0005-0000-0000-000089000000}"/>
    <cellStyle name="Normal 2 68" xfId="74" xr:uid="{00000000-0005-0000-0000-00008A000000}"/>
    <cellStyle name="Normal 2 69" xfId="75" xr:uid="{00000000-0005-0000-0000-00008B000000}"/>
    <cellStyle name="Normal 2 7" xfId="35" xr:uid="{00000000-0005-0000-0000-00008C000000}"/>
    <cellStyle name="Normal 2 7 2" xfId="738" xr:uid="{9CB1C372-FA1A-4902-B145-7FAA3ED80C98}"/>
    <cellStyle name="Normal 2 70" xfId="76" xr:uid="{00000000-0005-0000-0000-00008D000000}"/>
    <cellStyle name="Normal 2 71" xfId="77" xr:uid="{00000000-0005-0000-0000-00008E000000}"/>
    <cellStyle name="Normal 2 72" xfId="78" xr:uid="{00000000-0005-0000-0000-00008F000000}"/>
    <cellStyle name="Normal 2 73" xfId="79" xr:uid="{00000000-0005-0000-0000-000090000000}"/>
    <cellStyle name="Normal 2 74" xfId="80" xr:uid="{00000000-0005-0000-0000-000091000000}"/>
    <cellStyle name="Normal 2 75" xfId="81" xr:uid="{00000000-0005-0000-0000-000092000000}"/>
    <cellStyle name="Normal 2 76" xfId="82" xr:uid="{00000000-0005-0000-0000-000093000000}"/>
    <cellStyle name="Normal 2 77" xfId="83" xr:uid="{00000000-0005-0000-0000-000094000000}"/>
    <cellStyle name="Normal 2 78" xfId="84" xr:uid="{00000000-0005-0000-0000-000095000000}"/>
    <cellStyle name="Normal 2 79" xfId="85" xr:uid="{00000000-0005-0000-0000-000096000000}"/>
    <cellStyle name="Normal 2 8" xfId="36" xr:uid="{00000000-0005-0000-0000-000097000000}"/>
    <cellStyle name="Normal 2 8 2" xfId="739" xr:uid="{F9482C58-71C9-4853-A94B-C9681F67CF2E}"/>
    <cellStyle name="Normal 2 80" xfId="86" xr:uid="{00000000-0005-0000-0000-000098000000}"/>
    <cellStyle name="Normal 2 81" xfId="87" xr:uid="{00000000-0005-0000-0000-000099000000}"/>
    <cellStyle name="Normal 2 82" xfId="88" xr:uid="{00000000-0005-0000-0000-00009A000000}"/>
    <cellStyle name="Normal 2 83" xfId="89" xr:uid="{00000000-0005-0000-0000-00009B000000}"/>
    <cellStyle name="Normal 2 84" xfId="90" xr:uid="{00000000-0005-0000-0000-00009C000000}"/>
    <cellStyle name="Normal 2 85" xfId="91" xr:uid="{00000000-0005-0000-0000-00009D000000}"/>
    <cellStyle name="Normal 2 86" xfId="92" xr:uid="{00000000-0005-0000-0000-00009E000000}"/>
    <cellStyle name="Normal 2 87" xfId="93" xr:uid="{00000000-0005-0000-0000-00009F000000}"/>
    <cellStyle name="Normal 2 88" xfId="94" xr:uid="{00000000-0005-0000-0000-0000A0000000}"/>
    <cellStyle name="Normal 2 89" xfId="95" xr:uid="{00000000-0005-0000-0000-0000A1000000}"/>
    <cellStyle name="Normal 2 9" xfId="37" xr:uid="{00000000-0005-0000-0000-0000A2000000}"/>
    <cellStyle name="Normal 2 9 2" xfId="740" xr:uid="{B9DED285-49AB-40D1-9471-38CA918680D0}"/>
    <cellStyle name="Normal 2 90" xfId="96" xr:uid="{00000000-0005-0000-0000-0000A3000000}"/>
    <cellStyle name="Normal 2 91" xfId="97" xr:uid="{00000000-0005-0000-0000-0000A4000000}"/>
    <cellStyle name="Normal 2 92" xfId="98" xr:uid="{00000000-0005-0000-0000-0000A5000000}"/>
    <cellStyle name="Normal 2 93" xfId="99" xr:uid="{00000000-0005-0000-0000-0000A6000000}"/>
    <cellStyle name="Normal 2 94" xfId="100" xr:uid="{00000000-0005-0000-0000-0000A7000000}"/>
    <cellStyle name="Normal 2 95" xfId="101" xr:uid="{00000000-0005-0000-0000-0000A8000000}"/>
    <cellStyle name="Normal 2 96" xfId="102" xr:uid="{00000000-0005-0000-0000-0000A9000000}"/>
    <cellStyle name="Normal 2 97" xfId="103" xr:uid="{00000000-0005-0000-0000-0000AA000000}"/>
    <cellStyle name="Normal 2 98" xfId="105" xr:uid="{00000000-0005-0000-0000-0000AB000000}"/>
    <cellStyle name="Normal 2 99" xfId="107" xr:uid="{00000000-0005-0000-0000-0000AC000000}"/>
    <cellStyle name="Normal 20" xfId="180" xr:uid="{00000000-0005-0000-0000-0000AD000000}"/>
    <cellStyle name="Normal 3" xfId="64" xr:uid="{00000000-0005-0000-0000-0000AE000000}"/>
    <cellStyle name="Normal 3 2" xfId="741" xr:uid="{EE8F66F7-1EF8-481B-AED7-28B70327E08B}"/>
    <cellStyle name="Normal 3 2 2" xfId="742" xr:uid="{011B8ED7-EFB9-459B-A2F1-C45174086A67}"/>
    <cellStyle name="Normal 4" xfId="68" xr:uid="{00000000-0005-0000-0000-0000AF000000}"/>
    <cellStyle name="Normal 4 2" xfId="743" xr:uid="{A2A64F2B-DB65-4276-9098-6DFE1CF168CC}"/>
    <cellStyle name="Normal 5" xfId="104" xr:uid="{00000000-0005-0000-0000-0000B0000000}"/>
    <cellStyle name="Normal 5 2" xfId="744" xr:uid="{9BA5A1BF-89EC-4DFE-9B5A-309DD385027D}"/>
    <cellStyle name="Normal 6" xfId="106" xr:uid="{00000000-0005-0000-0000-0000B1000000}"/>
    <cellStyle name="Normal 6 2" xfId="745" xr:uid="{F13C0126-2EB9-4EE3-BF19-12CF025BB95E}"/>
    <cellStyle name="Normal 7" xfId="108" xr:uid="{00000000-0005-0000-0000-0000B2000000}"/>
    <cellStyle name="Normal 7 2" xfId="746" xr:uid="{BEFC1CBD-AB8F-4259-B830-FDBDB53DD6D5}"/>
    <cellStyle name="Normal 8" xfId="110" xr:uid="{00000000-0005-0000-0000-0000B3000000}"/>
    <cellStyle name="Normal 8 2" xfId="747" xr:uid="{878228B9-1557-4E87-A740-70502D7C3C87}"/>
    <cellStyle name="Normal 9" xfId="132" xr:uid="{00000000-0005-0000-0000-0000B4000000}"/>
    <cellStyle name="Normal 9 2" xfId="748" xr:uid="{BE9F9383-C4EB-495A-9647-8F7C64D94AB4}"/>
    <cellStyle name="Normal_MajData" xfId="38" xr:uid="{00000000-0005-0000-0000-0000B5000000}"/>
    <cellStyle name="Note 2" xfId="749" xr:uid="{964C03DC-DA41-4F68-89F8-CF530749DF47}"/>
    <cellStyle name="Output 2" xfId="750" xr:uid="{BCBA2ACC-3571-4E22-BEC3-815018B9D35A}"/>
    <cellStyle name="Title 2" xfId="751" xr:uid="{91173251-5B18-47FA-B708-F19678DF7FBF}"/>
    <cellStyle name="Total 10" xfId="753" xr:uid="{592D7C8B-0003-4AA9-9E83-E8BEE05EF506}"/>
    <cellStyle name="Total 10 2" xfId="754" xr:uid="{BCE00B65-F8AC-4017-9688-6D04A6E96759}"/>
    <cellStyle name="Total 11" xfId="755" xr:uid="{187784C0-5E77-4377-82FF-0BB70DE8AED0}"/>
    <cellStyle name="Total 11 2" xfId="756" xr:uid="{574C0033-3B58-4DD1-84D5-2349DAE48887}"/>
    <cellStyle name="Total 12" xfId="757" xr:uid="{BDB7A3F9-587D-4B38-90EC-163883A633FB}"/>
    <cellStyle name="Total 12 2" xfId="758" xr:uid="{473F9EE1-4DD3-4AFC-8E5C-DD52F1CEB77F}"/>
    <cellStyle name="Total 13" xfId="759" xr:uid="{47BAF1FF-FCA0-4E75-AF24-5CF1FC3787BA}"/>
    <cellStyle name="Total 13 2" xfId="760" xr:uid="{B81F650B-357E-4DE3-A4E1-BD055767968C}"/>
    <cellStyle name="Total 14" xfId="761" xr:uid="{F59ABA2D-11D4-4928-860B-92477619C8DF}"/>
    <cellStyle name="Total 14 2" xfId="762" xr:uid="{505B22E9-3F44-453F-B63B-1E7C5CB496AE}"/>
    <cellStyle name="Total 15" xfId="763" xr:uid="{F4DFC589-5400-4682-AD9B-AABB7C0DAE0F}"/>
    <cellStyle name="Total 15 2" xfId="764" xr:uid="{9F82C126-610E-4701-80EC-A2C9FD31EA73}"/>
    <cellStyle name="Total 16" xfId="752" xr:uid="{2F8C1B7D-5A20-4838-9C3A-852EE39E2755}"/>
    <cellStyle name="Total 2" xfId="765" xr:uid="{20DC0B7A-3AD1-4EDA-B384-89D46832EAF2}"/>
    <cellStyle name="Total 2 2" xfId="766" xr:uid="{754C66D7-39A2-419B-95B9-19D19EAD6EA2}"/>
    <cellStyle name="Total 2 2 2" xfId="767" xr:uid="{5599563E-A2EC-4CE8-9BA4-4A1E471E4CCF}"/>
    <cellStyle name="Total 2 3" xfId="768" xr:uid="{0BFB50DE-C584-4D84-B160-2C58AA326AF6}"/>
    <cellStyle name="Total 3" xfId="769" xr:uid="{ED37D7D5-41B5-42D9-91E4-9FFFB41E1966}"/>
    <cellStyle name="Total 3 2" xfId="770" xr:uid="{C6AEA4DD-AF55-49E9-9FA3-AA19C4D0CA85}"/>
    <cellStyle name="Total 3 2 2" xfId="771" xr:uid="{79F50B34-E862-4A44-9056-DCEFA86CB29B}"/>
    <cellStyle name="Total 3 3" xfId="772" xr:uid="{679D947B-ABD1-4493-B039-D9207E089D35}"/>
    <cellStyle name="Total 4" xfId="773" xr:uid="{A794AD0F-404E-47F2-8B5F-9E81516C98B8}"/>
    <cellStyle name="Total 4 2" xfId="774" xr:uid="{D746D342-823C-468A-BEC9-C3A7614DFA4E}"/>
    <cellStyle name="Total 4 2 2" xfId="775" xr:uid="{668122E6-7166-4537-BCFB-2C00D1E3DF9C}"/>
    <cellStyle name="Total 4 3" xfId="776" xr:uid="{33202D5A-7B16-4802-8D4D-F95690DE27BE}"/>
    <cellStyle name="Total 5" xfId="777" xr:uid="{918A8BA2-2028-4312-A569-083BB17EAF0B}"/>
    <cellStyle name="Total 5 2" xfId="778" xr:uid="{23844584-9E38-459C-B239-120E1EA82809}"/>
    <cellStyle name="Total 5 2 2" xfId="779" xr:uid="{74B73771-1E5D-46BC-AEF0-7950C861D314}"/>
    <cellStyle name="Total 5 3" xfId="780" xr:uid="{848A7220-25DC-413B-9BEA-924AB1D09298}"/>
    <cellStyle name="Total 6" xfId="781" xr:uid="{678B694F-92C4-423F-A7FE-9067E7BD2BA5}"/>
    <cellStyle name="Total 6 2" xfId="782" xr:uid="{A6551068-E92E-4439-BDDD-1541D94111B8}"/>
    <cellStyle name="Total 6 2 2" xfId="783" xr:uid="{B10685D7-6419-461E-B4C7-34F5C404B143}"/>
    <cellStyle name="Total 6 3" xfId="784" xr:uid="{2977432D-869C-49D4-8D8C-81CF611D21AA}"/>
    <cellStyle name="Total 7" xfId="785" xr:uid="{D20080EF-8E97-4B65-B9B8-D87F34B162F5}"/>
    <cellStyle name="Total 7 2" xfId="786" xr:uid="{39234059-BBE5-49C8-969E-3F45CAAF05C8}"/>
    <cellStyle name="Total 8" xfId="787" xr:uid="{BAFCB893-F06F-45C9-A276-16D12D1662D3}"/>
    <cellStyle name="Total 8 2" xfId="788" xr:uid="{9005FEEC-6EEF-4DC0-B917-A6B517377B32}"/>
    <cellStyle name="Total 9" xfId="789" xr:uid="{2F6A302A-481A-4E82-87E7-21467CDC1977}"/>
    <cellStyle name="Total 9 2" xfId="790" xr:uid="{9849B905-F25E-44CB-9D61-B702FBF3D5C0}"/>
    <cellStyle name="Update" xfId="791" xr:uid="{24B86791-A8A3-4059-AB7E-5F4A6E6D8AC4}"/>
    <cellStyle name="Update 10" xfId="792" xr:uid="{CA9C5D81-8608-4A10-8D44-91674AB3D724}"/>
    <cellStyle name="Update 10 2" xfId="793" xr:uid="{9E10A21E-B59C-4E07-946D-FB04A38F6658}"/>
    <cellStyle name="Update 11" xfId="794" xr:uid="{0C20B531-681F-44B1-BC3B-BEA7CDDEB8E5}"/>
    <cellStyle name="Update 11 2" xfId="795" xr:uid="{7CC58554-3229-4959-A1B0-A76CFC0A5338}"/>
    <cellStyle name="Update 12" xfId="796" xr:uid="{3B3DCB36-5903-4235-A5AE-01DBABBA5208}"/>
    <cellStyle name="Update 12 2" xfId="797" xr:uid="{C1309DD6-26EA-494D-BF78-A73AC6946630}"/>
    <cellStyle name="Update 13" xfId="798" xr:uid="{AD722F58-307F-43D5-AC16-F2062F51E642}"/>
    <cellStyle name="Update 13 2" xfId="799" xr:uid="{B9FD2AC9-8B4C-4EF2-A4DA-B687E2D18F73}"/>
    <cellStyle name="Update 14" xfId="800" xr:uid="{749F6213-60AC-4075-9B2E-32126E3A23AB}"/>
    <cellStyle name="Update 14 2" xfId="801" xr:uid="{7B8DFB89-EAD1-4D95-96E1-BA945E553FEE}"/>
    <cellStyle name="Update 15" xfId="802" xr:uid="{15D08B4C-6391-4AF1-95E8-9283B81FFBC0}"/>
    <cellStyle name="Update 2" xfId="803" xr:uid="{19C6575F-542B-44CE-8AEB-023B244EE30F}"/>
    <cellStyle name="Update 2 2" xfId="804" xr:uid="{3D26FD94-8DA4-4431-AD52-F31D2D09CEF8}"/>
    <cellStyle name="Update 2 2 2" xfId="805" xr:uid="{59BA67BF-C80C-47E0-B397-92E14BE56C8E}"/>
    <cellStyle name="Update 2 3" xfId="806" xr:uid="{ACF81222-CF16-49F4-98E7-64865CCFBDB9}"/>
    <cellStyle name="Update 3" xfId="807" xr:uid="{B880E7E7-D0DB-4D75-AD5C-565252CA453C}"/>
    <cellStyle name="Update 3 2" xfId="808" xr:uid="{4F09D1E8-B22F-469B-9CBD-F727C22BC471}"/>
    <cellStyle name="Update 3 2 2" xfId="809" xr:uid="{DA8D7A7B-205D-4BA8-B9DA-5A469B774CF5}"/>
    <cellStyle name="Update 3 3" xfId="810" xr:uid="{2AFDBE42-FD9E-4BB0-AD4C-BD5BE079DFEB}"/>
    <cellStyle name="Update 4" xfId="811" xr:uid="{4BC57F9A-C3DD-46C7-829B-7913073FBE1C}"/>
    <cellStyle name="Update 4 2" xfId="812" xr:uid="{CBBBE25D-4CC4-4318-B12C-EDC2BF17894F}"/>
    <cellStyle name="Update 4 2 2" xfId="813" xr:uid="{99A841E8-4E32-4130-941D-24BA22923C7C}"/>
    <cellStyle name="Update 4 3" xfId="814" xr:uid="{EFEB4D57-E42B-479B-8640-83029B53BE6E}"/>
    <cellStyle name="Update 5" xfId="815" xr:uid="{751CA788-B004-478E-A975-5EB3D1A5E8A8}"/>
    <cellStyle name="Update 5 2" xfId="816" xr:uid="{5F4E8CF9-C3F0-44FD-982E-F36E8ABFCCD4}"/>
    <cellStyle name="Update 5 2 2" xfId="817" xr:uid="{CC75D6EA-21BA-47D4-A229-FEBA82BCD52E}"/>
    <cellStyle name="Update 5 3" xfId="818" xr:uid="{68C80C54-A1DB-4AB5-BEB9-A8E9F2DB3BAD}"/>
    <cellStyle name="Update 6" xfId="819" xr:uid="{0F82CC96-221B-40D9-85A2-F46A37CA26E1}"/>
    <cellStyle name="Update 6 2" xfId="820" xr:uid="{15336FC2-094D-4FD3-9100-4C858406ED03}"/>
    <cellStyle name="Update 6 2 2" xfId="821" xr:uid="{CE4D217C-1E97-411B-AB3F-6F232EA52A02}"/>
    <cellStyle name="Update 6 3" xfId="822" xr:uid="{8818A7F2-8F80-4E19-82A5-1C24D5E9A406}"/>
    <cellStyle name="Update 7" xfId="823" xr:uid="{A4669638-125F-4A20-8810-64B77DE41A3A}"/>
    <cellStyle name="Update 7 2" xfId="824" xr:uid="{A1E63993-7B66-4BCD-B778-CEF163B0E5D4}"/>
    <cellStyle name="Update 8" xfId="825" xr:uid="{7E767A60-36F8-4EBF-8D09-8EEDB6252FCF}"/>
    <cellStyle name="Update 8 2" xfId="826" xr:uid="{2208129A-0553-4548-8229-6E184937FCC3}"/>
    <cellStyle name="Update 9" xfId="827" xr:uid="{A9F769B6-7446-4649-9C72-5CA074A358A2}"/>
    <cellStyle name="Update 9 2" xfId="828" xr:uid="{CFFC89ED-4FD5-449A-AAB4-1988F7E12305}"/>
    <cellStyle name="Warning Text 2" xfId="829" xr:uid="{9DCD036F-878A-4C2E-8358-76C28A3D23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35718</xdr:rowOff>
    </xdr:from>
    <xdr:to>
      <xdr:col>23</xdr:col>
      <xdr:colOff>310793</xdr:colOff>
      <xdr:row>5</xdr:row>
      <xdr:rowOff>154781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CDF7800-C3A9-4203-9314-5C5C49806A7B}"/>
            </a:ext>
          </a:extLst>
        </xdr:cNvPr>
        <xdr:cNvSpPr txBox="1"/>
      </xdr:nvSpPr>
      <xdr:spPr>
        <a:xfrm>
          <a:off x="11824934" y="207168"/>
          <a:ext cx="4627559" cy="995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ZA" sz="1800" b="1">
              <a:solidFill>
                <a:schemeClr val="tx2"/>
              </a:solidFill>
            </a:rPr>
            <a:t>AzurESky</a:t>
          </a:r>
          <a:r>
            <a:rPr lang="en-ZA" sz="1800" b="1" baseline="0">
              <a:solidFill>
                <a:schemeClr val="tx2"/>
              </a:solidFill>
            </a:rPr>
            <a:t> (PTY) LTD</a:t>
          </a:r>
          <a:endParaRPr lang="en-ZA" sz="1800" b="1">
            <a:solidFill>
              <a:schemeClr val="tx2"/>
            </a:solidFill>
          </a:endParaRPr>
        </a:p>
        <a:p>
          <a:pPr algn="r"/>
          <a:r>
            <a:rPr lang="en-ZA" sz="1000" b="1" i="1"/>
            <a:t>Unit 3, 17 Makriel Rd, Wadeville, Germiston</a:t>
          </a:r>
          <a:r>
            <a:rPr lang="en-ZA" sz="1000" b="1" i="1" baseline="0"/>
            <a:t>, 1421, Gauteng, South Africa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000" b="1" i="1" baseline="0"/>
            <a:t>Tel: </a:t>
          </a:r>
          <a:r>
            <a:rPr lang="en-ZA" sz="1000" b="0" i="1" baseline="0"/>
            <a:t>+27 (</a:t>
          </a:r>
          <a:r>
            <a:rPr lang="en-ZA" sz="10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0) 13 690 2867/2818 </a:t>
          </a:r>
          <a:r>
            <a:rPr lang="en-ZA" sz="10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Fax: </a:t>
          </a:r>
          <a:r>
            <a:rPr lang="en-ZA" sz="10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+27 (</a:t>
          </a:r>
          <a:r>
            <a:rPr lang="en-ZA" sz="10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0) 13 690 2818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Web:</a:t>
          </a:r>
          <a:r>
            <a:rPr lang="en-ZA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www.azuresky.it.com </a:t>
          </a:r>
          <a:r>
            <a:rPr lang="en-ZA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Email:</a:t>
          </a:r>
          <a:r>
            <a:rPr lang="en-ZA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sales@azuresky.it.com </a:t>
          </a:r>
          <a:endParaRPr lang="en-ZA" sz="1000">
            <a:effectLst/>
          </a:endParaRPr>
        </a:p>
      </xdr:txBody>
    </xdr:sp>
    <xdr:clientData/>
  </xdr:twoCellAnchor>
  <xdr:twoCellAnchor editAs="oneCell">
    <xdr:from>
      <xdr:col>1</xdr:col>
      <xdr:colOff>457200</xdr:colOff>
      <xdr:row>1</xdr:row>
      <xdr:rowOff>76200</xdr:rowOff>
    </xdr:from>
    <xdr:to>
      <xdr:col>2</xdr:col>
      <xdr:colOff>323850</xdr:colOff>
      <xdr:row>4</xdr:row>
      <xdr:rowOff>134257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A941C404-DA6B-49FF-8D8D-F0AFD2C3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950" y="247650"/>
          <a:ext cx="1333500" cy="79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10584</xdr:colOff>
      <xdr:row>33</xdr:row>
      <xdr:rowOff>116418</xdr:rowOff>
    </xdr:from>
    <xdr:to>
      <xdr:col>12</xdr:col>
      <xdr:colOff>552617</xdr:colOff>
      <xdr:row>34</xdr:row>
      <xdr:rowOff>179917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3374B-285A-478E-51E8-7162A9BB6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0917" y="8149168"/>
          <a:ext cx="1198200" cy="317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1238250</xdr:colOff>
      <xdr:row>4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A8793-D5D8-41A3-BBC1-C9E3A779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11811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857250</xdr:colOff>
      <xdr:row>0</xdr:row>
      <xdr:rowOff>19050</xdr:rowOff>
    </xdr:from>
    <xdr:to>
      <xdr:col>4</xdr:col>
      <xdr:colOff>727158</xdr:colOff>
      <xdr:row>4</xdr:row>
      <xdr:rowOff>209550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37749-A0C0-489C-9620-B9C3F75672F5}"/>
            </a:ext>
          </a:extLst>
        </xdr:cNvPr>
        <xdr:cNvSpPr txBox="1"/>
      </xdr:nvSpPr>
      <xdr:spPr>
        <a:xfrm>
          <a:off x="2571750" y="19050"/>
          <a:ext cx="4740358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ZA" sz="1800" b="1">
              <a:solidFill>
                <a:schemeClr val="tx2"/>
              </a:solidFill>
            </a:rPr>
            <a:t>AzurESky</a:t>
          </a:r>
          <a:r>
            <a:rPr lang="en-ZA" sz="1800" b="1" baseline="0">
              <a:solidFill>
                <a:schemeClr val="tx2"/>
              </a:solidFill>
            </a:rPr>
            <a:t> (PTY) LTD</a:t>
          </a:r>
          <a:endParaRPr lang="en-ZA" sz="1800" b="1">
            <a:solidFill>
              <a:schemeClr val="tx2"/>
            </a:solidFill>
          </a:endParaRPr>
        </a:p>
        <a:p>
          <a:pPr algn="r"/>
          <a:r>
            <a:rPr lang="en-ZA" sz="1000" b="1" i="1"/>
            <a:t>Unit 3, 17 Makriel Rd, Wadeville, Germiston</a:t>
          </a:r>
          <a:r>
            <a:rPr lang="en-ZA" sz="1000" b="1" i="1" baseline="0"/>
            <a:t>, 1421, Gauteng, South Africa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000" b="1" i="1" baseline="0"/>
            <a:t>Tel: </a:t>
          </a:r>
          <a:r>
            <a:rPr lang="en-ZA" sz="1000" b="0" i="1" baseline="0"/>
            <a:t>+27 (</a:t>
          </a:r>
          <a:r>
            <a:rPr lang="en-ZA" sz="10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0) 82 786 8149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Web:</a:t>
          </a:r>
          <a:r>
            <a:rPr lang="en-ZA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www.azuresky.it.com </a:t>
          </a:r>
          <a:r>
            <a:rPr lang="en-ZA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Email:</a:t>
          </a:r>
          <a:r>
            <a:rPr lang="en-ZA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sales@azuresky.it.com </a:t>
          </a:r>
          <a:endParaRPr lang="en-ZA" sz="10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ward@vangafontein.co.z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54"/>
  <sheetViews>
    <sheetView showGridLines="0" tabSelected="1" topLeftCell="C25" zoomScale="60" zoomScaleNormal="60" workbookViewId="0">
      <selection activeCell="Q34" sqref="Q34"/>
    </sheetView>
  </sheetViews>
  <sheetFormatPr defaultColWidth="9.08984375" defaultRowHeight="15.5" x14ac:dyDescent="0.35"/>
  <cols>
    <col min="1" max="1" width="1.36328125" style="1" customWidth="1"/>
    <col min="2" max="2" width="21" style="1" customWidth="1"/>
    <col min="3" max="3" width="24.54296875" style="1" customWidth="1"/>
    <col min="4" max="4" width="22.7265625" style="1" customWidth="1"/>
    <col min="5" max="5" width="11.36328125" style="1" customWidth="1"/>
    <col min="6" max="6" width="13.08984375" style="1" customWidth="1"/>
    <col min="7" max="7" width="13.36328125" style="1" customWidth="1"/>
    <col min="8" max="8" width="25.6328125" style="1" customWidth="1"/>
    <col min="9" max="9" width="11" style="1" customWidth="1"/>
    <col min="10" max="10" width="15" style="2" customWidth="1"/>
    <col min="11" max="11" width="12.453125" style="2" customWidth="1"/>
    <col min="12" max="12" width="9.36328125" style="2" customWidth="1"/>
    <col min="13" max="13" width="9.08984375" style="2" customWidth="1"/>
    <col min="14" max="14" width="12.6328125" style="3" customWidth="1"/>
    <col min="15" max="15" width="10.08984375" style="3" customWidth="1"/>
    <col min="16" max="16" width="8.54296875" style="4" customWidth="1"/>
    <col min="17" max="17" width="9" style="1" customWidth="1"/>
    <col min="18" max="18" width="9.08984375" style="1" customWidth="1"/>
    <col min="19" max="19" width="12.90625" style="1" customWidth="1"/>
    <col min="20" max="20" width="11.90625" style="1" customWidth="1"/>
    <col min="21" max="21" width="10" style="1" hidden="1" customWidth="1"/>
    <col min="22" max="22" width="14.453125" style="1" customWidth="1"/>
    <col min="23" max="16384" width="9.08984375" style="1"/>
  </cols>
  <sheetData>
    <row r="1" spans="2:25" s="126" customFormat="1" ht="13.5" customHeight="1" x14ac:dyDescent="0.3">
      <c r="B1" s="241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3"/>
    </row>
    <row r="2" spans="2:25" s="126" customFormat="1" ht="26.25" customHeight="1" x14ac:dyDescent="0.3">
      <c r="B2" s="244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6"/>
      <c r="Y2" s="127"/>
    </row>
    <row r="3" spans="2:25" s="126" customFormat="1" ht="15" customHeight="1" x14ac:dyDescent="0.3">
      <c r="B3" s="244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6"/>
    </row>
    <row r="4" spans="2:25" s="126" customFormat="1" ht="14" x14ac:dyDescent="0.3">
      <c r="B4" s="244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6"/>
    </row>
    <row r="5" spans="2:25" s="126" customFormat="1" ht="15.75" customHeight="1" x14ac:dyDescent="0.3">
      <c r="B5" s="244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6"/>
      <c r="Y5" s="128"/>
    </row>
    <row r="6" spans="2:25" s="126" customFormat="1" ht="14" x14ac:dyDescent="0.3">
      <c r="B6" s="244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6"/>
      <c r="Y6" s="129"/>
    </row>
    <row r="7" spans="2:25" s="126" customFormat="1" ht="15.75" customHeight="1" thickBot="1" x14ac:dyDescent="0.35">
      <c r="B7" s="247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9"/>
    </row>
    <row r="8" spans="2:25" s="126" customFormat="1" ht="18" customHeight="1" thickBot="1" x14ac:dyDescent="0.35">
      <c r="B8" s="218" t="s">
        <v>124</v>
      </c>
      <c r="C8" s="218"/>
      <c r="D8" s="218"/>
      <c r="E8" s="218" t="s">
        <v>153</v>
      </c>
      <c r="F8" s="218"/>
      <c r="G8" s="224" t="s">
        <v>17</v>
      </c>
      <c r="H8" s="225"/>
      <c r="I8" s="225"/>
      <c r="J8" s="225"/>
      <c r="K8" s="225"/>
      <c r="L8" s="225"/>
      <c r="M8" s="225"/>
      <c r="N8" s="225"/>
      <c r="O8" s="225"/>
      <c r="P8" s="225"/>
      <c r="Q8" s="226"/>
      <c r="R8" s="220" t="s">
        <v>49</v>
      </c>
      <c r="S8" s="221"/>
      <c r="T8" s="221"/>
      <c r="U8" s="222"/>
      <c r="V8" s="238" t="s">
        <v>152</v>
      </c>
      <c r="W8" s="239"/>
      <c r="X8" s="240"/>
      <c r="Y8" s="127"/>
    </row>
    <row r="9" spans="2:25" s="126" customFormat="1" ht="18" customHeight="1" thickBot="1" x14ac:dyDescent="0.35">
      <c r="B9" s="218" t="s">
        <v>111</v>
      </c>
      <c r="C9" s="218"/>
      <c r="D9" s="218"/>
      <c r="E9" s="218" t="s">
        <v>154</v>
      </c>
      <c r="F9" s="218"/>
      <c r="G9" s="227"/>
      <c r="H9" s="228"/>
      <c r="I9" s="228"/>
      <c r="J9" s="228"/>
      <c r="K9" s="228"/>
      <c r="L9" s="228"/>
      <c r="M9" s="228"/>
      <c r="N9" s="228"/>
      <c r="O9" s="228"/>
      <c r="P9" s="228"/>
      <c r="Q9" s="229"/>
      <c r="R9" s="220" t="s">
        <v>146</v>
      </c>
      <c r="S9" s="221"/>
      <c r="T9" s="221"/>
      <c r="U9" s="222"/>
      <c r="V9" s="223" t="s">
        <v>151</v>
      </c>
      <c r="W9" s="223"/>
      <c r="X9" s="223"/>
      <c r="Y9" s="127"/>
    </row>
    <row r="10" spans="2:25" s="126" customFormat="1" ht="18" customHeight="1" thickBot="1" x14ac:dyDescent="0.35">
      <c r="B10" s="218" t="s">
        <v>112</v>
      </c>
      <c r="C10" s="218"/>
      <c r="D10" s="218"/>
      <c r="E10" s="218" t="s">
        <v>61</v>
      </c>
      <c r="F10" s="218"/>
      <c r="G10" s="227"/>
      <c r="H10" s="228"/>
      <c r="I10" s="228"/>
      <c r="J10" s="228"/>
      <c r="K10" s="228"/>
      <c r="L10" s="228"/>
      <c r="M10" s="228"/>
      <c r="N10" s="228"/>
      <c r="O10" s="228"/>
      <c r="P10" s="228"/>
      <c r="Q10" s="229"/>
      <c r="R10" s="220" t="s">
        <v>113</v>
      </c>
      <c r="S10" s="221"/>
      <c r="T10" s="221"/>
      <c r="U10" s="222"/>
      <c r="V10" s="223" t="s">
        <v>61</v>
      </c>
      <c r="W10" s="223"/>
      <c r="X10" s="223"/>
      <c r="Y10" s="127"/>
    </row>
    <row r="11" spans="2:25" s="126" customFormat="1" ht="18" customHeight="1" thickBot="1" x14ac:dyDescent="0.35">
      <c r="B11" s="218" t="s">
        <v>114</v>
      </c>
      <c r="C11" s="218"/>
      <c r="D11" s="218"/>
      <c r="E11" s="218" t="s">
        <v>61</v>
      </c>
      <c r="F11" s="218"/>
      <c r="G11" s="227"/>
      <c r="H11" s="228"/>
      <c r="I11" s="228"/>
      <c r="J11" s="228"/>
      <c r="K11" s="228"/>
      <c r="L11" s="228"/>
      <c r="M11" s="228"/>
      <c r="N11" s="228"/>
      <c r="O11" s="228"/>
      <c r="P11" s="228"/>
      <c r="Q11" s="229"/>
      <c r="R11" s="220" t="s">
        <v>115</v>
      </c>
      <c r="S11" s="221"/>
      <c r="T11" s="221"/>
      <c r="U11" s="222"/>
      <c r="V11" s="223" t="s">
        <v>116</v>
      </c>
      <c r="W11" s="223"/>
      <c r="X11" s="223"/>
      <c r="Y11" s="127"/>
    </row>
    <row r="12" spans="2:25" s="126" customFormat="1" ht="18" customHeight="1" thickBot="1" x14ac:dyDescent="0.35">
      <c r="B12" s="218" t="s">
        <v>117</v>
      </c>
      <c r="C12" s="218"/>
      <c r="D12" s="218"/>
      <c r="E12" s="219" t="s">
        <v>155</v>
      </c>
      <c r="F12" s="218"/>
      <c r="G12" s="227"/>
      <c r="H12" s="228"/>
      <c r="I12" s="228"/>
      <c r="J12" s="228"/>
      <c r="K12" s="228"/>
      <c r="L12" s="228"/>
      <c r="M12" s="228"/>
      <c r="N12" s="228"/>
      <c r="O12" s="228"/>
      <c r="P12" s="228"/>
      <c r="Q12" s="229"/>
      <c r="R12" s="220" t="s">
        <v>118</v>
      </c>
      <c r="S12" s="221"/>
      <c r="T12" s="221"/>
      <c r="U12" s="222"/>
      <c r="V12" s="223" t="s">
        <v>157</v>
      </c>
      <c r="W12" s="223"/>
      <c r="X12" s="223"/>
      <c r="Y12" s="127"/>
    </row>
    <row r="13" spans="2:25" s="126" customFormat="1" ht="18" customHeight="1" thickBot="1" x14ac:dyDescent="0.35">
      <c r="B13" s="218" t="s">
        <v>119</v>
      </c>
      <c r="C13" s="218"/>
      <c r="D13" s="218"/>
      <c r="E13" s="233" t="s">
        <v>156</v>
      </c>
      <c r="F13" s="218"/>
      <c r="G13" s="227"/>
      <c r="H13" s="228"/>
      <c r="I13" s="228"/>
      <c r="J13" s="228"/>
      <c r="K13" s="228"/>
      <c r="L13" s="228"/>
      <c r="M13" s="228"/>
      <c r="N13" s="228"/>
      <c r="O13" s="228"/>
      <c r="P13" s="228"/>
      <c r="Q13" s="229"/>
      <c r="R13" s="220" t="s">
        <v>120</v>
      </c>
      <c r="S13" s="221"/>
      <c r="T13" s="221"/>
      <c r="U13" s="222"/>
      <c r="V13" s="223" t="s">
        <v>121</v>
      </c>
      <c r="W13" s="223"/>
      <c r="X13" s="223"/>
      <c r="Y13" s="127"/>
    </row>
    <row r="14" spans="2:25" s="126" customFormat="1" ht="18" customHeight="1" thickBot="1" x14ac:dyDescent="0.35">
      <c r="B14" s="234"/>
      <c r="C14" s="235"/>
      <c r="D14" s="236"/>
      <c r="E14" s="218"/>
      <c r="F14" s="218"/>
      <c r="G14" s="230"/>
      <c r="H14" s="231"/>
      <c r="I14" s="231"/>
      <c r="J14" s="231"/>
      <c r="K14" s="231"/>
      <c r="L14" s="231"/>
      <c r="M14" s="231"/>
      <c r="N14" s="231"/>
      <c r="O14" s="231"/>
      <c r="P14" s="231"/>
      <c r="Q14" s="232"/>
      <c r="R14" s="220" t="s">
        <v>122</v>
      </c>
      <c r="S14" s="221"/>
      <c r="T14" s="221"/>
      <c r="U14" s="222"/>
      <c r="V14" s="237" t="s">
        <v>123</v>
      </c>
      <c r="W14" s="237"/>
      <c r="X14" s="237"/>
      <c r="Y14" s="127"/>
    </row>
    <row r="15" spans="2:25" s="130" customFormat="1" ht="20.149999999999999" customHeight="1" thickBot="1" x14ac:dyDescent="0.35">
      <c r="G15" s="131"/>
      <c r="H15" s="131"/>
      <c r="I15" s="131"/>
      <c r="J15" s="131"/>
      <c r="K15" s="132"/>
      <c r="L15" s="206"/>
      <c r="M15" s="206"/>
      <c r="N15" s="205"/>
      <c r="O15" s="205"/>
      <c r="P15" s="133"/>
      <c r="U15" s="134"/>
    </row>
    <row r="16" spans="2:25" s="135" customFormat="1" ht="20.149999999999999" customHeight="1" thickBot="1" x14ac:dyDescent="0.3">
      <c r="G16" s="136"/>
      <c r="H16" s="136"/>
      <c r="I16" s="137"/>
      <c r="J16" s="138" t="s">
        <v>28</v>
      </c>
      <c r="K16" s="213" t="s">
        <v>9</v>
      </c>
      <c r="L16" s="214"/>
      <c r="M16" s="214"/>
      <c r="N16" s="214"/>
      <c r="O16" s="214"/>
      <c r="P16" s="214"/>
      <c r="Q16" s="267" t="s">
        <v>27</v>
      </c>
      <c r="R16" s="268"/>
      <c r="S16" s="268"/>
      <c r="T16" s="268"/>
      <c r="U16" s="268"/>
      <c r="V16" s="139" t="s">
        <v>145</v>
      </c>
    </row>
    <row r="17" spans="2:22" s="135" customFormat="1" ht="20.149999999999999" customHeight="1" x14ac:dyDescent="0.25">
      <c r="B17" s="140"/>
      <c r="C17" s="141"/>
      <c r="D17" s="210" t="s">
        <v>42</v>
      </c>
      <c r="E17" s="202" t="s">
        <v>46</v>
      </c>
      <c r="F17" s="202" t="s">
        <v>45</v>
      </c>
      <c r="G17" s="202" t="s">
        <v>138</v>
      </c>
      <c r="H17" s="215" t="s">
        <v>158</v>
      </c>
      <c r="I17" s="253" t="s">
        <v>141</v>
      </c>
      <c r="J17" s="250" t="s">
        <v>140</v>
      </c>
      <c r="K17" s="207" t="s">
        <v>139</v>
      </c>
      <c r="L17" s="256" t="s">
        <v>143</v>
      </c>
      <c r="M17" s="256" t="s">
        <v>142</v>
      </c>
      <c r="N17" s="142" t="s">
        <v>44</v>
      </c>
      <c r="O17" s="259" t="s">
        <v>144</v>
      </c>
      <c r="P17" s="143" t="s">
        <v>2</v>
      </c>
      <c r="Q17" s="144" t="s">
        <v>0</v>
      </c>
      <c r="R17" s="142" t="s">
        <v>1</v>
      </c>
      <c r="S17" s="142" t="s">
        <v>44</v>
      </c>
      <c r="T17" s="259" t="s">
        <v>144</v>
      </c>
      <c r="U17" s="143" t="s">
        <v>2</v>
      </c>
      <c r="V17" s="140"/>
    </row>
    <row r="18" spans="2:22" s="135" customFormat="1" ht="20.149999999999999" customHeight="1" x14ac:dyDescent="0.25">
      <c r="B18" s="145"/>
      <c r="C18" s="146"/>
      <c r="D18" s="211"/>
      <c r="E18" s="211"/>
      <c r="F18" s="203"/>
      <c r="G18" s="203"/>
      <c r="H18" s="216"/>
      <c r="I18" s="254"/>
      <c r="J18" s="251"/>
      <c r="K18" s="208"/>
      <c r="L18" s="257"/>
      <c r="M18" s="257"/>
      <c r="N18" s="147" t="s">
        <v>6</v>
      </c>
      <c r="O18" s="260"/>
      <c r="P18" s="148" t="s">
        <v>7</v>
      </c>
      <c r="Q18" s="149"/>
      <c r="R18" s="147" t="s">
        <v>8</v>
      </c>
      <c r="S18" s="147" t="s">
        <v>6</v>
      </c>
      <c r="T18" s="260"/>
      <c r="U18" s="148" t="s">
        <v>7</v>
      </c>
      <c r="V18" s="145"/>
    </row>
    <row r="19" spans="2:22" s="135" customFormat="1" ht="20.149999999999999" customHeight="1" thickBot="1" x14ac:dyDescent="0.3">
      <c r="B19" s="145" t="s">
        <v>48</v>
      </c>
      <c r="C19" s="146" t="s">
        <v>125</v>
      </c>
      <c r="D19" s="211"/>
      <c r="E19" s="211"/>
      <c r="F19" s="203"/>
      <c r="G19" s="203"/>
      <c r="H19" s="216"/>
      <c r="I19" s="254"/>
      <c r="J19" s="252"/>
      <c r="K19" s="209"/>
      <c r="L19" s="258"/>
      <c r="M19" s="258"/>
      <c r="N19" s="150" t="s">
        <v>3</v>
      </c>
      <c r="O19" s="261"/>
      <c r="P19" s="151" t="s">
        <v>3</v>
      </c>
      <c r="Q19" s="152" t="s">
        <v>3</v>
      </c>
      <c r="R19" s="150" t="s">
        <v>3</v>
      </c>
      <c r="S19" s="150" t="s">
        <v>3</v>
      </c>
      <c r="T19" s="261"/>
      <c r="U19" s="151" t="s">
        <v>3</v>
      </c>
      <c r="V19" s="153"/>
    </row>
    <row r="20" spans="2:22" s="135" customFormat="1" ht="20.149999999999999" customHeight="1" x14ac:dyDescent="0.25">
      <c r="B20" s="145"/>
      <c r="C20" s="146"/>
      <c r="D20" s="211"/>
      <c r="E20" s="211"/>
      <c r="F20" s="203"/>
      <c r="G20" s="203"/>
      <c r="H20" s="216"/>
      <c r="I20" s="254"/>
      <c r="J20" s="154"/>
      <c r="K20" s="144"/>
      <c r="L20" s="142"/>
      <c r="M20" s="142"/>
      <c r="N20" s="142" t="s">
        <v>4</v>
      </c>
      <c r="O20" s="155"/>
      <c r="P20" s="143"/>
      <c r="Q20" s="144"/>
      <c r="R20" s="142"/>
      <c r="S20" s="142" t="s">
        <v>4</v>
      </c>
      <c r="T20" s="155"/>
      <c r="U20" s="143"/>
      <c r="V20" s="156"/>
    </row>
    <row r="21" spans="2:22" s="135" customFormat="1" ht="20.149999999999999" customHeight="1" thickBot="1" x14ac:dyDescent="0.3">
      <c r="B21" s="157"/>
      <c r="C21" s="158"/>
      <c r="D21" s="212"/>
      <c r="E21" s="212"/>
      <c r="F21" s="204"/>
      <c r="G21" s="204"/>
      <c r="H21" s="217"/>
      <c r="I21" s="255"/>
      <c r="J21" s="159" t="s">
        <v>150</v>
      </c>
      <c r="K21" s="152" t="s">
        <v>150</v>
      </c>
      <c r="L21" s="150" t="s">
        <v>150</v>
      </c>
      <c r="M21" s="150" t="s">
        <v>150</v>
      </c>
      <c r="N21" s="150" t="s">
        <v>5</v>
      </c>
      <c r="O21" s="160" t="s">
        <v>150</v>
      </c>
      <c r="P21" s="160" t="s">
        <v>150</v>
      </c>
      <c r="Q21" s="152"/>
      <c r="R21" s="150"/>
      <c r="S21" s="150" t="s">
        <v>5</v>
      </c>
      <c r="T21" s="160"/>
      <c r="U21" s="151"/>
      <c r="V21" s="161"/>
    </row>
    <row r="22" spans="2:22" s="59" customFormat="1" ht="66" customHeight="1" x14ac:dyDescent="0.25">
      <c r="B22" s="47">
        <v>45829.594444444447</v>
      </c>
      <c r="C22" s="47">
        <f>B22</f>
        <v>45829.594444444447</v>
      </c>
      <c r="D22" s="47">
        <v>45835.611111111109</v>
      </c>
      <c r="E22" s="48" t="str">
        <f>TEXT(D22-B22,"[hh]:mm")</f>
        <v>144:24</v>
      </c>
      <c r="F22" s="49" t="s">
        <v>43</v>
      </c>
      <c r="G22" s="50" t="s">
        <v>147</v>
      </c>
      <c r="H22" s="51" t="s">
        <v>149</v>
      </c>
      <c r="I22" s="52">
        <v>165.4</v>
      </c>
      <c r="J22" s="53" t="s">
        <v>61</v>
      </c>
      <c r="K22" s="75">
        <v>4.4000000000000004</v>
      </c>
      <c r="L22" s="56">
        <v>20.2</v>
      </c>
      <c r="M22" s="56">
        <v>23.4</v>
      </c>
      <c r="N22" s="56">
        <f>100-SUM(K22:M22)</f>
        <v>52</v>
      </c>
      <c r="O22" s="57">
        <v>23.3</v>
      </c>
      <c r="P22" s="57" t="s">
        <v>61</v>
      </c>
      <c r="Q22" s="54">
        <f t="shared" ref="Q22:U22" si="0">IF(AND($K22&gt;0,L22&gt;0),(L22*100)/(100-$K22),"")</f>
        <v>21.129707112970713</v>
      </c>
      <c r="R22" s="55">
        <f t="shared" si="0"/>
        <v>24.476987447698747</v>
      </c>
      <c r="S22" s="58">
        <f t="shared" si="0"/>
        <v>54.393305439330547</v>
      </c>
      <c r="T22" s="58">
        <f t="shared" si="0"/>
        <v>24.372384937238497</v>
      </c>
      <c r="U22" s="118" t="e">
        <f t="shared" si="0"/>
        <v>#VALUE!</v>
      </c>
      <c r="V22" s="179" t="s">
        <v>148</v>
      </c>
    </row>
    <row r="23" spans="2:22" s="59" customFormat="1" ht="17.25" customHeight="1" x14ac:dyDescent="0.25">
      <c r="B23" s="47"/>
      <c r="C23" s="47"/>
      <c r="D23" s="47"/>
      <c r="E23" s="48"/>
      <c r="F23" s="49"/>
      <c r="G23" s="72"/>
      <c r="H23" s="51"/>
      <c r="I23" s="52"/>
      <c r="J23" s="74"/>
      <c r="K23" s="79"/>
      <c r="L23" s="76"/>
      <c r="M23" s="76"/>
      <c r="N23" s="76"/>
      <c r="O23" s="82"/>
      <c r="P23" s="77"/>
      <c r="Q23" s="73"/>
      <c r="R23" s="76"/>
      <c r="S23" s="80"/>
      <c r="T23" s="80"/>
      <c r="U23" s="83"/>
      <c r="V23" s="120"/>
    </row>
    <row r="24" spans="2:22" s="59" customFormat="1" ht="17.25" customHeight="1" x14ac:dyDescent="0.25">
      <c r="B24" s="47"/>
      <c r="C24" s="47"/>
      <c r="D24" s="47"/>
      <c r="E24" s="48"/>
      <c r="F24" s="49"/>
      <c r="G24" s="72"/>
      <c r="H24" s="51"/>
      <c r="I24" s="52"/>
      <c r="J24" s="53"/>
      <c r="K24" s="79"/>
      <c r="L24" s="76"/>
      <c r="M24" s="76"/>
      <c r="N24" s="76"/>
      <c r="O24" s="77"/>
      <c r="P24" s="77"/>
      <c r="Q24" s="81"/>
      <c r="R24" s="76"/>
      <c r="S24" s="80"/>
      <c r="T24" s="80"/>
      <c r="U24" s="83"/>
      <c r="V24" s="120"/>
    </row>
    <row r="25" spans="2:22" s="71" customFormat="1" ht="14.25" customHeight="1" x14ac:dyDescent="0.25">
      <c r="B25" s="47"/>
      <c r="C25" s="47"/>
      <c r="D25" s="47"/>
      <c r="E25" s="60"/>
      <c r="F25" s="61"/>
      <c r="G25" s="62"/>
      <c r="H25" s="63"/>
      <c r="I25" s="64"/>
      <c r="J25" s="65"/>
      <c r="K25" s="66"/>
      <c r="L25" s="67"/>
      <c r="M25" s="78"/>
      <c r="N25" s="67"/>
      <c r="O25" s="68"/>
      <c r="P25" s="68"/>
      <c r="Q25" s="69"/>
      <c r="R25" s="67"/>
      <c r="S25" s="67"/>
      <c r="T25" s="70"/>
      <c r="U25" s="119"/>
      <c r="V25" s="121"/>
    </row>
    <row r="26" spans="2:22" s="174" customFormat="1" ht="17.25" customHeight="1" thickBot="1" x14ac:dyDescent="0.3">
      <c r="B26" s="162"/>
      <c r="C26" s="162"/>
      <c r="D26" s="162"/>
      <c r="E26" s="163"/>
      <c r="F26" s="164"/>
      <c r="G26" s="165"/>
      <c r="H26" s="164"/>
      <c r="I26" s="166"/>
      <c r="J26" s="167"/>
      <c r="K26" s="168"/>
      <c r="L26" s="169"/>
      <c r="M26" s="170"/>
      <c r="N26" s="170"/>
      <c r="O26" s="169"/>
      <c r="P26" s="169"/>
      <c r="Q26" s="168"/>
      <c r="R26" s="170"/>
      <c r="S26" s="170"/>
      <c r="T26" s="171"/>
      <c r="U26" s="172"/>
      <c r="V26" s="173"/>
    </row>
    <row r="27" spans="2:22" ht="19.5" hidden="1" customHeight="1" thickBot="1" x14ac:dyDescent="0.4">
      <c r="B27" s="35"/>
      <c r="C27" s="35"/>
      <c r="D27" s="36"/>
      <c r="E27" s="36"/>
      <c r="F27" s="36"/>
      <c r="G27" s="36"/>
      <c r="H27" s="37"/>
      <c r="I27" s="38"/>
      <c r="J27" s="39"/>
      <c r="K27" s="40"/>
      <c r="L27" s="40"/>
      <c r="M27" s="41"/>
      <c r="N27" s="42"/>
      <c r="O27" s="41"/>
      <c r="P27" s="43"/>
      <c r="Q27" s="44"/>
      <c r="R27" s="42"/>
      <c r="S27" s="42"/>
      <c r="T27" s="42"/>
      <c r="U27" s="45"/>
      <c r="V27" s="46"/>
    </row>
    <row r="28" spans="2:22" ht="20.149999999999999" customHeight="1" x14ac:dyDescent="0.35">
      <c r="E28" s="3"/>
      <c r="F28" s="2"/>
      <c r="G28" s="2"/>
      <c r="I28" s="33"/>
      <c r="J28" s="4"/>
      <c r="K28" s="4"/>
      <c r="L28" s="4"/>
      <c r="M28" s="1"/>
      <c r="N28" s="1"/>
      <c r="O28" s="1"/>
      <c r="P28" s="1"/>
      <c r="V28" s="34"/>
    </row>
    <row r="29" spans="2:22" ht="20.149999999999999" customHeight="1" thickBot="1" x14ac:dyDescent="0.4">
      <c r="B29" s="6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8"/>
      <c r="O29" s="8"/>
      <c r="P29" s="9"/>
      <c r="Q29" s="6"/>
      <c r="R29" s="6"/>
      <c r="S29" s="6"/>
      <c r="T29" s="6"/>
      <c r="U29" s="6"/>
      <c r="V29" s="6"/>
    </row>
    <row r="30" spans="2:22" s="130" customFormat="1" ht="20.149999999999999" customHeight="1" x14ac:dyDescent="0.3">
      <c r="B30" s="178" t="s">
        <v>107</v>
      </c>
      <c r="C30" s="178"/>
      <c r="D30" s="178"/>
      <c r="E30" s="178"/>
      <c r="F30" s="178"/>
      <c r="G30" s="178"/>
      <c r="H30" s="178"/>
      <c r="J30" s="132"/>
      <c r="K30" s="132"/>
      <c r="L30" s="132"/>
      <c r="M30" s="132"/>
      <c r="N30" s="175"/>
      <c r="O30" s="175"/>
      <c r="P30" s="176"/>
    </row>
    <row r="31" spans="2:22" s="130" customFormat="1" ht="20.149999999999999" customHeight="1" x14ac:dyDescent="0.3">
      <c r="J31" s="132"/>
      <c r="K31" s="132"/>
      <c r="L31" s="132"/>
      <c r="M31" s="132"/>
      <c r="N31" s="175"/>
      <c r="O31" s="175"/>
      <c r="P31" s="176"/>
    </row>
    <row r="32" spans="2:22" s="130" customFormat="1" ht="20.149999999999999" customHeight="1" thickBot="1" x14ac:dyDescent="0.35">
      <c r="B32" s="188" t="s">
        <v>106</v>
      </c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9"/>
      <c r="U32" s="177"/>
      <c r="V32" s="177"/>
    </row>
    <row r="33" spans="1:22" ht="20.149999999999999" customHeight="1" thickBot="1" x14ac:dyDescent="0.4">
      <c r="J33" s="28"/>
      <c r="K33" s="193" t="s">
        <v>47</v>
      </c>
      <c r="L33" s="194"/>
      <c r="M33" s="194"/>
      <c r="N33" s="195"/>
      <c r="O33" s="1"/>
      <c r="P33" s="1"/>
      <c r="S33" s="10"/>
      <c r="T33" s="10"/>
    </row>
    <row r="34" spans="1:22" ht="20.149999999999999" customHeight="1" x14ac:dyDescent="0.35">
      <c r="G34" s="29"/>
      <c r="H34" s="29"/>
      <c r="J34" s="5"/>
      <c r="K34" s="29"/>
      <c r="L34"/>
      <c r="M34" s="29"/>
      <c r="N34" s="32"/>
      <c r="O34" s="29"/>
      <c r="P34" s="29"/>
      <c r="V34" s="264" t="s">
        <v>126</v>
      </c>
    </row>
    <row r="35" spans="1:22" ht="20.149999999999999" customHeight="1" x14ac:dyDescent="0.35">
      <c r="G35" s="29"/>
      <c r="H35" s="29"/>
      <c r="I35" s="29"/>
      <c r="J35" s="32"/>
      <c r="K35" s="29"/>
      <c r="L35"/>
      <c r="M35" s="29"/>
      <c r="N35" s="32"/>
      <c r="O35" s="29"/>
      <c r="P35" s="29"/>
      <c r="V35" s="265"/>
    </row>
    <row r="36" spans="1:22" ht="20.149999999999999" customHeight="1" thickBot="1" x14ac:dyDescent="0.4">
      <c r="G36" s="29"/>
      <c r="H36" s="29"/>
      <c r="I36" s="29"/>
      <c r="J36" s="32"/>
      <c r="K36" s="190" t="s">
        <v>159</v>
      </c>
      <c r="L36" s="191"/>
      <c r="M36" s="191"/>
      <c r="N36" s="192"/>
      <c r="O36" s="29"/>
      <c r="P36" s="29"/>
      <c r="V36" s="266"/>
    </row>
    <row r="37" spans="1:22" ht="20.149999999999999" customHeight="1" thickBot="1" x14ac:dyDescent="0.4">
      <c r="G37" s="29"/>
      <c r="H37" s="29"/>
      <c r="I37" s="29"/>
      <c r="J37" s="32"/>
      <c r="K37" s="30"/>
      <c r="L37" s="30"/>
      <c r="M37" s="30"/>
      <c r="N37" s="31"/>
      <c r="O37" s="29"/>
      <c r="P37" s="29"/>
    </row>
    <row r="38" spans="1:22" ht="20.149999999999999" customHeight="1" thickBot="1" x14ac:dyDescent="0.4">
      <c r="B38" s="11"/>
      <c r="C38" s="11"/>
      <c r="D38" s="11"/>
      <c r="E38" s="11"/>
      <c r="F38" s="11"/>
      <c r="G38" s="11"/>
      <c r="H38" s="11"/>
      <c r="I38" s="11"/>
      <c r="J38" s="27"/>
      <c r="K38" s="27"/>
      <c r="L38" s="27"/>
      <c r="M38" s="27"/>
      <c r="N38" s="11"/>
      <c r="O38" s="11"/>
      <c r="P38" s="11"/>
      <c r="Q38" s="11"/>
      <c r="R38" s="11"/>
      <c r="S38" s="11"/>
      <c r="T38" s="11"/>
      <c r="U38" s="11"/>
    </row>
    <row r="39" spans="1:22" ht="20.149999999999999" customHeight="1" x14ac:dyDescent="0.35">
      <c r="A39" s="5"/>
      <c r="B39" s="180" t="s">
        <v>108</v>
      </c>
      <c r="C39" s="181"/>
      <c r="D39" s="181"/>
      <c r="E39" s="181"/>
      <c r="F39" s="181"/>
      <c r="G39" s="181"/>
      <c r="H39" s="181"/>
      <c r="I39" s="181"/>
      <c r="J39" s="182"/>
      <c r="K39" s="196" t="s">
        <v>11</v>
      </c>
      <c r="L39" s="197"/>
      <c r="M39" s="87"/>
      <c r="N39" s="87" t="s">
        <v>127</v>
      </c>
      <c r="O39" s="87" t="s">
        <v>10</v>
      </c>
      <c r="P39" s="87"/>
      <c r="Q39" s="12"/>
      <c r="R39" s="183"/>
      <c r="S39" s="184"/>
      <c r="T39" s="184"/>
      <c r="U39" s="184"/>
    </row>
    <row r="40" spans="1:22" ht="29.5" customHeight="1" x14ac:dyDescent="0.35">
      <c r="A40" s="5"/>
      <c r="B40" s="183"/>
      <c r="C40" s="184"/>
      <c r="D40" s="184"/>
      <c r="E40" s="184"/>
      <c r="F40" s="184"/>
      <c r="G40" s="184"/>
      <c r="H40" s="184"/>
      <c r="I40" s="184"/>
      <c r="J40" s="182"/>
      <c r="K40" s="198" t="s">
        <v>13</v>
      </c>
      <c r="L40" s="199"/>
      <c r="M40" s="86"/>
      <c r="N40" s="86" t="s">
        <v>133</v>
      </c>
      <c r="O40" s="86" t="s">
        <v>30</v>
      </c>
      <c r="P40" s="86"/>
      <c r="Q40" s="14"/>
      <c r="R40" s="183"/>
      <c r="S40" s="184"/>
      <c r="T40" s="184"/>
      <c r="U40" s="184"/>
    </row>
    <row r="41" spans="1:22" ht="20.149999999999999" customHeight="1" x14ac:dyDescent="0.35">
      <c r="A41" s="5"/>
      <c r="B41" s="183"/>
      <c r="C41" s="184"/>
      <c r="D41" s="184"/>
      <c r="E41" s="184"/>
      <c r="F41" s="184"/>
      <c r="G41" s="184"/>
      <c r="H41" s="184"/>
      <c r="I41" s="184"/>
      <c r="J41" s="182"/>
      <c r="K41" s="200" t="s">
        <v>14</v>
      </c>
      <c r="L41" s="201"/>
      <c r="M41" s="86"/>
      <c r="N41" s="86" t="s">
        <v>132</v>
      </c>
      <c r="O41" s="86" t="s">
        <v>31</v>
      </c>
      <c r="P41" s="86"/>
      <c r="Q41" s="14"/>
      <c r="R41" s="183"/>
      <c r="S41" s="184"/>
      <c r="T41" s="184"/>
      <c r="U41" s="184"/>
    </row>
    <row r="42" spans="1:22" ht="20.149999999999999" customHeight="1" x14ac:dyDescent="0.35">
      <c r="A42" s="5"/>
      <c r="B42" s="183"/>
      <c r="C42" s="184"/>
      <c r="D42" s="184"/>
      <c r="E42" s="184"/>
      <c r="F42" s="184"/>
      <c r="G42" s="184"/>
      <c r="H42" s="184"/>
      <c r="I42" s="184"/>
      <c r="J42" s="182"/>
      <c r="K42" s="200" t="s">
        <v>15</v>
      </c>
      <c r="L42" s="201"/>
      <c r="M42" s="86"/>
      <c r="N42" s="86" t="s">
        <v>134</v>
      </c>
      <c r="O42" s="86" t="s">
        <v>16</v>
      </c>
      <c r="P42" s="86"/>
      <c r="Q42" s="14"/>
      <c r="R42" s="183"/>
      <c r="S42" s="184"/>
      <c r="T42" s="184"/>
      <c r="U42" s="184"/>
    </row>
    <row r="43" spans="1:22" ht="20.149999999999999" customHeight="1" x14ac:dyDescent="0.35">
      <c r="A43" s="5"/>
      <c r="B43" s="183"/>
      <c r="C43" s="184"/>
      <c r="D43" s="184"/>
      <c r="E43" s="184"/>
      <c r="F43" s="184"/>
      <c r="G43" s="184"/>
      <c r="H43" s="184"/>
      <c r="I43" s="184"/>
      <c r="J43" s="182"/>
      <c r="K43" s="200" t="s">
        <v>34</v>
      </c>
      <c r="L43" s="201"/>
      <c r="M43" s="85"/>
      <c r="N43" s="86" t="s">
        <v>135</v>
      </c>
      <c r="O43" s="86" t="s">
        <v>32</v>
      </c>
      <c r="P43" s="86"/>
      <c r="Q43" s="15"/>
      <c r="R43" s="183"/>
      <c r="S43" s="184"/>
      <c r="T43" s="184"/>
      <c r="U43" s="184"/>
    </row>
    <row r="44" spans="1:22" ht="20.149999999999999" customHeight="1" x14ac:dyDescent="0.35">
      <c r="A44" s="5"/>
      <c r="B44" s="183"/>
      <c r="C44" s="184"/>
      <c r="D44" s="184"/>
      <c r="E44" s="184"/>
      <c r="F44" s="184"/>
      <c r="G44" s="184"/>
      <c r="H44" s="184"/>
      <c r="I44" s="184"/>
      <c r="J44" s="182"/>
      <c r="K44" s="122" t="s">
        <v>35</v>
      </c>
      <c r="L44" s="123"/>
      <c r="M44" s="123"/>
      <c r="N44" s="123" t="s">
        <v>128</v>
      </c>
      <c r="O44" s="123" t="s">
        <v>36</v>
      </c>
      <c r="P44" s="123"/>
      <c r="Q44" s="88"/>
      <c r="R44" s="184"/>
      <c r="S44" s="184"/>
      <c r="T44" s="184"/>
      <c r="U44" s="184"/>
    </row>
    <row r="45" spans="1:22" ht="20.149999999999999" customHeight="1" x14ac:dyDescent="0.35">
      <c r="A45" s="5"/>
      <c r="B45" s="185"/>
      <c r="C45" s="186"/>
      <c r="D45" s="186"/>
      <c r="E45" s="186"/>
      <c r="F45" s="186"/>
      <c r="G45" s="186"/>
      <c r="H45" s="186"/>
      <c r="I45" s="186"/>
      <c r="J45" s="187"/>
      <c r="K45" s="262" t="s">
        <v>37</v>
      </c>
      <c r="L45" s="263"/>
      <c r="M45" s="84"/>
      <c r="N45" s="86" t="s">
        <v>136</v>
      </c>
      <c r="O45" s="86" t="s">
        <v>33</v>
      </c>
      <c r="P45" s="86"/>
      <c r="Q45" s="18"/>
      <c r="R45" s="186"/>
      <c r="S45" s="186"/>
      <c r="T45" s="186"/>
      <c r="U45" s="186"/>
    </row>
    <row r="46" spans="1:22" ht="20.149999999999999" customHeight="1" x14ac:dyDescent="0.35">
      <c r="A46" s="5"/>
      <c r="B46" s="185"/>
      <c r="C46" s="186"/>
      <c r="D46" s="186"/>
      <c r="E46" s="186"/>
      <c r="F46" s="186"/>
      <c r="G46" s="186"/>
      <c r="H46" s="186"/>
      <c r="I46" s="186"/>
      <c r="J46" s="187"/>
      <c r="K46" s="262" t="s">
        <v>38</v>
      </c>
      <c r="L46" s="263"/>
      <c r="M46" s="84"/>
      <c r="N46" s="86" t="s">
        <v>137</v>
      </c>
      <c r="O46" s="86" t="s">
        <v>40</v>
      </c>
      <c r="P46" s="86"/>
      <c r="Q46" s="18"/>
      <c r="R46" s="186"/>
      <c r="S46" s="186"/>
      <c r="T46" s="186"/>
      <c r="U46" s="186"/>
    </row>
    <row r="47" spans="1:22" ht="20.149999999999999" customHeight="1" x14ac:dyDescent="0.35">
      <c r="A47" s="5"/>
      <c r="B47" s="185"/>
      <c r="C47" s="186"/>
      <c r="D47" s="186"/>
      <c r="E47" s="186"/>
      <c r="F47" s="186"/>
      <c r="G47" s="186"/>
      <c r="H47" s="186"/>
      <c r="I47" s="186"/>
      <c r="J47" s="187"/>
      <c r="K47" s="90" t="s">
        <v>39</v>
      </c>
      <c r="L47" s="89"/>
      <c r="M47" s="89"/>
      <c r="N47" s="89" t="s">
        <v>129</v>
      </c>
      <c r="O47" s="89" t="s">
        <v>41</v>
      </c>
      <c r="P47" s="89"/>
      <c r="Q47" s="88"/>
      <c r="R47" s="186"/>
      <c r="S47" s="186"/>
      <c r="T47" s="186"/>
      <c r="U47" s="186"/>
    </row>
    <row r="48" spans="1:22" ht="20.149999999999999" customHeight="1" x14ac:dyDescent="0.35">
      <c r="A48" s="5"/>
      <c r="B48" s="185"/>
      <c r="C48" s="186"/>
      <c r="D48" s="186"/>
      <c r="E48" s="186"/>
      <c r="F48" s="186"/>
      <c r="G48" s="186"/>
      <c r="H48" s="186"/>
      <c r="I48" s="186"/>
      <c r="J48" s="187"/>
      <c r="K48" s="16"/>
      <c r="L48" s="17"/>
      <c r="M48" s="17"/>
      <c r="N48" s="13"/>
      <c r="O48" s="13"/>
      <c r="P48" s="13"/>
      <c r="Q48" s="18"/>
      <c r="R48" s="186"/>
      <c r="S48" s="186"/>
      <c r="T48" s="186"/>
      <c r="U48" s="186"/>
    </row>
    <row r="49" spans="1:21" ht="20.149999999999999" customHeight="1" thickBot="1" x14ac:dyDescent="0.4">
      <c r="A49" s="5"/>
      <c r="B49" s="19"/>
      <c r="C49" s="20"/>
      <c r="D49" s="20"/>
      <c r="E49" s="20"/>
      <c r="F49" s="20"/>
      <c r="G49" s="20"/>
      <c r="H49" s="20"/>
      <c r="I49" s="20"/>
      <c r="J49" s="20"/>
      <c r="K49" s="21"/>
      <c r="L49" s="22"/>
      <c r="M49" s="22"/>
      <c r="N49" s="23"/>
      <c r="O49" s="23"/>
      <c r="P49" s="23"/>
      <c r="Q49" s="24"/>
      <c r="R49" s="25"/>
      <c r="S49" s="25"/>
      <c r="T49" s="25"/>
      <c r="U49" s="25"/>
    </row>
    <row r="50" spans="1:21" ht="20.149999999999999" customHeight="1" x14ac:dyDescent="0.35">
      <c r="J50" s="1"/>
      <c r="N50" s="2"/>
      <c r="P50" s="3"/>
      <c r="Q50" s="2"/>
      <c r="R50" s="25"/>
      <c r="S50" s="1" t="s">
        <v>29</v>
      </c>
      <c r="T50" s="25"/>
      <c r="U50" s="25"/>
    </row>
    <row r="51" spans="1:21" ht="20.149999999999999" customHeight="1" x14ac:dyDescent="0.35">
      <c r="B51" s="26" t="s">
        <v>109</v>
      </c>
      <c r="C51" s="26" t="s">
        <v>130</v>
      </c>
      <c r="D51" s="26"/>
      <c r="E51" s="26"/>
      <c r="F51" s="26"/>
      <c r="J51" s="1"/>
      <c r="K51" s="1"/>
      <c r="L51" s="1"/>
      <c r="M51" s="1"/>
      <c r="N51" s="1"/>
      <c r="O51" s="1"/>
      <c r="P51" s="3"/>
      <c r="Q51" s="2"/>
    </row>
    <row r="52" spans="1:21" x14ac:dyDescent="0.35">
      <c r="C52" s="26" t="s">
        <v>131</v>
      </c>
      <c r="J52" s="1"/>
      <c r="N52" s="2"/>
      <c r="P52" s="3"/>
    </row>
    <row r="53" spans="1:21" x14ac:dyDescent="0.35">
      <c r="J53" s="1"/>
      <c r="N53" s="2"/>
      <c r="P53" s="3"/>
    </row>
    <row r="54" spans="1:21" x14ac:dyDescent="0.35">
      <c r="J54" s="1"/>
      <c r="N54" s="2"/>
      <c r="P54" s="3"/>
    </row>
  </sheetData>
  <mergeCells count="61">
    <mergeCell ref="R10:U10"/>
    <mergeCell ref="V10:X10"/>
    <mergeCell ref="V34:V36"/>
    <mergeCell ref="T17:T19"/>
    <mergeCell ref="V11:X11"/>
    <mergeCell ref="Q16:U16"/>
    <mergeCell ref="V8:X8"/>
    <mergeCell ref="B1:X7"/>
    <mergeCell ref="R8:U8"/>
    <mergeCell ref="R9:U9"/>
    <mergeCell ref="V9:X9"/>
    <mergeCell ref="R13:U13"/>
    <mergeCell ref="V13:X13"/>
    <mergeCell ref="B14:D14"/>
    <mergeCell ref="E14:F14"/>
    <mergeCell ref="R14:U14"/>
    <mergeCell ref="V14:X14"/>
    <mergeCell ref="B12:D12"/>
    <mergeCell ref="E12:F12"/>
    <mergeCell ref="R12:U12"/>
    <mergeCell ref="V12:X12"/>
    <mergeCell ref="B8:D8"/>
    <mergeCell ref="E8:F8"/>
    <mergeCell ref="G8:Q14"/>
    <mergeCell ref="B9:D9"/>
    <mergeCell ref="E9:F9"/>
    <mergeCell ref="B10:D10"/>
    <mergeCell ref="E10:F10"/>
    <mergeCell ref="B11:D11"/>
    <mergeCell ref="E11:F11"/>
    <mergeCell ref="R11:U11"/>
    <mergeCell ref="B13:D13"/>
    <mergeCell ref="E13:F13"/>
    <mergeCell ref="G17:G21"/>
    <mergeCell ref="N15:O15"/>
    <mergeCell ref="L15:M15"/>
    <mergeCell ref="K17:K19"/>
    <mergeCell ref="D17:D21"/>
    <mergeCell ref="F17:F21"/>
    <mergeCell ref="E17:E21"/>
    <mergeCell ref="K16:P16"/>
    <mergeCell ref="H17:H21"/>
    <mergeCell ref="J17:J19"/>
    <mergeCell ref="I17:I21"/>
    <mergeCell ref="M17:M19"/>
    <mergeCell ref="L17:L19"/>
    <mergeCell ref="O17:O19"/>
    <mergeCell ref="B39:J44"/>
    <mergeCell ref="R39:U44"/>
    <mergeCell ref="B45:J48"/>
    <mergeCell ref="R45:U48"/>
    <mergeCell ref="B32:S32"/>
    <mergeCell ref="K36:N36"/>
    <mergeCell ref="K33:N33"/>
    <mergeCell ref="K39:L39"/>
    <mergeCell ref="K40:L40"/>
    <mergeCell ref="K41:L41"/>
    <mergeCell ref="K42:L42"/>
    <mergeCell ref="K43:L43"/>
    <mergeCell ref="K45:L45"/>
    <mergeCell ref="K46:L46"/>
  </mergeCells>
  <phoneticPr fontId="0" type="noConversion"/>
  <hyperlinks>
    <hyperlink ref="E13" r:id="rId1" xr:uid="{B37D09C5-0795-4F2D-B5BF-D4D1612DEDEB}"/>
  </hyperlink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48" orientation="landscape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6ACB-1DAF-4C79-8483-276E112FE860}">
  <sheetPr>
    <pageSetUpPr fitToPage="1"/>
  </sheetPr>
  <dimension ref="A1:E54"/>
  <sheetViews>
    <sheetView showGridLines="0" workbookViewId="0">
      <selection activeCell="H9" sqref="H9"/>
    </sheetView>
  </sheetViews>
  <sheetFormatPr defaultRowHeight="12.5" x14ac:dyDescent="0.25"/>
  <cols>
    <col min="1" max="1" width="24.54296875" style="95" customWidth="1"/>
    <col min="2" max="2" width="47.81640625" style="95" customWidth="1"/>
    <col min="3" max="3" width="8.7265625" style="95"/>
    <col min="4" max="4" width="13.1796875" style="95" customWidth="1"/>
    <col min="5" max="5" width="11.1796875" style="95" customWidth="1"/>
    <col min="6" max="16384" width="8.7265625" style="95"/>
  </cols>
  <sheetData>
    <row r="1" spans="1:5" x14ac:dyDescent="0.25">
      <c r="A1" s="271"/>
      <c r="B1" s="272"/>
      <c r="C1" s="272"/>
      <c r="D1" s="272"/>
      <c r="E1" s="273"/>
    </row>
    <row r="2" spans="1:5" x14ac:dyDescent="0.25">
      <c r="A2" s="274"/>
      <c r="B2" s="275"/>
      <c r="C2" s="275"/>
      <c r="D2" s="275"/>
      <c r="E2" s="276"/>
    </row>
    <row r="3" spans="1:5" x14ac:dyDescent="0.25">
      <c r="A3" s="274"/>
      <c r="B3" s="275"/>
      <c r="C3" s="275"/>
      <c r="D3" s="275"/>
      <c r="E3" s="276"/>
    </row>
    <row r="4" spans="1:5" x14ac:dyDescent="0.25">
      <c r="A4" s="274"/>
      <c r="B4" s="275"/>
      <c r="C4" s="275"/>
      <c r="D4" s="275"/>
      <c r="E4" s="276"/>
    </row>
    <row r="5" spans="1:5" ht="22.5" customHeight="1" thickBot="1" x14ac:dyDescent="0.3">
      <c r="A5" s="277"/>
      <c r="B5" s="278"/>
      <c r="C5" s="278"/>
      <c r="D5" s="278"/>
      <c r="E5" s="279"/>
    </row>
    <row r="6" spans="1:5" ht="13" thickBot="1" x14ac:dyDescent="0.3">
      <c r="A6" s="280"/>
      <c r="B6" s="280"/>
      <c r="C6" s="280"/>
      <c r="D6" s="280"/>
      <c r="E6" s="280"/>
    </row>
    <row r="7" spans="1:5" ht="14" thickTop="1" thickBot="1" x14ac:dyDescent="0.35">
      <c r="A7" s="96" t="s">
        <v>49</v>
      </c>
      <c r="B7" s="97" t="s">
        <v>50</v>
      </c>
      <c r="C7" s="124"/>
      <c r="D7" s="125"/>
      <c r="E7" s="125" t="s">
        <v>51</v>
      </c>
    </row>
    <row r="8" spans="1:5" ht="13.5" thickTop="1" x14ac:dyDescent="0.3">
      <c r="A8" s="94"/>
      <c r="B8" s="93"/>
      <c r="C8" s="117"/>
      <c r="D8" s="117"/>
      <c r="E8" s="98"/>
    </row>
    <row r="9" spans="1:5" ht="13.5" thickBot="1" x14ac:dyDescent="0.35">
      <c r="A9" s="92"/>
      <c r="B9" s="91"/>
      <c r="C9" s="98"/>
      <c r="D9" s="98"/>
      <c r="E9" s="98"/>
    </row>
    <row r="10" spans="1:5" x14ac:dyDescent="0.25">
      <c r="A10" s="281" t="s">
        <v>52</v>
      </c>
      <c r="B10" s="282"/>
      <c r="C10" s="282"/>
      <c r="D10" s="282"/>
      <c r="E10" s="283"/>
    </row>
    <row r="11" spans="1:5" ht="13" thickBot="1" x14ac:dyDescent="0.3">
      <c r="A11" s="284"/>
      <c r="B11" s="285"/>
      <c r="C11" s="285"/>
      <c r="D11" s="285"/>
      <c r="E11" s="286"/>
    </row>
    <row r="12" spans="1:5" ht="14.5" x14ac:dyDescent="0.25">
      <c r="A12" s="287" t="s">
        <v>53</v>
      </c>
      <c r="B12" s="288"/>
      <c r="C12" s="288"/>
      <c r="D12" s="288"/>
      <c r="E12" s="289"/>
    </row>
    <row r="13" spans="1:5" ht="14.5" x14ac:dyDescent="0.25">
      <c r="A13" s="99" t="s">
        <v>54</v>
      </c>
      <c r="B13" s="100" t="s">
        <v>55</v>
      </c>
      <c r="C13" s="100" t="s">
        <v>56</v>
      </c>
      <c r="D13" s="100" t="s">
        <v>57</v>
      </c>
      <c r="E13" s="101" t="s">
        <v>58</v>
      </c>
    </row>
    <row r="14" spans="1:5" ht="13" x14ac:dyDescent="0.25">
      <c r="A14" s="102" t="s">
        <v>59</v>
      </c>
      <c r="B14" s="103" t="s">
        <v>60</v>
      </c>
      <c r="C14" s="103">
        <v>3</v>
      </c>
      <c r="D14" s="104">
        <v>42323</v>
      </c>
      <c r="E14" s="105" t="s">
        <v>61</v>
      </c>
    </row>
    <row r="15" spans="1:5" ht="13" x14ac:dyDescent="0.25">
      <c r="A15" s="102" t="s">
        <v>62</v>
      </c>
      <c r="B15" s="103" t="s">
        <v>63</v>
      </c>
      <c r="C15" s="103">
        <v>2</v>
      </c>
      <c r="D15" s="104">
        <v>34304</v>
      </c>
      <c r="E15" s="105" t="s">
        <v>61</v>
      </c>
    </row>
    <row r="16" spans="1:5" ht="13" x14ac:dyDescent="0.25">
      <c r="A16" s="102" t="s">
        <v>64</v>
      </c>
      <c r="B16" s="103" t="s">
        <v>65</v>
      </c>
      <c r="C16" s="103">
        <v>2</v>
      </c>
      <c r="D16" s="104">
        <v>42719</v>
      </c>
      <c r="E16" s="105" t="s">
        <v>61</v>
      </c>
    </row>
    <row r="17" spans="1:5" ht="13" x14ac:dyDescent="0.25">
      <c r="A17" s="102" t="s">
        <v>66</v>
      </c>
      <c r="B17" s="103" t="s">
        <v>67</v>
      </c>
      <c r="C17" s="103">
        <v>5</v>
      </c>
      <c r="D17" s="104">
        <v>42597</v>
      </c>
      <c r="E17" s="105" t="s">
        <v>61</v>
      </c>
    </row>
    <row r="18" spans="1:5" ht="13" x14ac:dyDescent="0.25">
      <c r="A18" s="102" t="s">
        <v>68</v>
      </c>
      <c r="B18" s="103" t="s">
        <v>69</v>
      </c>
      <c r="C18" s="103">
        <v>5</v>
      </c>
      <c r="D18" s="104">
        <v>41518</v>
      </c>
      <c r="E18" s="105" t="s">
        <v>61</v>
      </c>
    </row>
    <row r="19" spans="1:5" ht="13" x14ac:dyDescent="0.25">
      <c r="A19" s="102" t="s">
        <v>33</v>
      </c>
      <c r="B19" s="103" t="s">
        <v>70</v>
      </c>
      <c r="C19" s="103">
        <v>2</v>
      </c>
      <c r="D19" s="104">
        <v>44621</v>
      </c>
      <c r="E19" s="105" t="s">
        <v>61</v>
      </c>
    </row>
    <row r="20" spans="1:5" ht="13" x14ac:dyDescent="0.25">
      <c r="A20" s="102" t="s">
        <v>71</v>
      </c>
      <c r="B20" s="103" t="s">
        <v>72</v>
      </c>
      <c r="C20" s="103">
        <v>2</v>
      </c>
      <c r="D20" s="104">
        <v>42552</v>
      </c>
      <c r="E20" s="105" t="s">
        <v>61</v>
      </c>
    </row>
    <row r="21" spans="1:5" ht="15" thickBot="1" x14ac:dyDescent="0.4">
      <c r="A21" s="290"/>
      <c r="B21" s="291"/>
      <c r="C21" s="291"/>
      <c r="D21" s="291"/>
      <c r="E21" s="292"/>
    </row>
    <row r="22" spans="1:5" ht="14.5" x14ac:dyDescent="0.25">
      <c r="A22" s="287" t="s">
        <v>73</v>
      </c>
      <c r="B22" s="288"/>
      <c r="C22" s="288"/>
      <c r="D22" s="288"/>
      <c r="E22" s="289"/>
    </row>
    <row r="23" spans="1:5" ht="14.5" x14ac:dyDescent="0.25">
      <c r="A23" s="99" t="s">
        <v>54</v>
      </c>
      <c r="B23" s="100" t="s">
        <v>55</v>
      </c>
      <c r="C23" s="100" t="s">
        <v>56</v>
      </c>
      <c r="D23" s="100" t="s">
        <v>57</v>
      </c>
      <c r="E23" s="101" t="s">
        <v>58</v>
      </c>
    </row>
    <row r="24" spans="1:5" ht="13" x14ac:dyDescent="0.25">
      <c r="A24" s="106" t="s">
        <v>74</v>
      </c>
      <c r="B24" s="107" t="s">
        <v>75</v>
      </c>
      <c r="C24" s="107">
        <v>3</v>
      </c>
      <c r="D24" s="108">
        <v>42278</v>
      </c>
      <c r="E24" s="105" t="s">
        <v>61</v>
      </c>
    </row>
    <row r="25" spans="1:5" ht="26" x14ac:dyDescent="0.25">
      <c r="A25" s="106" t="s">
        <v>32</v>
      </c>
      <c r="B25" s="107" t="s">
        <v>76</v>
      </c>
      <c r="C25" s="107">
        <v>4</v>
      </c>
      <c r="D25" s="108">
        <v>44105</v>
      </c>
      <c r="E25" s="105" t="s">
        <v>61</v>
      </c>
    </row>
    <row r="26" spans="1:5" ht="13" x14ac:dyDescent="0.25">
      <c r="A26" s="106" t="s">
        <v>77</v>
      </c>
      <c r="B26" s="107" t="s">
        <v>78</v>
      </c>
      <c r="C26" s="107">
        <v>4</v>
      </c>
      <c r="D26" s="108">
        <v>39600</v>
      </c>
      <c r="E26" s="105" t="s">
        <v>61</v>
      </c>
    </row>
    <row r="27" spans="1:5" ht="13" x14ac:dyDescent="0.25">
      <c r="A27" s="106" t="s">
        <v>79</v>
      </c>
      <c r="B27" s="107" t="s">
        <v>80</v>
      </c>
      <c r="C27" s="107">
        <v>1</v>
      </c>
      <c r="D27" s="108">
        <v>39114</v>
      </c>
      <c r="E27" s="105" t="s">
        <v>61</v>
      </c>
    </row>
    <row r="28" spans="1:5" ht="13" x14ac:dyDescent="0.25">
      <c r="A28" s="106" t="s">
        <v>81</v>
      </c>
      <c r="B28" s="107" t="s">
        <v>82</v>
      </c>
      <c r="C28" s="107">
        <v>2</v>
      </c>
      <c r="D28" s="108">
        <v>41456</v>
      </c>
      <c r="E28" s="105" t="s">
        <v>61</v>
      </c>
    </row>
    <row r="29" spans="1:5" ht="39" x14ac:dyDescent="0.25">
      <c r="A29" s="106" t="s">
        <v>83</v>
      </c>
      <c r="B29" s="107" t="s">
        <v>84</v>
      </c>
      <c r="C29" s="107">
        <v>2</v>
      </c>
      <c r="D29" s="108">
        <v>42064</v>
      </c>
      <c r="E29" s="105" t="s">
        <v>61</v>
      </c>
    </row>
    <row r="30" spans="1:5" ht="26" x14ac:dyDescent="0.25">
      <c r="A30" s="106" t="s">
        <v>85</v>
      </c>
      <c r="B30" s="107" t="s">
        <v>86</v>
      </c>
      <c r="C30" s="107">
        <v>2</v>
      </c>
      <c r="D30" s="108">
        <v>41456</v>
      </c>
      <c r="E30" s="105" t="s">
        <v>61</v>
      </c>
    </row>
    <row r="31" spans="1:5" ht="13" x14ac:dyDescent="0.25">
      <c r="A31" s="106" t="s">
        <v>31</v>
      </c>
      <c r="B31" s="107" t="s">
        <v>87</v>
      </c>
      <c r="C31" s="107">
        <v>4</v>
      </c>
      <c r="D31" s="108">
        <v>40344</v>
      </c>
      <c r="E31" s="105" t="s">
        <v>61</v>
      </c>
    </row>
    <row r="32" spans="1:5" ht="13" x14ac:dyDescent="0.25">
      <c r="A32" s="106" t="s">
        <v>12</v>
      </c>
      <c r="B32" s="107" t="s">
        <v>88</v>
      </c>
      <c r="C32" s="107">
        <v>4</v>
      </c>
      <c r="D32" s="108">
        <v>39753</v>
      </c>
      <c r="E32" s="105" t="s">
        <v>61</v>
      </c>
    </row>
    <row r="33" spans="1:5" ht="13" x14ac:dyDescent="0.25">
      <c r="A33" s="106" t="s">
        <v>16</v>
      </c>
      <c r="B33" s="107" t="s">
        <v>89</v>
      </c>
      <c r="C33" s="107">
        <v>3</v>
      </c>
      <c r="D33" s="108">
        <v>40344</v>
      </c>
      <c r="E33" s="105" t="s">
        <v>61</v>
      </c>
    </row>
    <row r="34" spans="1:5" ht="26" x14ac:dyDescent="0.25">
      <c r="A34" s="106" t="s">
        <v>90</v>
      </c>
      <c r="B34" s="107" t="s">
        <v>91</v>
      </c>
      <c r="C34" s="107">
        <v>2</v>
      </c>
      <c r="D34" s="108">
        <v>44666</v>
      </c>
      <c r="E34" s="105" t="s">
        <v>61</v>
      </c>
    </row>
    <row r="35" spans="1:5" ht="13" x14ac:dyDescent="0.25">
      <c r="A35" s="106" t="s">
        <v>92</v>
      </c>
      <c r="B35" s="107" t="s">
        <v>93</v>
      </c>
      <c r="C35" s="107">
        <v>1</v>
      </c>
      <c r="D35" s="108">
        <v>40909</v>
      </c>
      <c r="E35" s="105" t="s">
        <v>61</v>
      </c>
    </row>
    <row r="36" spans="1:5" ht="13" x14ac:dyDescent="0.25">
      <c r="A36" s="106" t="s">
        <v>94</v>
      </c>
      <c r="B36" s="107" t="s">
        <v>95</v>
      </c>
      <c r="C36" s="107">
        <v>1</v>
      </c>
      <c r="D36" s="108">
        <v>29526</v>
      </c>
      <c r="E36" s="105" t="s">
        <v>61</v>
      </c>
    </row>
    <row r="37" spans="1:5" ht="13" x14ac:dyDescent="0.25">
      <c r="A37" s="106" t="s">
        <v>96</v>
      </c>
      <c r="B37" s="107" t="s">
        <v>97</v>
      </c>
      <c r="C37" s="107">
        <v>4</v>
      </c>
      <c r="D37" s="108">
        <v>41153</v>
      </c>
      <c r="E37" s="105" t="s">
        <v>61</v>
      </c>
    </row>
    <row r="38" spans="1:5" ht="13" x14ac:dyDescent="0.25">
      <c r="A38" s="106" t="s">
        <v>98</v>
      </c>
      <c r="B38" s="107" t="s">
        <v>99</v>
      </c>
      <c r="C38" s="107">
        <v>1</v>
      </c>
      <c r="D38" s="108">
        <v>17441</v>
      </c>
      <c r="E38" s="105" t="s">
        <v>61</v>
      </c>
    </row>
    <row r="39" spans="1:5" ht="13" x14ac:dyDescent="0.25">
      <c r="A39" s="106" t="s">
        <v>100</v>
      </c>
      <c r="B39" s="107" t="s">
        <v>101</v>
      </c>
      <c r="C39" s="107">
        <v>1</v>
      </c>
      <c r="D39" s="108">
        <v>43647</v>
      </c>
      <c r="E39" s="105" t="s">
        <v>61</v>
      </c>
    </row>
    <row r="40" spans="1:5" ht="39.5" thickBot="1" x14ac:dyDescent="0.3">
      <c r="A40" s="109" t="s">
        <v>102</v>
      </c>
      <c r="B40" s="110" t="s">
        <v>103</v>
      </c>
      <c r="C40" s="110">
        <v>3</v>
      </c>
      <c r="D40" s="111">
        <v>42614</v>
      </c>
      <c r="E40" s="112" t="s">
        <v>61</v>
      </c>
    </row>
    <row r="41" spans="1:5" ht="13" thickBot="1" x14ac:dyDescent="0.3">
      <c r="A41" s="293" t="s">
        <v>104</v>
      </c>
      <c r="B41" s="294"/>
      <c r="C41" s="294"/>
      <c r="D41" s="294"/>
      <c r="E41" s="295"/>
    </row>
    <row r="42" spans="1:5" ht="13" x14ac:dyDescent="0.3">
      <c r="A42" s="113" t="s">
        <v>18</v>
      </c>
      <c r="B42" s="296"/>
      <c r="C42" s="296"/>
      <c r="D42" s="296"/>
      <c r="E42" s="297"/>
    </row>
    <row r="43" spans="1:5" ht="13" x14ac:dyDescent="0.3">
      <c r="A43" s="114" t="s">
        <v>19</v>
      </c>
      <c r="B43" s="269"/>
      <c r="C43" s="269"/>
      <c r="D43" s="269"/>
      <c r="E43" s="270"/>
    </row>
    <row r="44" spans="1:5" ht="13" x14ac:dyDescent="0.3">
      <c r="A44" s="114" t="s">
        <v>20</v>
      </c>
      <c r="B44" s="269"/>
      <c r="C44" s="269"/>
      <c r="D44" s="269"/>
      <c r="E44" s="270"/>
    </row>
    <row r="45" spans="1:5" ht="13" x14ac:dyDescent="0.3">
      <c r="A45" s="114" t="s">
        <v>21</v>
      </c>
      <c r="B45" s="269"/>
      <c r="C45" s="269"/>
      <c r="D45" s="269"/>
      <c r="E45" s="270"/>
    </row>
    <row r="46" spans="1:5" ht="13" x14ac:dyDescent="0.3">
      <c r="A46" s="114" t="s">
        <v>22</v>
      </c>
      <c r="B46" s="269"/>
      <c r="C46" s="269"/>
      <c r="D46" s="269"/>
      <c r="E46" s="270"/>
    </row>
    <row r="47" spans="1:5" ht="24" x14ac:dyDescent="0.3">
      <c r="A47" s="115" t="s">
        <v>23</v>
      </c>
      <c r="B47" s="269"/>
      <c r="C47" s="269"/>
      <c r="D47" s="269"/>
      <c r="E47" s="270"/>
    </row>
    <row r="48" spans="1:5" ht="13" x14ac:dyDescent="0.3">
      <c r="A48" s="114" t="s">
        <v>24</v>
      </c>
      <c r="B48" s="269"/>
      <c r="C48" s="269"/>
      <c r="D48" s="269"/>
      <c r="E48" s="270"/>
    </row>
    <row r="49" spans="1:5" ht="13" x14ac:dyDescent="0.3">
      <c r="A49" s="114" t="s">
        <v>25</v>
      </c>
      <c r="B49" s="269"/>
      <c r="C49" s="269"/>
      <c r="D49" s="269"/>
      <c r="E49" s="270"/>
    </row>
    <row r="50" spans="1:5" ht="13.5" thickBot="1" x14ac:dyDescent="0.35">
      <c r="A50" s="116" t="s">
        <v>26</v>
      </c>
      <c r="B50" s="300"/>
      <c r="C50" s="300"/>
      <c r="D50" s="300"/>
      <c r="E50" s="301"/>
    </row>
    <row r="51" spans="1:5" ht="13" thickTop="1" x14ac:dyDescent="0.25">
      <c r="A51" s="298"/>
      <c r="B51" s="298"/>
      <c r="C51" s="298"/>
      <c r="D51" s="298"/>
      <c r="E51" s="298"/>
    </row>
    <row r="52" spans="1:5" ht="13" x14ac:dyDescent="0.25">
      <c r="A52" s="299" t="s">
        <v>105</v>
      </c>
      <c r="B52" s="299"/>
      <c r="C52" s="299"/>
      <c r="D52" s="299"/>
      <c r="E52" s="299"/>
    </row>
    <row r="53" spans="1:5" x14ac:dyDescent="0.25">
      <c r="A53" s="299" t="s">
        <v>110</v>
      </c>
      <c r="B53" s="299"/>
      <c r="C53" s="299"/>
      <c r="D53" s="299"/>
      <c r="E53" s="299"/>
    </row>
    <row r="54" spans="1:5" x14ac:dyDescent="0.25">
      <c r="A54" s="299"/>
      <c r="B54" s="299"/>
      <c r="C54" s="299"/>
      <c r="D54" s="299"/>
      <c r="E54" s="299"/>
    </row>
  </sheetData>
  <mergeCells count="19">
    <mergeCell ref="A51:E51"/>
    <mergeCell ref="A52:E52"/>
    <mergeCell ref="A53:E54"/>
    <mergeCell ref="B45:E45"/>
    <mergeCell ref="B46:E46"/>
    <mergeCell ref="B47:E47"/>
    <mergeCell ref="B48:E48"/>
    <mergeCell ref="B49:E49"/>
    <mergeCell ref="B50:E50"/>
    <mergeCell ref="B44:E44"/>
    <mergeCell ref="A1:E5"/>
    <mergeCell ref="A6:E6"/>
    <mergeCell ref="A10:E11"/>
    <mergeCell ref="A12:E12"/>
    <mergeCell ref="A21:E21"/>
    <mergeCell ref="A22:E22"/>
    <mergeCell ref="A41:E41"/>
    <mergeCell ref="B42:E42"/>
    <mergeCell ref="B43:E43"/>
  </mergeCells>
  <pageMargins left="0.23622047244094491" right="0.23622047244094491" top="0.15748031496062992" bottom="0.19685039370078741" header="0.11811023622047245" footer="0.11811023622047245"/>
  <pageSetup paperSize="9" scale="95"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Azuresky</vt:lpstr>
      <vt:lpstr>Addendum</vt:lpstr>
      <vt:lpstr>Addendum!Print_Area</vt:lpstr>
      <vt:lpstr>Azuresky!Print_Area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Sifiso Nyambi</cp:lastModifiedBy>
  <cp:lastPrinted>2026-02-10T10:52:08Z</cp:lastPrinted>
  <dcterms:created xsi:type="dcterms:W3CDTF">2003-02-19T06:41:01Z</dcterms:created>
  <dcterms:modified xsi:type="dcterms:W3CDTF">2026-02-10T10:53:36Z</dcterms:modified>
</cp:coreProperties>
</file>