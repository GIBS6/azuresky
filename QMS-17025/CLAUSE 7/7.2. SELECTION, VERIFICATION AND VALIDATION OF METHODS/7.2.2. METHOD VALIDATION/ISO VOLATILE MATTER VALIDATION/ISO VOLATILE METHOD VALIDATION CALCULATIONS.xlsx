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fis\OneDrive\Desktop\QUALITY AZURESKY\METHOD VALIDATIONS\FINAL METHOD VALIDATION\"/>
    </mc:Choice>
  </mc:AlternateContent>
  <xr:revisionPtr revIDLastSave="0" documentId="13_ncr:1_{512FD171-6237-47FF-8F76-27E01E4588B7}" xr6:coauthVersionLast="47" xr6:coauthVersionMax="47" xr10:uidLastSave="{00000000-0000-0000-0000-000000000000}"/>
  <bookViews>
    <workbookView xWindow="11424" yWindow="0" windowWidth="11712" windowHeight="12336" firstSheet="3" activeTab="3" xr2:uid="{0498D1CA-0906-4F4B-9383-78101FAC7149}"/>
  </bookViews>
  <sheets>
    <sheet name="RAW DATA" sheetId="1" r:id="rId1"/>
    <sheet name="DATA SUMMARY" sheetId="2" r:id="rId2"/>
    <sheet name="LINEARITY" sheetId="3" r:id="rId3"/>
    <sheet name="PRECISION &amp; ACCURACY" sheetId="4" r:id="rId4"/>
    <sheet name="RUGGEDNESS AND ROBUSTNESS" sheetId="5" r:id="rId5"/>
    <sheet name="ROBUSTNESS RE-EVALUATION" sheetId="7" r:id="rId6"/>
    <sheet name="UoM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B11" i="5"/>
  <c r="B10" i="5"/>
  <c r="B12" i="5"/>
  <c r="L36" i="7" l="1"/>
  <c r="L34" i="7"/>
  <c r="L35" i="7"/>
  <c r="B36" i="7"/>
  <c r="B35" i="7"/>
  <c r="B34" i="7"/>
  <c r="G6" i="7"/>
  <c r="G7" i="7"/>
  <c r="G8" i="7"/>
  <c r="G9" i="7"/>
  <c r="G5" i="7"/>
  <c r="F6" i="7"/>
  <c r="F7" i="7"/>
  <c r="F8" i="7"/>
  <c r="F9" i="7"/>
  <c r="F5" i="7"/>
  <c r="C5" i="7" l="1" a="1"/>
  <c r="C5" i="7" s="1"/>
  <c r="D18" i="4"/>
  <c r="D19" i="4" s="1"/>
  <c r="B18" i="4"/>
  <c r="B19" i="4" s="1"/>
  <c r="D16" i="4"/>
  <c r="C17" i="4" s="1"/>
  <c r="B16" i="4"/>
  <c r="C26" i="4"/>
  <c r="K7" i="4"/>
  <c r="K5" i="4"/>
  <c r="K4" i="4"/>
  <c r="B22" i="6"/>
  <c r="B21" i="6"/>
  <c r="B18" i="6"/>
  <c r="B17" i="6"/>
  <c r="B16" i="6"/>
  <c r="B15" i="6" l="1"/>
  <c r="B14" i="6"/>
  <c r="D13" i="2" l="1"/>
  <c r="C13" i="2"/>
  <c r="B13" i="2"/>
  <c r="L41" i="5"/>
  <c r="L40" i="5"/>
  <c r="L39" i="5"/>
  <c r="E35" i="5" l="1"/>
  <c r="E34" i="5"/>
  <c r="B35" i="5"/>
  <c r="B25" i="4" s="1"/>
  <c r="B26" i="4" s="1"/>
  <c r="B34" i="5"/>
  <c r="B24" i="4" s="1"/>
  <c r="D32" i="5"/>
  <c r="G32" i="5" s="1"/>
  <c r="D31" i="5"/>
  <c r="G31" i="5" s="1"/>
  <c r="D30" i="5"/>
  <c r="G30" i="5" s="1"/>
  <c r="D29" i="5"/>
  <c r="G29" i="5" s="1"/>
  <c r="D28" i="5"/>
  <c r="G28" i="5" s="1"/>
  <c r="D27" i="5"/>
  <c r="G27" i="5" s="1"/>
  <c r="D26" i="5"/>
  <c r="G26" i="5" s="1"/>
  <c r="D25" i="5"/>
  <c r="G25" i="5" s="1"/>
  <c r="D24" i="5"/>
  <c r="G24" i="5" s="1"/>
  <c r="D23" i="5"/>
  <c r="D4" i="2"/>
  <c r="D5" i="2"/>
  <c r="D6" i="2"/>
  <c r="D7" i="2"/>
  <c r="D8" i="2"/>
  <c r="D9" i="2"/>
  <c r="D10" i="2"/>
  <c r="D11" i="2"/>
  <c r="D12" i="2"/>
  <c r="D3" i="2"/>
  <c r="D5" i="1"/>
  <c r="D6" i="1"/>
  <c r="D7" i="1"/>
  <c r="D8" i="1"/>
  <c r="D9" i="1"/>
  <c r="D10" i="1"/>
  <c r="D11" i="1"/>
  <c r="D12" i="1"/>
  <c r="D13" i="1"/>
  <c r="D4" i="1"/>
  <c r="H5" i="1"/>
  <c r="H6" i="1"/>
  <c r="H7" i="1"/>
  <c r="H8" i="1"/>
  <c r="H9" i="1"/>
  <c r="H10" i="1"/>
  <c r="H11" i="1"/>
  <c r="H12" i="1"/>
  <c r="H13" i="1"/>
  <c r="H4" i="1"/>
  <c r="D35" i="5" l="1"/>
  <c r="G23" i="5"/>
  <c r="D3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<sst xmlns="http://schemas.openxmlformats.org/spreadsheetml/2006/main" count="196" uniqueCount="102">
  <si>
    <t>7 Min</t>
  </si>
  <si>
    <t>4 Min</t>
  </si>
  <si>
    <t>LIMS no</t>
  </si>
  <si>
    <t>Average (4 min)</t>
  </si>
  <si>
    <t>Average (7 min)</t>
  </si>
  <si>
    <t>Index</t>
  </si>
  <si>
    <t>Diff(7-4)</t>
  </si>
  <si>
    <r>
      <t xml:space="preserve">Since we're comparing two </t>
    </r>
    <r>
      <rPr>
        <i/>
        <sz val="11"/>
        <color theme="1"/>
        <rFont val="Aptos Narrow"/>
        <family val="2"/>
        <scheme val="minor"/>
      </rPr>
      <t>conditions</t>
    </r>
    <r>
      <rPr>
        <sz val="11"/>
        <color theme="1"/>
        <rFont val="Aptos Narrow"/>
        <family val="2"/>
        <scheme val="minor"/>
      </rPr>
      <t xml:space="preserve"> (4 min vs 7 min) with the </t>
    </r>
    <r>
      <rPr>
        <b/>
        <sz val="11"/>
        <color theme="1"/>
        <rFont val="Aptos Narrow"/>
        <family val="2"/>
        <scheme val="minor"/>
      </rPr>
      <t>same sample set</t>
    </r>
    <r>
      <rPr>
        <sz val="11"/>
        <color theme="1"/>
        <rFont val="Aptos Narrow"/>
        <family val="2"/>
        <scheme val="minor"/>
      </rPr>
      <t xml:space="preserve">, linearity isn't directly applicable </t>
    </r>
    <r>
      <rPr>
        <b/>
        <sz val="11"/>
        <color theme="1"/>
        <rFont val="Aptos Narrow"/>
        <family val="2"/>
        <scheme val="minor"/>
      </rPr>
      <t>unless</t>
    </r>
    <r>
      <rPr>
        <sz val="11"/>
        <color theme="1"/>
        <rFont val="Aptos Narrow"/>
        <family val="2"/>
        <scheme val="minor"/>
      </rPr>
      <t xml:space="preserve"> these are collected over a concentration or time gradient. In this case, you are more validating method </t>
    </r>
    <r>
      <rPr>
        <b/>
        <sz val="11"/>
        <color theme="1"/>
        <rFont val="Aptos Narrow"/>
        <family val="2"/>
        <scheme val="minor"/>
      </rPr>
      <t>robustness/ruggedness</t>
    </r>
    <r>
      <rPr>
        <sz val="11"/>
        <color theme="1"/>
        <rFont val="Aptos Narrow"/>
        <family val="2"/>
        <scheme val="minor"/>
      </rPr>
      <t>.</t>
    </r>
  </si>
  <si>
    <t>Mean</t>
  </si>
  <si>
    <t>SD</t>
  </si>
  <si>
    <t>%RSD</t>
  </si>
  <si>
    <r>
      <rPr>
        <b/>
        <sz val="11"/>
        <color theme="1"/>
        <rFont val="Aptos Narrow"/>
        <family val="2"/>
        <scheme val="minor"/>
      </rPr>
      <t>Robustness</t>
    </r>
    <r>
      <rPr>
        <sz val="11"/>
        <color theme="1"/>
        <rFont val="Aptos Narrow"/>
        <family val="2"/>
        <scheme val="minor"/>
      </rPr>
      <t>: Here we assess method sensitivity to small changes (e.g., duration of 4 min vs 7 min)</t>
    </r>
  </si>
  <si>
    <r>
      <rPr>
        <b/>
        <sz val="11"/>
        <color theme="1"/>
        <rFont val="Aptos Narrow"/>
        <family val="2"/>
        <scheme val="minor"/>
      </rPr>
      <t>Ruggedness</t>
    </r>
    <r>
      <rPr>
        <sz val="11"/>
        <color theme="1"/>
        <rFont val="Aptos Narrow"/>
        <family val="2"/>
        <scheme val="minor"/>
      </rPr>
      <t>: Assess variations across labs, analysts, equipment etc.</t>
    </r>
  </si>
  <si>
    <t>Robustness:</t>
  </si>
  <si>
    <t>Looking at the data summary, there is a consistent shift in the results; with 7 min values being higher on all occasions. The consistent shift in means indicate sensitivity to this parameter.</t>
  </si>
  <si>
    <t>10 Random points from PT results (different labs) for the month of may</t>
  </si>
  <si>
    <t>LAB ID</t>
  </si>
  <si>
    <t>Ruggedness</t>
  </si>
  <si>
    <t>ISO 562 Volatile Matter Determination</t>
  </si>
  <si>
    <t>Differences</t>
  </si>
  <si>
    <t>Standard deviation</t>
  </si>
  <si>
    <t>Azuresky Average (7 min)</t>
  </si>
  <si>
    <t>t-Test: Paired Two Sample for Means</t>
  </si>
  <si>
    <t>Variable 1</t>
  </si>
  <si>
    <t>Variable 2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</si>
  <si>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</si>
  <si>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</si>
  <si>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</si>
  <si>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</si>
  <si>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</si>
  <si>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</si>
  <si>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</si>
  <si>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</si>
  <si>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</si>
  <si>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</si>
  <si>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Evaluation</t>
  </si>
  <si>
    <t>Ho:</t>
  </si>
  <si>
    <t>There is no significant difference b/w the means of azuresky and PT participants</t>
  </si>
  <si>
    <t>Ha:</t>
  </si>
  <si>
    <t>There is a significant difference b/w the means of azuresky and PT participants</t>
  </si>
  <si>
    <t>tcalculated:</t>
  </si>
  <si>
    <t>p-value (2 tail) :</t>
  </si>
  <si>
    <t>tcritical</t>
  </si>
  <si>
    <t>Since the p-value is greater than 0.05, and the tcalculated is less than tcritical. Accept the null hypothesis.</t>
  </si>
  <si>
    <t>Conclusion: There is no statistically significant difference b/w azuresky results and PT participants at CL of 95%. Although there is a numerical difference b/w the two means, it is not large enough to be considered statistically significant given the sample size and variability.</t>
  </si>
  <si>
    <t>tcalculated</t>
  </si>
  <si>
    <t>p-value</t>
  </si>
  <si>
    <t>There is a significant difference b/w the results. Thus, the 4 min vs 7 min avergaes are not interchangeable. Duration will affect the final volatile reading significantly.</t>
  </si>
  <si>
    <t>Repeatability</t>
  </si>
  <si>
    <t>Reproducibility</t>
  </si>
  <si>
    <t xml:space="preserve">%RSD </t>
  </si>
  <si>
    <t xml:space="preserve">Reproducibility </t>
  </si>
  <si>
    <t>7 minutes</t>
  </si>
  <si>
    <t>Sswithin</t>
  </si>
  <si>
    <t>Ssbetween</t>
  </si>
  <si>
    <t>Check value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</si>
  <si>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</si>
  <si>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</si>
  <si>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</si>
  <si>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</si>
  <si>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</si>
  <si>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</si>
  <si>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</si>
  <si>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</si>
  <si>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</si>
  <si>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</si>
  <si>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</si>
  <si>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</si>
  <si>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</si>
  <si>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</si>
  <si>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</si>
  <si>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</si>
  <si>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Since check value&gt; ssbetween, homogeneity test passes.</t>
  </si>
  <si>
    <t>Standard Uncertainty</t>
  </si>
  <si>
    <t>Expanded uncertainty (k=2)</t>
  </si>
  <si>
    <t>Analyst 1</t>
  </si>
  <si>
    <t>Analyst 2</t>
  </si>
  <si>
    <t>Same  normal conditions</t>
  </si>
  <si>
    <t>Avergae</t>
  </si>
  <si>
    <t>Diff</t>
  </si>
  <si>
    <t>Assigned value</t>
  </si>
  <si>
    <t>Obtained Average</t>
  </si>
  <si>
    <t>Difference</t>
  </si>
  <si>
    <t>Air-dry basis</t>
  </si>
  <si>
    <t>Acceptance</t>
  </si>
  <si>
    <r>
      <rPr>
        <b/>
        <sz val="11"/>
        <color theme="1"/>
        <rFont val="Aptos Narrow"/>
        <family val="2"/>
      </rPr>
      <t>≤</t>
    </r>
    <r>
      <rPr>
        <b/>
        <sz val="11"/>
        <color theme="1"/>
        <rFont val="Aptos Narrow"/>
        <family val="2"/>
        <scheme val="minor"/>
      </rPr>
      <t>0.5%</t>
    </r>
  </si>
  <si>
    <t>Recovery</t>
  </si>
  <si>
    <t>6 MIN</t>
  </si>
  <si>
    <t>7 MIN</t>
  </si>
  <si>
    <t>8 MIN</t>
  </si>
  <si>
    <t>LIMS NO</t>
  </si>
  <si>
    <t>diff(7-6)</t>
  </si>
  <si>
    <t>diff(8-7)</t>
  </si>
  <si>
    <t>Conclusion: There is no significant difference b/w the 7 min and 8 min.  This implies that for volatile analysis, samples left in the furnace for 7-8 min would produce results that are close to each other.</t>
  </si>
  <si>
    <t>There is no significant difference b/w the means of 7 and 8 min results</t>
  </si>
  <si>
    <t>There is a significant difference b/w the means of 7 and 8 min results</t>
  </si>
  <si>
    <t>There is no significant difference b/w the means of 6 and 7 min results</t>
  </si>
  <si>
    <t>There is a significant difference b/w the means of 6 and 7 min results</t>
  </si>
  <si>
    <t>Conclusion: There is no significant difference b/w the 7 min and 6 min.  This implies that for volatile analysis, samples left in the furnace for 7-6min would produce results that are close to each other.</t>
  </si>
  <si>
    <t>Reproducibility limit is 0.5% or 4% of the mean result, whichever is greater. Thus, the method passes the accuracy test</t>
  </si>
  <si>
    <t>ACCURACY</t>
  </si>
  <si>
    <t>The RSD values obtained are attributed to very high precision and low variability in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</si>
</sst>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  <font>
      <b/>
      <sz val="26"/>
      <color rgb="FFEE0000"/>
      <name val="Aptos Narrow"/>
      <family val="2"/>
      <scheme val="minor"/>
    </font>
    <font>
      <sz val="16"/>
      <color rgb="FFEE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4" xfId="0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7" xfId="0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10" xfId="0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/>
    <xf numFmtId="2" fontId="0" fillId="0" borderId="14" xfId="0" applyNumberFormat="1" applyBorder="1"/>
    <xf numFmtId="2" fontId="0" fillId="0" borderId="15" xfId="0" applyNumberFormat="1" applyBorder="1"/>
    <xf numFmtId="0" fontId="0" fillId="0" borderId="16" xfId="0" applyBorder="1"/>
    <xf numFmtId="2" fontId="0" fillId="0" borderId="17" xfId="0" applyNumberFormat="1" applyBorder="1"/>
    <xf numFmtId="2" fontId="0" fillId="0" borderId="18" xfId="0" applyNumberFormat="1" applyBorder="1"/>
    <xf numFmtId="0" fontId="0" fillId="0" borderId="19" xfId="0" applyBorder="1"/>
    <xf numFmtId="0" fontId="0" fillId="0" borderId="21" xfId="0" applyBorder="1"/>
    <xf numFmtId="0" fontId="1" fillId="0" borderId="0" xfId="0" applyFont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8" xfId="0" applyBorder="1"/>
    <xf numFmtId="0" fontId="2" fillId="0" borderId="29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31" xfId="0" applyBorder="1"/>
    <xf numFmtId="0" fontId="0" fillId="0" borderId="30" xfId="0" applyBorder="1"/>
    <xf numFmtId="0" fontId="0" fillId="0" borderId="0" xfId="0" applyAlignment="1">
      <alignment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3" fillId="0" borderId="0" xfId="0" applyFont="1"/>
    <xf numFmtId="0" fontId="0" fillId="0" borderId="20" xfId="0" applyBorder="1"/>
    <xf numFmtId="2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0" fillId="0" borderId="22" xfId="0" applyBorder="1"/>
    <xf numFmtId="0" fontId="1" fillId="0" borderId="23" xfId="0" applyFont="1" applyBorder="1"/>
    <xf numFmtId="0" fontId="0" fillId="0" borderId="14" xfId="0" applyBorder="1"/>
    <xf numFmtId="0" fontId="0" fillId="0" borderId="15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2" fontId="0" fillId="0" borderId="39" xfId="0" applyNumberFormat="1" applyBorder="1"/>
    <xf numFmtId="0" fontId="0" fillId="0" borderId="40" xfId="0" applyBorder="1"/>
    <xf numFmtId="0" fontId="1" fillId="0" borderId="41" xfId="0" applyFont="1" applyBorder="1"/>
    <xf numFmtId="0" fontId="1" fillId="0" borderId="42" xfId="0" applyFont="1" applyBorder="1"/>
    <xf numFmtId="0" fontId="1" fillId="0" borderId="44" xfId="0" applyFont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1" fillId="0" borderId="43" xfId="0" applyFont="1" applyBorder="1"/>
    <xf numFmtId="0" fontId="1" fillId="0" borderId="16" xfId="0" applyFont="1" applyBorder="1"/>
    <xf numFmtId="0" fontId="1" fillId="0" borderId="7" xfId="0" applyFont="1" applyBorder="1"/>
    <xf numFmtId="0" fontId="1" fillId="0" borderId="10" xfId="0" applyFont="1" applyBorder="1"/>
    <xf numFmtId="0" fontId="0" fillId="0" borderId="0" xfId="0" applyAlignment="1">
      <alignment vertical="top"/>
    </xf>
    <xf numFmtId="0" fontId="0" fillId="0" borderId="31" xfId="0" applyBorder="1" applyAlignment="1">
      <alignment vertical="top"/>
    </xf>
    <xf numFmtId="0" fontId="2" fillId="0" borderId="48" xfId="0" applyFont="1" applyBorder="1" applyAlignment="1">
      <alignment horizontal="center"/>
    </xf>
    <xf numFmtId="0" fontId="0" fillId="0" borderId="49" xfId="0" applyBorder="1"/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3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0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5474-DF1C-4F56-9282-A7F9A686BDEF}">
  <dimension ref="A2:H14"/>
  <sheetViews>
    <sheetView workbookViewId="0">
      <selection activeCell="A3" sqref="A3:H13"/>
    </sheetView>
  </sheetViews>
  <sheetFormatPr defaultRowHeight="14.4" x14ac:dyDescent="0.3"/>
  <cols>
    <col min="1" max="1" width="7.109375" bestFit="1" customWidth="1"/>
    <col min="2" max="3" width="6" bestFit="1" customWidth="1"/>
    <col min="4" max="4" width="13.33203125" bestFit="1" customWidth="1"/>
    <col min="5" max="5" width="7.109375" bestFit="1" customWidth="1"/>
    <col min="6" max="7" width="6" bestFit="1" customWidth="1"/>
    <col min="8" max="8" width="13.33203125" bestFit="1" customWidth="1"/>
  </cols>
  <sheetData>
    <row r="2" spans="1:8" ht="15" thickBot="1" x14ac:dyDescent="0.35"/>
    <row r="3" spans="1:8" ht="15.6" thickTop="1" thickBot="1" x14ac:dyDescent="0.35">
      <c r="A3" s="20" t="s">
        <v>2</v>
      </c>
      <c r="B3" s="73" t="s">
        <v>0</v>
      </c>
      <c r="C3" s="73"/>
      <c r="D3" s="21" t="s">
        <v>4</v>
      </c>
      <c r="E3" s="20" t="s">
        <v>2</v>
      </c>
      <c r="F3" s="73" t="s">
        <v>1</v>
      </c>
      <c r="G3" s="73"/>
      <c r="H3" s="21" t="s">
        <v>3</v>
      </c>
    </row>
    <row r="4" spans="1:8" x14ac:dyDescent="0.3">
      <c r="A4" s="14">
        <v>1208</v>
      </c>
      <c r="B4" s="15">
        <v>28.67</v>
      </c>
      <c r="C4" s="15">
        <v>28.63</v>
      </c>
      <c r="D4" s="16">
        <f>AVERAGE(B4:C4)</f>
        <v>28.65</v>
      </c>
      <c r="E4" s="17">
        <v>1258</v>
      </c>
      <c r="F4" s="18">
        <v>28.03</v>
      </c>
      <c r="G4" s="18">
        <v>28.26</v>
      </c>
      <c r="H4" s="19">
        <f>AVERAGE(F4:G4)</f>
        <v>28.145000000000003</v>
      </c>
    </row>
    <row r="5" spans="1:8" x14ac:dyDescent="0.3">
      <c r="A5" s="2">
        <v>1209</v>
      </c>
      <c r="B5" s="3">
        <v>28.38</v>
      </c>
      <c r="C5" s="3">
        <v>28.48</v>
      </c>
      <c r="D5" s="4">
        <f t="shared" ref="D5:D13" si="0">AVERAGE(B5:C5)</f>
        <v>28.43</v>
      </c>
      <c r="E5" s="8">
        <v>1259</v>
      </c>
      <c r="F5" s="9">
        <v>28.13</v>
      </c>
      <c r="G5" s="9">
        <v>28.18</v>
      </c>
      <c r="H5" s="10">
        <f t="shared" ref="H5:H13" si="1">AVERAGE(F5:G5)</f>
        <v>28.155000000000001</v>
      </c>
    </row>
    <row r="6" spans="1:8" x14ac:dyDescent="0.3">
      <c r="A6" s="2">
        <v>1210</v>
      </c>
      <c r="B6" s="3">
        <v>28.3</v>
      </c>
      <c r="C6" s="3">
        <v>28.39</v>
      </c>
      <c r="D6" s="4">
        <f t="shared" si="0"/>
        <v>28.344999999999999</v>
      </c>
      <c r="E6" s="8">
        <v>1260</v>
      </c>
      <c r="F6" s="9">
        <v>28.01</v>
      </c>
      <c r="G6" s="9">
        <v>28.03</v>
      </c>
      <c r="H6" s="10">
        <f t="shared" si="1"/>
        <v>28.020000000000003</v>
      </c>
    </row>
    <row r="7" spans="1:8" x14ac:dyDescent="0.3">
      <c r="A7" s="2">
        <v>1211</v>
      </c>
      <c r="B7" s="3">
        <v>28.35</v>
      </c>
      <c r="C7" s="3">
        <v>28.5</v>
      </c>
      <c r="D7" s="4">
        <f t="shared" si="0"/>
        <v>28.425000000000001</v>
      </c>
      <c r="E7" s="8">
        <v>1261</v>
      </c>
      <c r="F7" s="9">
        <v>27.97</v>
      </c>
      <c r="G7" s="9">
        <v>28.04</v>
      </c>
      <c r="H7" s="10">
        <f t="shared" si="1"/>
        <v>28.004999999999999</v>
      </c>
    </row>
    <row r="8" spans="1:8" x14ac:dyDescent="0.3">
      <c r="A8" s="2">
        <v>1212</v>
      </c>
      <c r="B8" s="3">
        <v>28.64</v>
      </c>
      <c r="C8" s="3">
        <v>28.72</v>
      </c>
      <c r="D8" s="4">
        <f t="shared" si="0"/>
        <v>28.68</v>
      </c>
      <c r="E8" s="8">
        <v>1262</v>
      </c>
      <c r="F8" s="9">
        <v>28.01</v>
      </c>
      <c r="G8" s="9">
        <v>28.07</v>
      </c>
      <c r="H8" s="10">
        <f t="shared" si="1"/>
        <v>28.04</v>
      </c>
    </row>
    <row r="9" spans="1:8" x14ac:dyDescent="0.3">
      <c r="A9" s="2">
        <v>1213</v>
      </c>
      <c r="B9" s="3">
        <v>28.34</v>
      </c>
      <c r="C9" s="3">
        <v>28.39</v>
      </c>
      <c r="D9" s="4">
        <f t="shared" si="0"/>
        <v>28.365000000000002</v>
      </c>
      <c r="E9" s="8">
        <v>1263</v>
      </c>
      <c r="F9" s="9">
        <v>27.96</v>
      </c>
      <c r="G9" s="9">
        <v>27.96</v>
      </c>
      <c r="H9" s="10">
        <f t="shared" si="1"/>
        <v>27.96</v>
      </c>
    </row>
    <row r="10" spans="1:8" x14ac:dyDescent="0.3">
      <c r="A10" s="2">
        <v>1214</v>
      </c>
      <c r="B10" s="3">
        <v>28.26</v>
      </c>
      <c r="C10" s="3">
        <v>28.23</v>
      </c>
      <c r="D10" s="4">
        <f t="shared" si="0"/>
        <v>28.245000000000001</v>
      </c>
      <c r="E10" s="8">
        <v>1264</v>
      </c>
      <c r="F10" s="9">
        <v>27.98</v>
      </c>
      <c r="G10" s="9">
        <v>28</v>
      </c>
      <c r="H10" s="10">
        <f t="shared" si="1"/>
        <v>27.990000000000002</v>
      </c>
    </row>
    <row r="11" spans="1:8" x14ac:dyDescent="0.3">
      <c r="A11" s="2">
        <v>1215</v>
      </c>
      <c r="B11" s="3">
        <v>28.27</v>
      </c>
      <c r="C11" s="3">
        <v>28.28</v>
      </c>
      <c r="D11" s="4">
        <f t="shared" si="0"/>
        <v>28.274999999999999</v>
      </c>
      <c r="E11" s="8">
        <v>1265</v>
      </c>
      <c r="F11" s="9">
        <v>27.8</v>
      </c>
      <c r="G11" s="9">
        <v>27.88</v>
      </c>
      <c r="H11" s="10">
        <f t="shared" si="1"/>
        <v>27.84</v>
      </c>
    </row>
    <row r="12" spans="1:8" x14ac:dyDescent="0.3">
      <c r="A12" s="2">
        <v>1216</v>
      </c>
      <c r="B12" s="3">
        <v>28.24</v>
      </c>
      <c r="C12" s="3">
        <v>28.38</v>
      </c>
      <c r="D12" s="4">
        <f t="shared" si="0"/>
        <v>28.31</v>
      </c>
      <c r="E12" s="8">
        <v>1266</v>
      </c>
      <c r="F12" s="9">
        <v>27.85</v>
      </c>
      <c r="G12" s="9">
        <v>28.06</v>
      </c>
      <c r="H12" s="10">
        <f t="shared" si="1"/>
        <v>27.954999999999998</v>
      </c>
    </row>
    <row r="13" spans="1:8" ht="15" thickBot="1" x14ac:dyDescent="0.35">
      <c r="A13" s="5">
        <v>1217</v>
      </c>
      <c r="B13" s="6">
        <v>28.36</v>
      </c>
      <c r="C13" s="6">
        <v>28.57</v>
      </c>
      <c r="D13" s="7">
        <f t="shared" si="0"/>
        <v>28.465</v>
      </c>
      <c r="E13" s="11">
        <v>1267</v>
      </c>
      <c r="F13" s="12">
        <v>28.13</v>
      </c>
      <c r="G13" s="12">
        <v>28.14</v>
      </c>
      <c r="H13" s="13">
        <f t="shared" si="1"/>
        <v>28.134999999999998</v>
      </c>
    </row>
    <row r="14" spans="1:8" ht="15" thickTop="1" x14ac:dyDescent="0.3"/>
  </sheetData>
  <mergeCells count="2">
    <mergeCell ref="F3:G3"/>
    <mergeCell ref="B3:C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0B33-9700-4519-91B2-7C2718E7D1B4}">
  <dimension ref="A2:D14"/>
  <sheetViews>
    <sheetView workbookViewId="0">
      <selection activeCell="D13" sqref="D13"/>
    </sheetView>
  </sheetViews>
  <sheetFormatPr defaultRowHeight="14.4" x14ac:dyDescent="0.3"/>
  <cols>
    <col min="3" max="3" width="12.109375" customWidth="1"/>
  </cols>
  <sheetData>
    <row r="2" spans="1:4" x14ac:dyDescent="0.3">
      <c r="A2" t="s">
        <v>5</v>
      </c>
      <c r="B2" t="s">
        <v>3</v>
      </c>
      <c r="C2" t="s">
        <v>4</v>
      </c>
      <c r="D2" t="s">
        <v>6</v>
      </c>
    </row>
    <row r="3" spans="1:4" x14ac:dyDescent="0.3">
      <c r="A3">
        <v>1</v>
      </c>
      <c r="B3">
        <v>28.145000000000003</v>
      </c>
      <c r="C3">
        <v>28.65</v>
      </c>
      <c r="D3">
        <f>C3-B3</f>
        <v>0.50499999999999545</v>
      </c>
    </row>
    <row r="4" spans="1:4" x14ac:dyDescent="0.3">
      <c r="A4">
        <v>2</v>
      </c>
      <c r="B4">
        <v>28.155000000000001</v>
      </c>
      <c r="C4">
        <v>28.43</v>
      </c>
      <c r="D4">
        <f t="shared" ref="D4:D12" si="0">C4-B4</f>
        <v>0.27499999999999858</v>
      </c>
    </row>
    <row r="5" spans="1:4" x14ac:dyDescent="0.3">
      <c r="A5">
        <v>3</v>
      </c>
      <c r="B5">
        <v>28.020000000000003</v>
      </c>
      <c r="C5">
        <v>28.344999999999999</v>
      </c>
      <c r="D5">
        <f t="shared" si="0"/>
        <v>0.32499999999999574</v>
      </c>
    </row>
    <row r="6" spans="1:4" x14ac:dyDescent="0.3">
      <c r="A6">
        <v>4</v>
      </c>
      <c r="B6">
        <v>28.004999999999999</v>
      </c>
      <c r="C6">
        <v>28.425000000000001</v>
      </c>
      <c r="D6">
        <f t="shared" si="0"/>
        <v>0.42000000000000171</v>
      </c>
    </row>
    <row r="7" spans="1:4" x14ac:dyDescent="0.3">
      <c r="A7">
        <v>5</v>
      </c>
      <c r="B7">
        <v>28.04</v>
      </c>
      <c r="C7">
        <v>28.68</v>
      </c>
      <c r="D7">
        <f t="shared" si="0"/>
        <v>0.64000000000000057</v>
      </c>
    </row>
    <row r="8" spans="1:4" x14ac:dyDescent="0.3">
      <c r="A8">
        <v>6</v>
      </c>
      <c r="B8">
        <v>27.96</v>
      </c>
      <c r="C8">
        <v>28.365000000000002</v>
      </c>
      <c r="D8">
        <f t="shared" si="0"/>
        <v>0.40500000000000114</v>
      </c>
    </row>
    <row r="9" spans="1:4" x14ac:dyDescent="0.3">
      <c r="A9">
        <v>7</v>
      </c>
      <c r="B9">
        <v>27.990000000000002</v>
      </c>
      <c r="C9">
        <v>28.245000000000001</v>
      </c>
      <c r="D9">
        <f t="shared" si="0"/>
        <v>0.25499999999999901</v>
      </c>
    </row>
    <row r="10" spans="1:4" x14ac:dyDescent="0.3">
      <c r="A10">
        <v>8</v>
      </c>
      <c r="B10">
        <v>27.84</v>
      </c>
      <c r="C10">
        <v>28.274999999999999</v>
      </c>
      <c r="D10">
        <f t="shared" si="0"/>
        <v>0.43499999999999872</v>
      </c>
    </row>
    <row r="11" spans="1:4" x14ac:dyDescent="0.3">
      <c r="A11">
        <v>9</v>
      </c>
      <c r="B11">
        <v>27.954999999999998</v>
      </c>
      <c r="C11">
        <v>28.31</v>
      </c>
      <c r="D11">
        <f t="shared" si="0"/>
        <v>0.35500000000000043</v>
      </c>
    </row>
    <row r="12" spans="1:4" x14ac:dyDescent="0.3">
      <c r="A12">
        <v>10</v>
      </c>
      <c r="B12">
        <v>28.134999999999998</v>
      </c>
      <c r="C12">
        <v>28.465</v>
      </c>
      <c r="D12">
        <f t="shared" si="0"/>
        <v>0.33000000000000185</v>
      </c>
    </row>
    <row r="13" spans="1:4" x14ac:dyDescent="0.3">
      <c r="B13">
        <f>AVERAGE(B3:B12)</f>
        <v>28.0245</v>
      </c>
      <c r="C13">
        <f>AVERAGE(C3:C12)</f>
        <v>28.419</v>
      </c>
      <c r="D13" s="34">
        <f>AVERAGE(D3:D12)</f>
        <v>0.3944999999999993</v>
      </c>
    </row>
    <row r="14" spans="1:4" x14ac:dyDescent="0.3">
      <c r="B14" s="74"/>
      <c r="C14" s="74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FD8B-9262-438E-89B8-3B0CCD0A9ED1}">
  <dimension ref="A2:M4"/>
  <sheetViews>
    <sheetView workbookViewId="0">
      <selection activeCell="A2" sqref="A2:M4"/>
    </sheetView>
  </sheetViews>
  <sheetFormatPr defaultRowHeight="14.4" x14ac:dyDescent="0.3"/>
  <sheetData>
    <row r="2" spans="1:13" x14ac:dyDescent="0.3">
      <c r="A2" s="75" t="s">
        <v>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x14ac:dyDescent="0.3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</row>
  </sheetData>
  <mergeCells count="1">
    <mergeCell ref="A2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BEED-89D2-40EB-B4F6-84959CC318F5}">
  <dimension ref="A1:S27"/>
  <sheetViews>
    <sheetView tabSelected="1" workbookViewId="0">
      <selection activeCell="B24" sqref="B24"/>
    </sheetView>
  </sheetViews>
  <sheetFormatPr defaultRowHeight="14.4" x14ac:dyDescent="0.3"/>
  <cols>
    <col min="1" max="1" width="19.6640625" customWidth="1"/>
    <col min="10" max="10" width="15.6640625" customWidth="1"/>
  </cols>
  <sheetData>
    <row r="1" spans="1:19" ht="15" thickBot="1" x14ac:dyDescent="0.35">
      <c r="A1" s="74" t="s">
        <v>48</v>
      </c>
      <c r="B1" s="74"/>
      <c r="C1" s="74"/>
      <c r="D1" s="74"/>
    </row>
    <row r="2" spans="1:19" ht="15" thickTop="1" x14ac:dyDescent="0.3">
      <c r="I2" s="45"/>
      <c r="J2" s="46" t="s">
        <v>83</v>
      </c>
      <c r="K2" s="26"/>
      <c r="L2" s="26"/>
      <c r="M2" s="26"/>
      <c r="N2" s="26"/>
      <c r="O2" s="26"/>
      <c r="P2" s="26"/>
      <c r="Q2" s="26"/>
      <c r="R2" s="26"/>
      <c r="S2" s="27"/>
    </row>
    <row r="3" spans="1:19" ht="15" thickBot="1" x14ac:dyDescent="0.35">
      <c r="A3" s="74" t="s">
        <v>77</v>
      </c>
      <c r="B3" s="74"/>
      <c r="C3" s="74"/>
      <c r="D3" s="74"/>
      <c r="E3" s="74"/>
      <c r="I3" s="29"/>
      <c r="J3" s="37" t="s">
        <v>80</v>
      </c>
      <c r="K3">
        <v>28.64</v>
      </c>
      <c r="S3" s="28"/>
    </row>
    <row r="4" spans="1:19" ht="15" thickTop="1" x14ac:dyDescent="0.3">
      <c r="A4" s="42"/>
      <c r="B4" s="43" t="s">
        <v>75</v>
      </c>
      <c r="C4" s="43"/>
      <c r="D4" s="44" t="s">
        <v>76</v>
      </c>
      <c r="I4" s="29"/>
      <c r="J4" s="37" t="s">
        <v>81</v>
      </c>
      <c r="K4">
        <f>'DATA SUMMARY'!C13</f>
        <v>28.419</v>
      </c>
      <c r="S4" s="28"/>
    </row>
    <row r="5" spans="1:19" ht="15" thickBot="1" x14ac:dyDescent="0.35">
      <c r="A5" s="49" t="s">
        <v>2</v>
      </c>
      <c r="B5" s="50" t="s">
        <v>61</v>
      </c>
      <c r="C5" s="50" t="s">
        <v>2</v>
      </c>
      <c r="D5" s="51" t="s">
        <v>61</v>
      </c>
      <c r="I5" s="29"/>
      <c r="J5" s="37" t="s">
        <v>82</v>
      </c>
      <c r="K5">
        <f>ABS(K4-K3)</f>
        <v>0.22100000000000009</v>
      </c>
      <c r="N5" s="76" t="s">
        <v>100</v>
      </c>
      <c r="O5" s="76"/>
      <c r="P5" s="76"/>
      <c r="Q5" s="76"/>
      <c r="S5" s="28"/>
    </row>
    <row r="6" spans="1:19" ht="15" thickTop="1" x14ac:dyDescent="0.3">
      <c r="A6" s="14">
        <v>1208</v>
      </c>
      <c r="B6" s="47">
        <v>28.65</v>
      </c>
      <c r="C6" s="47">
        <v>143</v>
      </c>
      <c r="D6" s="48">
        <v>28.85</v>
      </c>
      <c r="I6" s="29"/>
      <c r="J6" s="37" t="s">
        <v>84</v>
      </c>
      <c r="K6" s="37" t="s">
        <v>85</v>
      </c>
      <c r="N6" s="76"/>
      <c r="O6" s="76"/>
      <c r="P6" s="76"/>
      <c r="Q6" s="76"/>
      <c r="S6" s="28"/>
    </row>
    <row r="7" spans="1:19" x14ac:dyDescent="0.3">
      <c r="A7" s="2">
        <v>1209</v>
      </c>
      <c r="B7" s="38">
        <v>28.43</v>
      </c>
      <c r="C7" s="38">
        <v>144</v>
      </c>
      <c r="D7" s="39">
        <v>28.87</v>
      </c>
      <c r="I7" s="29"/>
      <c r="J7" s="37" t="s">
        <v>86</v>
      </c>
      <c r="K7">
        <f>(K4/K3)*100</f>
        <v>99.228351955307261</v>
      </c>
      <c r="S7" s="28"/>
    </row>
    <row r="8" spans="1:19" x14ac:dyDescent="0.3">
      <c r="A8" s="2">
        <v>1210</v>
      </c>
      <c r="B8" s="38">
        <v>28.344999999999999</v>
      </c>
      <c r="C8" s="38">
        <v>145</v>
      </c>
      <c r="D8" s="39">
        <v>29.21</v>
      </c>
      <c r="I8" s="29"/>
      <c r="S8" s="28"/>
    </row>
    <row r="9" spans="1:19" x14ac:dyDescent="0.3">
      <c r="A9" s="2">
        <v>1211</v>
      </c>
      <c r="B9" s="38">
        <v>28.425000000000001</v>
      </c>
      <c r="C9" s="38">
        <v>146</v>
      </c>
      <c r="D9" s="39">
        <v>28.77</v>
      </c>
      <c r="I9" s="29"/>
      <c r="J9" t="s">
        <v>99</v>
      </c>
      <c r="S9" s="28"/>
    </row>
    <row r="10" spans="1:19" x14ac:dyDescent="0.3">
      <c r="A10" s="2">
        <v>1212</v>
      </c>
      <c r="B10" s="38">
        <v>28.68</v>
      </c>
      <c r="C10" s="38">
        <v>147</v>
      </c>
      <c r="D10" s="39">
        <v>28.78</v>
      </c>
      <c r="I10" s="29"/>
      <c r="S10" s="28"/>
    </row>
    <row r="11" spans="1:19" x14ac:dyDescent="0.3">
      <c r="A11" s="2">
        <v>1213</v>
      </c>
      <c r="B11" s="38">
        <v>28.365000000000002</v>
      </c>
      <c r="C11" s="38">
        <v>148</v>
      </c>
      <c r="D11" s="39">
        <v>28.7</v>
      </c>
      <c r="I11" s="29"/>
      <c r="S11" s="28"/>
    </row>
    <row r="12" spans="1:19" ht="15" thickBot="1" x14ac:dyDescent="0.35">
      <c r="A12" s="2">
        <v>1214</v>
      </c>
      <c r="B12" s="38">
        <v>28.245000000000001</v>
      </c>
      <c r="C12" s="38">
        <v>149</v>
      </c>
      <c r="D12" s="39">
        <v>28.83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3"/>
    </row>
    <row r="13" spans="1:19" ht="15" thickTop="1" x14ac:dyDescent="0.3">
      <c r="A13" s="2">
        <v>1215</v>
      </c>
      <c r="B13" s="38">
        <v>28.274999999999999</v>
      </c>
      <c r="C13" s="38">
        <v>150</v>
      </c>
      <c r="D13" s="39">
        <v>28.79</v>
      </c>
    </row>
    <row r="14" spans="1:19" x14ac:dyDescent="0.3">
      <c r="A14" s="2">
        <v>1216</v>
      </c>
      <c r="B14" s="38">
        <v>28.31</v>
      </c>
      <c r="C14" s="38">
        <v>151</v>
      </c>
      <c r="D14" s="39">
        <v>28.79</v>
      </c>
    </row>
    <row r="15" spans="1:19" ht="15" thickBot="1" x14ac:dyDescent="0.35">
      <c r="A15" s="5">
        <v>1217</v>
      </c>
      <c r="B15" s="40">
        <v>28.465</v>
      </c>
      <c r="C15" s="40">
        <v>152</v>
      </c>
      <c r="D15" s="41">
        <v>28.77</v>
      </c>
    </row>
    <row r="16" spans="1:19" ht="15" thickTop="1" x14ac:dyDescent="0.3">
      <c r="A16" t="s">
        <v>78</v>
      </c>
      <c r="B16">
        <f>AVERAGE(B6:B15)</f>
        <v>28.419</v>
      </c>
      <c r="D16">
        <f>AVERAGE(D6:D15)</f>
        <v>28.835999999999995</v>
      </c>
    </row>
    <row r="17" spans="1:10" x14ac:dyDescent="0.3">
      <c r="A17" t="s">
        <v>79</v>
      </c>
      <c r="C17">
        <f>D16-B16</f>
        <v>0.41699999999999449</v>
      </c>
      <c r="F17" s="77" t="s">
        <v>101</v>
      </c>
      <c r="G17" s="77"/>
      <c r="H17" s="77"/>
      <c r="I17" s="77"/>
      <c r="J17" s="77"/>
    </row>
    <row r="18" spans="1:10" ht="14.4" customHeight="1" x14ac:dyDescent="0.3">
      <c r="A18" t="s">
        <v>9</v>
      </c>
      <c r="B18">
        <f>_xlfn.STDEV.S(B6:B15)</f>
        <v>0.14721111069179205</v>
      </c>
      <c r="D18">
        <f>_xlfn.STDEV.S(D6:D15)</f>
        <v>0.13977760113043111</v>
      </c>
      <c r="F18" s="77"/>
      <c r="G18" s="77"/>
      <c r="H18" s="77"/>
      <c r="I18" s="77"/>
      <c r="J18" s="77"/>
    </row>
    <row r="19" spans="1:10" ht="14.4" customHeight="1" x14ac:dyDescent="0.3">
      <c r="A19" t="s">
        <v>10</v>
      </c>
      <c r="B19">
        <f>(B18/B16)*100</f>
        <v>0.51800243038738891</v>
      </c>
      <c r="D19">
        <f>(D18/D16)*100</f>
        <v>0.48473297659325543</v>
      </c>
      <c r="F19" s="77"/>
      <c r="G19" s="77"/>
      <c r="H19" s="77"/>
      <c r="I19" s="77"/>
      <c r="J19" s="77"/>
    </row>
    <row r="20" spans="1:10" ht="17.399999999999999" customHeight="1" x14ac:dyDescent="0.3">
      <c r="A20" t="s">
        <v>80</v>
      </c>
      <c r="B20">
        <v>28.64</v>
      </c>
      <c r="F20" s="77"/>
      <c r="G20" s="77"/>
      <c r="H20" s="77"/>
      <c r="I20" s="77"/>
      <c r="J20" s="77"/>
    </row>
    <row r="22" spans="1:10" x14ac:dyDescent="0.3">
      <c r="A22" s="74" t="s">
        <v>49</v>
      </c>
      <c r="B22" s="74"/>
      <c r="C22" s="74"/>
      <c r="D22" s="74"/>
    </row>
    <row r="24" spans="1:10" x14ac:dyDescent="0.3">
      <c r="A24" t="s">
        <v>8</v>
      </c>
      <c r="B24">
        <f>'RUGGEDNESS AND ROBUSTNESS'!B34</f>
        <v>28.419</v>
      </c>
      <c r="C24">
        <v>28.745999999999999</v>
      </c>
    </row>
    <row r="25" spans="1:10" x14ac:dyDescent="0.3">
      <c r="A25" t="s">
        <v>9</v>
      </c>
      <c r="B25">
        <f>'RUGGEDNESS AND ROBUSTNESS'!B35</f>
        <v>0.14721111069179205</v>
      </c>
      <c r="C25">
        <v>0.45960000000000001</v>
      </c>
    </row>
    <row r="26" spans="1:10" x14ac:dyDescent="0.3">
      <c r="A26" t="s">
        <v>50</v>
      </c>
      <c r="B26">
        <f>(B25/B24)*100</f>
        <v>0.51800243038738891</v>
      </c>
      <c r="C26">
        <f>(C25/C24)*100</f>
        <v>1.5988311417240659</v>
      </c>
    </row>
    <row r="27" spans="1:10" x14ac:dyDescent="0.3">
      <c r="A27" t="s">
        <v>51</v>
      </c>
      <c r="B27">
        <f>C24-B24</f>
        <v>0.32699999999999818</v>
      </c>
    </row>
  </sheetData>
  <mergeCells count="5">
    <mergeCell ref="A1:D1"/>
    <mergeCell ref="A22:D22"/>
    <mergeCell ref="A3:E3"/>
    <mergeCell ref="N5:Q6"/>
    <mergeCell ref="F17:J20"/>
  </mergeCells>
  <conditionalFormatting sqref="B27">
    <cfRule type="cellIs" dxfId="0" priority="1" operator="lessThan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68CA-DE33-4817-A661-6CCAF85173D7}">
  <dimension ref="A1:AH50"/>
  <sheetViews>
    <sheetView topLeftCell="A14" zoomScale="85" zoomScaleNormal="85" workbookViewId="0">
      <selection activeCell="B34" sqref="B34"/>
    </sheetView>
  </sheetViews>
  <sheetFormatPr defaultRowHeight="14.4" x14ac:dyDescent="0.3"/>
  <cols>
    <col min="1" max="1" width="15.88671875" bestFit="1" customWidth="1"/>
    <col min="2" max="2" width="12.5546875" bestFit="1" customWidth="1"/>
    <col min="4" max="4" width="6" bestFit="1" customWidth="1"/>
    <col min="6" max="6" width="6.109375" bestFit="1" customWidth="1"/>
    <col min="7" max="7" width="10.33203125" bestFit="1" customWidth="1"/>
    <col min="11" max="11" width="30.33203125" bestFit="1" customWidth="1"/>
    <col min="12" max="12" width="12.6640625" bestFit="1" customWidth="1"/>
    <col min="13" max="13" width="30.33203125" bestFit="1" customWidth="1"/>
    <col min="14" max="15" width="14" bestFit="1" customWidth="1"/>
    <col min="18" max="20" width="13.109375" customWidth="1"/>
    <col min="27" max="27" width="7.44140625" bestFit="1" customWidth="1"/>
    <col min="28" max="28" width="31.88671875" bestFit="1" customWidth="1"/>
    <col min="29" max="30" width="14.88671875" bestFit="1" customWidth="1"/>
    <col min="31" max="31" width="7.44140625" bestFit="1" customWidth="1"/>
    <col min="32" max="33" width="6.109375" bestFit="1" customWidth="1"/>
    <col min="34" max="34" width="14.21875" bestFit="1" customWidth="1"/>
  </cols>
  <sheetData>
    <row r="1" spans="1:34" ht="15" thickBot="1" x14ac:dyDescent="0.35">
      <c r="R1" s="74"/>
      <c r="S1" s="74"/>
      <c r="T1" s="74"/>
      <c r="U1" s="74"/>
      <c r="V1" s="74"/>
      <c r="AA1" t="s">
        <v>2</v>
      </c>
      <c r="AB1" t="s">
        <v>0</v>
      </c>
      <c r="AD1" t="s">
        <v>4</v>
      </c>
      <c r="AE1" t="s">
        <v>2</v>
      </c>
      <c r="AF1" t="s">
        <v>1</v>
      </c>
      <c r="AH1" t="s">
        <v>3</v>
      </c>
    </row>
    <row r="2" spans="1:34" ht="15" thickTop="1" x14ac:dyDescent="0.3">
      <c r="A2" s="78" t="s">
        <v>11</v>
      </c>
      <c r="B2" s="79"/>
      <c r="C2" s="79"/>
      <c r="D2" s="79"/>
      <c r="E2" s="79"/>
      <c r="F2" s="79"/>
      <c r="G2" s="79"/>
      <c r="H2" s="79"/>
      <c r="I2" s="79"/>
      <c r="J2" s="80"/>
      <c r="R2" s="37"/>
      <c r="S2" s="37"/>
      <c r="T2" s="37"/>
      <c r="U2" s="37"/>
      <c r="AA2">
        <v>1208</v>
      </c>
      <c r="AB2">
        <v>28.67</v>
      </c>
      <c r="AC2">
        <v>28.63</v>
      </c>
      <c r="AD2">
        <v>28.65</v>
      </c>
      <c r="AE2">
        <v>1258</v>
      </c>
      <c r="AF2">
        <v>28.03</v>
      </c>
      <c r="AG2">
        <v>28.26</v>
      </c>
      <c r="AH2">
        <v>28.145000000000003</v>
      </c>
    </row>
    <row r="3" spans="1:34" ht="15" thickBot="1" x14ac:dyDescent="0.35">
      <c r="A3" s="81" t="s">
        <v>12</v>
      </c>
      <c r="B3" s="82"/>
      <c r="C3" s="82"/>
      <c r="D3" s="82"/>
      <c r="E3" s="82"/>
      <c r="F3" s="82"/>
      <c r="G3" s="82"/>
      <c r="H3" s="82"/>
      <c r="I3" s="82"/>
      <c r="J3" s="83"/>
      <c r="M3" t="s">
        <v>22</v>
      </c>
      <c r="R3" s="37"/>
      <c r="S3" s="37"/>
      <c r="T3" s="37"/>
      <c r="U3" s="37"/>
      <c r="AA3">
        <v>1209</v>
      </c>
      <c r="AB3">
        <v>28.38</v>
      </c>
      <c r="AC3">
        <v>28.48</v>
      </c>
      <c r="AD3">
        <v>28.43</v>
      </c>
      <c r="AE3">
        <v>1259</v>
      </c>
      <c r="AF3">
        <v>28.13</v>
      </c>
      <c r="AG3">
        <v>28.18</v>
      </c>
      <c r="AH3">
        <v>28.155000000000001</v>
      </c>
    </row>
    <row r="4" spans="1:34" ht="15.6" thickTop="1" thickBot="1" x14ac:dyDescent="0.35">
      <c r="AA4">
        <v>1210</v>
      </c>
      <c r="AB4">
        <v>28.3</v>
      </c>
      <c r="AC4">
        <v>28.39</v>
      </c>
      <c r="AD4">
        <v>28.344999999999999</v>
      </c>
      <c r="AE4">
        <v>1260</v>
      </c>
      <c r="AF4">
        <v>28.01</v>
      </c>
      <c r="AG4">
        <v>28.03</v>
      </c>
      <c r="AH4">
        <v>28.020000000000003</v>
      </c>
    </row>
    <row r="5" spans="1:34" x14ac:dyDescent="0.3">
      <c r="M5" s="25"/>
      <c r="N5" s="25" t="s">
        <v>4</v>
      </c>
      <c r="O5" s="25" t="s">
        <v>3</v>
      </c>
      <c r="AA5">
        <v>1211</v>
      </c>
      <c r="AB5">
        <v>28.35</v>
      </c>
      <c r="AC5">
        <v>28.5</v>
      </c>
      <c r="AD5">
        <v>28.425000000000001</v>
      </c>
      <c r="AE5">
        <v>1261</v>
      </c>
      <c r="AF5">
        <v>27.97</v>
      </c>
      <c r="AG5">
        <v>28.04</v>
      </c>
      <c r="AH5">
        <v>28.004999999999999</v>
      </c>
    </row>
    <row r="6" spans="1:34" x14ac:dyDescent="0.3">
      <c r="A6" s="84" t="s">
        <v>13</v>
      </c>
      <c r="B6" s="84"/>
      <c r="M6" t="s">
        <v>8</v>
      </c>
      <c r="N6">
        <v>28.419</v>
      </c>
      <c r="O6">
        <v>28.0245</v>
      </c>
      <c r="AA6">
        <v>1212</v>
      </c>
      <c r="AB6">
        <v>28.64</v>
      </c>
      <c r="AC6">
        <v>28.72</v>
      </c>
      <c r="AD6">
        <v>28.68</v>
      </c>
      <c r="AE6">
        <v>1262</v>
      </c>
      <c r="AF6">
        <v>28.01</v>
      </c>
      <c r="AG6">
        <v>28.07</v>
      </c>
      <c r="AH6">
        <v>28.04</v>
      </c>
    </row>
    <row r="7" spans="1:34" x14ac:dyDescent="0.3">
      <c r="A7" s="85" t="s">
        <v>14</v>
      </c>
      <c r="B7" s="85"/>
      <c r="C7" s="85"/>
      <c r="D7" s="85"/>
      <c r="E7" s="85"/>
      <c r="F7" s="85"/>
      <c r="G7" s="85"/>
      <c r="H7" s="85"/>
      <c r="I7" s="85"/>
      <c r="J7" s="85"/>
      <c r="K7" s="85"/>
      <c r="M7" t="s">
        <v>25</v>
      </c>
      <c r="N7">
        <v>2.1671111111111054E-2</v>
      </c>
      <c r="O7">
        <v>9.8469444444445157E-3</v>
      </c>
      <c r="AA7">
        <v>1213</v>
      </c>
      <c r="AB7">
        <v>28.34</v>
      </c>
      <c r="AC7">
        <v>28.39</v>
      </c>
      <c r="AD7">
        <v>28.365000000000002</v>
      </c>
      <c r="AE7">
        <v>1263</v>
      </c>
      <c r="AF7">
        <v>27.96</v>
      </c>
      <c r="AG7">
        <v>27.96</v>
      </c>
      <c r="AH7">
        <v>27.96</v>
      </c>
    </row>
    <row r="8" spans="1:34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M8" t="s">
        <v>26</v>
      </c>
      <c r="N8">
        <v>10</v>
      </c>
      <c r="O8">
        <v>10</v>
      </c>
      <c r="AA8">
        <v>1214</v>
      </c>
      <c r="AB8">
        <v>28.26</v>
      </c>
      <c r="AC8">
        <v>28.23</v>
      </c>
      <c r="AD8">
        <v>28.245000000000001</v>
      </c>
      <c r="AE8">
        <v>1264</v>
      </c>
      <c r="AF8">
        <v>27.98</v>
      </c>
      <c r="AG8">
        <v>28</v>
      </c>
      <c r="AH8">
        <v>27.990000000000002</v>
      </c>
    </row>
    <row r="9" spans="1:34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M9" t="s">
        <v>27</v>
      </c>
      <c r="N9">
        <v>0.62556963821285694</v>
      </c>
      <c r="AA9">
        <v>1215</v>
      </c>
      <c r="AB9">
        <v>28.27</v>
      </c>
      <c r="AC9">
        <v>28.28</v>
      </c>
      <c r="AD9">
        <v>28.274999999999999</v>
      </c>
      <c r="AE9">
        <v>1265</v>
      </c>
      <c r="AF9">
        <v>27.8</v>
      </c>
      <c r="AG9">
        <v>27.88</v>
      </c>
      <c r="AH9">
        <v>27.84</v>
      </c>
    </row>
    <row r="10" spans="1:34" x14ac:dyDescent="0.3">
      <c r="A10" s="22" t="s">
        <v>45</v>
      </c>
      <c r="B10" s="22">
        <f>N12</f>
        <v>10.841271913278611</v>
      </c>
      <c r="C10" s="22"/>
      <c r="D10" s="22"/>
      <c r="E10" s="22"/>
      <c r="F10" s="22"/>
      <c r="G10" s="22"/>
      <c r="H10" s="22"/>
      <c r="I10" s="22"/>
      <c r="J10" s="22"/>
      <c r="K10" s="22"/>
      <c r="M10" t="s">
        <v>28</v>
      </c>
      <c r="N10">
        <v>0</v>
      </c>
      <c r="AA10">
        <v>1216</v>
      </c>
      <c r="AB10">
        <v>28.24</v>
      </c>
      <c r="AC10">
        <v>28.38</v>
      </c>
      <c r="AD10">
        <v>28.31</v>
      </c>
      <c r="AE10">
        <v>1266</v>
      </c>
      <c r="AF10">
        <v>27.85</v>
      </c>
      <c r="AG10">
        <v>28.06</v>
      </c>
      <c r="AH10">
        <v>27.954999999999998</v>
      </c>
    </row>
    <row r="11" spans="1:34" x14ac:dyDescent="0.3">
      <c r="A11" s="22" t="s">
        <v>46</v>
      </c>
      <c r="B11" s="22">
        <f>N15</f>
        <v>1.8196656328006348E-6</v>
      </c>
      <c r="C11" s="22"/>
      <c r="D11" s="22"/>
      <c r="E11" s="22"/>
      <c r="F11" s="22"/>
      <c r="G11" s="22"/>
      <c r="H11" s="22"/>
      <c r="I11" s="22"/>
      <c r="J11" s="22"/>
      <c r="K11" s="22"/>
      <c r="M11" t="s">
        <v>29</v>
      </c>
      <c r="N11">
        <v>9</v>
      </c>
      <c r="AA11">
        <v>1217</v>
      </c>
      <c r="AB11">
        <v>28.36</v>
      </c>
      <c r="AC11">
        <v>28.57</v>
      </c>
      <c r="AD11">
        <v>28.465</v>
      </c>
      <c r="AE11">
        <v>1267</v>
      </c>
      <c r="AF11">
        <v>28.13</v>
      </c>
      <c r="AG11">
        <v>28.14</v>
      </c>
      <c r="AH11">
        <v>28.134999999999998</v>
      </c>
    </row>
    <row r="12" spans="1:34" x14ac:dyDescent="0.3">
      <c r="A12" s="22" t="s">
        <v>42</v>
      </c>
      <c r="B12" s="22">
        <f>N16</f>
        <v>2.2621571627982053</v>
      </c>
      <c r="C12" s="22"/>
      <c r="D12" s="22"/>
      <c r="E12" s="22"/>
      <c r="F12" s="22"/>
      <c r="G12" s="22"/>
      <c r="H12" s="22"/>
      <c r="I12" s="22"/>
      <c r="J12" s="22"/>
      <c r="K12" s="22"/>
      <c r="M12" t="s">
        <v>30</v>
      </c>
      <c r="N12">
        <v>10.841271913278611</v>
      </c>
    </row>
    <row r="13" spans="1:34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M13" t="s">
        <v>31</v>
      </c>
      <c r="N13">
        <v>9.0983281640031739E-7</v>
      </c>
    </row>
    <row r="14" spans="1:34" ht="27.6" customHeight="1" x14ac:dyDescent="0.3">
      <c r="A14" s="85" t="s">
        <v>47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M14" t="s">
        <v>32</v>
      </c>
      <c r="N14">
        <v>1.8331129326562374</v>
      </c>
      <c r="AB14" t="s">
        <v>22</v>
      </c>
    </row>
    <row r="15" spans="1:34" ht="15" thickBot="1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M15" t="s">
        <v>33</v>
      </c>
      <c r="N15">
        <v>1.8196656328006348E-6</v>
      </c>
    </row>
    <row r="16" spans="1:34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M16" t="s">
        <v>34</v>
      </c>
      <c r="N16">
        <v>2.2621571627982053</v>
      </c>
      <c r="AB16" s="25"/>
      <c r="AC16" s="25" t="s">
        <v>4</v>
      </c>
      <c r="AD16" s="25" t="s">
        <v>3</v>
      </c>
    </row>
    <row r="17" spans="1:30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AB17" t="s">
        <v>8</v>
      </c>
      <c r="AC17">
        <v>28.419</v>
      </c>
      <c r="AD17">
        <v>28.0245</v>
      </c>
    </row>
    <row r="18" spans="1:30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M18" s="24"/>
      <c r="N18" s="24"/>
      <c r="O18" s="24"/>
      <c r="AB18" t="s">
        <v>25</v>
      </c>
      <c r="AC18">
        <v>2.1671111111111054E-2</v>
      </c>
      <c r="AD18">
        <v>9.8469444444445157E-3</v>
      </c>
    </row>
    <row r="19" spans="1:30" ht="15" thickTop="1" x14ac:dyDescent="0.3">
      <c r="A19" s="87" t="s">
        <v>17</v>
      </c>
      <c r="B19" s="88"/>
      <c r="C19" s="23"/>
      <c r="D19" s="23"/>
      <c r="E19" s="23"/>
      <c r="F19" s="23"/>
      <c r="G19" s="23"/>
      <c r="H19" s="23"/>
      <c r="I19" s="23"/>
      <c r="J19" s="23"/>
      <c r="K19" s="23"/>
      <c r="L19" s="26"/>
      <c r="M19" s="26"/>
      <c r="N19" s="26"/>
      <c r="O19" s="26"/>
      <c r="P19" s="26"/>
      <c r="Q19" s="26"/>
      <c r="R19" s="26"/>
      <c r="S19" s="27"/>
      <c r="AB19" t="s">
        <v>26</v>
      </c>
      <c r="AC19">
        <v>10</v>
      </c>
      <c r="AD19">
        <v>10</v>
      </c>
    </row>
    <row r="20" spans="1:30" x14ac:dyDescent="0.3">
      <c r="A20" s="86" t="s">
        <v>18</v>
      </c>
      <c r="B20" s="84"/>
      <c r="C20" s="84"/>
      <c r="D20" s="84"/>
      <c r="E20" s="84"/>
      <c r="F20" s="84"/>
      <c r="G20" s="84"/>
      <c r="H20" s="1"/>
      <c r="I20" s="1"/>
      <c r="J20" s="1"/>
      <c r="K20" s="1"/>
      <c r="S20" s="28"/>
      <c r="AB20" t="s">
        <v>27</v>
      </c>
      <c r="AC20">
        <v>0.62556963821285694</v>
      </c>
    </row>
    <row r="21" spans="1:30" ht="14.4" customHeight="1" x14ac:dyDescent="0.3">
      <c r="A21" s="29" t="s">
        <v>2</v>
      </c>
      <c r="B21" s="75" t="s">
        <v>21</v>
      </c>
      <c r="C21" s="75"/>
      <c r="D21" s="75" t="s">
        <v>15</v>
      </c>
      <c r="E21" s="75"/>
      <c r="F21" s="75" t="s">
        <v>16</v>
      </c>
      <c r="G21" s="75" t="s">
        <v>19</v>
      </c>
      <c r="H21" s="30"/>
      <c r="I21" s="30"/>
      <c r="J21" s="30"/>
      <c r="K21" t="s">
        <v>22</v>
      </c>
      <c r="S21" s="28"/>
      <c r="AB21" t="s">
        <v>28</v>
      </c>
      <c r="AC21">
        <v>0</v>
      </c>
    </row>
    <row r="22" spans="1:30" ht="15" thickBot="1" x14ac:dyDescent="0.35">
      <c r="A22" s="29"/>
      <c r="B22" s="75"/>
      <c r="C22" s="75"/>
      <c r="D22" s="75"/>
      <c r="E22" s="75"/>
      <c r="F22" s="75"/>
      <c r="G22" s="75"/>
      <c r="H22" s="30"/>
      <c r="I22" s="30"/>
      <c r="S22" s="28"/>
      <c r="AB22" t="s">
        <v>29</v>
      </c>
      <c r="AC22">
        <v>9</v>
      </c>
    </row>
    <row r="23" spans="1:30" x14ac:dyDescent="0.3">
      <c r="A23" s="29">
        <v>1208</v>
      </c>
      <c r="B23">
        <v>28.65</v>
      </c>
      <c r="D23">
        <f>25.39+3.59</f>
        <v>28.98</v>
      </c>
      <c r="F23">
        <v>16</v>
      </c>
      <c r="G23">
        <f>D23-B23</f>
        <v>0.33000000000000185</v>
      </c>
      <c r="K23" s="25"/>
      <c r="L23" s="25" t="s">
        <v>23</v>
      </c>
      <c r="M23" s="25" t="s">
        <v>24</v>
      </c>
      <c r="S23" s="28"/>
      <c r="AB23" t="s">
        <v>30</v>
      </c>
      <c r="AC23">
        <v>10.841271913278611</v>
      </c>
    </row>
    <row r="24" spans="1:30" x14ac:dyDescent="0.3">
      <c r="A24" s="29">
        <v>1209</v>
      </c>
      <c r="B24">
        <v>28.43</v>
      </c>
      <c r="D24">
        <f>3.5+26.2</f>
        <v>29.7</v>
      </c>
      <c r="F24">
        <v>45</v>
      </c>
      <c r="G24">
        <f t="shared" ref="G24:G32" si="0">D24-B24</f>
        <v>1.2699999999999996</v>
      </c>
      <c r="K24" t="s">
        <v>8</v>
      </c>
      <c r="L24">
        <v>28.419</v>
      </c>
      <c r="M24">
        <v>28.745999999999999</v>
      </c>
      <c r="S24" s="28"/>
      <c r="AB24" t="s">
        <v>31</v>
      </c>
      <c r="AC24">
        <v>9.0983281640031739E-7</v>
      </c>
    </row>
    <row r="25" spans="1:30" x14ac:dyDescent="0.3">
      <c r="A25" s="29">
        <v>1210</v>
      </c>
      <c r="B25">
        <v>28.344999999999999</v>
      </c>
      <c r="D25">
        <f>3.8+25.1</f>
        <v>28.900000000000002</v>
      </c>
      <c r="F25">
        <v>21</v>
      </c>
      <c r="G25">
        <f t="shared" si="0"/>
        <v>0.55500000000000327</v>
      </c>
      <c r="K25" t="s">
        <v>25</v>
      </c>
      <c r="L25">
        <v>2.1671111111111054E-2</v>
      </c>
      <c r="M25">
        <v>0.21127111111111041</v>
      </c>
      <c r="S25" s="28"/>
      <c r="AB25" t="s">
        <v>32</v>
      </c>
      <c r="AC25">
        <v>1.8331129326562374</v>
      </c>
    </row>
    <row r="26" spans="1:30" x14ac:dyDescent="0.3">
      <c r="A26" s="29">
        <v>1211</v>
      </c>
      <c r="B26">
        <v>28.425000000000001</v>
      </c>
      <c r="D26">
        <f>4.68+24.24</f>
        <v>28.919999999999998</v>
      </c>
      <c r="F26">
        <v>26</v>
      </c>
      <c r="G26">
        <f t="shared" si="0"/>
        <v>0.49499999999999744</v>
      </c>
      <c r="K26" t="s">
        <v>26</v>
      </c>
      <c r="L26">
        <v>10</v>
      </c>
      <c r="M26">
        <v>10</v>
      </c>
      <c r="S26" s="28"/>
      <c r="AB26" t="s">
        <v>33</v>
      </c>
      <c r="AC26">
        <v>1.8196656328006348E-6</v>
      </c>
    </row>
    <row r="27" spans="1:30" ht="15" thickBot="1" x14ac:dyDescent="0.35">
      <c r="A27" s="29">
        <v>1212</v>
      </c>
      <c r="B27">
        <v>28.68</v>
      </c>
      <c r="D27">
        <f>3.1+25.1</f>
        <v>28.200000000000003</v>
      </c>
      <c r="F27">
        <v>39</v>
      </c>
      <c r="G27">
        <f t="shared" si="0"/>
        <v>-0.47999999999999687</v>
      </c>
      <c r="K27" t="s">
        <v>27</v>
      </c>
      <c r="L27">
        <v>-3.2677582470009231E-3</v>
      </c>
      <c r="S27" s="28"/>
      <c r="AB27" s="24" t="s">
        <v>34</v>
      </c>
      <c r="AC27" s="24">
        <v>2.2621571627982053</v>
      </c>
      <c r="AD27" s="24"/>
    </row>
    <row r="28" spans="1:30" x14ac:dyDescent="0.3">
      <c r="A28" s="29">
        <v>1213</v>
      </c>
      <c r="B28">
        <v>28.365000000000002</v>
      </c>
      <c r="D28">
        <f>24.99+3.5</f>
        <v>28.49</v>
      </c>
      <c r="F28">
        <v>41</v>
      </c>
      <c r="G28">
        <f t="shared" si="0"/>
        <v>0.12499999999999645</v>
      </c>
      <c r="K28" t="s">
        <v>28</v>
      </c>
      <c r="L28">
        <v>0</v>
      </c>
      <c r="S28" s="28"/>
    </row>
    <row r="29" spans="1:30" x14ac:dyDescent="0.3">
      <c r="A29" s="29">
        <v>1214</v>
      </c>
      <c r="B29">
        <v>28.245000000000001</v>
      </c>
      <c r="D29">
        <f>3+25.1</f>
        <v>28.1</v>
      </c>
      <c r="F29">
        <v>44</v>
      </c>
      <c r="G29">
        <f t="shared" si="0"/>
        <v>-0.14499999999999957</v>
      </c>
      <c r="K29" t="s">
        <v>29</v>
      </c>
      <c r="L29">
        <v>9</v>
      </c>
      <c r="S29" s="28"/>
    </row>
    <row r="30" spans="1:30" x14ac:dyDescent="0.3">
      <c r="A30" s="29">
        <v>1215</v>
      </c>
      <c r="B30">
        <v>28.274999999999999</v>
      </c>
      <c r="D30">
        <f>4.68+24.24</f>
        <v>28.919999999999998</v>
      </c>
      <c r="F30">
        <v>26</v>
      </c>
      <c r="G30">
        <f t="shared" si="0"/>
        <v>0.64499999999999957</v>
      </c>
      <c r="K30" t="s">
        <v>30</v>
      </c>
      <c r="L30">
        <v>-2.1404830821903462</v>
      </c>
      <c r="S30" s="28"/>
    </row>
    <row r="31" spans="1:30" x14ac:dyDescent="0.3">
      <c r="A31" s="29">
        <v>1216</v>
      </c>
      <c r="B31">
        <v>28.31</v>
      </c>
      <c r="D31">
        <f>25.43+3.34</f>
        <v>28.77</v>
      </c>
      <c r="F31">
        <v>42</v>
      </c>
      <c r="G31">
        <f t="shared" si="0"/>
        <v>0.46000000000000085</v>
      </c>
      <c r="K31" t="s">
        <v>31</v>
      </c>
      <c r="L31">
        <v>3.0486662503007727E-2</v>
      </c>
      <c r="S31" s="28"/>
    </row>
    <row r="32" spans="1:30" x14ac:dyDescent="0.3">
      <c r="A32" s="29">
        <v>1217</v>
      </c>
      <c r="B32">
        <v>28.465</v>
      </c>
      <c r="D32">
        <f>25.38+3.1</f>
        <v>28.48</v>
      </c>
      <c r="F32">
        <v>22</v>
      </c>
      <c r="G32">
        <f t="shared" si="0"/>
        <v>1.5000000000000568E-2</v>
      </c>
      <c r="K32" t="s">
        <v>32</v>
      </c>
      <c r="L32">
        <v>1.8331129326562374</v>
      </c>
      <c r="S32" s="28"/>
    </row>
    <row r="33" spans="1:19" x14ac:dyDescent="0.3">
      <c r="A33" s="29"/>
      <c r="K33" t="s">
        <v>33</v>
      </c>
      <c r="L33">
        <v>6.0973325006015454E-2</v>
      </c>
      <c r="S33" s="28"/>
    </row>
    <row r="34" spans="1:19" ht="15" thickBot="1" x14ac:dyDescent="0.35">
      <c r="A34" s="29" t="s">
        <v>8</v>
      </c>
      <c r="B34">
        <f>AVERAGE(B23:B32)</f>
        <v>28.419</v>
      </c>
      <c r="D34" s="74">
        <f t="shared" ref="D34:E34" si="1">AVERAGE(D23:D32)</f>
        <v>28.745999999999999</v>
      </c>
      <c r="E34" s="74" t="e">
        <f t="shared" si="1"/>
        <v>#DIV/0!</v>
      </c>
      <c r="K34" s="24" t="s">
        <v>34</v>
      </c>
      <c r="L34" s="24">
        <v>2.2621571627982053</v>
      </c>
      <c r="M34" s="24"/>
      <c r="S34" s="28"/>
    </row>
    <row r="35" spans="1:19" x14ac:dyDescent="0.3">
      <c r="A35" s="29" t="s">
        <v>20</v>
      </c>
      <c r="B35">
        <f>_xlfn.STDEV.S(B23:B32)</f>
        <v>0.14721111069179205</v>
      </c>
      <c r="D35" s="74">
        <f t="shared" ref="D35:E35" si="2">_xlfn.STDEV.S(D23:D32)</f>
        <v>0.45964237305878403</v>
      </c>
      <c r="E35" s="74" t="e">
        <f t="shared" si="2"/>
        <v>#DIV/0!</v>
      </c>
      <c r="S35" s="28"/>
    </row>
    <row r="36" spans="1:19" x14ac:dyDescent="0.3">
      <c r="A36" s="29"/>
      <c r="K36" t="s">
        <v>35</v>
      </c>
      <c r="S36" s="28"/>
    </row>
    <row r="37" spans="1:19" x14ac:dyDescent="0.3">
      <c r="A37" s="29"/>
      <c r="K37" t="s">
        <v>36</v>
      </c>
      <c r="L37" t="s">
        <v>37</v>
      </c>
      <c r="S37" s="28"/>
    </row>
    <row r="38" spans="1:19" x14ac:dyDescent="0.3">
      <c r="A38" s="29"/>
      <c r="K38" t="s">
        <v>38</v>
      </c>
      <c r="L38" t="s">
        <v>39</v>
      </c>
      <c r="S38" s="28"/>
    </row>
    <row r="39" spans="1:19" x14ac:dyDescent="0.3">
      <c r="A39" s="29"/>
      <c r="K39" t="s">
        <v>40</v>
      </c>
      <c r="L39">
        <f>L30</f>
        <v>-2.1404830821903462</v>
      </c>
      <c r="S39" s="28"/>
    </row>
    <row r="40" spans="1:19" x14ac:dyDescent="0.3">
      <c r="A40" s="29"/>
      <c r="K40" t="s">
        <v>41</v>
      </c>
      <c r="L40">
        <f>L33</f>
        <v>6.0973325006015454E-2</v>
      </c>
      <c r="S40" s="28"/>
    </row>
    <row r="41" spans="1:19" x14ac:dyDescent="0.3">
      <c r="A41" s="29"/>
      <c r="K41" t="s">
        <v>42</v>
      </c>
      <c r="L41">
        <f>L34</f>
        <v>2.2621571627982053</v>
      </c>
      <c r="S41" s="28"/>
    </row>
    <row r="42" spans="1:19" x14ac:dyDescent="0.3">
      <c r="A42" s="29"/>
      <c r="S42" s="28"/>
    </row>
    <row r="43" spans="1:19" x14ac:dyDescent="0.3">
      <c r="A43" s="29"/>
      <c r="K43" t="s">
        <v>43</v>
      </c>
      <c r="S43" s="28"/>
    </row>
    <row r="44" spans="1:19" x14ac:dyDescent="0.3">
      <c r="A44" s="29"/>
      <c r="S44" s="28"/>
    </row>
    <row r="45" spans="1:19" ht="14.4" customHeight="1" x14ac:dyDescent="0.3">
      <c r="A45" s="29"/>
      <c r="K45" s="85" t="s">
        <v>44</v>
      </c>
      <c r="L45" s="85"/>
      <c r="M45" s="85"/>
      <c r="N45" s="85"/>
      <c r="O45" s="85"/>
      <c r="P45" s="85"/>
      <c r="Q45" s="85"/>
      <c r="R45" s="85"/>
      <c r="S45" s="28"/>
    </row>
    <row r="46" spans="1:19" x14ac:dyDescent="0.3">
      <c r="A46" s="29"/>
      <c r="K46" s="85"/>
      <c r="L46" s="85"/>
      <c r="M46" s="85"/>
      <c r="N46" s="85"/>
      <c r="O46" s="85"/>
      <c r="P46" s="85"/>
      <c r="Q46" s="85"/>
      <c r="R46" s="85"/>
      <c r="S46" s="28"/>
    </row>
    <row r="47" spans="1:19" x14ac:dyDescent="0.3">
      <c r="A47" s="29"/>
      <c r="K47" s="85"/>
      <c r="L47" s="85"/>
      <c r="M47" s="85"/>
      <c r="N47" s="85"/>
      <c r="O47" s="85"/>
      <c r="P47" s="85"/>
      <c r="Q47" s="85"/>
      <c r="R47" s="85"/>
      <c r="S47" s="28"/>
    </row>
    <row r="48" spans="1:19" x14ac:dyDescent="0.3">
      <c r="A48" s="29"/>
      <c r="S48" s="28"/>
    </row>
    <row r="49" spans="1:19" ht="15" thickBot="1" x14ac:dyDescent="0.35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3"/>
    </row>
    <row r="50" spans="1:19" ht="15" thickTop="1" x14ac:dyDescent="0.3"/>
  </sheetData>
  <mergeCells count="15">
    <mergeCell ref="K45:R47"/>
    <mergeCell ref="A7:K8"/>
    <mergeCell ref="A20:G20"/>
    <mergeCell ref="A14:K14"/>
    <mergeCell ref="F21:F22"/>
    <mergeCell ref="A19:B19"/>
    <mergeCell ref="G21:G22"/>
    <mergeCell ref="D34:E34"/>
    <mergeCell ref="D21:E22"/>
    <mergeCell ref="R1:V1"/>
    <mergeCell ref="A2:J2"/>
    <mergeCell ref="A3:J3"/>
    <mergeCell ref="A6:B6"/>
    <mergeCell ref="D35:E35"/>
    <mergeCell ref="B21:C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616D-0AC5-4740-B589-F32D24703EBF}">
  <dimension ref="A3:R46"/>
  <sheetViews>
    <sheetView topLeftCell="A2" zoomScale="90" zoomScaleNormal="90" workbookViewId="0">
      <selection activeCell="K7" sqref="K7"/>
    </sheetView>
  </sheetViews>
  <sheetFormatPr defaultRowHeight="14.4" x14ac:dyDescent="0.3"/>
  <cols>
    <col min="1" max="1" width="30.33203125" bestFit="1" customWidth="1"/>
    <col min="2" max="2" width="12.6640625" bestFit="1" customWidth="1"/>
    <col min="3" max="3" width="10" bestFit="1" customWidth="1"/>
    <col min="4" max="4" width="6" bestFit="1" customWidth="1"/>
    <col min="5" max="5" width="7.77734375" bestFit="1" customWidth="1"/>
    <col min="9" max="9" width="8.88671875" customWidth="1"/>
    <col min="11" max="11" width="30.33203125" bestFit="1" customWidth="1"/>
    <col min="12" max="12" width="12.6640625" bestFit="1" customWidth="1"/>
    <col min="13" max="13" width="8" bestFit="1" customWidth="1"/>
  </cols>
  <sheetData>
    <row r="3" spans="1:17" ht="15" thickBot="1" x14ac:dyDescent="0.35"/>
    <row r="4" spans="1:17" ht="15.6" thickTop="1" thickBot="1" x14ac:dyDescent="0.35">
      <c r="A4" s="65" t="s">
        <v>90</v>
      </c>
      <c r="B4" s="61" t="s">
        <v>87</v>
      </c>
      <c r="C4" s="59" t="s">
        <v>88</v>
      </c>
      <c r="D4" s="59" t="s">
        <v>89</v>
      </c>
      <c r="E4" s="60" t="s">
        <v>90</v>
      </c>
      <c r="F4" s="37" t="s">
        <v>91</v>
      </c>
      <c r="G4" s="37" t="s">
        <v>92</v>
      </c>
    </row>
    <row r="5" spans="1:17" ht="15" thickTop="1" x14ac:dyDescent="0.3">
      <c r="A5" s="66">
        <v>1268</v>
      </c>
      <c r="B5" s="62">
        <v>28.57</v>
      </c>
      <c r="C5" s="57" cm="1">
        <f t="array" ref="C5:C9">'RAW DATA'!D4:D8</f>
        <v>28.65</v>
      </c>
      <c r="D5" s="56">
        <v>28.76</v>
      </c>
      <c r="E5" s="58">
        <v>1273</v>
      </c>
      <c r="F5" s="36">
        <f>C5-B5</f>
        <v>7.9999999999998295E-2</v>
      </c>
      <c r="G5" s="36">
        <f>D5-C5</f>
        <v>0.11000000000000298</v>
      </c>
    </row>
    <row r="6" spans="1:17" x14ac:dyDescent="0.3">
      <c r="A6" s="67">
        <v>1269</v>
      </c>
      <c r="B6" s="63">
        <v>28.56</v>
      </c>
      <c r="C6" s="52">
        <v>28.43</v>
      </c>
      <c r="D6" s="52">
        <v>28.56</v>
      </c>
      <c r="E6" s="53">
        <v>1274</v>
      </c>
      <c r="F6" s="36">
        <f t="shared" ref="F6:F9" si="0">C6-B6</f>
        <v>-0.12999999999999901</v>
      </c>
      <c r="G6" s="36">
        <f t="shared" ref="G6:G9" si="1">D6-C6</f>
        <v>0.12999999999999901</v>
      </c>
    </row>
    <row r="7" spans="1:17" x14ac:dyDescent="0.3">
      <c r="A7" s="67">
        <v>1270</v>
      </c>
      <c r="B7" s="63">
        <v>28.55</v>
      </c>
      <c r="C7" s="52">
        <v>28.344999999999999</v>
      </c>
      <c r="D7" s="52">
        <v>28.66</v>
      </c>
      <c r="E7" s="53">
        <v>1275</v>
      </c>
      <c r="F7" s="36">
        <f t="shared" si="0"/>
        <v>-0.20500000000000185</v>
      </c>
      <c r="G7" s="36">
        <f t="shared" si="1"/>
        <v>0.31500000000000128</v>
      </c>
    </row>
    <row r="8" spans="1:17" x14ac:dyDescent="0.3">
      <c r="A8" s="67">
        <v>1271</v>
      </c>
      <c r="B8" s="63">
        <v>28.26</v>
      </c>
      <c r="C8" s="52">
        <v>28.425000000000001</v>
      </c>
      <c r="D8" s="52">
        <v>28.52</v>
      </c>
      <c r="E8" s="53">
        <v>1276</v>
      </c>
      <c r="F8" s="36">
        <f t="shared" si="0"/>
        <v>0.16499999999999915</v>
      </c>
      <c r="G8" s="36">
        <f t="shared" si="1"/>
        <v>9.4999999999998863E-2</v>
      </c>
    </row>
    <row r="9" spans="1:17" ht="15" thickBot="1" x14ac:dyDescent="0.35">
      <c r="A9" s="68">
        <v>1272</v>
      </c>
      <c r="B9" s="64">
        <v>28.31</v>
      </c>
      <c r="C9" s="54">
        <v>28.68</v>
      </c>
      <c r="D9" s="54">
        <v>28.56</v>
      </c>
      <c r="E9" s="55">
        <v>1277</v>
      </c>
      <c r="F9" s="36">
        <f t="shared" si="0"/>
        <v>0.37000000000000099</v>
      </c>
      <c r="G9" s="36">
        <f t="shared" si="1"/>
        <v>-0.12000000000000099</v>
      </c>
    </row>
    <row r="10" spans="1:17" ht="15" thickTop="1" x14ac:dyDescent="0.3"/>
    <row r="13" spans="1:17" ht="15" thickBot="1" x14ac:dyDescent="0.35"/>
    <row r="14" spans="1:17" ht="15" thickTop="1" x14ac:dyDescent="0.3">
      <c r="A14" s="45"/>
      <c r="B14" s="26"/>
      <c r="C14" s="26"/>
      <c r="D14" s="26"/>
      <c r="E14" s="26"/>
      <c r="F14" s="26"/>
      <c r="G14" s="26"/>
      <c r="H14" s="27"/>
      <c r="K14" s="45" t="s">
        <v>22</v>
      </c>
      <c r="L14" s="26"/>
      <c r="M14" s="26"/>
      <c r="N14" s="26"/>
      <c r="O14" s="26"/>
      <c r="P14" s="26"/>
      <c r="Q14" s="27"/>
    </row>
    <row r="15" spans="1:17" ht="15" thickBot="1" x14ac:dyDescent="0.35">
      <c r="A15" s="29" t="s">
        <v>22</v>
      </c>
      <c r="H15" s="28"/>
      <c r="K15" s="29"/>
      <c r="Q15" s="28"/>
    </row>
    <row r="16" spans="1:17" x14ac:dyDescent="0.3">
      <c r="A16" s="29"/>
      <c r="H16" s="28"/>
      <c r="K16" s="71"/>
      <c r="L16" s="25" t="s">
        <v>88</v>
      </c>
      <c r="M16" s="25" t="s">
        <v>87</v>
      </c>
      <c r="Q16" s="28"/>
    </row>
    <row r="17" spans="1:18" x14ac:dyDescent="0.3">
      <c r="A17" s="29"/>
      <c r="B17" t="s">
        <v>88</v>
      </c>
      <c r="C17" t="s">
        <v>89</v>
      </c>
      <c r="H17" s="28"/>
      <c r="K17" s="29" t="s">
        <v>8</v>
      </c>
      <c r="L17">
        <v>28.506</v>
      </c>
      <c r="M17">
        <v>28.45</v>
      </c>
      <c r="Q17" s="28"/>
    </row>
    <row r="18" spans="1:18" x14ac:dyDescent="0.3">
      <c r="A18" s="29" t="s">
        <v>8</v>
      </c>
      <c r="B18">
        <v>28.506</v>
      </c>
      <c r="C18">
        <v>28.612000000000002</v>
      </c>
      <c r="H18" s="28"/>
      <c r="K18" s="29" t="s">
        <v>25</v>
      </c>
      <c r="L18">
        <v>2.2317499999999948E-2</v>
      </c>
      <c r="M18">
        <v>2.3049999999999921E-2</v>
      </c>
      <c r="Q18" s="28"/>
    </row>
    <row r="19" spans="1:18" x14ac:dyDescent="0.3">
      <c r="A19" s="29" t="s">
        <v>25</v>
      </c>
      <c r="B19">
        <v>2.2317499999999948E-2</v>
      </c>
      <c r="C19">
        <v>9.5200000000002054E-3</v>
      </c>
      <c r="H19" s="28"/>
      <c r="K19" s="29" t="s">
        <v>26</v>
      </c>
      <c r="L19">
        <v>5</v>
      </c>
      <c r="M19">
        <v>5</v>
      </c>
      <c r="Q19" s="28"/>
    </row>
    <row r="20" spans="1:18" x14ac:dyDescent="0.3">
      <c r="A20" s="29" t="s">
        <v>26</v>
      </c>
      <c r="B20">
        <v>5</v>
      </c>
      <c r="C20">
        <v>5</v>
      </c>
      <c r="H20" s="28"/>
      <c r="K20" s="29" t="s">
        <v>27</v>
      </c>
      <c r="L20">
        <v>-0.17801405730081904</v>
      </c>
      <c r="Q20" s="28"/>
    </row>
    <row r="21" spans="1:18" x14ac:dyDescent="0.3">
      <c r="A21" s="29" t="s">
        <v>27</v>
      </c>
      <c r="B21">
        <v>0.27339280434260538</v>
      </c>
      <c r="H21" s="28"/>
      <c r="K21" s="29" t="s">
        <v>28</v>
      </c>
      <c r="L21">
        <v>0</v>
      </c>
      <c r="Q21" s="28"/>
    </row>
    <row r="22" spans="1:18" x14ac:dyDescent="0.3">
      <c r="A22" s="29" t="s">
        <v>28</v>
      </c>
      <c r="B22">
        <v>0</v>
      </c>
      <c r="H22" s="28"/>
      <c r="K22" s="29" t="s">
        <v>29</v>
      </c>
      <c r="L22">
        <v>4</v>
      </c>
      <c r="Q22" s="28"/>
    </row>
    <row r="23" spans="1:18" x14ac:dyDescent="0.3">
      <c r="A23" s="29" t="s">
        <v>29</v>
      </c>
      <c r="B23">
        <v>4</v>
      </c>
      <c r="H23" s="28"/>
      <c r="K23" s="29" t="s">
        <v>30</v>
      </c>
      <c r="L23">
        <v>0.54166359302140532</v>
      </c>
      <c r="Q23" s="28"/>
    </row>
    <row r="24" spans="1:18" x14ac:dyDescent="0.3">
      <c r="A24" s="29" t="s">
        <v>30</v>
      </c>
      <c r="B24">
        <v>-1.5342191589790377</v>
      </c>
      <c r="H24" s="28"/>
      <c r="K24" s="29" t="s">
        <v>31</v>
      </c>
      <c r="L24">
        <v>0.30840551490439316</v>
      </c>
      <c r="Q24" s="28"/>
    </row>
    <row r="25" spans="1:18" x14ac:dyDescent="0.3">
      <c r="A25" s="29" t="s">
        <v>31</v>
      </c>
      <c r="B25">
        <v>9.9880486160514093E-2</v>
      </c>
      <c r="H25" s="28"/>
      <c r="K25" s="29" t="s">
        <v>32</v>
      </c>
      <c r="L25">
        <v>2.1318467863266499</v>
      </c>
      <c r="Q25" s="28"/>
    </row>
    <row r="26" spans="1:18" x14ac:dyDescent="0.3">
      <c r="A26" s="29" t="s">
        <v>32</v>
      </c>
      <c r="B26">
        <v>2.1318467863266499</v>
      </c>
      <c r="H26" s="28"/>
      <c r="K26" s="29" t="s">
        <v>33</v>
      </c>
      <c r="L26">
        <v>0.61681102980878633</v>
      </c>
      <c r="Q26" s="28"/>
    </row>
    <row r="27" spans="1:18" ht="15" thickBot="1" x14ac:dyDescent="0.35">
      <c r="A27" s="29" t="s">
        <v>33</v>
      </c>
      <c r="B27">
        <v>0.19976097232102819</v>
      </c>
      <c r="H27" s="28"/>
      <c r="K27" s="72" t="s">
        <v>34</v>
      </c>
      <c r="L27" s="24">
        <v>2.7764451051977934</v>
      </c>
      <c r="M27" s="24"/>
      <c r="Q27" s="28"/>
    </row>
    <row r="28" spans="1:18" x14ac:dyDescent="0.3">
      <c r="A28" s="29" t="s">
        <v>34</v>
      </c>
      <c r="B28">
        <v>2.7764451051977934</v>
      </c>
      <c r="H28" s="28"/>
      <c r="K28" s="29"/>
      <c r="Q28" s="28"/>
    </row>
    <row r="29" spans="1:18" x14ac:dyDescent="0.3">
      <c r="A29" s="29"/>
      <c r="H29" s="28"/>
      <c r="K29" s="29"/>
      <c r="Q29" s="28"/>
    </row>
    <row r="30" spans="1:18" x14ac:dyDescent="0.3">
      <c r="A30" s="29"/>
      <c r="H30" s="28"/>
      <c r="K30" s="29"/>
      <c r="Q30" s="28"/>
    </row>
    <row r="31" spans="1:18" x14ac:dyDescent="0.3">
      <c r="A31" s="29" t="s">
        <v>35</v>
      </c>
      <c r="C31" s="69"/>
      <c r="D31" s="69"/>
      <c r="E31" s="69"/>
      <c r="F31" s="69"/>
      <c r="G31" s="69"/>
      <c r="H31" s="70"/>
      <c r="I31" s="69"/>
      <c r="J31" s="69"/>
      <c r="K31" s="29" t="s">
        <v>35</v>
      </c>
      <c r="M31" s="69"/>
      <c r="N31" s="69"/>
      <c r="O31" s="69"/>
      <c r="P31" s="69"/>
      <c r="Q31" s="70"/>
      <c r="R31" s="69"/>
    </row>
    <row r="32" spans="1:18" x14ac:dyDescent="0.3">
      <c r="A32" s="29" t="s">
        <v>36</v>
      </c>
      <c r="B32" t="s">
        <v>94</v>
      </c>
      <c r="C32" s="69"/>
      <c r="D32" s="69"/>
      <c r="E32" s="69"/>
      <c r="F32" s="69"/>
      <c r="G32" s="69"/>
      <c r="H32" s="70"/>
      <c r="I32" s="69"/>
      <c r="J32" s="69"/>
      <c r="K32" s="29" t="s">
        <v>36</v>
      </c>
      <c r="L32" t="s">
        <v>96</v>
      </c>
      <c r="M32" s="69"/>
      <c r="N32" s="69"/>
      <c r="O32" s="69"/>
      <c r="P32" s="69"/>
      <c r="Q32" s="70"/>
      <c r="R32" s="69"/>
    </row>
    <row r="33" spans="1:18" x14ac:dyDescent="0.3">
      <c r="A33" s="29" t="s">
        <v>38</v>
      </c>
      <c r="B33" t="s">
        <v>95</v>
      </c>
      <c r="C33" s="69"/>
      <c r="D33" s="69"/>
      <c r="E33" s="69"/>
      <c r="F33" s="69"/>
      <c r="G33" s="69"/>
      <c r="H33" s="70"/>
      <c r="I33" s="69"/>
      <c r="J33" s="69"/>
      <c r="K33" s="29" t="s">
        <v>38</v>
      </c>
      <c r="L33" t="s">
        <v>97</v>
      </c>
      <c r="M33" s="69"/>
      <c r="N33" s="69"/>
      <c r="O33" s="69"/>
      <c r="P33" s="69"/>
      <c r="Q33" s="70"/>
      <c r="R33" s="69"/>
    </row>
    <row r="34" spans="1:18" x14ac:dyDescent="0.3">
      <c r="A34" s="29" t="s">
        <v>40</v>
      </c>
      <c r="B34">
        <f>B25</f>
        <v>9.9880486160514093E-2</v>
      </c>
      <c r="C34" s="69"/>
      <c r="D34" s="69"/>
      <c r="E34" s="69"/>
      <c r="F34" s="69"/>
      <c r="G34" s="69"/>
      <c r="H34" s="70"/>
      <c r="I34" s="69"/>
      <c r="J34" s="69"/>
      <c r="K34" s="29" t="s">
        <v>40</v>
      </c>
      <c r="L34">
        <f>L23</f>
        <v>0.54166359302140532</v>
      </c>
      <c r="M34" s="69"/>
      <c r="N34" s="69"/>
      <c r="O34" s="69"/>
      <c r="P34" s="69"/>
      <c r="Q34" s="70"/>
      <c r="R34" s="69"/>
    </row>
    <row r="35" spans="1:18" x14ac:dyDescent="0.3">
      <c r="A35" s="29" t="s">
        <v>41</v>
      </c>
      <c r="B35">
        <f>B27</f>
        <v>0.19976097232102819</v>
      </c>
      <c r="H35" s="28"/>
      <c r="K35" s="29" t="s">
        <v>41</v>
      </c>
      <c r="L35">
        <f>L26</f>
        <v>0.61681102980878633</v>
      </c>
      <c r="Q35" s="28"/>
    </row>
    <row r="36" spans="1:18" x14ac:dyDescent="0.3">
      <c r="A36" s="29" t="s">
        <v>42</v>
      </c>
      <c r="B36">
        <f>B28</f>
        <v>2.7764451051977934</v>
      </c>
      <c r="H36" s="28"/>
      <c r="K36" s="29" t="s">
        <v>42</v>
      </c>
      <c r="L36">
        <f>L27</f>
        <v>2.7764451051977934</v>
      </c>
      <c r="Q36" s="28"/>
    </row>
    <row r="37" spans="1:18" x14ac:dyDescent="0.3">
      <c r="A37" s="29"/>
      <c r="H37" s="28"/>
      <c r="K37" s="29"/>
      <c r="Q37" s="28"/>
    </row>
    <row r="38" spans="1:18" x14ac:dyDescent="0.3">
      <c r="A38" s="29" t="s">
        <v>43</v>
      </c>
      <c r="H38" s="28"/>
      <c r="K38" s="29" t="s">
        <v>43</v>
      </c>
      <c r="Q38" s="28"/>
    </row>
    <row r="39" spans="1:18" x14ac:dyDescent="0.3">
      <c r="A39" s="29"/>
      <c r="H39" s="28"/>
      <c r="K39" s="29"/>
      <c r="Q39" s="28"/>
    </row>
    <row r="40" spans="1:18" x14ac:dyDescent="0.3">
      <c r="A40" s="89" t="s">
        <v>93</v>
      </c>
      <c r="B40" s="85"/>
      <c r="C40" s="85"/>
      <c r="D40" s="85"/>
      <c r="E40" s="85"/>
      <c r="F40" s="85"/>
      <c r="G40" s="85"/>
      <c r="H40" s="28"/>
      <c r="K40" s="89" t="s">
        <v>98</v>
      </c>
      <c r="L40" s="85"/>
      <c r="M40" s="85"/>
      <c r="N40" s="85"/>
      <c r="O40" s="85"/>
      <c r="P40" s="85"/>
      <c r="Q40" s="90"/>
    </row>
    <row r="41" spans="1:18" x14ac:dyDescent="0.3">
      <c r="A41" s="89"/>
      <c r="B41" s="85"/>
      <c r="C41" s="85"/>
      <c r="D41" s="85"/>
      <c r="E41" s="85"/>
      <c r="F41" s="85"/>
      <c r="G41" s="85"/>
      <c r="H41" s="28"/>
      <c r="K41" s="89"/>
      <c r="L41" s="85"/>
      <c r="M41" s="85"/>
      <c r="N41" s="85"/>
      <c r="O41" s="85"/>
      <c r="P41" s="85"/>
      <c r="Q41" s="90"/>
    </row>
    <row r="42" spans="1:18" x14ac:dyDescent="0.3">
      <c r="A42" s="89"/>
      <c r="B42" s="85"/>
      <c r="C42" s="85"/>
      <c r="D42" s="85"/>
      <c r="E42" s="85"/>
      <c r="F42" s="85"/>
      <c r="G42" s="85"/>
      <c r="H42" s="28"/>
      <c r="K42" s="89"/>
      <c r="L42" s="85"/>
      <c r="M42" s="85"/>
      <c r="N42" s="85"/>
      <c r="O42" s="85"/>
      <c r="P42" s="85"/>
      <c r="Q42" s="90"/>
    </row>
    <row r="43" spans="1:18" x14ac:dyDescent="0.3">
      <c r="A43" s="89"/>
      <c r="B43" s="85"/>
      <c r="C43" s="85"/>
      <c r="D43" s="85"/>
      <c r="E43" s="85"/>
      <c r="F43" s="85"/>
      <c r="G43" s="85"/>
      <c r="H43" s="28"/>
      <c r="K43" s="89"/>
      <c r="L43" s="85"/>
      <c r="M43" s="85"/>
      <c r="N43" s="85"/>
      <c r="O43" s="85"/>
      <c r="P43" s="85"/>
      <c r="Q43" s="90"/>
    </row>
    <row r="44" spans="1:18" x14ac:dyDescent="0.3">
      <c r="A44" s="89"/>
      <c r="B44" s="85"/>
      <c r="C44" s="85"/>
      <c r="D44" s="85"/>
      <c r="E44" s="85"/>
      <c r="F44" s="85"/>
      <c r="G44" s="85"/>
      <c r="H44" s="28"/>
      <c r="K44" s="89"/>
      <c r="L44" s="85"/>
      <c r="M44" s="85"/>
      <c r="N44" s="85"/>
      <c r="O44" s="85"/>
      <c r="P44" s="85"/>
      <c r="Q44" s="90"/>
    </row>
    <row r="45" spans="1:18" ht="15" thickBot="1" x14ac:dyDescent="0.35">
      <c r="A45" s="31"/>
      <c r="B45" s="32"/>
      <c r="C45" s="32"/>
      <c r="D45" s="32"/>
      <c r="E45" s="32"/>
      <c r="F45" s="32"/>
      <c r="G45" s="32"/>
      <c r="H45" s="33"/>
      <c r="K45" s="31"/>
      <c r="L45" s="32"/>
      <c r="M45" s="32"/>
      <c r="N45" s="32"/>
      <c r="O45" s="32"/>
      <c r="P45" s="32"/>
      <c r="Q45" s="33"/>
    </row>
    <row r="46" spans="1:18" ht="15" thickTop="1" x14ac:dyDescent="0.3"/>
  </sheetData>
  <mergeCells count="2">
    <mergeCell ref="A40:G44"/>
    <mergeCell ref="K40:Q4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D36C-D861-4074-8668-77FDB84EB07F}">
  <dimension ref="A2:L22"/>
  <sheetViews>
    <sheetView workbookViewId="0">
      <selection activeCell="I21" sqref="I21"/>
    </sheetView>
  </sheetViews>
  <sheetFormatPr defaultRowHeight="14.4" x14ac:dyDescent="0.3"/>
  <cols>
    <col min="1" max="1" width="22.77734375" customWidth="1"/>
    <col min="2" max="2" width="12" bestFit="1" customWidth="1"/>
    <col min="3" max="3" width="5.5546875" bestFit="1" customWidth="1"/>
    <col min="6" max="6" width="17.33203125" bestFit="1" customWidth="1"/>
    <col min="7" max="7" width="8" bestFit="1" customWidth="1"/>
    <col min="8" max="8" width="7" bestFit="1" customWidth="1"/>
    <col min="9" max="12" width="12" bestFit="1" customWidth="1"/>
  </cols>
  <sheetData>
    <row r="2" spans="1:12" ht="15" thickBot="1" x14ac:dyDescent="0.35">
      <c r="B2" s="82" t="s">
        <v>52</v>
      </c>
      <c r="C2" s="82"/>
    </row>
    <row r="3" spans="1:12" ht="15.6" thickTop="1" thickBot="1" x14ac:dyDescent="0.35">
      <c r="B3" s="35">
        <v>1</v>
      </c>
      <c r="C3" s="35">
        <v>2</v>
      </c>
      <c r="F3" t="s">
        <v>56</v>
      </c>
    </row>
    <row r="4" spans="1:12" x14ac:dyDescent="0.3">
      <c r="B4" s="15">
        <v>28.67</v>
      </c>
      <c r="C4" s="15">
        <v>28.63</v>
      </c>
    </row>
    <row r="5" spans="1:12" ht="15" thickBot="1" x14ac:dyDescent="0.35">
      <c r="B5" s="3">
        <v>28.38</v>
      </c>
      <c r="C5" s="3">
        <v>28.48</v>
      </c>
      <c r="F5" t="s">
        <v>57</v>
      </c>
    </row>
    <row r="6" spans="1:12" x14ac:dyDescent="0.3">
      <c r="B6" s="3">
        <v>28.3</v>
      </c>
      <c r="C6" s="3">
        <v>28.39</v>
      </c>
      <c r="F6" s="25" t="s">
        <v>58</v>
      </c>
      <c r="G6" s="25" t="s">
        <v>59</v>
      </c>
      <c r="H6" s="25" t="s">
        <v>60</v>
      </c>
      <c r="I6" s="25" t="s">
        <v>61</v>
      </c>
      <c r="J6" s="25" t="s">
        <v>25</v>
      </c>
    </row>
    <row r="7" spans="1:12" x14ac:dyDescent="0.3">
      <c r="B7" s="3">
        <v>28.35</v>
      </c>
      <c r="C7" s="3">
        <v>28.5</v>
      </c>
      <c r="F7">
        <v>1</v>
      </c>
      <c r="G7">
        <v>10</v>
      </c>
      <c r="H7">
        <v>283.81</v>
      </c>
      <c r="I7">
        <v>28.381</v>
      </c>
      <c r="J7">
        <v>2.3010000000000145E-2</v>
      </c>
    </row>
    <row r="8" spans="1:12" ht="15" thickBot="1" x14ac:dyDescent="0.35">
      <c r="B8" s="3">
        <v>28.64</v>
      </c>
      <c r="C8" s="3">
        <v>28.72</v>
      </c>
      <c r="F8" s="24">
        <v>2</v>
      </c>
      <c r="G8" s="24">
        <v>10</v>
      </c>
      <c r="H8" s="24">
        <v>284.57</v>
      </c>
      <c r="I8" s="24">
        <v>28.457000000000001</v>
      </c>
      <c r="J8" s="24">
        <v>2.3556666666666504E-2</v>
      </c>
    </row>
    <row r="9" spans="1:12" x14ac:dyDescent="0.3">
      <c r="B9" s="3">
        <v>28.34</v>
      </c>
      <c r="C9" s="3">
        <v>28.39</v>
      </c>
    </row>
    <row r="10" spans="1:12" x14ac:dyDescent="0.3">
      <c r="B10" s="3">
        <v>28.26</v>
      </c>
      <c r="C10" s="3">
        <v>28.23</v>
      </c>
    </row>
    <row r="11" spans="1:12" ht="15" thickBot="1" x14ac:dyDescent="0.35">
      <c r="B11" s="3">
        <v>28.27</v>
      </c>
      <c r="C11" s="3">
        <v>28.28</v>
      </c>
      <c r="F11" t="s">
        <v>62</v>
      </c>
    </row>
    <row r="12" spans="1:12" x14ac:dyDescent="0.3">
      <c r="B12" s="3">
        <v>28.24</v>
      </c>
      <c r="C12" s="3">
        <v>28.38</v>
      </c>
      <c r="F12" s="25" t="s">
        <v>63</v>
      </c>
      <c r="G12" s="25" t="s">
        <v>64</v>
      </c>
      <c r="H12" s="25" t="s">
        <v>29</v>
      </c>
      <c r="I12" s="25" t="s">
        <v>65</v>
      </c>
      <c r="J12" s="25" t="s">
        <v>66</v>
      </c>
      <c r="K12" s="25" t="s">
        <v>67</v>
      </c>
      <c r="L12" s="25" t="s">
        <v>68</v>
      </c>
    </row>
    <row r="13" spans="1:12" ht="15" thickBot="1" x14ac:dyDescent="0.35">
      <c r="B13" s="6">
        <v>28.36</v>
      </c>
      <c r="C13" s="6">
        <v>28.57</v>
      </c>
      <c r="F13" t="s">
        <v>69</v>
      </c>
      <c r="G13">
        <v>2.8879999999999906E-2</v>
      </c>
      <c r="H13">
        <v>1</v>
      </c>
      <c r="I13">
        <v>2.8879999999999906E-2</v>
      </c>
      <c r="J13">
        <v>1.2403722261989945</v>
      </c>
      <c r="K13">
        <v>0.28005088313779303</v>
      </c>
      <c r="L13">
        <v>4.4138734191705664</v>
      </c>
    </row>
    <row r="14" spans="1:12" ht="15" thickTop="1" x14ac:dyDescent="0.3">
      <c r="A14" t="s">
        <v>8</v>
      </c>
      <c r="B14" s="36">
        <f>AVERAGE(B4:C13)</f>
        <v>28.419000000000004</v>
      </c>
      <c r="F14" t="s">
        <v>70</v>
      </c>
      <c r="G14">
        <v>0.41909999999999981</v>
      </c>
      <c r="H14">
        <v>18</v>
      </c>
      <c r="I14">
        <v>2.3283333333333323E-2</v>
      </c>
    </row>
    <row r="15" spans="1:12" x14ac:dyDescent="0.3">
      <c r="A15" t="s">
        <v>9</v>
      </c>
      <c r="B15">
        <f>_xlfn.STDEV.S(B4:C13)</f>
        <v>0.15355095159862114</v>
      </c>
    </row>
    <row r="16" spans="1:12" ht="15" thickBot="1" x14ac:dyDescent="0.35">
      <c r="A16" t="s">
        <v>53</v>
      </c>
      <c r="B16">
        <f>G14</f>
        <v>0.41909999999999981</v>
      </c>
      <c r="F16" s="24" t="s">
        <v>71</v>
      </c>
      <c r="G16" s="24">
        <v>0.44797999999999971</v>
      </c>
      <c r="H16" s="24">
        <v>19</v>
      </c>
      <c r="I16" s="24"/>
      <c r="J16" s="24"/>
      <c r="K16" s="24"/>
      <c r="L16" s="24"/>
    </row>
    <row r="17" spans="1:5" x14ac:dyDescent="0.3">
      <c r="A17" t="s">
        <v>54</v>
      </c>
      <c r="B17">
        <f>G13</f>
        <v>2.8879999999999906E-2</v>
      </c>
    </row>
    <row r="18" spans="1:5" x14ac:dyDescent="0.3">
      <c r="A18" t="s">
        <v>55</v>
      </c>
      <c r="B18">
        <f>(B14*B15)*0.3</f>
        <v>1.3091293480443644</v>
      </c>
    </row>
    <row r="20" spans="1:5" x14ac:dyDescent="0.3">
      <c r="A20" s="37" t="s">
        <v>72</v>
      </c>
      <c r="B20" s="37"/>
      <c r="C20" s="37"/>
      <c r="D20" s="37"/>
      <c r="E20" s="37"/>
    </row>
    <row r="21" spans="1:5" x14ac:dyDescent="0.3">
      <c r="A21" t="s">
        <v>73</v>
      </c>
      <c r="B21">
        <f>(B15/(SQRT(20)))</f>
        <v>3.4335036578429685E-2</v>
      </c>
    </row>
    <row r="22" spans="1:5" x14ac:dyDescent="0.3">
      <c r="A22" t="s">
        <v>74</v>
      </c>
      <c r="B22">
        <f>2*B21</f>
        <v>6.8670073156859371E-2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DATA SUMMARY</vt:lpstr>
      <vt:lpstr>LINEARITY</vt:lpstr>
      <vt:lpstr>PRECISION &amp; ACCURACY</vt:lpstr>
      <vt:lpstr>RUGGEDNESS AND ROBUSTNESS</vt:lpstr>
      <vt:lpstr>ROBUSTNESS RE-EVALUATION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dcterms:created xsi:type="dcterms:W3CDTF">2025-06-23T07:59:56Z</dcterms:created>
  <dcterms:modified xsi:type="dcterms:W3CDTF">2025-07-03T10:11:10Z</dcterms:modified>
</cp:coreProperties>
</file>