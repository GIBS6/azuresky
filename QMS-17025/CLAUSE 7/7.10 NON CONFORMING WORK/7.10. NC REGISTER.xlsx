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QMWARELIMS12\AZURESKY SYSTEM\AZURESKY QMS\17025\CLAUSE 7\7.10 NON CONFORMING WORK\"/>
    </mc:Choice>
  </mc:AlternateContent>
  <xr:revisionPtr revIDLastSave="0" documentId="13_ncr:1_{943B2CDE-CEA4-4546-A011-B16696F58147}" xr6:coauthVersionLast="47" xr6:coauthVersionMax="47" xr10:uidLastSave="{00000000-0000-0000-0000-000000000000}"/>
  <bookViews>
    <workbookView xWindow="-108" yWindow="-108" windowWidth="23256" windowHeight="12456" xr2:uid="{00000000-000D-0000-FFFF-FFFF00000000}"/>
  </bookViews>
  <sheets>
    <sheet name="INTERNAL" sheetId="3" r:id="rId1"/>
    <sheet name="EXTERNAL" sheetId="1" r:id="rId2"/>
    <sheet name="Revision Table" sheetId="2"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1" i="3" l="1"/>
  <c r="D45" i="1"/>
</calcChain>
</file>

<file path=xl/sharedStrings.xml><?xml version="1.0" encoding="utf-8"?>
<sst xmlns="http://schemas.openxmlformats.org/spreadsheetml/2006/main" count="726" uniqueCount="384">
  <si>
    <t>NC No.</t>
  </si>
  <si>
    <t>Detected By (Name / Dept.)</t>
  </si>
  <si>
    <t>Reference Document / Procedure / Clause</t>
  </si>
  <si>
    <t>Root Cause Analysis (Why it happened)</t>
  </si>
  <si>
    <t>Effectiveness Verification (Outcome)</t>
  </si>
  <si>
    <t>Verified By (Name &amp; Date)</t>
  </si>
  <si>
    <t>Status (Open / Closed)</t>
  </si>
  <si>
    <t>NC02 09/2025</t>
  </si>
  <si>
    <t>15/09/2025</t>
  </si>
  <si>
    <t>SANAS R80-06 Clause 7.3.</t>
  </si>
  <si>
    <t>Add a section for CRM characterisation and their establishment on the PT final report.</t>
  </si>
  <si>
    <t>Laboratory Manager</t>
  </si>
  <si>
    <t>Closed</t>
  </si>
  <si>
    <t>05/09/2025</t>
  </si>
  <si>
    <t>Tshepo Maponya</t>
  </si>
  <si>
    <t>Oversight when doing the checklist requirements of a PT report (see report for details).</t>
  </si>
  <si>
    <t>CRM's of two different qualities were packaged and labelled as one sample CRM 006 and PT A Aug 2025.</t>
  </si>
  <si>
    <t>Reference values &amp; their establishment omitted within all PT reports (1-6).</t>
  </si>
  <si>
    <t>ISO 17034, Clause 7.5.</t>
  </si>
  <si>
    <t>Isolate the affected CRM batches and remove them from storage.</t>
  </si>
  <si>
    <t>06/09/2025</t>
  </si>
  <si>
    <t>Operation Manager</t>
  </si>
  <si>
    <t>NC01 09/2025</t>
  </si>
  <si>
    <t>Number of NCs:</t>
  </si>
  <si>
    <t>NC03/2025 T</t>
  </si>
  <si>
    <t>05/01/2026</t>
  </si>
  <si>
    <t>Stability monitoring results for CRM004 and CRM 005 (July-Dec 2025) were incorrectly assigned due to swapping of CRM bottles during storage</t>
  </si>
  <si>
    <t>ISO 17034, Clause 7.11.</t>
  </si>
  <si>
    <t>CRM preparation and packaging procedure was revised to mandate immediate individual bottle labelling during packaging and to prohibit CRM units storage/testing unless permanent identification labels are available amd applied. A formal hold or quarantine process including approved temp identification was introduced for such situations where labels are unavailable.</t>
  </si>
  <si>
    <t xml:space="preserve">* CRM stickers not available at the time of packaging.                                                                                        * No secondary/temporary labelling system defined for use during stickers shortage                                                                                 *Packaging procedure allows packaging to proceed when CRM stickers                                        </t>
  </si>
  <si>
    <t>06/01/2026</t>
  </si>
  <si>
    <t>07/01/2026</t>
  </si>
  <si>
    <t>NC04/2026 T</t>
  </si>
  <si>
    <t>15/01/2026</t>
  </si>
  <si>
    <t xml:space="preserve">No records for 4.75mm crusher efficiency </t>
  </si>
  <si>
    <t>ISO 17025 7.5.1</t>
  </si>
  <si>
    <t>The procedure lacked explicit instruction on the crusher effeiciency of 4.75mm. Thus, efficiency was done unofficially.</t>
  </si>
  <si>
    <t>Laboratory Supervisor</t>
  </si>
  <si>
    <t>Update the ASIW001 document to include when to do the efficiency of the crusher in question.</t>
  </si>
  <si>
    <t>16/01/2026</t>
  </si>
  <si>
    <t>Effective</t>
  </si>
  <si>
    <t>No records for in-house maintenance of equipment</t>
  </si>
  <si>
    <t>Purchase an in-house maintenance book</t>
  </si>
  <si>
    <t>Initially, the lab did not see the need to have an in-house given that service providers leave job cards after major maintenances.</t>
  </si>
  <si>
    <t>10/02/2026</t>
  </si>
  <si>
    <t>NC06/2026 T</t>
  </si>
  <si>
    <t>05/02/2026</t>
  </si>
  <si>
    <t>CAB claimed conformity/accreditation to ISO/IEC 17025 even though it is still going through the accreditation process</t>
  </si>
  <si>
    <t>ISO 17025(SANAS F48 cl 5.3)</t>
  </si>
  <si>
    <t>Revise the document to make it clear about the position of the lab's non accredited status.</t>
  </si>
  <si>
    <t>The lab did not intend to claim conformity/accreditation. CAB only meant that the QMS is designed based on the structure of ISO 17025.</t>
  </si>
  <si>
    <t>NC07/2026 T</t>
  </si>
  <si>
    <t>02/09/2026</t>
  </si>
  <si>
    <t>The requirements of the standard, customer regulatory authorities and organization providing regulation was not addressed/documented in the QMS of the CAB</t>
  </si>
  <si>
    <t>ISO 17025 (SANAS 5.4 F48-07)</t>
  </si>
  <si>
    <t>The drafting of the requirements of standards, customer, reg auth etc (ASMF5.4) was done</t>
  </si>
  <si>
    <t>Major</t>
  </si>
  <si>
    <t>The QMS was still being developed therefore the document that states the requirement of standards, customers, regulatory authorities was not drafted leading to an incomplete system documentation</t>
  </si>
  <si>
    <t>09/02/2026</t>
  </si>
  <si>
    <t>NC09/2026 T</t>
  </si>
  <si>
    <t>Cab did not outline how it intends to make the complaint handling process avaliable to interested parties and how it plans to issue communication of the final outcome of logged complaints</t>
  </si>
  <si>
    <t>ISO 17025 (SANAS F48 Cl7.9.2) &amp; 7.9.7</t>
  </si>
  <si>
    <t>The complaint and appeal procedure document (ASMF 7.18B) was updated to include the information already published on the website</t>
  </si>
  <si>
    <t>Minor</t>
  </si>
  <si>
    <t>The issue was caused by oversight and incomplete system documentation. Although the complaint and appeal handling information was avaliable on the company website, it was not fully captured in the formal complaint and appeal procedure document</t>
  </si>
  <si>
    <t>NC08/2026 T</t>
  </si>
  <si>
    <t>NC10/2026 T</t>
  </si>
  <si>
    <t>The responsibility for authorising the resumption of work not clearly defined in 7.17 document</t>
  </si>
  <si>
    <t>ISO 17025 (SANAS F48-07 Cl7.10)</t>
  </si>
  <si>
    <t>The drafting or updating of the document (ASMF7.17) clearly stating that the operations/ lab manager authorizes resumption of work</t>
  </si>
  <si>
    <t>Due to incomplete system documentation, nowhere in the documented system was it clearly stated as to who gives authority for resumption of work</t>
  </si>
  <si>
    <t>The document AS0041W was updated with the effective date and next review date</t>
  </si>
  <si>
    <t>The sampled procedure for the determination of inherent moisture AS0041W has no date (effective and next review date)</t>
  </si>
  <si>
    <t>This matter was an oversight and as a result, there was no effective and next review date for the sampled procedure for determination of inherent moisture AS0041W</t>
  </si>
  <si>
    <t>NC12/2026</t>
  </si>
  <si>
    <t>it was noted that there is no additional process/procedure detailinng the implementation of the requirement 6.4</t>
  </si>
  <si>
    <t>A new document was drafted -ASMF6.3 PROC - detailing the additional processes of the implementation of 6.4 requirement and memo-003 was sent out to all personnel</t>
  </si>
  <si>
    <t>The required process for clause 6.4 were not fully written down. The root cause was incomplete system documentation</t>
  </si>
  <si>
    <t>11/02/2026</t>
  </si>
  <si>
    <t>NC13/2026</t>
  </si>
  <si>
    <t>06/02/2026</t>
  </si>
  <si>
    <t>The timelines to address NCs was not specified</t>
  </si>
  <si>
    <t>ISO 17025 (Clause 8.7.1, SANAS F48-07)</t>
  </si>
  <si>
    <t>Document ASMF7.17 was updated with specified timesframes for closing/addressing NCs</t>
  </si>
  <si>
    <t>Incomplete system documentation</t>
  </si>
  <si>
    <t>NC14/2026</t>
  </si>
  <si>
    <t>NC15/2026</t>
  </si>
  <si>
    <t>NC16/2026</t>
  </si>
  <si>
    <t>NC17/2026</t>
  </si>
  <si>
    <t>NC18/2026</t>
  </si>
  <si>
    <t>NC19/2026</t>
  </si>
  <si>
    <t>NC21/2026</t>
  </si>
  <si>
    <t>NC22/2026</t>
  </si>
  <si>
    <t>12/02/2026</t>
  </si>
  <si>
    <t>On the 29/09/2025 samples were analysed with the control sample out of limits for CV.</t>
  </si>
  <si>
    <t>ISO 17025 cl 7.7</t>
  </si>
  <si>
    <t>Re-train the personnel and check if any PT samples were affected.</t>
  </si>
  <si>
    <t>06/02/2025</t>
  </si>
  <si>
    <t>Competency declaration ASMI 6.1. Rev 00 for technical tasks only, not indicating the overall responsibility to be able to evaluate significance of deviations.</t>
  </si>
  <si>
    <t>ISO 17043 6.2.3.</t>
  </si>
  <si>
    <t>Organization lacked a process/procedure for selection, appointing, and recruitment of technical personnel.</t>
  </si>
  <si>
    <t>ISO 17043 6.2.</t>
  </si>
  <si>
    <t>Document a procedure for the selection and recruitment of technical personnel</t>
  </si>
  <si>
    <t>Internal audit program lacked clarity and completeness in several key areas. Audit criteria are not explicitly  defined as required by ISO 17025, and there is limited documented evidence of formal reporting to management. Corrective actions arising from audits not assigned not assigned, implementation timelines, and audit retention is nit clearly specified.</t>
  </si>
  <si>
    <t>ISO 17025 (SANAS F48-07 Cl 8.8)</t>
  </si>
  <si>
    <t>Update internal audit AUI001</t>
  </si>
  <si>
    <t>Not all performance charatcers were evaluated in the report AS003MV, and no valid reason provided.</t>
  </si>
  <si>
    <t>ISO 17025 cl 7.2.2</t>
  </si>
  <si>
    <t>Update AS003MV procedure to include reasons for omission of certain perfomance characteristics.</t>
  </si>
  <si>
    <t>Original validation report focused on the parameters making the method sufficiently fit for purpose, but neglected to include reasons for omission. Thus, making the NC to be classified as incomplete system documentation.</t>
  </si>
  <si>
    <t>Procedure for the control of NC's doesn't adequately define how the effectiveness of corrective actions is reviewed and verified. Timeliness for effectiveness review not specified, particularly where immediate verifcation is not practical, and no distinction is made b/w minor and major NCS. Procedure doesn't clearly require changes to the management system where necessary to prevent recurrence. In addition, corrective actions, records, including root causes, actions taken, and results of effectiveness verificationare not explicitly required to be retained. This limit's the lab's ability to demonstrate that corrective actions are effective and sustained.</t>
  </si>
  <si>
    <t>ISO 17025 (SANAS F48 cl 8.7)</t>
  </si>
  <si>
    <t>Management of NC procedure (ASMF 7.17) was updated to include the omitted requirements.</t>
  </si>
  <si>
    <t>Incomplete system documentation &amp; processes not defined. The procedure for NC working failed to adress how the corrective action effectiveness are revised/verifed detail requirements for changes in management system as well as record retention.</t>
  </si>
  <si>
    <t>There is no clear indication of contributors to measurement uncertainty UB001 only indicates expanded uncertainty, no contributors mentioned.</t>
  </si>
  <si>
    <t>ISO 17025 (Clause 7.6)</t>
  </si>
  <si>
    <t>Revised UB001 to include detailed uncertainty budget tables for volatile matter, inherent moisture, ash determination and calorific value.</t>
  </si>
  <si>
    <t>Oversight</t>
  </si>
  <si>
    <t>04/02/2026</t>
  </si>
  <si>
    <t>Sifiso Nyambi</t>
  </si>
  <si>
    <t>The subcontractor/coutractor register doesn't list any supplier/service provider. Another point that was not addressed: how does the lifted evaluation criteria for supplies or services help in assessing their performance.</t>
  </si>
  <si>
    <t>ISO 17025 (SANAS 6.6.2 F48-07)</t>
  </si>
  <si>
    <t>The updated list for evaulation was created</t>
  </si>
  <si>
    <t>Oversight and human error were the root cause through the use of cause tool</t>
  </si>
  <si>
    <t>07/04/2026</t>
  </si>
  <si>
    <t>N. Chiliza</t>
  </si>
  <si>
    <t>Column3</t>
  </si>
  <si>
    <t>REVISION NO</t>
  </si>
  <si>
    <t>CONTENT CHANGED</t>
  </si>
  <si>
    <t xml:space="preserve"> </t>
  </si>
  <si>
    <t>19/09/2025</t>
  </si>
  <si>
    <t>There are 11 points oon one side of the IM control chart(02/06-18/09). The bias was not investigated.</t>
  </si>
  <si>
    <t>ISO 17025 Clause 7.7</t>
  </si>
  <si>
    <t>The primary root cause was negligence as well as lack of understanding of significance of job,</t>
  </si>
  <si>
    <t xml:space="preserve">A new control was opened since the previous one was approaching an end/finishing. The remaining coal in the near empty pulp was heavily oxidised due to usage and most of the moisture had escaped. </t>
  </si>
  <si>
    <t>20/09/2025</t>
  </si>
  <si>
    <t>20/10/2025</t>
  </si>
  <si>
    <t>Follow-up Date(Part 5)</t>
  </si>
  <si>
    <t>Date Closed(Part 4)</t>
  </si>
  <si>
    <t>Date Identified(Part 1)</t>
  </si>
  <si>
    <t>Description of Non-Conformity (What went wrong?/Part 1)</t>
  </si>
  <si>
    <t>Corrective Action Taken(Part 3)</t>
  </si>
  <si>
    <t>Impact Assessment (Major / Minor?)</t>
  </si>
  <si>
    <t xml:space="preserve">Major </t>
  </si>
  <si>
    <t>Assesor/Inspector/Expert</t>
  </si>
  <si>
    <t>Inadequate planning for future in that at the time of packaging, stickers were unavailable. Cross contamination due to incorrect storage/handling</t>
  </si>
  <si>
    <t>13/03/2026</t>
  </si>
  <si>
    <t>The PT reporting process failed to ensure that results for distinct PT items were evaluated and presented separately.</t>
  </si>
  <si>
    <t>ISO 17025 cl 7.8 &amp; ISO 13528 clause 9.9.1</t>
  </si>
  <si>
    <t>Update the statistical design to encompass the testing of two PT items within the same round. Ammended all reports for time frame affected</t>
  </si>
  <si>
    <t>Process not defined</t>
  </si>
  <si>
    <t>16/04/2026</t>
  </si>
  <si>
    <t>Negligence &amp; Oversight</t>
  </si>
  <si>
    <t>26/02/2026</t>
  </si>
  <si>
    <t>Revise form ASMF6.1. to includea section explaining that personnel have been trained to identify deviations, assess, investigate and address NCs.</t>
  </si>
  <si>
    <t>16/03/2026</t>
  </si>
  <si>
    <t>07/02/2026</t>
  </si>
  <si>
    <t>ISO 17025 Clause 6.4</t>
  </si>
  <si>
    <t>NC11/2026</t>
  </si>
  <si>
    <t>ISO 17025 7.2.1.2</t>
  </si>
  <si>
    <t>NC02</t>
  </si>
  <si>
    <t xml:space="preserve">Both vessel and lid were placed in the oven contrary to procedure AS004IW where only the open vessel should go to the oven and the lid to be placed in the desiccator </t>
  </si>
  <si>
    <t>ISO 17025 7.2</t>
  </si>
  <si>
    <t>Session held with personnel reminding them of the proper way to carry out IM analysis.</t>
  </si>
  <si>
    <t>NCO1</t>
  </si>
  <si>
    <t>The platform scale used for sample preparation is moved around when sample is weighed at different stages posing an accuracy risk</t>
  </si>
  <si>
    <t>ISO 17025 Clause 7.4/6.4</t>
  </si>
  <si>
    <t>An internal memo was sent out outlining the factors that influence proper functioning of the balance and how it affects accuracy. The memo prohibits the movement of balances without authorisation from management.</t>
  </si>
  <si>
    <t>Lack of understanding the importance of job</t>
  </si>
  <si>
    <t>AB06</t>
  </si>
  <si>
    <t>08/04/2026</t>
  </si>
  <si>
    <t>ASMF 8.7.3 was not used for NC01 as per ASMF 7.16.5. The lab's NCW register has incorrect closing dates and NC dates.</t>
  </si>
  <si>
    <t>ISO 17025 7.10</t>
  </si>
  <si>
    <t>System simplication, procedural update and staff training</t>
  </si>
  <si>
    <t>System redundancy and ambiguity, Communication and audit retrival and register interpretation</t>
  </si>
  <si>
    <t>NC04</t>
  </si>
  <si>
    <t>ISO 17025 7.7</t>
  </si>
  <si>
    <t>Control chart (27/08/25 - 03/10/2025) had ten points below the mean and no action was taken. Rules presented for control charts aren't part of the system</t>
  </si>
  <si>
    <t>AS001V procedure was updated and control charts interpretations and references were included. Staff was also informed on the changes of the procedure</t>
  </si>
  <si>
    <t>Negligence &amp; lack of processes defined</t>
  </si>
  <si>
    <t>AB08</t>
  </si>
  <si>
    <t xml:space="preserve">ASMF 7.17 had a revision 01 but no evidence that revision 00 was made obsolete. All personnel had access to the system with editable versions accessible. </t>
  </si>
  <si>
    <t>ISO 17025 8.3.2</t>
  </si>
  <si>
    <t xml:space="preserve">ASMF 7.17 was immediately corrected. Implementation of access control and system improvement </t>
  </si>
  <si>
    <t>Incomplete document lifecycle procedure, inadequate IT permissions management and Administrative oversight</t>
  </si>
  <si>
    <t>AB05</t>
  </si>
  <si>
    <t>ASDPOO1 does not include the testing coal samples of client but does include PT provision scheme and CRM production.</t>
  </si>
  <si>
    <t>ISO 17025 5.3</t>
  </si>
  <si>
    <t xml:space="preserve">ASDP001 was updated to include testing activities for clients within the defined scope of the  lab's activities </t>
  </si>
  <si>
    <t>A.Bougart</t>
  </si>
  <si>
    <t>AB04</t>
  </si>
  <si>
    <t>Risk for impartiality for financial dependence was done with the solution that an alt company number will be used to mitigate risk, however the alt number was not shared with clients.</t>
  </si>
  <si>
    <t>ISO 17025 4.1.4</t>
  </si>
  <si>
    <t>Formal memo was issued to management confirming the only approved number for client communication</t>
  </si>
  <si>
    <t>AB01</t>
  </si>
  <si>
    <t>The impartiality policy ASFM 4.2 was not signed by personnel acknowledging the policy</t>
  </si>
  <si>
    <t>ISO 17025 8.4.2</t>
  </si>
  <si>
    <t>Seesion was held with personnel to communicate the implementation of the impartiality policy ASMF 4.2</t>
  </si>
  <si>
    <t>NC06</t>
  </si>
  <si>
    <t>No method validation for total moisture</t>
  </si>
  <si>
    <t>Conduct analysis from competent personnel and also do method validation report for TM.</t>
  </si>
  <si>
    <t xml:space="preserve">Inadequate planning </t>
  </si>
  <si>
    <t>NC07</t>
  </si>
  <si>
    <t>Although CAB is participating in the PT for Sample preration and total moisture this is not included in the Lab PT plan QM 5-AS001</t>
  </si>
  <si>
    <t xml:space="preserve">PT plan was revised to include sample prep and TM within their frequency of participation in the plan. </t>
  </si>
  <si>
    <r>
      <t>Note: If</t>
    </r>
    <r>
      <rPr>
        <sz val="11"/>
        <color theme="1"/>
        <rFont val="Calibri"/>
        <family val="2"/>
        <scheme val="minor"/>
      </rPr>
      <t xml:space="preserve"> there is no recurrence of the same NC after the follow-up period has ended, the EFFECTIVEN</t>
    </r>
    <r>
      <rPr>
        <b/>
        <sz val="11"/>
        <color theme="1"/>
        <rFont val="Calibri"/>
        <family val="2"/>
        <scheme val="minor"/>
      </rPr>
      <t>ESS VERIFICATION shall sta</t>
    </r>
    <r>
      <rPr>
        <sz val="11"/>
        <color theme="1"/>
        <rFont val="Calibri"/>
        <family val="2"/>
        <scheme val="minor"/>
      </rPr>
      <t>te "EFFECTIVE</t>
    </r>
    <r>
      <rPr>
        <b/>
        <sz val="11"/>
        <color theme="1"/>
        <rFont val="Calibri"/>
        <family val="2"/>
        <scheme val="minor"/>
      </rPr>
      <t>". If there</t>
    </r>
    <r>
      <rPr>
        <sz val="11"/>
        <color theme="1"/>
        <rFont val="Calibri"/>
        <family val="2"/>
        <scheme val="minor"/>
      </rPr>
      <t xml:space="preserve"> is a recurrence, the EFFECTIVE </t>
    </r>
    <r>
      <rPr>
        <b/>
        <sz val="11"/>
        <color theme="1"/>
        <rFont val="Calibri"/>
        <family val="2"/>
        <scheme val="minor"/>
      </rPr>
      <t>VERIFICATION shall sta</t>
    </r>
    <r>
      <rPr>
        <sz val="11"/>
        <color theme="1"/>
        <rFont val="Calibri"/>
        <family val="2"/>
        <scheme val="minor"/>
      </rPr>
      <t>te NOT EFFEC</t>
    </r>
    <r>
      <rPr>
        <b/>
        <sz val="11"/>
        <color theme="1"/>
        <rFont val="Calibri"/>
        <family val="2"/>
        <scheme val="minor"/>
      </rPr>
      <t>TIVE, PERFORM RISK ASSESSMENT</t>
    </r>
  </si>
  <si>
    <t>Reference Document/ Clause</t>
  </si>
  <si>
    <t>AB09</t>
  </si>
  <si>
    <t xml:space="preserve">ASMF 7.17 was amended and no changes documented from version 0 to version 1 </t>
  </si>
  <si>
    <t>Immediate correction and review of ASMF 7.17 was done. Staff was trained</t>
  </si>
  <si>
    <t>inadequate verification step and procedural misinterpretation</t>
  </si>
  <si>
    <t>17/04/2026</t>
  </si>
  <si>
    <t>15/04/2026</t>
  </si>
  <si>
    <t>13/04/2026</t>
  </si>
  <si>
    <t>14/04/2026</t>
  </si>
  <si>
    <t>09/04/2026</t>
  </si>
  <si>
    <t>NC03 09/2025</t>
  </si>
  <si>
    <t>AB07</t>
  </si>
  <si>
    <t>ASFM 7.16 point 7 states that for all NCs, a risk matrix must be used to evaluate and assess the risk of the NC. The NCW register only has major and minor rating for all NCs</t>
  </si>
  <si>
    <t>ISO 17025 8.7.1</t>
  </si>
  <si>
    <t>Procedure ASMF 7.17 has been revised, Implementation of monitering period, conditional risk assessment and NCW register has beeen updated</t>
  </si>
  <si>
    <t xml:space="preserve">over-complex procedural design </t>
  </si>
  <si>
    <t>AB18</t>
  </si>
  <si>
    <t>ASMF 8.7 states that all audit records should be avaliable in hardcopy and softcopy, only hardcopes were avaliable</t>
  </si>
  <si>
    <t>ISO 17025 8.8.2</t>
  </si>
  <si>
    <t xml:space="preserve">Procedure was revised to highlight that personnel can produce"either" soft or hard copies of the NCs to auditors. </t>
  </si>
  <si>
    <t>Non-adherance to procedure and rigid procedural design</t>
  </si>
  <si>
    <t>N. Msibi</t>
  </si>
  <si>
    <t>NC05/2026</t>
  </si>
  <si>
    <t>28/01/2026</t>
  </si>
  <si>
    <t>AB22</t>
  </si>
  <si>
    <t xml:space="preserve">There is no evidence of any communication regarding the prodcuts and services to be provided, the acceptance crieteria, competence required or axctivities that the lab intends to perform at the customers's premises. </t>
  </si>
  <si>
    <t>ISO 17025 6.6.3</t>
  </si>
  <si>
    <t>A checklist &amp; approval of suppliers has been documented and sent out to service providers. Equiptment procedure 6.4 has been ammended to include the fulfillment of the subclause in question</t>
  </si>
  <si>
    <t>Oversight and incomplete system documentation</t>
  </si>
  <si>
    <t>08/05/2026</t>
  </si>
  <si>
    <t>AB15</t>
  </si>
  <si>
    <t>Lab manager conducted an internal audit on 29/01 to 20/02/2026 whereby there was not clear evidence of the impartiality of the audit as his role as the lab manager of the lab.</t>
  </si>
  <si>
    <t>ISO 17025 4.1.1</t>
  </si>
  <si>
    <t xml:space="preserve">Risk assessment to impartiality associated with internal audit has been conducted. A internal audit has been conducted, implementing one of the controls to use the mananging director as they are not involved in the system. </t>
  </si>
  <si>
    <t>17/05/2026</t>
  </si>
  <si>
    <t>AB23</t>
  </si>
  <si>
    <t>There was no evidence that the lab's external services providers were evaluated according to procedure ASDP001 point 2.3.</t>
  </si>
  <si>
    <t>ISO 17025 6.3.1</t>
  </si>
  <si>
    <t>Revision of ASDP001 &amp; equiptment providers. Back tracking of assessment &amp; evaluation of service providers. Communication of changes to all personnel.</t>
  </si>
  <si>
    <t>Oversight and Non-adherance to procedure</t>
  </si>
  <si>
    <t>22/02/2026</t>
  </si>
  <si>
    <t>AB20</t>
  </si>
  <si>
    <t>Lab did not clearly state: the frequency of internal audits and reason for delaying the internal audit. Lab does not have an internal audit plan for 2026</t>
  </si>
  <si>
    <t>ISO 17025</t>
  </si>
  <si>
    <t>ISO 17025 8.8.2a</t>
  </si>
  <si>
    <t xml:space="preserve">Draft 2026 audit plan. Procedure clarification </t>
  </si>
  <si>
    <t xml:space="preserve">Planning vs execution alignment, unmanaged deviation </t>
  </si>
  <si>
    <t>21/04/2026</t>
  </si>
  <si>
    <t>AB11</t>
  </si>
  <si>
    <t>Following agenda points were not discussed in the MRM: Outcome of assurance of the validity of results, monitering activities and training.</t>
  </si>
  <si>
    <t>ISO 17025 8.9.2</t>
  </si>
  <si>
    <t>Memo was sent out as a reminder of required agenda points for MRM. Subsequent MRM was conducted wherein all outstanding agenda points including monitoring activities and training were discussed &amp; documented accordingly.</t>
  </si>
  <si>
    <t>Non-adherance to procedure</t>
  </si>
  <si>
    <t>22/05/2026</t>
  </si>
  <si>
    <t>AB12</t>
  </si>
  <si>
    <t>Register for minutes of meeting did not have responsible persons and due dates.</t>
  </si>
  <si>
    <t>ISO 17025 8.9.3</t>
  </si>
  <si>
    <t>Memo was sent out informing personnel of the updated requirements to document ASMF 8.6</t>
  </si>
  <si>
    <t xml:space="preserve">Incomplete document </t>
  </si>
  <si>
    <t>05/05/2026</t>
  </si>
  <si>
    <t>AB13</t>
  </si>
  <si>
    <t>It was observed that the lab did not have an audit report evidence of results of the internal audits reported to relevant management.</t>
  </si>
  <si>
    <t>ISO 17025 8.8.2C</t>
  </si>
  <si>
    <t>Optimization of precedure ASMF 8.7. Formalization of reporting evidence. Quality manual update. Session for communication of changes to procedure ASMF 8.7</t>
  </si>
  <si>
    <t>Ineffective system documentation. Redundant procedural design and non-adherance to procedure.</t>
  </si>
  <si>
    <t>NCO5</t>
  </si>
  <si>
    <t>No evidence that the sieves used for crusher efficiency were verified</t>
  </si>
  <si>
    <t>ISO 17025 7.4</t>
  </si>
  <si>
    <t>Interim control &amp; procedure update. Verification of sieves performed using spreadsheet. Permanent solution of the purchase of a vernier caliber.</t>
  </si>
  <si>
    <t>Failure of implementation</t>
  </si>
  <si>
    <t>24/04/2026</t>
  </si>
  <si>
    <t>NC03</t>
  </si>
  <si>
    <t>Balance verification for Calorific value does not cover the range as is only starts from 1g whereas 0.5g of the sample is weighed</t>
  </si>
  <si>
    <t>ISO 17025 6.4</t>
  </si>
  <si>
    <t>Procurement of certified 500mg. Blance verification template include 0.5g verification. Communication to relevant personnel has been made for awareness of changes to the verification template</t>
  </si>
  <si>
    <t xml:space="preserve">Procedural misalignment and inadequate technical review of the method. </t>
  </si>
  <si>
    <t>04/05/2026</t>
  </si>
  <si>
    <t>AB10</t>
  </si>
  <si>
    <t>No evidence of manual records were archieved for 2025</t>
  </si>
  <si>
    <t>Memo sent out to inform personnel of the records archiving rocedure as well as the physical location of the archived technical records</t>
  </si>
  <si>
    <t>non-adherance to procedure</t>
  </si>
  <si>
    <t>AB19</t>
  </si>
  <si>
    <t>No evidence of analysing the feedback in order to improve the management system and customer service as per ASDPOO1 point 4.4</t>
  </si>
  <si>
    <t>ISO 17025 8.6.2</t>
  </si>
  <si>
    <t>Immediate analysis of the feedback forms received have been now done on excel analysis form FBO1 evaluation of customer feedback. Document ASDPOO1 has been revised 4.4 now includes the evaluation of the feedback from customers on spreadsheet FB01.</t>
  </si>
  <si>
    <t>22/04/2026</t>
  </si>
  <si>
    <t>AB14</t>
  </si>
  <si>
    <t>Procedure ASMF 8.7 states that the lead auditor shall generate an audit scope to the auditee at least 24 hours prior the day of the audit.</t>
  </si>
  <si>
    <t>ISO 17025 8.8.2b</t>
  </si>
  <si>
    <t>personnel undertook retraining on procedure 8.7 so that guidance given by this procedure be implemented when conducting internal audits. Evidence of attendance register to the session attached. A recent internal audits was conducted in line with requirement of said procedure with evidence attached.</t>
  </si>
  <si>
    <t>15/05/2026</t>
  </si>
  <si>
    <t>AB21</t>
  </si>
  <si>
    <t>An NC was not raised as per procedure ASMF 7.18B and logged on the NCW, and no risk analysis performed.</t>
  </si>
  <si>
    <t>Immediate remediation, revision of procedure 7.18 and communication to personnel</t>
  </si>
  <si>
    <t>Fundamental procedures not aligning and ieffective system documentation</t>
  </si>
  <si>
    <t>AB16</t>
  </si>
  <si>
    <t>No evidence of the opening and closing meeting and audit report as stated in procedure ASMF 8.7</t>
  </si>
  <si>
    <t>ISO 17025 8.8.2e</t>
  </si>
  <si>
    <t>Procedure 8.7 has been revised, a full re-audit has been conducted and personnel made aware of the changes.</t>
  </si>
  <si>
    <t>Negligence and Non-adherance to procedure</t>
  </si>
  <si>
    <t>14/05/2026</t>
  </si>
  <si>
    <t>AB17</t>
  </si>
  <si>
    <t xml:space="preserve">It was observed that audit records used for the internal audit dated 29/01 - 20/02/2026 were not signed by the auditor. </t>
  </si>
  <si>
    <t>sign SANAS form for audit conducted, Document clean-up, Standardistaion of vertical assessments and audit team briefing</t>
  </si>
  <si>
    <t>Administrative oversight, inadequate document hygiene and lack of standardisation</t>
  </si>
  <si>
    <t>AB02</t>
  </si>
  <si>
    <t>Declaration of interest and Non-disclosure form was not completed by the director of the CAB.</t>
  </si>
  <si>
    <t>ISO 17025 4.1.2</t>
  </si>
  <si>
    <t>Director signed ASMF 4.2.1 and 4.3.1. Impartiality risk reviewed</t>
  </si>
  <si>
    <t>Misinterpretation of the clause scope and inadequate onboarding processes for top management.</t>
  </si>
  <si>
    <t>AB03</t>
  </si>
  <si>
    <t>08/04/2027</t>
  </si>
  <si>
    <t>08/04/2028</t>
  </si>
  <si>
    <t>It was observed that the risks were not evaluated and graded based on a risk scale where the likelihood and consequences give a scale of each risk.</t>
  </si>
  <si>
    <t>ISO 17025 4.1.5</t>
  </si>
  <si>
    <t>Evaluate and grade each risk. Staff briefing to emphasize the importance of following risk assessment workflow as documented by QM.</t>
  </si>
  <si>
    <t>System implementation oversight. Lack of final verification</t>
  </si>
  <si>
    <t>17/06/2026</t>
  </si>
  <si>
    <t>During the external audit, a non-conformance was identified regarding auditor competency. The individual designated by management to execute the internal audit(Managing Director) lacks formal ISO/IEC 17025 internal auditor training, certification, or verifiable auditor experience. Currently, the company does not posses any internal personnel with the necessary qualifications to legally perform quality or technical internal audits. This was flagged during external assessment as an invalid control that threatens the integrity and independence of the QMS</t>
  </si>
  <si>
    <t>ISO 17025 8.7</t>
  </si>
  <si>
    <t>NC030/2026</t>
  </si>
  <si>
    <t>NC26/2026</t>
  </si>
  <si>
    <t>27/08/2026</t>
  </si>
  <si>
    <t>Formatting error in the automated LIMS export template caused TM figures to be truncated to one decimal place and incorrectly rendered from 2 stage primary database entries.</t>
  </si>
  <si>
    <t>ISO 17025 Cl 7.10 and 7.11</t>
  </si>
  <si>
    <t>Decommission the faulty export sheet, Update the macroscript to pull the float values of TM directly from the primary SQL/LIMS toable using proper rounding functions and Lock the macroscript and sheet structure to prevent unauthorised formula adjustments.</t>
  </si>
  <si>
    <t>major</t>
  </si>
  <si>
    <t>Inadequate validation of macros template</t>
  </si>
  <si>
    <t>Operations Manager</t>
  </si>
  <si>
    <t>NC028/2026</t>
  </si>
  <si>
    <t>The publised PT reports contain conflicting information regarding z-score investigating thresholds and ambigous boundary rules.</t>
  </si>
  <si>
    <t>ISO 17043 Cl 7.4.2 and 7.4.3</t>
  </si>
  <si>
    <t>Fix the conflicting statement regarding the z-scores and send a re-issue to VAS.</t>
  </si>
  <si>
    <t>NC31/2026</t>
  </si>
  <si>
    <t>14/09/2026</t>
  </si>
  <si>
    <t>The internal audit planned for August 2026, covering personnel competence, training and impartiality was not conducted as scheduled. No valid documented reason or evidence of approved scheduling was provided for the missed audit.</t>
  </si>
  <si>
    <t>ISO 17025 8.8</t>
  </si>
  <si>
    <t>NC32/2026</t>
  </si>
  <si>
    <t>Document ASMF 5.3 requires externally provided services, including outsourced analysis, to be evaluated and approved prior to use. However, it was found that the Total Sulphur for AES report Nos. 1 &amp; 2 was outsourced to a service provider that had not been evaluated and approved prior to use, contrary to the established procedure.</t>
  </si>
  <si>
    <t>ISO 17025 6.6</t>
  </si>
  <si>
    <t>Date Closed/cleared(Part 4)</t>
  </si>
  <si>
    <t>22/06/2026</t>
  </si>
  <si>
    <t>27/04/2026</t>
  </si>
  <si>
    <t>21/05/2026</t>
  </si>
  <si>
    <t>09/05/2026</t>
  </si>
  <si>
    <t>28/08/2026</t>
  </si>
  <si>
    <t>Waiting on the next bias test, the sheet has been preliminary checked and found to be working properly</t>
  </si>
  <si>
    <t>Effective (to be properly verified using next bias test)</t>
  </si>
  <si>
    <t>All the NCs in this sheet were raised by SANAS. Since the assessor came and checked the QMS for the COF and accreditation was granted. It can be assumed that they are all effective and closed</t>
  </si>
  <si>
    <t>Inconsistent harmonisation b/w different reporting templates and historical lack of an explicit procedural rule governing absolute value distance, range boundaries, and strict boundary limits for questionable vs satisfactory ratings.</t>
  </si>
  <si>
    <t>03/09/2026</t>
  </si>
  <si>
    <t>PT coordinator</t>
  </si>
  <si>
    <t>NC33/2026</t>
  </si>
  <si>
    <t>05/10/2026</t>
  </si>
  <si>
    <t>During the MRM (may 2026), it was documentedthat the safety medical certificates for operations and lab manager had expired in April 2026. Action was assigned to renew the medicals by July 2026 during the execution of Vryheid safety file. As of October 2026, these medicals remain undone, thus leaving key lab personnel operating 6 months past their medical epiratio date and 3 months past the MRM target completion date without valid health clearance or documented risk assessment.</t>
  </si>
  <si>
    <t>ISO 17025 cl 6.2.2 and 8.9.3</t>
  </si>
  <si>
    <t>ISO 17025 cl 8.9.3</t>
  </si>
  <si>
    <t>NC34/2026</t>
  </si>
  <si>
    <t>During the MRM (may 2026), personnel raised grievances regarding excessive workload and resource constraints. Action item 9 was recorded in the table requiring operations manager to setup internal feedback form/system by July 2026. As of October 2026, the grievance form/system has not been developed or implemented, exceeding agreed target date by 3 months.</t>
  </si>
  <si>
    <t>NC35/2026</t>
  </si>
  <si>
    <t>09/10/2026</t>
  </si>
  <si>
    <t>Despite being raised months earlier, three major NCs (NC030, NC031 and NC032/ 2026) remian unresolved as of today, far exceeding the prescribed corrective action timelines for major NCs (7 days). The lab has failed to implement corrective actions for auditor competency, missed internal audits, and unapproved outsourced services. The prolonged inaction demonstrates systematic weaknesses in NC management, escalation, and accountability, threatening the integrity of QMS &amp; exposing the lab to significant compliance risks.</t>
  </si>
  <si>
    <t>ISO 17025 cl 8.1.2 &amp; 7.10</t>
  </si>
  <si>
    <t>NC36/2026</t>
  </si>
  <si>
    <t>28/09/2026</t>
  </si>
  <si>
    <t>Keitumetse Maleka</t>
  </si>
  <si>
    <t>It was observed that PT Production plan has been developed and monitored for GA for the period of May 2025 - August 2026, however no PT Production plan has been developed for HGI for the same period despite HGI forming part of the Lab's PT scheme.</t>
  </si>
  <si>
    <t>ISO 17043 7.2.1.3</t>
  </si>
  <si>
    <t>ASMF 7.2.1 was updated to explicitly state that a PT production plan must be developed for all PT scheme activities. A combine GA nad HGI PT Production plan template was developed.</t>
  </si>
  <si>
    <t>06/10/2026</t>
  </si>
  <si>
    <t>NC37/2026</t>
  </si>
  <si>
    <t>12/10/2026</t>
  </si>
  <si>
    <t>Nosipho Hlongwane</t>
  </si>
  <si>
    <t>The client raised a concern regarding the March 2026 PT report, noting that the VM parameter z-score was omitted despite their participation. The reported value of 23.64% was submitted and is reflected in the final PT report has led to the request of an updated version that includes the result.</t>
  </si>
  <si>
    <t>ISO 17043 7.6 &amp; 7.4.3</t>
  </si>
  <si>
    <t>Update the March 2026 GA PT report include the correct VM Z-Score. Reissue the corrected report to the client with an explanation of the error. Implement data validation rules in the PT Calculation sheet to automatically flag non-numeric entries.</t>
  </si>
  <si>
    <t>typographical error &amp; oversight</t>
  </si>
  <si>
    <t>13/10/2026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</si>
</sst>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FF0000"/>
      <name val="Calibri"/>
      <family val="2"/>
      <scheme val="minor"/>
    </font>
    <font>
      <sz val="8"/>
      <name val="Calibri"/>
      <family val="2"/>
      <scheme val="minor"/>
    </font>
    <font>
      <sz val="11"/>
      <name val="Calibri"/>
      <family val="2"/>
      <scheme val="minor"/>
    </font>
    <font>
      <b/>
      <sz val="15"/>
      <color rgb="FFFF0000"/>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19">
    <border>
      <left/>
      <right/>
      <top/>
      <bottom/>
      <diagonal/>
    </border>
    <border>
      <left style="thick">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ck">
        <color auto="1"/>
      </right>
      <top style="hair">
        <color auto="1"/>
      </top>
      <bottom style="hair">
        <color auto="1"/>
      </bottom>
      <diagonal/>
    </border>
    <border>
      <left style="thick">
        <color auto="1"/>
      </left>
      <right style="thin">
        <color auto="1"/>
      </right>
      <top style="hair">
        <color auto="1"/>
      </top>
      <bottom style="thick">
        <color auto="1"/>
      </bottom>
      <diagonal/>
    </border>
    <border>
      <left style="thin">
        <color auto="1"/>
      </left>
      <right style="thin">
        <color auto="1"/>
      </right>
      <top style="hair">
        <color auto="1"/>
      </top>
      <bottom style="thick">
        <color auto="1"/>
      </bottom>
      <diagonal/>
    </border>
    <border>
      <left style="thin">
        <color auto="1"/>
      </left>
      <right style="thick">
        <color auto="1"/>
      </right>
      <top style="hair">
        <color auto="1"/>
      </top>
      <bottom style="thick">
        <color auto="1"/>
      </bottom>
      <diagonal/>
    </border>
    <border>
      <left style="thick">
        <color auto="1"/>
      </left>
      <right style="thin">
        <color auto="1"/>
      </right>
      <top/>
      <bottom style="hair">
        <color auto="1"/>
      </bottom>
      <diagonal/>
    </border>
    <border>
      <left style="thin">
        <color auto="1"/>
      </left>
      <right style="thin">
        <color auto="1"/>
      </right>
      <top/>
      <bottom style="hair">
        <color auto="1"/>
      </bottom>
      <diagonal/>
    </border>
    <border>
      <left style="thin">
        <color auto="1"/>
      </left>
      <right style="thick">
        <color auto="1"/>
      </right>
      <top/>
      <bottom style="hair">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thin">
        <color auto="1"/>
      </right>
      <top/>
      <bottom style="thick">
        <color auto="1"/>
      </bottom>
      <diagonal/>
    </border>
    <border>
      <left/>
      <right/>
      <top/>
      <bottom style="medium">
        <color indexed="64"/>
      </bottom>
      <diagonal/>
    </border>
    <border>
      <left/>
      <right/>
      <top/>
      <bottom style="thick">
        <color indexed="64"/>
      </bottom>
      <diagonal/>
    </border>
    <border>
      <left style="thin">
        <color auto="1"/>
      </left>
      <right style="thin">
        <color auto="1"/>
      </right>
      <top style="thick">
        <color auto="1"/>
      </top>
      <bottom style="hair">
        <color indexed="64"/>
      </bottom>
      <diagonal/>
    </border>
    <border>
      <left style="thick">
        <color auto="1"/>
      </left>
      <right style="thin">
        <color auto="1"/>
      </right>
      <top style="hair">
        <color auto="1"/>
      </top>
      <bottom/>
      <diagonal/>
    </border>
    <border>
      <left style="thin">
        <color auto="1"/>
      </left>
      <right style="thin">
        <color auto="1"/>
      </right>
      <top style="hair">
        <color auto="1"/>
      </top>
      <bottom/>
      <diagonal/>
    </border>
  </borders>
  <cellStyleXfs count="1">
    <xf numFmtId="0" fontId="0" fillId="0" borderId="0"/>
  </cellStyleXfs>
  <cellXfs count="57">
    <xf numFmtId="0" fontId="0" fillId="0" borderId="0" xfId="0"/>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wrapText="1"/>
    </xf>
    <xf numFmtId="0" fontId="2" fillId="0" borderId="0" xfId="0" applyFont="1" applyAlignment="1">
      <alignment horizontal="center" vertical="center"/>
    </xf>
    <xf numFmtId="0" fontId="1" fillId="0" borderId="13" xfId="0" applyFont="1"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wrapText="1"/>
    </xf>
    <xf numFmtId="0" fontId="0" fillId="0" borderId="15" xfId="0" applyBorder="1" applyAlignment="1">
      <alignment horizontal="center"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8" xfId="0" applyBorder="1" applyAlignment="1">
      <alignment horizontal="center" vertical="center" wrapText="1"/>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0" fontId="0" fillId="2" borderId="9" xfId="0" applyFill="1"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4" fillId="2" borderId="2" xfId="0" applyFont="1"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xf>
    <xf numFmtId="16" fontId="0" fillId="2" borderId="2" xfId="0" applyNumberFormat="1" applyFill="1" applyBorder="1" applyAlignment="1">
      <alignment horizontal="center" vertical="center"/>
    </xf>
    <xf numFmtId="17" fontId="4" fillId="2" borderId="2" xfId="0" applyNumberFormat="1" applyFont="1"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xf>
    <xf numFmtId="0" fontId="0" fillId="3" borderId="8" xfId="0" applyFill="1" applyBorder="1" applyAlignment="1">
      <alignment horizontal="center" vertical="center"/>
    </xf>
    <xf numFmtId="0" fontId="0" fillId="3" borderId="16" xfId="0" applyFill="1" applyBorder="1" applyAlignment="1">
      <alignment horizontal="center" vertical="center"/>
    </xf>
    <xf numFmtId="0" fontId="0" fillId="3" borderId="1" xfId="0" applyFill="1" applyBorder="1" applyAlignment="1">
      <alignment horizontal="center" vertical="center" wrapText="1"/>
    </xf>
    <xf numFmtId="0" fontId="0" fillId="3" borderId="8" xfId="0" applyFill="1" applyBorder="1" applyAlignment="1">
      <alignment horizontal="center" vertical="center" wrapText="1"/>
    </xf>
    <xf numFmtId="0" fontId="0" fillId="3" borderId="0" xfId="0" applyFill="1" applyAlignment="1">
      <alignment horizontal="center" vertical="center" wrapText="1"/>
    </xf>
    <xf numFmtId="0" fontId="0" fillId="3" borderId="17" xfId="0" applyFill="1" applyBorder="1" applyAlignment="1">
      <alignment horizontal="center" vertical="center"/>
    </xf>
    <xf numFmtId="0" fontId="0" fillId="3" borderId="18" xfId="0" applyFill="1" applyBorder="1" applyAlignment="1">
      <alignment horizontal="center" vertical="center"/>
    </xf>
    <xf numFmtId="0" fontId="0" fillId="3" borderId="18" xfId="0" applyFill="1" applyBorder="1" applyAlignment="1">
      <alignment horizontal="center" vertical="center" wrapText="1"/>
    </xf>
    <xf numFmtId="17" fontId="0" fillId="3" borderId="2" xfId="0" applyNumberFormat="1"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xf>
    <xf numFmtId="0" fontId="1" fillId="0" borderId="0" xfId="0" applyFont="1" applyAlignment="1">
      <alignment horizontal="left" vertical="center"/>
    </xf>
    <xf numFmtId="0" fontId="5"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12700</xdr:rowOff>
    </xdr:from>
    <xdr:to>
      <xdr:col>1</xdr:col>
      <xdr:colOff>279400</xdr:colOff>
      <xdr:row>5</xdr:row>
      <xdr:rowOff>14813</xdr:rowOff>
    </xdr:to>
    <xdr:pic>
      <xdr:nvPicPr>
        <xdr:cNvPr id="2" name="Picture 1">
          <a:extLst>
            <a:ext uri="{FF2B5EF4-FFF2-40B4-BE49-F238E27FC236}">
              <a16:creationId xmlns:a16="http://schemas.microsoft.com/office/drawing/2014/main" id="{0E1D2B69-642C-4E81-9EE0-60E4B8104A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700"/>
          <a:ext cx="1239520" cy="9114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615577</xdr:colOff>
      <xdr:row>4</xdr:row>
      <xdr:rowOff>177949</xdr:rowOff>
    </xdr:to>
    <xdr:pic>
      <xdr:nvPicPr>
        <xdr:cNvPr id="3" name="Picture 2">
          <a:extLst>
            <a:ext uri="{FF2B5EF4-FFF2-40B4-BE49-F238E27FC236}">
              <a16:creationId xmlns:a16="http://schemas.microsoft.com/office/drawing/2014/main" id="{0076A13B-F2A0-9FD9-87CC-0A115D422A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3803" cy="92557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255676-7E6D-4C01-8224-9AD477D67530}" name="Table1" displayName="Table1" ref="B1:D22" totalsRowShown="0">
  <autoFilter ref="B1:D22" xr:uid="{AC255676-7E6D-4C01-8224-9AD477D67530}"/>
  <tableColumns count="3">
    <tableColumn id="1" xr3:uid="{CE685ECB-1611-4CC2-A17E-8CEB2D01424E}" name="REVISION NO"/>
    <tableColumn id="2" xr3:uid="{A00CBA8F-07EF-4BD2-8D7A-88A5C6FB6C0F}" name="CONTENT CHANGED"/>
    <tableColumn id="3" xr3:uid="{F4C586AF-3455-4A5C-AED7-D101B08B42C5}" name="Column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D76B1-CFBB-4B23-B35C-E24EEBC0EA06}">
  <dimension ref="A1:O61"/>
  <sheetViews>
    <sheetView tabSelected="1" zoomScale="80" zoomScaleNormal="80" workbookViewId="0">
      <pane ySplit="7" topLeftCell="A8" activePane="bottomLeft" state="frozen"/>
      <selection pane="bottomLeft" activeCell="E44" sqref="E44"/>
    </sheetView>
  </sheetViews>
  <sheetFormatPr defaultColWidth="8.77734375" defaultRowHeight="14.4" x14ac:dyDescent="0.3"/>
  <cols>
    <col min="1" max="1" width="14" style="4" bestFit="1" customWidth="1"/>
    <col min="2" max="2" width="27" style="4" bestFit="1" customWidth="1"/>
    <col min="3" max="3" width="32.6640625" style="4" bestFit="1" customWidth="1"/>
    <col min="4" max="4" width="5.33203125" style="4" customWidth="1"/>
    <col min="5" max="5" width="85.109375" style="4" bestFit="1" customWidth="1"/>
    <col min="6" max="6" width="50.109375" style="4" bestFit="1" customWidth="1"/>
    <col min="7" max="7" width="58.21875" style="4" bestFit="1" customWidth="1"/>
    <col min="8" max="8" width="43.6640625" style="4" bestFit="1" customWidth="1"/>
    <col min="9" max="9" width="64.21875" style="4" bestFit="1" customWidth="1"/>
    <col min="10" max="10" width="30.44140625" style="4" bestFit="1" customWidth="1"/>
    <col min="11" max="11" width="24.21875" style="4" bestFit="1" customWidth="1"/>
    <col min="12" max="12" width="27.5546875" style="4" bestFit="1" customWidth="1"/>
    <col min="13" max="13" width="44.88671875" style="4" bestFit="1" customWidth="1"/>
    <col min="14" max="14" width="32.109375" style="4" bestFit="1" customWidth="1"/>
    <col min="15" max="15" width="27.88671875" style="4" bestFit="1" customWidth="1"/>
    <col min="16" max="16384" width="8.77734375" style="4"/>
  </cols>
  <sheetData>
    <row r="1" spans="1:15" x14ac:dyDescent="0.3">
      <c r="C1" s="4" t="s">
        <v>129</v>
      </c>
    </row>
    <row r="6" spans="1:15" ht="15" thickBot="1" x14ac:dyDescent="0.35">
      <c r="F6" s="14"/>
    </row>
    <row r="7" spans="1:15" ht="15.6" thickTop="1" thickBot="1" x14ac:dyDescent="0.35">
      <c r="A7" s="1" t="s">
        <v>0</v>
      </c>
      <c r="B7" s="2" t="s">
        <v>139</v>
      </c>
      <c r="C7" s="2" t="s">
        <v>1</v>
      </c>
      <c r="D7" s="2"/>
      <c r="E7" s="2" t="s">
        <v>140</v>
      </c>
      <c r="F7" s="13" t="s">
        <v>2</v>
      </c>
      <c r="G7" s="2" t="s">
        <v>141</v>
      </c>
      <c r="H7" s="2" t="s">
        <v>142</v>
      </c>
      <c r="I7" s="2" t="s">
        <v>3</v>
      </c>
      <c r="J7" s="2" t="s">
        <v>144</v>
      </c>
      <c r="K7" s="2" t="s">
        <v>346</v>
      </c>
      <c r="L7" s="2" t="s">
        <v>137</v>
      </c>
      <c r="M7" s="2" t="s">
        <v>4</v>
      </c>
      <c r="N7" s="2" t="s">
        <v>5</v>
      </c>
      <c r="O7" s="3" t="s">
        <v>6</v>
      </c>
    </row>
    <row r="8" spans="1:15" ht="29.4" thickTop="1" x14ac:dyDescent="0.3">
      <c r="A8" s="24" t="s">
        <v>22</v>
      </c>
      <c r="B8" s="25" t="s">
        <v>13</v>
      </c>
      <c r="C8" s="25" t="s">
        <v>14</v>
      </c>
      <c r="D8" s="25">
        <v>1</v>
      </c>
      <c r="E8" s="26" t="s">
        <v>16</v>
      </c>
      <c r="F8" s="25" t="s">
        <v>18</v>
      </c>
      <c r="G8" s="26" t="s">
        <v>19</v>
      </c>
      <c r="H8" s="25" t="s">
        <v>143</v>
      </c>
      <c r="I8" s="26" t="s">
        <v>145</v>
      </c>
      <c r="J8" s="25" t="s">
        <v>14</v>
      </c>
      <c r="K8" s="25" t="s">
        <v>20</v>
      </c>
      <c r="L8" s="25" t="s">
        <v>31</v>
      </c>
      <c r="M8" s="25" t="s">
        <v>40</v>
      </c>
      <c r="N8" s="25" t="s">
        <v>37</v>
      </c>
      <c r="O8" s="27" t="s">
        <v>12</v>
      </c>
    </row>
    <row r="9" spans="1:15" ht="28.8" x14ac:dyDescent="0.3">
      <c r="A9" s="28" t="s">
        <v>7</v>
      </c>
      <c r="B9" s="29" t="s">
        <v>8</v>
      </c>
      <c r="C9" s="30" t="s">
        <v>21</v>
      </c>
      <c r="D9" s="29">
        <v>1</v>
      </c>
      <c r="E9" s="29" t="s">
        <v>17</v>
      </c>
      <c r="F9" s="29" t="s">
        <v>9</v>
      </c>
      <c r="G9" s="31" t="s">
        <v>10</v>
      </c>
      <c r="H9" s="31" t="s">
        <v>63</v>
      </c>
      <c r="I9" s="31" t="s">
        <v>15</v>
      </c>
      <c r="J9" s="29" t="s">
        <v>119</v>
      </c>
      <c r="K9" s="29" t="s">
        <v>8</v>
      </c>
      <c r="L9" s="29" t="s">
        <v>8</v>
      </c>
      <c r="M9" s="29" t="s">
        <v>40</v>
      </c>
      <c r="N9" s="29" t="s">
        <v>11</v>
      </c>
      <c r="O9" s="32" t="s">
        <v>12</v>
      </c>
    </row>
    <row r="10" spans="1:15" ht="43.2" x14ac:dyDescent="0.3">
      <c r="A10" s="28" t="s">
        <v>216</v>
      </c>
      <c r="B10" s="29" t="s">
        <v>130</v>
      </c>
      <c r="C10" s="29" t="s">
        <v>119</v>
      </c>
      <c r="D10" s="29">
        <v>1</v>
      </c>
      <c r="E10" s="31" t="s">
        <v>131</v>
      </c>
      <c r="F10" s="29" t="s">
        <v>132</v>
      </c>
      <c r="G10" s="31" t="s">
        <v>134</v>
      </c>
      <c r="H10" s="31" t="s">
        <v>56</v>
      </c>
      <c r="I10" s="31" t="s">
        <v>133</v>
      </c>
      <c r="J10" s="29" t="s">
        <v>14</v>
      </c>
      <c r="K10" s="29" t="s">
        <v>135</v>
      </c>
      <c r="L10" s="29" t="s">
        <v>136</v>
      </c>
      <c r="M10" s="29" t="s">
        <v>40</v>
      </c>
      <c r="N10" s="29" t="s">
        <v>11</v>
      </c>
      <c r="O10" s="32" t="s">
        <v>12</v>
      </c>
    </row>
    <row r="11" spans="1:15" ht="86.4" x14ac:dyDescent="0.3">
      <c r="A11" s="28" t="s">
        <v>24</v>
      </c>
      <c r="B11" s="29" t="s">
        <v>25</v>
      </c>
      <c r="C11" s="29" t="s">
        <v>119</v>
      </c>
      <c r="D11" s="29">
        <v>1</v>
      </c>
      <c r="E11" s="31" t="s">
        <v>26</v>
      </c>
      <c r="F11" s="29" t="s">
        <v>27</v>
      </c>
      <c r="G11" s="31" t="s">
        <v>28</v>
      </c>
      <c r="H11" s="31" t="s">
        <v>56</v>
      </c>
      <c r="I11" s="31" t="s">
        <v>29</v>
      </c>
      <c r="J11" s="29" t="s">
        <v>119</v>
      </c>
      <c r="K11" s="29" t="s">
        <v>30</v>
      </c>
      <c r="L11" s="29" t="s">
        <v>347</v>
      </c>
      <c r="M11" s="29" t="s">
        <v>40</v>
      </c>
      <c r="N11" s="29" t="s">
        <v>11</v>
      </c>
      <c r="O11" s="32" t="s">
        <v>12</v>
      </c>
    </row>
    <row r="12" spans="1:15" s="12" customFormat="1" ht="28.8" x14ac:dyDescent="0.3">
      <c r="A12" s="33" t="s">
        <v>32</v>
      </c>
      <c r="B12" s="30" t="s">
        <v>33</v>
      </c>
      <c r="C12" s="30" t="s">
        <v>227</v>
      </c>
      <c r="D12" s="30">
        <v>1</v>
      </c>
      <c r="E12" s="30" t="s">
        <v>34</v>
      </c>
      <c r="F12" s="30" t="s">
        <v>35</v>
      </c>
      <c r="G12" s="34" t="s">
        <v>38</v>
      </c>
      <c r="H12" s="34" t="s">
        <v>56</v>
      </c>
      <c r="I12" s="34" t="s">
        <v>36</v>
      </c>
      <c r="J12" s="30" t="s">
        <v>227</v>
      </c>
      <c r="K12" s="30" t="s">
        <v>39</v>
      </c>
      <c r="L12" s="30" t="s">
        <v>211</v>
      </c>
      <c r="M12" s="30" t="s">
        <v>40</v>
      </c>
      <c r="N12" s="30" t="s">
        <v>11</v>
      </c>
      <c r="O12" s="35" t="s">
        <v>12</v>
      </c>
    </row>
    <row r="13" spans="1:15" s="12" customFormat="1" ht="28.8" x14ac:dyDescent="0.3">
      <c r="A13" s="33" t="s">
        <v>228</v>
      </c>
      <c r="B13" s="30" t="s">
        <v>33</v>
      </c>
      <c r="C13" s="30" t="s">
        <v>227</v>
      </c>
      <c r="D13" s="30">
        <v>1</v>
      </c>
      <c r="E13" s="30" t="s">
        <v>41</v>
      </c>
      <c r="F13" s="30" t="s">
        <v>35</v>
      </c>
      <c r="G13" s="30" t="s">
        <v>42</v>
      </c>
      <c r="H13" s="34" t="s">
        <v>63</v>
      </c>
      <c r="I13" s="34" t="s">
        <v>43</v>
      </c>
      <c r="J13" s="30" t="s">
        <v>227</v>
      </c>
      <c r="K13" s="30" t="s">
        <v>229</v>
      </c>
      <c r="L13" s="30" t="s">
        <v>348</v>
      </c>
      <c r="M13" s="30" t="s">
        <v>40</v>
      </c>
      <c r="N13" s="30" t="s">
        <v>11</v>
      </c>
      <c r="O13" s="35" t="s">
        <v>12</v>
      </c>
    </row>
    <row r="14" spans="1:15" ht="28.8" x14ac:dyDescent="0.3">
      <c r="A14" s="28" t="s">
        <v>45</v>
      </c>
      <c r="B14" s="29" t="s">
        <v>46</v>
      </c>
      <c r="C14" s="29" t="s">
        <v>119</v>
      </c>
      <c r="D14" s="29">
        <v>1</v>
      </c>
      <c r="E14" s="31" t="s">
        <v>47</v>
      </c>
      <c r="F14" s="29" t="s">
        <v>48</v>
      </c>
      <c r="G14" s="31" t="s">
        <v>49</v>
      </c>
      <c r="H14" s="31" t="s">
        <v>56</v>
      </c>
      <c r="I14" s="31" t="s">
        <v>50</v>
      </c>
      <c r="J14" s="29" t="s">
        <v>119</v>
      </c>
      <c r="K14" s="29" t="s">
        <v>44</v>
      </c>
      <c r="L14" s="29" t="s">
        <v>349</v>
      </c>
      <c r="M14" s="29" t="s">
        <v>40</v>
      </c>
      <c r="N14" s="29" t="s">
        <v>11</v>
      </c>
      <c r="O14" s="32" t="s">
        <v>12</v>
      </c>
    </row>
    <row r="15" spans="1:15" ht="43.2" x14ac:dyDescent="0.3">
      <c r="A15" s="28" t="s">
        <v>51</v>
      </c>
      <c r="B15" s="29" t="s">
        <v>52</v>
      </c>
      <c r="C15" s="29" t="s">
        <v>119</v>
      </c>
      <c r="D15" s="29">
        <v>1</v>
      </c>
      <c r="E15" s="31" t="s">
        <v>53</v>
      </c>
      <c r="F15" s="29" t="s">
        <v>54</v>
      </c>
      <c r="G15" s="31" t="s">
        <v>55</v>
      </c>
      <c r="H15" s="29" t="s">
        <v>56</v>
      </c>
      <c r="I15" s="31" t="s">
        <v>57</v>
      </c>
      <c r="J15" s="29" t="s">
        <v>119</v>
      </c>
      <c r="K15" s="29" t="s">
        <v>44</v>
      </c>
      <c r="L15" s="29" t="s">
        <v>349</v>
      </c>
      <c r="M15" s="29" t="s">
        <v>40</v>
      </c>
      <c r="N15" s="29" t="s">
        <v>11</v>
      </c>
      <c r="O15" s="32" t="s">
        <v>12</v>
      </c>
    </row>
    <row r="16" spans="1:15" ht="43.2" x14ac:dyDescent="0.3">
      <c r="A16" s="28" t="s">
        <v>65</v>
      </c>
      <c r="B16" s="29" t="s">
        <v>118</v>
      </c>
      <c r="C16" s="29" t="s">
        <v>119</v>
      </c>
      <c r="D16" s="29">
        <v>1</v>
      </c>
      <c r="E16" s="31" t="s">
        <v>120</v>
      </c>
      <c r="F16" s="29" t="s">
        <v>121</v>
      </c>
      <c r="G16" s="31" t="s">
        <v>122</v>
      </c>
      <c r="H16" s="29" t="s">
        <v>56</v>
      </c>
      <c r="I16" s="31" t="s">
        <v>123</v>
      </c>
      <c r="J16" s="29" t="s">
        <v>119</v>
      </c>
      <c r="K16" s="29" t="s">
        <v>80</v>
      </c>
      <c r="L16" s="29" t="s">
        <v>349</v>
      </c>
      <c r="M16" s="29" t="s">
        <v>40</v>
      </c>
      <c r="N16" s="29" t="s">
        <v>11</v>
      </c>
      <c r="O16" s="32" t="s">
        <v>12</v>
      </c>
    </row>
    <row r="17" spans="1:15" ht="57.6" x14ac:dyDescent="0.3">
      <c r="A17" s="28" t="s">
        <v>59</v>
      </c>
      <c r="B17" s="29" t="s">
        <v>52</v>
      </c>
      <c r="C17" s="29" t="s">
        <v>119</v>
      </c>
      <c r="D17" s="29">
        <v>1</v>
      </c>
      <c r="E17" s="31" t="s">
        <v>60</v>
      </c>
      <c r="F17" s="29" t="s">
        <v>61</v>
      </c>
      <c r="G17" s="31" t="s">
        <v>62</v>
      </c>
      <c r="H17" s="29" t="s">
        <v>63</v>
      </c>
      <c r="I17" s="31" t="s">
        <v>64</v>
      </c>
      <c r="J17" s="29" t="s">
        <v>119</v>
      </c>
      <c r="K17" s="29" t="s">
        <v>58</v>
      </c>
      <c r="L17" s="29" t="s">
        <v>349</v>
      </c>
      <c r="M17" s="29" t="s">
        <v>40</v>
      </c>
      <c r="N17" s="29" t="s">
        <v>11</v>
      </c>
      <c r="O17" s="32" t="s">
        <v>12</v>
      </c>
    </row>
    <row r="18" spans="1:15" ht="43.2" x14ac:dyDescent="0.3">
      <c r="A18" s="28" t="s">
        <v>66</v>
      </c>
      <c r="B18" s="36" t="s">
        <v>52</v>
      </c>
      <c r="C18" s="29" t="s">
        <v>119</v>
      </c>
      <c r="D18" s="29">
        <v>1</v>
      </c>
      <c r="E18" s="31" t="s">
        <v>67</v>
      </c>
      <c r="F18" s="29" t="s">
        <v>68</v>
      </c>
      <c r="G18" s="31" t="s">
        <v>69</v>
      </c>
      <c r="H18" s="29" t="s">
        <v>56</v>
      </c>
      <c r="I18" s="31" t="s">
        <v>70</v>
      </c>
      <c r="J18" s="29" t="s">
        <v>119</v>
      </c>
      <c r="K18" s="29" t="s">
        <v>44</v>
      </c>
      <c r="L18" s="29" t="s">
        <v>349</v>
      </c>
      <c r="M18" s="29" t="s">
        <v>40</v>
      </c>
      <c r="N18" s="29" t="s">
        <v>11</v>
      </c>
      <c r="O18" s="32" t="s">
        <v>12</v>
      </c>
    </row>
    <row r="19" spans="1:15" ht="43.2" x14ac:dyDescent="0.3">
      <c r="A19" s="28" t="s">
        <v>158</v>
      </c>
      <c r="B19" s="29" t="s">
        <v>44</v>
      </c>
      <c r="C19" s="29" t="s">
        <v>14</v>
      </c>
      <c r="D19" s="29">
        <v>1</v>
      </c>
      <c r="E19" s="31" t="s">
        <v>72</v>
      </c>
      <c r="F19" s="29" t="s">
        <v>159</v>
      </c>
      <c r="G19" s="31" t="s">
        <v>71</v>
      </c>
      <c r="H19" s="29" t="s">
        <v>56</v>
      </c>
      <c r="I19" s="31" t="s">
        <v>73</v>
      </c>
      <c r="J19" s="29" t="s">
        <v>14</v>
      </c>
      <c r="K19" s="36" t="s">
        <v>78</v>
      </c>
      <c r="L19" s="36" t="s">
        <v>349</v>
      </c>
      <c r="M19" s="29" t="s">
        <v>40</v>
      </c>
      <c r="N19" s="29" t="s">
        <v>37</v>
      </c>
      <c r="O19" s="32" t="s">
        <v>12</v>
      </c>
    </row>
    <row r="20" spans="1:15" ht="43.2" x14ac:dyDescent="0.3">
      <c r="A20" s="28" t="s">
        <v>74</v>
      </c>
      <c r="B20" s="29" t="s">
        <v>44</v>
      </c>
      <c r="C20" s="29" t="s">
        <v>14</v>
      </c>
      <c r="D20" s="29">
        <v>1</v>
      </c>
      <c r="E20" s="31" t="s">
        <v>75</v>
      </c>
      <c r="F20" s="29" t="s">
        <v>157</v>
      </c>
      <c r="G20" s="31" t="s">
        <v>76</v>
      </c>
      <c r="H20" s="29" t="s">
        <v>56</v>
      </c>
      <c r="I20" s="31" t="s">
        <v>77</v>
      </c>
      <c r="J20" s="29" t="s">
        <v>14</v>
      </c>
      <c r="K20" s="29" t="s">
        <v>78</v>
      </c>
      <c r="L20" s="29" t="s">
        <v>349</v>
      </c>
      <c r="M20" s="29" t="s">
        <v>40</v>
      </c>
      <c r="N20" s="29" t="s">
        <v>37</v>
      </c>
      <c r="O20" s="32" t="s">
        <v>12</v>
      </c>
    </row>
    <row r="21" spans="1:15" ht="28.8" x14ac:dyDescent="0.3">
      <c r="A21" s="28" t="s">
        <v>79</v>
      </c>
      <c r="B21" s="29" t="s">
        <v>80</v>
      </c>
      <c r="C21" s="29" t="s">
        <v>119</v>
      </c>
      <c r="D21" s="29">
        <v>1</v>
      </c>
      <c r="E21" s="29" t="s">
        <v>81</v>
      </c>
      <c r="F21" s="29" t="s">
        <v>82</v>
      </c>
      <c r="G21" s="31" t="s">
        <v>83</v>
      </c>
      <c r="H21" s="29" t="s">
        <v>56</v>
      </c>
      <c r="I21" s="29" t="s">
        <v>84</v>
      </c>
      <c r="J21" s="29" t="s">
        <v>119</v>
      </c>
      <c r="K21" s="29" t="s">
        <v>156</v>
      </c>
      <c r="L21" s="29" t="s">
        <v>349</v>
      </c>
      <c r="M21" s="29" t="s">
        <v>40</v>
      </c>
      <c r="N21" s="29" t="s">
        <v>11</v>
      </c>
      <c r="O21" s="32" t="s">
        <v>12</v>
      </c>
    </row>
    <row r="22" spans="1:15" ht="43.2" x14ac:dyDescent="0.3">
      <c r="A22" s="28" t="s">
        <v>85</v>
      </c>
      <c r="B22" s="29" t="s">
        <v>93</v>
      </c>
      <c r="C22" s="29" t="s">
        <v>14</v>
      </c>
      <c r="D22" s="29">
        <v>1</v>
      </c>
      <c r="E22" s="31" t="s">
        <v>114</v>
      </c>
      <c r="F22" s="29" t="s">
        <v>115</v>
      </c>
      <c r="G22" s="31" t="s">
        <v>116</v>
      </c>
      <c r="H22" s="29" t="s">
        <v>56</v>
      </c>
      <c r="I22" s="29" t="s">
        <v>117</v>
      </c>
      <c r="J22" s="29" t="s">
        <v>14</v>
      </c>
      <c r="K22" s="29" t="s">
        <v>93</v>
      </c>
      <c r="L22" s="29" t="s">
        <v>349</v>
      </c>
      <c r="M22" s="30" t="s">
        <v>40</v>
      </c>
      <c r="N22" s="29" t="s">
        <v>37</v>
      </c>
      <c r="O22" s="32" t="s">
        <v>12</v>
      </c>
    </row>
    <row r="23" spans="1:15" ht="105" customHeight="1" x14ac:dyDescent="0.3">
      <c r="A23" s="28" t="s">
        <v>86</v>
      </c>
      <c r="B23" s="29" t="s">
        <v>78</v>
      </c>
      <c r="C23" s="29" t="s">
        <v>119</v>
      </c>
      <c r="D23" s="29">
        <v>1</v>
      </c>
      <c r="E23" s="31" t="s">
        <v>110</v>
      </c>
      <c r="F23" s="29" t="s">
        <v>111</v>
      </c>
      <c r="G23" s="31" t="s">
        <v>112</v>
      </c>
      <c r="H23" s="29" t="s">
        <v>56</v>
      </c>
      <c r="I23" s="31" t="s">
        <v>113</v>
      </c>
      <c r="J23" s="29" t="s">
        <v>119</v>
      </c>
      <c r="K23" s="29" t="s">
        <v>93</v>
      </c>
      <c r="L23" s="29" t="s">
        <v>349</v>
      </c>
      <c r="M23" s="30" t="s">
        <v>40</v>
      </c>
      <c r="N23" s="29" t="s">
        <v>11</v>
      </c>
      <c r="O23" s="32" t="s">
        <v>12</v>
      </c>
    </row>
    <row r="24" spans="1:15" ht="43.2" x14ac:dyDescent="0.3">
      <c r="A24" s="28" t="s">
        <v>87</v>
      </c>
      <c r="B24" s="29" t="s">
        <v>80</v>
      </c>
      <c r="C24" s="31" t="s">
        <v>14</v>
      </c>
      <c r="D24" s="29">
        <v>1</v>
      </c>
      <c r="E24" s="31" t="s">
        <v>106</v>
      </c>
      <c r="F24" s="29" t="s">
        <v>107</v>
      </c>
      <c r="G24" s="31" t="s">
        <v>108</v>
      </c>
      <c r="H24" s="29" t="s">
        <v>56</v>
      </c>
      <c r="I24" s="31" t="s">
        <v>109</v>
      </c>
      <c r="J24" s="29" t="s">
        <v>14</v>
      </c>
      <c r="K24" s="29" t="s">
        <v>80</v>
      </c>
      <c r="L24" s="29" t="s">
        <v>349</v>
      </c>
      <c r="M24" s="30" t="s">
        <v>40</v>
      </c>
      <c r="N24" s="29" t="s">
        <v>37</v>
      </c>
      <c r="O24" s="32" t="s">
        <v>12</v>
      </c>
    </row>
    <row r="25" spans="1:15" ht="57.6" x14ac:dyDescent="0.3">
      <c r="A25" s="28" t="s">
        <v>88</v>
      </c>
      <c r="B25" s="29" t="s">
        <v>78</v>
      </c>
      <c r="C25" s="29" t="s">
        <v>119</v>
      </c>
      <c r="D25" s="29">
        <v>1</v>
      </c>
      <c r="E25" s="31" t="s">
        <v>103</v>
      </c>
      <c r="F25" s="29" t="s">
        <v>104</v>
      </c>
      <c r="G25" s="29" t="s">
        <v>105</v>
      </c>
      <c r="H25" s="29" t="s">
        <v>56</v>
      </c>
      <c r="I25" s="29" t="s">
        <v>84</v>
      </c>
      <c r="J25" s="29" t="s">
        <v>119</v>
      </c>
      <c r="K25" s="29" t="s">
        <v>93</v>
      </c>
      <c r="L25" s="29" t="s">
        <v>93</v>
      </c>
      <c r="M25" s="30" t="s">
        <v>40</v>
      </c>
      <c r="N25" s="29" t="s">
        <v>11</v>
      </c>
      <c r="O25" s="32" t="s">
        <v>12</v>
      </c>
    </row>
    <row r="26" spans="1:15" ht="28.8" x14ac:dyDescent="0.3">
      <c r="A26" s="28" t="s">
        <v>89</v>
      </c>
      <c r="B26" s="29" t="s">
        <v>46</v>
      </c>
      <c r="C26" s="29" t="s">
        <v>14</v>
      </c>
      <c r="D26" s="29">
        <v>1</v>
      </c>
      <c r="E26" s="31" t="s">
        <v>100</v>
      </c>
      <c r="F26" s="29" t="s">
        <v>101</v>
      </c>
      <c r="G26" s="31" t="s">
        <v>102</v>
      </c>
      <c r="H26" s="29" t="s">
        <v>56</v>
      </c>
      <c r="I26" s="29" t="s">
        <v>84</v>
      </c>
      <c r="J26" s="29" t="s">
        <v>14</v>
      </c>
      <c r="K26" s="29" t="s">
        <v>46</v>
      </c>
      <c r="L26" s="29" t="s">
        <v>46</v>
      </c>
      <c r="M26" s="30" t="s">
        <v>40</v>
      </c>
      <c r="N26" s="29" t="s">
        <v>37</v>
      </c>
      <c r="O26" s="32" t="s">
        <v>12</v>
      </c>
    </row>
    <row r="27" spans="1:15" ht="43.2" x14ac:dyDescent="0.3">
      <c r="A27" s="28" t="s">
        <v>90</v>
      </c>
      <c r="B27" s="29" t="s">
        <v>97</v>
      </c>
      <c r="C27" s="29" t="s">
        <v>14</v>
      </c>
      <c r="D27" s="29">
        <v>1</v>
      </c>
      <c r="E27" s="31" t="s">
        <v>98</v>
      </c>
      <c r="F27" s="29" t="s">
        <v>99</v>
      </c>
      <c r="G27" s="31" t="s">
        <v>154</v>
      </c>
      <c r="H27" s="29" t="s">
        <v>56</v>
      </c>
      <c r="I27" s="29" t="s">
        <v>84</v>
      </c>
      <c r="J27" s="29" t="s">
        <v>14</v>
      </c>
      <c r="K27" s="29" t="s">
        <v>80</v>
      </c>
      <c r="L27" s="29" t="s">
        <v>155</v>
      </c>
      <c r="M27" s="37" t="s">
        <v>40</v>
      </c>
      <c r="N27" s="29" t="s">
        <v>37</v>
      </c>
      <c r="O27" s="32" t="s">
        <v>12</v>
      </c>
    </row>
    <row r="28" spans="1:15" x14ac:dyDescent="0.3">
      <c r="A28" s="28" t="s">
        <v>91</v>
      </c>
      <c r="B28" s="29" t="s">
        <v>93</v>
      </c>
      <c r="C28" s="29" t="s">
        <v>119</v>
      </c>
      <c r="D28" s="29">
        <v>1</v>
      </c>
      <c r="E28" s="31" t="s">
        <v>94</v>
      </c>
      <c r="F28" s="29" t="s">
        <v>95</v>
      </c>
      <c r="G28" s="31" t="s">
        <v>96</v>
      </c>
      <c r="H28" s="29" t="s">
        <v>56</v>
      </c>
      <c r="I28" s="29" t="s">
        <v>152</v>
      </c>
      <c r="J28" s="29" t="s">
        <v>119</v>
      </c>
      <c r="K28" s="29" t="s">
        <v>153</v>
      </c>
      <c r="L28" s="29" t="s">
        <v>151</v>
      </c>
      <c r="M28" s="30" t="s">
        <v>40</v>
      </c>
      <c r="N28" s="29" t="s">
        <v>11</v>
      </c>
      <c r="O28" s="32" t="s">
        <v>12</v>
      </c>
    </row>
    <row r="29" spans="1:15" ht="43.2" x14ac:dyDescent="0.3">
      <c r="A29" s="28" t="s">
        <v>92</v>
      </c>
      <c r="B29" s="29" t="s">
        <v>146</v>
      </c>
      <c r="C29" s="29" t="s">
        <v>119</v>
      </c>
      <c r="D29" s="29">
        <v>1</v>
      </c>
      <c r="E29" s="31" t="s">
        <v>147</v>
      </c>
      <c r="F29" s="29" t="s">
        <v>148</v>
      </c>
      <c r="G29" s="31" t="s">
        <v>149</v>
      </c>
      <c r="H29" s="29" t="s">
        <v>56</v>
      </c>
      <c r="I29" s="29" t="s">
        <v>150</v>
      </c>
      <c r="J29" s="29" t="s">
        <v>119</v>
      </c>
      <c r="K29" s="29" t="s">
        <v>151</v>
      </c>
      <c r="L29" s="29" t="s">
        <v>350</v>
      </c>
      <c r="M29" s="29" t="s">
        <v>40</v>
      </c>
      <c r="N29" s="29" t="s">
        <v>11</v>
      </c>
      <c r="O29" s="32" t="s">
        <v>12</v>
      </c>
    </row>
    <row r="30" spans="1:15" ht="57.6" x14ac:dyDescent="0.3">
      <c r="A30" s="38" t="s">
        <v>327</v>
      </c>
      <c r="B30" s="39" t="s">
        <v>328</v>
      </c>
      <c r="C30" s="39" t="s">
        <v>119</v>
      </c>
      <c r="D30" s="39">
        <v>1</v>
      </c>
      <c r="E30" s="40" t="s">
        <v>329</v>
      </c>
      <c r="F30" s="39" t="s">
        <v>330</v>
      </c>
      <c r="G30" s="40" t="s">
        <v>331</v>
      </c>
      <c r="H30" s="39" t="s">
        <v>332</v>
      </c>
      <c r="I30" s="39" t="s">
        <v>333</v>
      </c>
      <c r="J30" s="39" t="s">
        <v>119</v>
      </c>
      <c r="K30" s="39" t="s">
        <v>351</v>
      </c>
      <c r="L30" s="40" t="s">
        <v>352</v>
      </c>
      <c r="M30" s="39" t="s">
        <v>353</v>
      </c>
      <c r="N30" s="39" t="s">
        <v>334</v>
      </c>
      <c r="O30" s="41" t="s">
        <v>12</v>
      </c>
    </row>
    <row r="31" spans="1:15" ht="57.6" x14ac:dyDescent="0.3">
      <c r="A31" s="38" t="s">
        <v>335</v>
      </c>
      <c r="B31" s="39" t="s">
        <v>52</v>
      </c>
      <c r="C31" s="39" t="s">
        <v>119</v>
      </c>
      <c r="D31" s="39">
        <v>1</v>
      </c>
      <c r="E31" s="40" t="s">
        <v>336</v>
      </c>
      <c r="F31" s="39" t="s">
        <v>337</v>
      </c>
      <c r="G31" s="40" t="s">
        <v>338</v>
      </c>
      <c r="H31" s="39" t="s">
        <v>56</v>
      </c>
      <c r="I31" s="40" t="s">
        <v>355</v>
      </c>
      <c r="J31" s="39" t="s">
        <v>119</v>
      </c>
      <c r="K31" s="39" t="s">
        <v>356</v>
      </c>
      <c r="L31" s="50">
        <v>46357</v>
      </c>
      <c r="M31" s="39"/>
      <c r="N31" s="39" t="s">
        <v>357</v>
      </c>
      <c r="O31" s="41"/>
    </row>
    <row r="32" spans="1:15" ht="111" customHeight="1" x14ac:dyDescent="0.3">
      <c r="A32" s="51" t="s">
        <v>326</v>
      </c>
      <c r="B32" s="52" t="s">
        <v>323</v>
      </c>
      <c r="C32" s="52" t="s">
        <v>14</v>
      </c>
      <c r="D32" s="52">
        <v>1</v>
      </c>
      <c r="E32" s="53" t="s">
        <v>324</v>
      </c>
      <c r="F32" s="52" t="s">
        <v>325</v>
      </c>
      <c r="G32" s="52"/>
      <c r="H32" s="52" t="s">
        <v>56</v>
      </c>
      <c r="I32" s="52"/>
      <c r="J32" s="52" t="s">
        <v>14</v>
      </c>
      <c r="K32" s="52"/>
      <c r="L32" s="52"/>
      <c r="M32" s="52"/>
      <c r="N32" s="52"/>
      <c r="O32" s="54"/>
    </row>
    <row r="33" spans="1:15" ht="43.2" x14ac:dyDescent="0.3">
      <c r="A33" s="51" t="s">
        <v>339</v>
      </c>
      <c r="B33" s="52" t="s">
        <v>340</v>
      </c>
      <c r="C33" s="52" t="s">
        <v>119</v>
      </c>
      <c r="D33" s="52">
        <v>1</v>
      </c>
      <c r="E33" s="53" t="s">
        <v>341</v>
      </c>
      <c r="F33" s="52" t="s">
        <v>342</v>
      </c>
      <c r="G33" s="52"/>
      <c r="H33" s="52" t="s">
        <v>56</v>
      </c>
      <c r="I33" s="52"/>
      <c r="J33" s="52" t="s">
        <v>119</v>
      </c>
      <c r="K33" s="52"/>
      <c r="L33" s="52"/>
      <c r="M33" s="52"/>
      <c r="N33" s="52"/>
      <c r="O33" s="54"/>
    </row>
    <row r="34" spans="1:15" ht="57.6" x14ac:dyDescent="0.3">
      <c r="A34" s="51" t="s">
        <v>343</v>
      </c>
      <c r="B34" s="52" t="s">
        <v>340</v>
      </c>
      <c r="C34" s="52" t="s">
        <v>119</v>
      </c>
      <c r="D34" s="52">
        <v>1</v>
      </c>
      <c r="E34" s="53" t="s">
        <v>344</v>
      </c>
      <c r="F34" s="52" t="s">
        <v>345</v>
      </c>
      <c r="G34" s="52"/>
      <c r="H34" s="52" t="s">
        <v>56</v>
      </c>
      <c r="I34" s="52"/>
      <c r="J34" s="52" t="s">
        <v>119</v>
      </c>
      <c r="K34" s="52"/>
      <c r="L34" s="52"/>
      <c r="M34" s="52"/>
      <c r="N34" s="52"/>
      <c r="O34" s="54"/>
    </row>
    <row r="35" spans="1:15" ht="114.6" customHeight="1" x14ac:dyDescent="0.3">
      <c r="A35" s="5" t="s">
        <v>358</v>
      </c>
      <c r="B35" s="6" t="s">
        <v>359</v>
      </c>
      <c r="C35" s="6" t="s">
        <v>119</v>
      </c>
      <c r="D35" s="6">
        <v>1</v>
      </c>
      <c r="E35" s="11" t="s">
        <v>360</v>
      </c>
      <c r="F35" s="6" t="s">
        <v>361</v>
      </c>
      <c r="G35" s="6"/>
      <c r="H35" s="6" t="s">
        <v>56</v>
      </c>
      <c r="I35" s="6"/>
      <c r="J35" s="6"/>
      <c r="K35" s="6"/>
      <c r="L35" s="6"/>
      <c r="M35" s="6"/>
      <c r="N35" s="6"/>
      <c r="O35" s="7"/>
    </row>
    <row r="36" spans="1:15" ht="72" customHeight="1" x14ac:dyDescent="0.3">
      <c r="A36" s="5" t="s">
        <v>363</v>
      </c>
      <c r="B36" s="6" t="s">
        <v>359</v>
      </c>
      <c r="C36" s="6" t="s">
        <v>119</v>
      </c>
      <c r="D36" s="6">
        <v>1</v>
      </c>
      <c r="E36" s="11" t="s">
        <v>364</v>
      </c>
      <c r="F36" s="6" t="s">
        <v>362</v>
      </c>
      <c r="G36" s="6"/>
      <c r="H36" s="6" t="s">
        <v>56</v>
      </c>
      <c r="I36" s="6"/>
      <c r="J36" s="6"/>
      <c r="K36" s="6"/>
      <c r="L36" s="6"/>
      <c r="M36" s="6"/>
      <c r="N36" s="6"/>
      <c r="O36" s="7"/>
    </row>
    <row r="37" spans="1:15" ht="86.4" x14ac:dyDescent="0.3">
      <c r="A37" s="5" t="s">
        <v>365</v>
      </c>
      <c r="B37" s="6" t="s">
        <v>366</v>
      </c>
      <c r="C37" s="6" t="s">
        <v>119</v>
      </c>
      <c r="D37" s="6">
        <v>1</v>
      </c>
      <c r="E37" s="11" t="s">
        <v>367</v>
      </c>
      <c r="F37" s="6" t="s">
        <v>368</v>
      </c>
      <c r="G37" s="6"/>
      <c r="H37" s="6"/>
      <c r="I37" s="6"/>
      <c r="J37" s="6"/>
      <c r="K37" s="6"/>
      <c r="L37" s="6"/>
      <c r="M37" s="6"/>
      <c r="N37" s="6"/>
      <c r="O37" s="7"/>
    </row>
    <row r="38" spans="1:15" ht="43.2" x14ac:dyDescent="0.3">
      <c r="A38" s="5" t="s">
        <v>369</v>
      </c>
      <c r="B38" s="6" t="s">
        <v>370</v>
      </c>
      <c r="C38" s="6" t="s">
        <v>371</v>
      </c>
      <c r="D38" s="6">
        <v>1</v>
      </c>
      <c r="E38" s="11" t="s">
        <v>372</v>
      </c>
      <c r="F38" s="6" t="s">
        <v>373</v>
      </c>
      <c r="G38" s="11" t="s">
        <v>374</v>
      </c>
      <c r="H38" s="6" t="s">
        <v>56</v>
      </c>
      <c r="I38" s="6" t="s">
        <v>150</v>
      </c>
      <c r="J38" s="6" t="s">
        <v>371</v>
      </c>
      <c r="K38" s="6" t="s">
        <v>375</v>
      </c>
      <c r="L38" s="6"/>
      <c r="M38" s="6"/>
      <c r="N38" s="6"/>
      <c r="O38" s="7"/>
    </row>
    <row r="39" spans="1:15" ht="72" customHeight="1" x14ac:dyDescent="0.3">
      <c r="A39" s="5" t="s">
        <v>376</v>
      </c>
      <c r="B39" s="6" t="s">
        <v>377</v>
      </c>
      <c r="C39" s="6" t="s">
        <v>378</v>
      </c>
      <c r="D39" s="6">
        <v>1</v>
      </c>
      <c r="E39" s="11" t="s">
        <v>379</v>
      </c>
      <c r="F39" s="6" t="s">
        <v>380</v>
      </c>
      <c r="G39" s="11" t="s">
        <v>381</v>
      </c>
      <c r="H39" s="6" t="s">
        <v>56</v>
      </c>
      <c r="I39" s="6" t="s">
        <v>382</v>
      </c>
      <c r="J39" s="6" t="s">
        <v>378</v>
      </c>
      <c r="K39" s="6" t="s">
        <v>383</v>
      </c>
      <c r="L39" s="6"/>
      <c r="M39" s="6"/>
      <c r="N39" s="6"/>
      <c r="O39" s="7"/>
    </row>
    <row r="40" spans="1:15" x14ac:dyDescent="0.3">
      <c r="A40" s="5"/>
      <c r="B40" s="6"/>
      <c r="C40" s="6"/>
      <c r="D40" s="6"/>
      <c r="E40" s="11"/>
      <c r="F40" s="6"/>
      <c r="G40" s="6"/>
      <c r="H40" s="6"/>
      <c r="I40" s="6"/>
      <c r="J40" s="6"/>
      <c r="K40" s="6"/>
      <c r="L40" s="6"/>
      <c r="M40" s="6"/>
      <c r="N40" s="6"/>
      <c r="O40" s="7"/>
    </row>
    <row r="41" spans="1:15" x14ac:dyDescent="0.3">
      <c r="A41" s="5"/>
      <c r="B41" s="6"/>
      <c r="C41" s="6"/>
      <c r="D41" s="6"/>
      <c r="E41" s="11"/>
      <c r="F41" s="6"/>
      <c r="G41" s="6"/>
      <c r="H41" s="6"/>
      <c r="I41" s="6"/>
      <c r="J41" s="6"/>
      <c r="K41" s="6"/>
      <c r="L41" s="6"/>
      <c r="M41" s="6"/>
      <c r="N41" s="6"/>
      <c r="O41" s="7"/>
    </row>
    <row r="42" spans="1:15" x14ac:dyDescent="0.3">
      <c r="A42" s="5"/>
      <c r="B42" s="6"/>
      <c r="C42" s="6"/>
      <c r="D42" s="6"/>
      <c r="E42" s="11"/>
      <c r="F42" s="6"/>
      <c r="G42" s="6"/>
      <c r="H42" s="6"/>
      <c r="I42" s="6"/>
      <c r="J42" s="6"/>
      <c r="K42" s="6"/>
      <c r="L42" s="6"/>
      <c r="M42" s="6"/>
      <c r="N42" s="6"/>
      <c r="O42" s="7"/>
    </row>
    <row r="43" spans="1:15" x14ac:dyDescent="0.3">
      <c r="A43" s="5"/>
      <c r="B43" s="6"/>
      <c r="C43" s="6"/>
      <c r="D43" s="6"/>
      <c r="E43" s="11"/>
      <c r="F43" s="6"/>
      <c r="G43" s="6"/>
      <c r="H43" s="6"/>
      <c r="I43" s="6"/>
      <c r="J43" s="6"/>
      <c r="K43" s="6"/>
      <c r="L43" s="6"/>
      <c r="M43" s="6"/>
      <c r="N43" s="6"/>
      <c r="O43" s="7"/>
    </row>
    <row r="44" spans="1:15" x14ac:dyDescent="0.3">
      <c r="A44" s="5"/>
      <c r="B44" s="6"/>
      <c r="C44" s="6"/>
      <c r="D44" s="6"/>
      <c r="E44" s="11"/>
      <c r="F44" s="6"/>
      <c r="G44" s="6"/>
      <c r="H44" s="6"/>
      <c r="I44" s="6"/>
      <c r="J44" s="6"/>
      <c r="K44" s="6"/>
      <c r="L44" s="6"/>
      <c r="M44" s="6"/>
      <c r="N44" s="6"/>
      <c r="O44" s="7"/>
    </row>
    <row r="45" spans="1:15" x14ac:dyDescent="0.3">
      <c r="A45" s="5"/>
      <c r="B45" s="6"/>
      <c r="C45" s="6"/>
      <c r="D45" s="6"/>
      <c r="E45" s="6"/>
      <c r="F45" s="6"/>
      <c r="G45" s="6"/>
      <c r="H45" s="6"/>
      <c r="I45" s="6"/>
      <c r="J45" s="6"/>
      <c r="K45" s="6"/>
      <c r="L45" s="6"/>
      <c r="M45" s="6"/>
      <c r="N45" s="6"/>
      <c r="O45" s="7"/>
    </row>
    <row r="46" spans="1:15" x14ac:dyDescent="0.3">
      <c r="A46" s="5"/>
      <c r="B46" s="6"/>
      <c r="C46" s="6"/>
      <c r="D46" s="6"/>
      <c r="E46" s="6"/>
      <c r="F46" s="6"/>
      <c r="G46" s="6"/>
      <c r="H46" s="6"/>
      <c r="I46" s="6"/>
      <c r="J46" s="6"/>
      <c r="K46" s="6"/>
      <c r="L46" s="6"/>
      <c r="M46" s="6"/>
      <c r="N46" s="6"/>
      <c r="O46" s="7"/>
    </row>
    <row r="47" spans="1:15" x14ac:dyDescent="0.3">
      <c r="A47" s="5"/>
      <c r="B47" s="6"/>
      <c r="C47" s="6"/>
      <c r="D47" s="6"/>
      <c r="E47" s="6"/>
      <c r="F47" s="6"/>
      <c r="G47" s="6"/>
      <c r="H47" s="6"/>
      <c r="I47" s="6"/>
      <c r="J47" s="6"/>
      <c r="K47" s="6"/>
      <c r="L47" s="6"/>
      <c r="M47" s="6"/>
      <c r="N47" s="6"/>
      <c r="O47" s="7"/>
    </row>
    <row r="48" spans="1:15" x14ac:dyDescent="0.3">
      <c r="A48" s="5"/>
      <c r="B48" s="6"/>
      <c r="C48" s="6"/>
      <c r="D48" s="6"/>
      <c r="E48" s="6"/>
      <c r="F48" s="6"/>
      <c r="G48" s="6"/>
      <c r="H48" s="6"/>
      <c r="I48" s="6"/>
      <c r="J48" s="6"/>
      <c r="K48" s="6"/>
      <c r="L48" s="6"/>
      <c r="M48" s="6"/>
      <c r="N48" s="6"/>
      <c r="O48" s="7"/>
    </row>
    <row r="49" spans="1:15" x14ac:dyDescent="0.3">
      <c r="A49" s="5"/>
      <c r="B49" s="6"/>
      <c r="C49" s="6"/>
      <c r="D49" s="6"/>
      <c r="E49" s="6"/>
      <c r="F49" s="6"/>
      <c r="G49" s="6"/>
      <c r="H49" s="6"/>
      <c r="I49" s="6"/>
      <c r="J49" s="6"/>
      <c r="K49" s="6"/>
      <c r="L49" s="6"/>
      <c r="M49" s="6"/>
      <c r="N49" s="6"/>
      <c r="O49" s="7"/>
    </row>
    <row r="50" spans="1:15" x14ac:dyDescent="0.3">
      <c r="A50" s="5"/>
      <c r="B50" s="6"/>
      <c r="C50" s="6"/>
      <c r="D50" s="6"/>
      <c r="E50" s="6"/>
      <c r="F50" s="6"/>
      <c r="G50" s="6"/>
      <c r="H50" s="6"/>
      <c r="I50" s="6"/>
      <c r="J50" s="6"/>
      <c r="K50" s="6"/>
      <c r="L50" s="6"/>
      <c r="M50" s="6"/>
      <c r="N50" s="6"/>
      <c r="O50" s="7"/>
    </row>
    <row r="51" spans="1:15" x14ac:dyDescent="0.3">
      <c r="A51" s="5"/>
      <c r="B51" s="6"/>
      <c r="C51" s="6"/>
      <c r="D51" s="6"/>
      <c r="E51" s="6"/>
      <c r="F51" s="6"/>
      <c r="G51" s="6"/>
      <c r="H51" s="6"/>
      <c r="I51" s="6"/>
      <c r="J51" s="6"/>
      <c r="K51" s="6"/>
      <c r="L51" s="6"/>
      <c r="M51" s="6"/>
      <c r="N51" s="6"/>
      <c r="O51" s="7"/>
    </row>
    <row r="52" spans="1:15" x14ac:dyDescent="0.3">
      <c r="A52" s="5"/>
      <c r="B52" s="6"/>
      <c r="C52" s="6"/>
      <c r="D52" s="6"/>
      <c r="E52" s="6"/>
      <c r="F52" s="6"/>
      <c r="G52" s="6"/>
      <c r="H52" s="6"/>
      <c r="I52" s="6"/>
      <c r="J52" s="6"/>
      <c r="K52" s="6"/>
      <c r="L52" s="6"/>
      <c r="M52" s="6"/>
      <c r="N52" s="6"/>
      <c r="O52" s="7"/>
    </row>
    <row r="53" spans="1:15" x14ac:dyDescent="0.3">
      <c r="A53" s="5"/>
      <c r="B53" s="6"/>
      <c r="C53" s="6"/>
      <c r="D53" s="6"/>
      <c r="E53" s="6"/>
      <c r="F53" s="6"/>
      <c r="G53" s="6"/>
      <c r="H53" s="6"/>
      <c r="I53" s="6"/>
      <c r="J53" s="6"/>
      <c r="K53" s="6"/>
      <c r="L53" s="6"/>
      <c r="M53" s="6"/>
      <c r="N53" s="6"/>
      <c r="O53" s="7"/>
    </row>
    <row r="54" spans="1:15" x14ac:dyDescent="0.3">
      <c r="A54" s="5"/>
      <c r="B54" s="6"/>
      <c r="C54" s="6"/>
      <c r="D54" s="6"/>
      <c r="E54" s="6"/>
      <c r="F54" s="6"/>
      <c r="G54" s="6"/>
      <c r="H54" s="6"/>
      <c r="I54" s="6"/>
      <c r="J54" s="6"/>
      <c r="K54" s="6"/>
      <c r="L54" s="6"/>
      <c r="M54" s="6"/>
      <c r="N54" s="6"/>
      <c r="O54" s="7"/>
    </row>
    <row r="55" spans="1:15" x14ac:dyDescent="0.3">
      <c r="A55" s="5"/>
      <c r="B55" s="6"/>
      <c r="C55" s="6"/>
      <c r="D55" s="6"/>
      <c r="E55" s="6"/>
      <c r="F55" s="6"/>
      <c r="G55" s="6"/>
      <c r="H55" s="6"/>
      <c r="I55" s="6"/>
      <c r="J55" s="6"/>
      <c r="K55" s="6"/>
      <c r="L55" s="6"/>
      <c r="M55" s="6"/>
      <c r="N55" s="6"/>
      <c r="O55" s="7"/>
    </row>
    <row r="56" spans="1:15" x14ac:dyDescent="0.3">
      <c r="A56" s="5"/>
      <c r="B56" s="6"/>
      <c r="C56" s="6"/>
      <c r="D56" s="6"/>
      <c r="E56" s="6"/>
      <c r="F56" s="6"/>
      <c r="G56" s="6"/>
      <c r="H56" s="6"/>
      <c r="I56" s="6"/>
      <c r="J56" s="6"/>
      <c r="K56" s="6"/>
      <c r="L56" s="6"/>
      <c r="M56" s="6"/>
      <c r="N56" s="6"/>
      <c r="O56" s="7"/>
    </row>
    <row r="57" spans="1:15" x14ac:dyDescent="0.3">
      <c r="A57" s="5"/>
      <c r="B57" s="6"/>
      <c r="C57" s="6"/>
      <c r="D57" s="6"/>
      <c r="E57" s="6"/>
      <c r="F57" s="6"/>
      <c r="G57" s="6"/>
      <c r="H57" s="6"/>
      <c r="I57" s="6"/>
      <c r="J57" s="6"/>
      <c r="K57" s="6"/>
      <c r="L57" s="6"/>
      <c r="M57" s="6"/>
      <c r="N57" s="6"/>
      <c r="O57" s="7"/>
    </row>
    <row r="58" spans="1:15" x14ac:dyDescent="0.3">
      <c r="A58" s="5"/>
      <c r="B58" s="6"/>
      <c r="C58" s="6"/>
      <c r="D58" s="6"/>
      <c r="E58" s="6"/>
      <c r="F58" s="6"/>
      <c r="G58" s="6"/>
      <c r="H58" s="6"/>
      <c r="I58" s="6"/>
      <c r="J58" s="6"/>
      <c r="K58" s="6"/>
      <c r="L58" s="6"/>
      <c r="M58" s="6"/>
      <c r="N58" s="6"/>
      <c r="O58" s="7"/>
    </row>
    <row r="59" spans="1:15" ht="15" thickBot="1" x14ac:dyDescent="0.35">
      <c r="A59" s="8"/>
      <c r="B59" s="9"/>
      <c r="C59" s="9"/>
      <c r="D59" s="9"/>
      <c r="E59" s="9"/>
      <c r="F59" s="9"/>
      <c r="G59" s="9"/>
      <c r="H59" s="9"/>
      <c r="I59" s="9"/>
      <c r="J59" s="9"/>
      <c r="K59" s="9"/>
      <c r="L59" s="9"/>
      <c r="M59" s="9"/>
      <c r="N59" s="9"/>
      <c r="O59" s="10"/>
    </row>
    <row r="60" spans="1:15" ht="15" thickTop="1" x14ac:dyDescent="0.3"/>
    <row r="61" spans="1:15" x14ac:dyDescent="0.3">
      <c r="A61" s="4" t="s">
        <v>23</v>
      </c>
      <c r="D61" s="4">
        <f>SUMIF(D8:D59, 1)</f>
        <v>32</v>
      </c>
    </row>
  </sheetData>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5:N51"/>
  <sheetViews>
    <sheetView topLeftCell="A32" zoomScale="69" zoomScaleNormal="53" workbookViewId="0">
      <selection activeCell="A49" sqref="A49:H51"/>
    </sheetView>
  </sheetViews>
  <sheetFormatPr defaultColWidth="8.77734375" defaultRowHeight="14.4" x14ac:dyDescent="0.3"/>
  <cols>
    <col min="1" max="1" width="9.109375" style="4" customWidth="1"/>
    <col min="2" max="2" width="20.77734375" style="4" customWidth="1"/>
    <col min="3" max="3" width="22.6640625" style="4" customWidth="1"/>
    <col min="4" max="4" width="3.21875" style="4" bestFit="1" customWidth="1"/>
    <col min="5" max="5" width="60.44140625" style="4" customWidth="1"/>
    <col min="6" max="6" width="27.21875" style="4" customWidth="1"/>
    <col min="7" max="7" width="52.77734375" style="4" bestFit="1" customWidth="1"/>
    <col min="8" max="8" width="19.109375" style="4" customWidth="1"/>
    <col min="9" max="9" width="48.88671875" style="4" customWidth="1"/>
    <col min="10" max="10" width="35.5546875" customWidth="1"/>
    <col min="11" max="11" width="30.33203125" style="4" customWidth="1"/>
    <col min="12" max="12" width="33.77734375" style="4" customWidth="1"/>
    <col min="13" max="13" width="40.77734375" style="4" customWidth="1"/>
    <col min="14" max="14" width="28.88671875" style="4" customWidth="1"/>
    <col min="15" max="15" width="52.77734375" style="4" bestFit="1" customWidth="1"/>
    <col min="16" max="16" width="37.77734375" style="4" bestFit="1" customWidth="1"/>
    <col min="17" max="17" width="34.21875" style="4" bestFit="1" customWidth="1"/>
    <col min="18" max="16384" width="8.77734375" style="4"/>
  </cols>
  <sheetData>
    <row r="5" spans="1:14" ht="15" thickBot="1" x14ac:dyDescent="0.35">
      <c r="F5" s="16"/>
    </row>
    <row r="6" spans="1:14" ht="54.6" customHeight="1" thickTop="1" thickBot="1" x14ac:dyDescent="0.35">
      <c r="A6" s="17" t="s">
        <v>0</v>
      </c>
      <c r="B6" s="18" t="s">
        <v>139</v>
      </c>
      <c r="C6" s="18" t="s">
        <v>144</v>
      </c>
      <c r="D6" s="18"/>
      <c r="E6" s="18" t="s">
        <v>140</v>
      </c>
      <c r="F6" s="19" t="s">
        <v>206</v>
      </c>
      <c r="G6" s="18" t="s">
        <v>141</v>
      </c>
      <c r="H6" s="18" t="s">
        <v>142</v>
      </c>
      <c r="I6" s="18" t="s">
        <v>3</v>
      </c>
      <c r="J6" s="18" t="s">
        <v>138</v>
      </c>
      <c r="K6" s="18" t="s">
        <v>137</v>
      </c>
      <c r="L6" s="18" t="s">
        <v>4</v>
      </c>
      <c r="M6" s="18" t="s">
        <v>5</v>
      </c>
      <c r="N6" s="20" t="s">
        <v>6</v>
      </c>
    </row>
    <row r="7" spans="1:14" ht="68.400000000000006" customHeight="1" thickTop="1" x14ac:dyDescent="0.3">
      <c r="A7" s="38" t="s">
        <v>164</v>
      </c>
      <c r="B7" s="39" t="s">
        <v>124</v>
      </c>
      <c r="C7" s="39" t="s">
        <v>125</v>
      </c>
      <c r="D7" s="39">
        <v>1</v>
      </c>
      <c r="E7" s="40" t="s">
        <v>165</v>
      </c>
      <c r="F7" s="39" t="s">
        <v>166</v>
      </c>
      <c r="G7" s="40" t="s">
        <v>167</v>
      </c>
      <c r="H7" s="39" t="s">
        <v>56</v>
      </c>
      <c r="I7" s="39" t="s">
        <v>168</v>
      </c>
      <c r="J7" s="42" t="s">
        <v>213</v>
      </c>
      <c r="K7" s="43"/>
      <c r="L7" s="42"/>
      <c r="M7" s="42"/>
      <c r="N7" s="42" t="s">
        <v>12</v>
      </c>
    </row>
    <row r="8" spans="1:14" ht="46.8" customHeight="1" x14ac:dyDescent="0.3">
      <c r="A8" s="38" t="s">
        <v>160</v>
      </c>
      <c r="B8" s="39" t="s">
        <v>124</v>
      </c>
      <c r="C8" s="39" t="s">
        <v>125</v>
      </c>
      <c r="D8" s="39">
        <v>1</v>
      </c>
      <c r="E8" s="40" t="s">
        <v>161</v>
      </c>
      <c r="F8" s="39" t="s">
        <v>162</v>
      </c>
      <c r="G8" s="40" t="s">
        <v>163</v>
      </c>
      <c r="H8" s="39" t="s">
        <v>56</v>
      </c>
      <c r="I8" s="39" t="s">
        <v>152</v>
      </c>
      <c r="J8" s="42" t="s">
        <v>215</v>
      </c>
      <c r="K8" s="39"/>
      <c r="L8" s="39"/>
      <c r="M8" s="39"/>
      <c r="N8" s="42" t="s">
        <v>12</v>
      </c>
    </row>
    <row r="9" spans="1:14" s="15" customFormat="1" ht="72" customHeight="1" x14ac:dyDescent="0.3">
      <c r="A9" s="44" t="s">
        <v>277</v>
      </c>
      <c r="B9" s="40" t="s">
        <v>124</v>
      </c>
      <c r="C9" s="40" t="s">
        <v>125</v>
      </c>
      <c r="D9" s="40">
        <v>1</v>
      </c>
      <c r="E9" s="40" t="s">
        <v>278</v>
      </c>
      <c r="F9" s="40" t="s">
        <v>279</v>
      </c>
      <c r="G9" s="40" t="s">
        <v>280</v>
      </c>
      <c r="H9" s="40" t="s">
        <v>56</v>
      </c>
      <c r="I9" s="40" t="s">
        <v>281</v>
      </c>
      <c r="J9" s="45" t="s">
        <v>282</v>
      </c>
      <c r="K9" s="40"/>
      <c r="L9" s="40"/>
      <c r="M9" s="40"/>
      <c r="N9" s="42" t="s">
        <v>12</v>
      </c>
    </row>
    <row r="10" spans="1:14" ht="43.2" x14ac:dyDescent="0.3">
      <c r="A10" s="38" t="s">
        <v>175</v>
      </c>
      <c r="B10" s="39" t="s">
        <v>170</v>
      </c>
      <c r="C10" s="39" t="s">
        <v>125</v>
      </c>
      <c r="D10" s="39">
        <v>1</v>
      </c>
      <c r="E10" s="40" t="s">
        <v>177</v>
      </c>
      <c r="F10" s="39" t="s">
        <v>176</v>
      </c>
      <c r="G10" s="40" t="s">
        <v>178</v>
      </c>
      <c r="H10" s="39" t="s">
        <v>56</v>
      </c>
      <c r="I10" s="39" t="s">
        <v>179</v>
      </c>
      <c r="J10" s="42" t="s">
        <v>213</v>
      </c>
      <c r="K10" s="39"/>
      <c r="L10" s="39"/>
      <c r="M10" s="39"/>
      <c r="N10" s="42" t="s">
        <v>12</v>
      </c>
    </row>
    <row r="11" spans="1:14" ht="42" customHeight="1" x14ac:dyDescent="0.3">
      <c r="A11" s="38" t="s">
        <v>271</v>
      </c>
      <c r="B11" s="39" t="s">
        <v>124</v>
      </c>
      <c r="C11" s="39" t="s">
        <v>125</v>
      </c>
      <c r="D11" s="39">
        <v>1</v>
      </c>
      <c r="E11" s="46" t="s">
        <v>272</v>
      </c>
      <c r="F11" s="39" t="s">
        <v>273</v>
      </c>
      <c r="G11" s="40" t="s">
        <v>274</v>
      </c>
      <c r="H11" s="39" t="s">
        <v>56</v>
      </c>
      <c r="I11" s="39" t="s">
        <v>275</v>
      </c>
      <c r="J11" s="42" t="s">
        <v>276</v>
      </c>
      <c r="K11" s="39"/>
      <c r="L11" s="39"/>
      <c r="M11" s="39"/>
      <c r="N11" s="42" t="s">
        <v>12</v>
      </c>
    </row>
    <row r="12" spans="1:14" ht="28.8" x14ac:dyDescent="0.3">
      <c r="A12" s="38" t="s">
        <v>198</v>
      </c>
      <c r="B12" s="39" t="s">
        <v>170</v>
      </c>
      <c r="C12" s="39" t="s">
        <v>125</v>
      </c>
      <c r="D12" s="39">
        <v>1</v>
      </c>
      <c r="E12" s="46" t="s">
        <v>199</v>
      </c>
      <c r="F12" s="39" t="s">
        <v>162</v>
      </c>
      <c r="G12" s="40" t="s">
        <v>200</v>
      </c>
      <c r="H12" s="39" t="s">
        <v>56</v>
      </c>
      <c r="I12" s="39" t="s">
        <v>201</v>
      </c>
      <c r="J12" s="42" t="s">
        <v>214</v>
      </c>
      <c r="K12" s="39"/>
      <c r="L12" s="39"/>
      <c r="M12" s="39"/>
      <c r="N12" s="42" t="s">
        <v>12</v>
      </c>
    </row>
    <row r="13" spans="1:14" ht="38.4" customHeight="1" x14ac:dyDescent="0.3">
      <c r="A13" s="38" t="s">
        <v>202</v>
      </c>
      <c r="B13" s="39" t="s">
        <v>170</v>
      </c>
      <c r="C13" s="39" t="s">
        <v>125</v>
      </c>
      <c r="D13" s="39">
        <v>1</v>
      </c>
      <c r="E13" s="46" t="s">
        <v>203</v>
      </c>
      <c r="F13" s="39" t="s">
        <v>176</v>
      </c>
      <c r="G13" s="40" t="s">
        <v>204</v>
      </c>
      <c r="H13" s="39" t="s">
        <v>56</v>
      </c>
      <c r="I13" s="39" t="s">
        <v>117</v>
      </c>
      <c r="J13" s="42" t="s">
        <v>213</v>
      </c>
      <c r="K13" s="39"/>
      <c r="L13" s="39"/>
      <c r="M13" s="39"/>
      <c r="N13" s="42" t="s">
        <v>12</v>
      </c>
    </row>
    <row r="14" spans="1:14" ht="28.8" x14ac:dyDescent="0.3">
      <c r="A14" s="38" t="s">
        <v>194</v>
      </c>
      <c r="B14" s="39" t="s">
        <v>170</v>
      </c>
      <c r="C14" s="39" t="s">
        <v>189</v>
      </c>
      <c r="D14" s="39">
        <v>1</v>
      </c>
      <c r="E14" s="46" t="s">
        <v>195</v>
      </c>
      <c r="F14" s="39" t="s">
        <v>196</v>
      </c>
      <c r="G14" s="40" t="s">
        <v>197</v>
      </c>
      <c r="H14" s="39" t="s">
        <v>56</v>
      </c>
      <c r="I14" s="39" t="s">
        <v>117</v>
      </c>
      <c r="J14" s="39" t="s">
        <v>212</v>
      </c>
      <c r="K14" s="39"/>
      <c r="L14" s="39"/>
      <c r="M14" s="39"/>
      <c r="N14" s="42" t="s">
        <v>12</v>
      </c>
    </row>
    <row r="15" spans="1:14" s="15" customFormat="1" ht="52.8" customHeight="1" x14ac:dyDescent="0.3">
      <c r="A15" s="44" t="s">
        <v>311</v>
      </c>
      <c r="B15" s="39" t="s">
        <v>317</v>
      </c>
      <c r="C15" s="40" t="s">
        <v>189</v>
      </c>
      <c r="D15" s="40">
        <v>1</v>
      </c>
      <c r="E15" s="46" t="s">
        <v>312</v>
      </c>
      <c r="F15" s="40" t="s">
        <v>313</v>
      </c>
      <c r="G15" s="40" t="s">
        <v>314</v>
      </c>
      <c r="H15" s="40" t="s">
        <v>56</v>
      </c>
      <c r="I15" s="40" t="s">
        <v>315</v>
      </c>
      <c r="J15" s="40" t="s">
        <v>240</v>
      </c>
      <c r="K15" s="40"/>
      <c r="L15" s="40"/>
      <c r="M15" s="40"/>
      <c r="N15" s="42" t="s">
        <v>12</v>
      </c>
    </row>
    <row r="16" spans="1:14" s="15" customFormat="1" ht="52.8" customHeight="1" x14ac:dyDescent="0.3">
      <c r="A16" s="44" t="s">
        <v>316</v>
      </c>
      <c r="B16" s="39" t="s">
        <v>318</v>
      </c>
      <c r="C16" s="40" t="s">
        <v>189</v>
      </c>
      <c r="D16" s="40">
        <v>1</v>
      </c>
      <c r="E16" s="46" t="s">
        <v>319</v>
      </c>
      <c r="F16" s="40" t="s">
        <v>320</v>
      </c>
      <c r="G16" s="40" t="s">
        <v>321</v>
      </c>
      <c r="H16" s="40" t="s">
        <v>56</v>
      </c>
      <c r="I16" s="40" t="s">
        <v>322</v>
      </c>
      <c r="J16" s="40" t="s">
        <v>253</v>
      </c>
      <c r="K16" s="40"/>
      <c r="L16" s="40"/>
      <c r="M16" s="40"/>
      <c r="N16" s="42" t="s">
        <v>12</v>
      </c>
    </row>
    <row r="17" spans="1:14" ht="61.8" customHeight="1" x14ac:dyDescent="0.3">
      <c r="A17" s="38" t="s">
        <v>190</v>
      </c>
      <c r="B17" s="39" t="s">
        <v>170</v>
      </c>
      <c r="C17" s="39" t="s">
        <v>189</v>
      </c>
      <c r="D17" s="39">
        <v>1</v>
      </c>
      <c r="E17" s="46" t="s">
        <v>191</v>
      </c>
      <c r="F17" s="39" t="s">
        <v>192</v>
      </c>
      <c r="G17" s="40" t="s">
        <v>193</v>
      </c>
      <c r="H17" s="39" t="s">
        <v>56</v>
      </c>
      <c r="I17" s="39" t="s">
        <v>117</v>
      </c>
      <c r="J17" s="39" t="s">
        <v>212</v>
      </c>
      <c r="K17" s="39"/>
      <c r="L17" s="39"/>
      <c r="M17" s="39"/>
      <c r="N17" s="42" t="s">
        <v>12</v>
      </c>
    </row>
    <row r="18" spans="1:14" ht="41.4" customHeight="1" x14ac:dyDescent="0.3">
      <c r="A18" s="38" t="s">
        <v>185</v>
      </c>
      <c r="B18" s="39" t="s">
        <v>170</v>
      </c>
      <c r="C18" s="39" t="s">
        <v>189</v>
      </c>
      <c r="D18" s="39">
        <v>1</v>
      </c>
      <c r="E18" s="46" t="s">
        <v>186</v>
      </c>
      <c r="F18" s="39" t="s">
        <v>187</v>
      </c>
      <c r="G18" s="40" t="s">
        <v>188</v>
      </c>
      <c r="H18" s="39" t="s">
        <v>56</v>
      </c>
      <c r="I18" s="39" t="s">
        <v>117</v>
      </c>
      <c r="J18" s="39" t="s">
        <v>212</v>
      </c>
      <c r="K18" s="39"/>
      <c r="L18" s="39"/>
      <c r="M18" s="39"/>
      <c r="N18" s="42" t="s">
        <v>12</v>
      </c>
    </row>
    <row r="19" spans="1:14" ht="53.4" customHeight="1" x14ac:dyDescent="0.3">
      <c r="A19" s="38" t="s">
        <v>169</v>
      </c>
      <c r="B19" s="39" t="s">
        <v>170</v>
      </c>
      <c r="C19" s="39" t="s">
        <v>189</v>
      </c>
      <c r="D19" s="39">
        <v>1</v>
      </c>
      <c r="E19" s="40" t="s">
        <v>171</v>
      </c>
      <c r="F19" s="39" t="s">
        <v>172</v>
      </c>
      <c r="G19" s="39" t="s">
        <v>173</v>
      </c>
      <c r="H19" s="39" t="s">
        <v>56</v>
      </c>
      <c r="I19" s="40" t="s">
        <v>174</v>
      </c>
      <c r="J19" s="39" t="s">
        <v>212</v>
      </c>
      <c r="K19" s="39"/>
      <c r="L19" s="39"/>
      <c r="M19" s="39"/>
      <c r="N19" s="42" t="s">
        <v>12</v>
      </c>
    </row>
    <row r="20" spans="1:14" ht="86.4" customHeight="1" x14ac:dyDescent="0.3">
      <c r="A20" s="38" t="s">
        <v>217</v>
      </c>
      <c r="B20" s="39" t="s">
        <v>170</v>
      </c>
      <c r="C20" s="39" t="s">
        <v>189</v>
      </c>
      <c r="D20" s="39">
        <v>1</v>
      </c>
      <c r="E20" s="40" t="s">
        <v>218</v>
      </c>
      <c r="F20" s="39" t="s">
        <v>219</v>
      </c>
      <c r="G20" s="40" t="s">
        <v>220</v>
      </c>
      <c r="H20" s="39" t="s">
        <v>56</v>
      </c>
      <c r="I20" s="40" t="s">
        <v>221</v>
      </c>
      <c r="J20" s="39" t="s">
        <v>151</v>
      </c>
      <c r="K20" s="39"/>
      <c r="L20" s="39"/>
      <c r="M20" s="39"/>
      <c r="N20" s="42" t="s">
        <v>12</v>
      </c>
    </row>
    <row r="21" spans="1:14" ht="86.4" customHeight="1" x14ac:dyDescent="0.3">
      <c r="A21" s="38" t="s">
        <v>180</v>
      </c>
      <c r="B21" s="39" t="s">
        <v>170</v>
      </c>
      <c r="C21" s="39" t="s">
        <v>189</v>
      </c>
      <c r="D21" s="39">
        <v>1</v>
      </c>
      <c r="E21" s="40" t="s">
        <v>181</v>
      </c>
      <c r="F21" s="39" t="s">
        <v>182</v>
      </c>
      <c r="G21" s="40" t="s">
        <v>183</v>
      </c>
      <c r="H21" s="39" t="s">
        <v>56</v>
      </c>
      <c r="I21" s="40" t="s">
        <v>184</v>
      </c>
      <c r="J21" s="39" t="s">
        <v>151</v>
      </c>
      <c r="K21" s="39"/>
      <c r="L21" s="39"/>
      <c r="M21" s="39"/>
      <c r="N21" s="42" t="s">
        <v>12</v>
      </c>
    </row>
    <row r="22" spans="1:14" ht="39" customHeight="1" x14ac:dyDescent="0.3">
      <c r="A22" s="38" t="s">
        <v>207</v>
      </c>
      <c r="B22" s="39" t="s">
        <v>170</v>
      </c>
      <c r="C22" s="39" t="s">
        <v>189</v>
      </c>
      <c r="D22" s="39">
        <v>1</v>
      </c>
      <c r="E22" s="40" t="s">
        <v>208</v>
      </c>
      <c r="F22" s="39" t="s">
        <v>182</v>
      </c>
      <c r="G22" s="40" t="s">
        <v>209</v>
      </c>
      <c r="H22" s="39" t="s">
        <v>56</v>
      </c>
      <c r="I22" s="40" t="s">
        <v>210</v>
      </c>
      <c r="J22" s="39" t="s">
        <v>211</v>
      </c>
      <c r="K22" s="39"/>
      <c r="L22" s="39"/>
      <c r="M22" s="39"/>
      <c r="N22" s="42" t="s">
        <v>12</v>
      </c>
    </row>
    <row r="23" spans="1:14" ht="39" customHeight="1" x14ac:dyDescent="0.3">
      <c r="A23" s="38" t="s">
        <v>283</v>
      </c>
      <c r="B23" s="39" t="s">
        <v>170</v>
      </c>
      <c r="C23" s="39" t="s">
        <v>189</v>
      </c>
      <c r="D23" s="39">
        <v>1</v>
      </c>
      <c r="E23" s="40" t="s">
        <v>284</v>
      </c>
      <c r="F23" s="39" t="s">
        <v>249</v>
      </c>
      <c r="G23" s="40" t="s">
        <v>285</v>
      </c>
      <c r="H23" s="39" t="s">
        <v>56</v>
      </c>
      <c r="I23" s="40" t="s">
        <v>286</v>
      </c>
      <c r="J23" s="39" t="s">
        <v>265</v>
      </c>
      <c r="K23" s="39"/>
      <c r="L23" s="39"/>
      <c r="M23" s="39"/>
      <c r="N23" s="42" t="s">
        <v>12</v>
      </c>
    </row>
    <row r="24" spans="1:14" ht="91.8" customHeight="1" x14ac:dyDescent="0.3">
      <c r="A24" s="38" t="s">
        <v>254</v>
      </c>
      <c r="B24" s="39" t="s">
        <v>170</v>
      </c>
      <c r="C24" s="39" t="s">
        <v>189</v>
      </c>
      <c r="D24" s="39">
        <v>1</v>
      </c>
      <c r="E24" s="40" t="s">
        <v>255</v>
      </c>
      <c r="F24" s="39" t="s">
        <v>256</v>
      </c>
      <c r="G24" s="40" t="s">
        <v>257</v>
      </c>
      <c r="H24" s="39" t="s">
        <v>56</v>
      </c>
      <c r="I24" s="40" t="s">
        <v>258</v>
      </c>
      <c r="J24" s="39" t="s">
        <v>259</v>
      </c>
      <c r="K24" s="39"/>
      <c r="L24" s="39"/>
      <c r="M24" s="39"/>
      <c r="N24" s="42" t="s">
        <v>12</v>
      </c>
    </row>
    <row r="25" spans="1:14" ht="91.8" customHeight="1" x14ac:dyDescent="0.3">
      <c r="A25" s="38" t="s">
        <v>260</v>
      </c>
      <c r="B25" s="39" t="s">
        <v>170</v>
      </c>
      <c r="C25" s="39" t="s">
        <v>189</v>
      </c>
      <c r="D25" s="39">
        <v>1</v>
      </c>
      <c r="E25" s="40" t="s">
        <v>261</v>
      </c>
      <c r="F25" s="39" t="s">
        <v>262</v>
      </c>
      <c r="G25" s="40" t="s">
        <v>263</v>
      </c>
      <c r="H25" s="39" t="s">
        <v>56</v>
      </c>
      <c r="I25" s="40" t="s">
        <v>264</v>
      </c>
      <c r="J25" s="39" t="s">
        <v>265</v>
      </c>
      <c r="K25" s="39"/>
      <c r="L25" s="39"/>
      <c r="M25" s="39"/>
      <c r="N25" s="42" t="s">
        <v>12</v>
      </c>
    </row>
    <row r="26" spans="1:14" ht="91.8" customHeight="1" x14ac:dyDescent="0.3">
      <c r="A26" s="38" t="s">
        <v>266</v>
      </c>
      <c r="B26" s="39" t="s">
        <v>170</v>
      </c>
      <c r="C26" s="39" t="s">
        <v>189</v>
      </c>
      <c r="D26" s="39">
        <v>1</v>
      </c>
      <c r="E26" s="40" t="s">
        <v>267</v>
      </c>
      <c r="F26" s="39" t="s">
        <v>268</v>
      </c>
      <c r="G26" s="40" t="s">
        <v>269</v>
      </c>
      <c r="H26" s="39" t="s">
        <v>56</v>
      </c>
      <c r="I26" s="40" t="s">
        <v>270</v>
      </c>
      <c r="J26" s="39" t="s">
        <v>253</v>
      </c>
      <c r="K26" s="39"/>
      <c r="L26" s="39"/>
      <c r="M26" s="39"/>
      <c r="N26" s="42" t="s">
        <v>12</v>
      </c>
    </row>
    <row r="27" spans="1:14" ht="91.8" customHeight="1" x14ac:dyDescent="0.3">
      <c r="A27" s="38" t="s">
        <v>292</v>
      </c>
      <c r="B27" s="39" t="s">
        <v>170</v>
      </c>
      <c r="C27" s="39" t="s">
        <v>189</v>
      </c>
      <c r="D27" s="39">
        <v>1</v>
      </c>
      <c r="E27" s="40" t="s">
        <v>293</v>
      </c>
      <c r="F27" s="39" t="s">
        <v>294</v>
      </c>
      <c r="G27" s="40" t="s">
        <v>295</v>
      </c>
      <c r="H27" s="39" t="s">
        <v>56</v>
      </c>
      <c r="I27" s="40" t="s">
        <v>286</v>
      </c>
      <c r="J27" s="39" t="s">
        <v>296</v>
      </c>
      <c r="K27" s="39"/>
      <c r="L27" s="39"/>
      <c r="M27" s="39"/>
      <c r="N27" s="42" t="s">
        <v>12</v>
      </c>
    </row>
    <row r="28" spans="1:14" ht="61.8" customHeight="1" x14ac:dyDescent="0.3">
      <c r="A28" s="38" t="s">
        <v>236</v>
      </c>
      <c r="B28" s="39" t="s">
        <v>170</v>
      </c>
      <c r="C28" s="39" t="s">
        <v>189</v>
      </c>
      <c r="D28" s="39">
        <v>1</v>
      </c>
      <c r="E28" s="40" t="s">
        <v>237</v>
      </c>
      <c r="F28" s="39" t="s">
        <v>238</v>
      </c>
      <c r="G28" s="40" t="s">
        <v>239</v>
      </c>
      <c r="H28" s="39" t="s">
        <v>56</v>
      </c>
      <c r="I28" s="40" t="s">
        <v>117</v>
      </c>
      <c r="J28" s="39" t="s">
        <v>240</v>
      </c>
      <c r="K28" s="39"/>
      <c r="L28" s="39"/>
      <c r="M28" s="39"/>
      <c r="N28" s="42" t="s">
        <v>12</v>
      </c>
    </row>
    <row r="29" spans="1:14" ht="61.8" customHeight="1" x14ac:dyDescent="0.3">
      <c r="A29" s="38" t="s">
        <v>301</v>
      </c>
      <c r="B29" s="39" t="s">
        <v>170</v>
      </c>
      <c r="C29" s="39" t="s">
        <v>189</v>
      </c>
      <c r="D29" s="39">
        <v>1</v>
      </c>
      <c r="E29" s="40" t="s">
        <v>302</v>
      </c>
      <c r="F29" s="39" t="s">
        <v>303</v>
      </c>
      <c r="G29" s="40" t="s">
        <v>304</v>
      </c>
      <c r="H29" s="39" t="s">
        <v>56</v>
      </c>
      <c r="I29" s="40" t="s">
        <v>305</v>
      </c>
      <c r="J29" s="39" t="s">
        <v>306</v>
      </c>
      <c r="K29" s="39"/>
      <c r="L29" s="39"/>
      <c r="M29" s="39"/>
      <c r="N29" s="42" t="s">
        <v>12</v>
      </c>
    </row>
    <row r="30" spans="1:14" ht="61.8" customHeight="1" x14ac:dyDescent="0.3">
      <c r="A30" s="38" t="s">
        <v>307</v>
      </c>
      <c r="B30" s="39" t="s">
        <v>170</v>
      </c>
      <c r="C30" s="39" t="s">
        <v>189</v>
      </c>
      <c r="D30" s="39">
        <v>1</v>
      </c>
      <c r="E30" s="40" t="s">
        <v>308</v>
      </c>
      <c r="F30" s="39" t="s">
        <v>303</v>
      </c>
      <c r="G30" s="40" t="s">
        <v>309</v>
      </c>
      <c r="H30" s="39" t="s">
        <v>56</v>
      </c>
      <c r="I30" s="40" t="s">
        <v>310</v>
      </c>
      <c r="J30" s="39" t="s">
        <v>291</v>
      </c>
      <c r="K30" s="39"/>
      <c r="L30" s="39"/>
      <c r="M30" s="39"/>
      <c r="N30" s="42" t="s">
        <v>12</v>
      </c>
    </row>
    <row r="31" spans="1:14" ht="48" customHeight="1" x14ac:dyDescent="0.3">
      <c r="A31" s="38" t="s">
        <v>222</v>
      </c>
      <c r="B31" s="39" t="s">
        <v>170</v>
      </c>
      <c r="C31" s="40" t="s">
        <v>189</v>
      </c>
      <c r="D31" s="39">
        <v>1</v>
      </c>
      <c r="E31" s="40" t="s">
        <v>223</v>
      </c>
      <c r="F31" s="39" t="s">
        <v>224</v>
      </c>
      <c r="G31" s="40" t="s">
        <v>225</v>
      </c>
      <c r="H31" s="39" t="s">
        <v>56</v>
      </c>
      <c r="I31" s="40" t="s">
        <v>226</v>
      </c>
      <c r="J31" s="39" t="s">
        <v>211</v>
      </c>
      <c r="K31" s="39"/>
      <c r="L31" s="39"/>
      <c r="M31" s="39"/>
      <c r="N31" s="42" t="s">
        <v>12</v>
      </c>
    </row>
    <row r="32" spans="1:14" ht="82.8" customHeight="1" x14ac:dyDescent="0.3">
      <c r="A32" s="47" t="s">
        <v>287</v>
      </c>
      <c r="B32" s="48" t="s">
        <v>170</v>
      </c>
      <c r="C32" s="49" t="s">
        <v>189</v>
      </c>
      <c r="D32" s="48">
        <v>1</v>
      </c>
      <c r="E32" s="49" t="s">
        <v>288</v>
      </c>
      <c r="F32" s="48" t="s">
        <v>289</v>
      </c>
      <c r="G32" s="49" t="s">
        <v>290</v>
      </c>
      <c r="H32" s="48" t="s">
        <v>56</v>
      </c>
      <c r="I32" s="49" t="s">
        <v>84</v>
      </c>
      <c r="J32" s="48" t="s">
        <v>291</v>
      </c>
      <c r="K32" s="48"/>
      <c r="L32" s="48"/>
      <c r="M32" s="48"/>
      <c r="N32" s="42" t="s">
        <v>12</v>
      </c>
    </row>
    <row r="33" spans="1:14" ht="48" customHeight="1" x14ac:dyDescent="0.3">
      <c r="A33" s="47" t="s">
        <v>247</v>
      </c>
      <c r="B33" s="48" t="s">
        <v>170</v>
      </c>
      <c r="C33" s="49" t="s">
        <v>189</v>
      </c>
      <c r="D33" s="48">
        <v>1</v>
      </c>
      <c r="E33" s="49" t="s">
        <v>248</v>
      </c>
      <c r="F33" s="48" t="s">
        <v>250</v>
      </c>
      <c r="G33" s="49" t="s">
        <v>251</v>
      </c>
      <c r="H33" s="48" t="s">
        <v>56</v>
      </c>
      <c r="I33" s="49" t="s">
        <v>252</v>
      </c>
      <c r="J33" s="48" t="s">
        <v>253</v>
      </c>
      <c r="K33" s="48"/>
      <c r="L33" s="48"/>
      <c r="M33" s="48"/>
      <c r="N33" s="42" t="s">
        <v>12</v>
      </c>
    </row>
    <row r="34" spans="1:14" ht="48" customHeight="1" x14ac:dyDescent="0.3">
      <c r="A34" s="47" t="s">
        <v>297</v>
      </c>
      <c r="B34" s="48" t="s">
        <v>170</v>
      </c>
      <c r="C34" s="49" t="s">
        <v>189</v>
      </c>
      <c r="D34" s="48">
        <v>1</v>
      </c>
      <c r="E34" s="49" t="s">
        <v>298</v>
      </c>
      <c r="F34" s="48" t="s">
        <v>249</v>
      </c>
      <c r="G34" s="49" t="s">
        <v>299</v>
      </c>
      <c r="H34" s="48" t="s">
        <v>56</v>
      </c>
      <c r="I34" s="49" t="s">
        <v>300</v>
      </c>
      <c r="J34" s="48" t="s">
        <v>265</v>
      </c>
      <c r="K34" s="48"/>
      <c r="L34" s="48"/>
      <c r="M34" s="48"/>
      <c r="N34" s="42" t="s">
        <v>12</v>
      </c>
    </row>
    <row r="35" spans="1:14" ht="66" customHeight="1" x14ac:dyDescent="0.3">
      <c r="A35" s="47" t="s">
        <v>230</v>
      </c>
      <c r="B35" s="48" t="s">
        <v>170</v>
      </c>
      <c r="C35" s="49" t="s">
        <v>189</v>
      </c>
      <c r="D35" s="48">
        <v>1</v>
      </c>
      <c r="E35" s="49" t="s">
        <v>231</v>
      </c>
      <c r="F35" s="48" t="s">
        <v>232</v>
      </c>
      <c r="G35" s="49" t="s">
        <v>233</v>
      </c>
      <c r="H35" s="48" t="s">
        <v>56</v>
      </c>
      <c r="I35" s="49" t="s">
        <v>234</v>
      </c>
      <c r="J35" s="48" t="s">
        <v>235</v>
      </c>
      <c r="K35" s="48"/>
      <c r="L35" s="48"/>
      <c r="M35" s="48"/>
      <c r="N35" s="42" t="s">
        <v>12</v>
      </c>
    </row>
    <row r="36" spans="1:14" ht="48" customHeight="1" x14ac:dyDescent="0.3">
      <c r="A36" s="47" t="s">
        <v>241</v>
      </c>
      <c r="B36" s="48" t="s">
        <v>170</v>
      </c>
      <c r="C36" s="49" t="s">
        <v>189</v>
      </c>
      <c r="D36" s="48">
        <v>1</v>
      </c>
      <c r="E36" s="49" t="s">
        <v>242</v>
      </c>
      <c r="F36" s="48" t="s">
        <v>243</v>
      </c>
      <c r="G36" s="49" t="s">
        <v>244</v>
      </c>
      <c r="H36" s="48" t="s">
        <v>56</v>
      </c>
      <c r="I36" s="49" t="s">
        <v>245</v>
      </c>
      <c r="J36" s="48" t="s">
        <v>246</v>
      </c>
      <c r="K36" s="48"/>
      <c r="L36" s="48"/>
      <c r="M36" s="48"/>
      <c r="N36" s="42" t="s">
        <v>12</v>
      </c>
    </row>
    <row r="37" spans="1:14" ht="48" customHeight="1" x14ac:dyDescent="0.3">
      <c r="A37" s="21"/>
      <c r="B37" s="22"/>
      <c r="C37" s="23"/>
      <c r="D37" s="22"/>
      <c r="E37" s="23"/>
      <c r="F37" s="22"/>
      <c r="G37" s="23"/>
      <c r="H37" s="22"/>
      <c r="I37" s="23"/>
      <c r="J37" s="22"/>
      <c r="K37" s="22"/>
      <c r="L37" s="22"/>
      <c r="M37" s="22"/>
      <c r="N37" s="22"/>
    </row>
    <row r="38" spans="1:14" ht="48" customHeight="1" x14ac:dyDescent="0.3">
      <c r="A38" s="21"/>
      <c r="B38" s="22"/>
      <c r="C38" s="23"/>
      <c r="D38" s="22"/>
      <c r="E38" s="23"/>
      <c r="F38" s="22"/>
      <c r="G38" s="23"/>
      <c r="H38" s="22"/>
      <c r="I38" s="23"/>
      <c r="J38" s="22"/>
      <c r="K38" s="22"/>
      <c r="L38" s="22"/>
      <c r="M38" s="22"/>
      <c r="N38" s="22"/>
    </row>
    <row r="39" spans="1:14" ht="48" customHeight="1" x14ac:dyDescent="0.3">
      <c r="A39" s="21"/>
      <c r="B39" s="22"/>
      <c r="C39" s="23"/>
      <c r="D39" s="22"/>
      <c r="E39" s="23"/>
      <c r="F39" s="22"/>
      <c r="G39" s="23"/>
      <c r="H39" s="22"/>
      <c r="I39" s="23"/>
      <c r="J39" s="22"/>
      <c r="K39" s="22"/>
      <c r="L39" s="22"/>
      <c r="M39" s="22"/>
      <c r="N39" s="22"/>
    </row>
    <row r="40" spans="1:14" ht="48" customHeight="1" x14ac:dyDescent="0.3">
      <c r="A40" s="21"/>
      <c r="B40" s="22"/>
      <c r="C40" s="23"/>
      <c r="D40" s="22"/>
      <c r="E40" s="23"/>
      <c r="F40" s="22"/>
      <c r="G40" s="23"/>
      <c r="H40" s="22"/>
      <c r="I40" s="23"/>
      <c r="J40" s="22"/>
      <c r="K40" s="22"/>
      <c r="L40" s="22"/>
      <c r="M40" s="22"/>
      <c r="N40" s="22"/>
    </row>
    <row r="41" spans="1:14" ht="48" customHeight="1" x14ac:dyDescent="0.3">
      <c r="A41" s="21"/>
      <c r="B41" s="22"/>
      <c r="C41" s="23"/>
      <c r="D41" s="22"/>
      <c r="E41" s="23"/>
      <c r="F41" s="22"/>
      <c r="G41" s="23"/>
      <c r="H41" s="22"/>
      <c r="I41" s="23"/>
      <c r="J41" s="22"/>
      <c r="K41" s="22"/>
      <c r="L41" s="22"/>
      <c r="M41" s="22"/>
      <c r="N41" s="22"/>
    </row>
    <row r="42" spans="1:14" ht="48" customHeight="1" x14ac:dyDescent="0.3">
      <c r="A42" s="21"/>
      <c r="B42" s="22"/>
      <c r="C42" s="23"/>
      <c r="D42" s="22"/>
      <c r="E42" s="23"/>
      <c r="F42" s="22"/>
      <c r="G42" s="23"/>
      <c r="H42" s="22"/>
      <c r="I42" s="23"/>
      <c r="J42" s="22"/>
      <c r="K42" s="22"/>
      <c r="L42" s="22"/>
      <c r="M42" s="22"/>
      <c r="N42" s="22"/>
    </row>
    <row r="43" spans="1:14" ht="15" thickBot="1" x14ac:dyDescent="0.35">
      <c r="A43" s="8"/>
      <c r="B43" s="9"/>
      <c r="C43" s="9"/>
      <c r="D43" s="9"/>
      <c r="E43" s="9"/>
      <c r="F43" s="9"/>
      <c r="G43" s="9"/>
      <c r="H43" s="9"/>
      <c r="I43" s="9"/>
      <c r="J43" s="9"/>
      <c r="K43" s="9"/>
      <c r="L43" s="9"/>
      <c r="M43" s="9"/>
      <c r="N43" s="9"/>
    </row>
    <row r="44" spans="1:14" ht="15" thickTop="1" x14ac:dyDescent="0.3"/>
    <row r="45" spans="1:14" x14ac:dyDescent="0.3">
      <c r="A45" s="4" t="s">
        <v>23</v>
      </c>
      <c r="D45" s="4">
        <f>SUMIF(D7:D43, 1)</f>
        <v>30</v>
      </c>
    </row>
    <row r="46" spans="1:14" x14ac:dyDescent="0.3">
      <c r="A46" s="55" t="s">
        <v>205</v>
      </c>
      <c r="B46" s="55"/>
      <c r="C46" s="55"/>
      <c r="D46" s="55"/>
      <c r="E46" s="55"/>
      <c r="F46" s="55"/>
      <c r="G46" s="55"/>
      <c r="H46" s="55"/>
      <c r="I46" s="55"/>
    </row>
    <row r="47" spans="1:14" x14ac:dyDescent="0.3">
      <c r="A47" s="55"/>
      <c r="B47" s="55"/>
      <c r="C47" s="55"/>
      <c r="D47" s="55"/>
      <c r="E47" s="55"/>
      <c r="F47" s="55"/>
      <c r="G47" s="55"/>
      <c r="H47" s="55"/>
      <c r="I47" s="55"/>
    </row>
    <row r="49" spans="1:8" x14ac:dyDescent="0.3">
      <c r="A49" s="56" t="s">
        <v>354</v>
      </c>
      <c r="B49" s="56"/>
      <c r="C49" s="56"/>
      <c r="D49" s="56"/>
      <c r="E49" s="56"/>
      <c r="F49" s="56"/>
      <c r="G49" s="56"/>
      <c r="H49" s="56"/>
    </row>
    <row r="50" spans="1:8" x14ac:dyDescent="0.3">
      <c r="A50" s="56"/>
      <c r="B50" s="56"/>
      <c r="C50" s="56"/>
      <c r="D50" s="56"/>
      <c r="E50" s="56"/>
      <c r="F50" s="56"/>
      <c r="G50" s="56"/>
      <c r="H50" s="56"/>
    </row>
    <row r="51" spans="1:8" x14ac:dyDescent="0.3">
      <c r="A51" s="56"/>
      <c r="B51" s="56"/>
      <c r="C51" s="56"/>
      <c r="D51" s="56"/>
      <c r="E51" s="56"/>
      <c r="F51" s="56"/>
      <c r="G51" s="56"/>
      <c r="H51" s="56"/>
    </row>
  </sheetData>
  <mergeCells count="2">
    <mergeCell ref="A46:I47"/>
    <mergeCell ref="A49:H51"/>
  </mergeCells>
  <phoneticPr fontId="3" type="noConversion"/>
  <pageMargins left="0.25" right="0.25" top="0.75" bottom="0.75" header="0.3" footer="0.3"/>
  <pageSetup paperSize="9" scale="31" orientation="landscape"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CBCCC-FCE8-4BAA-A69C-E62744F6DECB}">
  <dimension ref="B1:D1"/>
  <sheetViews>
    <sheetView workbookViewId="0">
      <selection activeCell="D1" sqref="D1"/>
    </sheetView>
  </sheetViews>
  <sheetFormatPr defaultRowHeight="14.4" x14ac:dyDescent="0.3"/>
  <cols>
    <col min="2" max="2" width="20.109375" customWidth="1"/>
    <col min="3" max="3" width="24.6640625" customWidth="1"/>
    <col min="4" max="4" width="21.6640625" customWidth="1"/>
  </cols>
  <sheetData>
    <row r="1" spans="2:4" x14ac:dyDescent="0.3">
      <c r="B1" t="s">
        <v>127</v>
      </c>
      <c r="C1" t="s">
        <v>128</v>
      </c>
      <c r="D1" t="s">
        <v>126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INTERNAL</vt:lpstr>
      <vt:lpstr>EXTERNAL</vt:lpstr>
      <vt:lpstr>Revision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ABENATHI JAMA</cp:lastModifiedBy>
  <cp:lastPrinted>2026-04-17T13:08:08Z</cp:lastPrinted>
  <dcterms:created xsi:type="dcterms:W3CDTF">2025-08-13T11:06:35Z</dcterms:created>
  <dcterms:modified xsi:type="dcterms:W3CDTF">2026-10-13T07:59:56Z</dcterms:modified>
</cp:coreProperties>
</file>